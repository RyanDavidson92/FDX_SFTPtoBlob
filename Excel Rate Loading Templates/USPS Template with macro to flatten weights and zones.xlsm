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condataglobal-my.sharepoint.com/personal/rdavidson_condata_com/Documents/Desktop/Rate loading templates/"/>
    </mc:Choice>
  </mc:AlternateContent>
  <xr:revisionPtr revIDLastSave="128" documentId="8_{28E92712-6D52-4A5D-ACAE-5233A0E8078C}" xr6:coauthVersionLast="47" xr6:coauthVersionMax="47" xr10:uidLastSave="{730D775C-27AD-40D7-9D03-AC50380BE0CB}"/>
  <bookViews>
    <workbookView xWindow="-38520" yWindow="-120" windowWidth="38640" windowHeight="15720" xr2:uid="{8889FFB0-0435-4E71-BC0A-19D93D3DAD42}"/>
  </bookViews>
  <sheets>
    <sheet name="Rate Load" sheetId="7" r:id="rId1"/>
    <sheet name="Copy childid query" sheetId="8" r:id="rId2"/>
    <sheet name="Wedgewood Pharm-PME-Yr2-2025" sheetId="2" r:id="rId3"/>
    <sheet name="Wedgewood Pharm-PM-Yr2-2025" sheetId="3" r:id="rId4"/>
    <sheet name="Wedgewood Pharm-GA-Yr2-2025" sheetId="4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8" i="7" l="1" a="1"/>
  <c r="J8" i="7"/>
  <c r="M8" i="7" s="1"/>
  <c r="M3" i="7"/>
  <c r="M4" i="7"/>
  <c r="M5" i="7"/>
  <c r="M6" i="7"/>
  <c r="M7" i="7"/>
  <c r="M9" i="7"/>
  <c r="M10" i="7"/>
  <c r="M11" i="7"/>
  <c r="M12" i="7"/>
  <c r="M13" i="7"/>
  <c r="M14" i="7"/>
  <c r="M15" i="7"/>
  <c r="M16" i="7"/>
  <c r="M17" i="7"/>
  <c r="M18" i="7"/>
  <c r="M19" i="7"/>
  <c r="M20" i="7"/>
  <c r="M21" i="7"/>
  <c r="M22" i="7"/>
  <c r="M23" i="7"/>
  <c r="M24" i="7"/>
  <c r="M25" i="7"/>
  <c r="M26" i="7"/>
  <c r="M27" i="7"/>
  <c r="M28" i="7"/>
  <c r="M29" i="7"/>
  <c r="M30" i="7"/>
  <c r="M31" i="7"/>
  <c r="M32" i="7"/>
  <c r="M33" i="7"/>
  <c r="M34" i="7"/>
  <c r="M35" i="7"/>
  <c r="M36" i="7"/>
  <c r="M37" i="7"/>
  <c r="M38" i="7"/>
  <c r="M39" i="7"/>
  <c r="M40" i="7"/>
  <c r="M41" i="7"/>
  <c r="M42" i="7"/>
  <c r="M43" i="7"/>
  <c r="M44" i="7"/>
  <c r="M45" i="7"/>
  <c r="M46" i="7"/>
  <c r="M47" i="7"/>
  <c r="M48" i="7"/>
  <c r="M49" i="7"/>
  <c r="M50" i="7"/>
  <c r="M51" i="7"/>
  <c r="M52" i="7"/>
  <c r="M53" i="7"/>
  <c r="M54" i="7"/>
  <c r="M55" i="7"/>
  <c r="M56" i="7"/>
  <c r="M57" i="7"/>
  <c r="M58" i="7"/>
  <c r="M59" i="7"/>
  <c r="M60" i="7"/>
  <c r="M61" i="7"/>
  <c r="M62" i="7"/>
  <c r="M63" i="7"/>
  <c r="M64" i="7"/>
  <c r="M65" i="7"/>
  <c r="M66" i="7"/>
  <c r="M67" i="7"/>
  <c r="M68" i="7"/>
  <c r="M69" i="7"/>
  <c r="M70" i="7"/>
  <c r="M71" i="7"/>
  <c r="M72" i="7"/>
  <c r="M73" i="7"/>
  <c r="M74" i="7"/>
  <c r="M75" i="7"/>
  <c r="M76" i="7"/>
  <c r="M77" i="7"/>
  <c r="M78" i="7"/>
  <c r="M79" i="7"/>
  <c r="M80" i="7"/>
  <c r="M81" i="7"/>
  <c r="M82" i="7"/>
  <c r="M83" i="7"/>
  <c r="M84" i="7"/>
  <c r="M85" i="7"/>
  <c r="M86" i="7"/>
  <c r="M87" i="7"/>
  <c r="M88" i="7"/>
  <c r="M89" i="7"/>
  <c r="M90" i="7"/>
  <c r="M91" i="7"/>
  <c r="M92" i="7"/>
  <c r="M93" i="7"/>
  <c r="M94" i="7"/>
  <c r="M95" i="7"/>
  <c r="M96" i="7"/>
  <c r="M97" i="7"/>
  <c r="M98" i="7"/>
  <c r="M99" i="7"/>
  <c r="M100" i="7"/>
  <c r="M101" i="7"/>
  <c r="M102" i="7"/>
  <c r="M103" i="7"/>
  <c r="M104" i="7"/>
  <c r="M105" i="7"/>
  <c r="M106" i="7"/>
  <c r="M107" i="7"/>
  <c r="M108" i="7"/>
  <c r="M109" i="7"/>
  <c r="M110" i="7"/>
  <c r="M111" i="7"/>
  <c r="M112" i="7"/>
  <c r="M113" i="7"/>
  <c r="M114" i="7"/>
  <c r="M115" i="7"/>
  <c r="M116" i="7"/>
  <c r="M117" i="7"/>
  <c r="M118" i="7"/>
  <c r="M119" i="7"/>
  <c r="M120" i="7"/>
  <c r="M121" i="7"/>
  <c r="M122" i="7"/>
  <c r="M123" i="7"/>
  <c r="M124" i="7"/>
  <c r="M125" i="7"/>
  <c r="M126" i="7"/>
  <c r="M127" i="7"/>
  <c r="M128" i="7"/>
  <c r="M129" i="7"/>
  <c r="M130" i="7"/>
  <c r="M131" i="7"/>
  <c r="M132" i="7"/>
  <c r="M133" i="7"/>
  <c r="M134" i="7"/>
  <c r="M135" i="7"/>
  <c r="M136" i="7"/>
  <c r="M137" i="7"/>
  <c r="M138" i="7"/>
  <c r="M139" i="7"/>
  <c r="M140" i="7"/>
  <c r="M141" i="7"/>
  <c r="M142" i="7"/>
  <c r="M143" i="7"/>
  <c r="M144" i="7"/>
  <c r="M145" i="7"/>
  <c r="M146" i="7"/>
  <c r="M147" i="7"/>
  <c r="M148" i="7"/>
  <c r="M149" i="7"/>
  <c r="M150" i="7"/>
  <c r="M151" i="7"/>
  <c r="M152" i="7"/>
  <c r="M153" i="7"/>
  <c r="M154" i="7"/>
  <c r="M155" i="7"/>
  <c r="M156" i="7"/>
  <c r="M157" i="7"/>
  <c r="M158" i="7"/>
  <c r="M159" i="7"/>
  <c r="M160" i="7"/>
  <c r="M161" i="7"/>
  <c r="M162" i="7"/>
  <c r="M163" i="7"/>
  <c r="M164" i="7"/>
  <c r="M165" i="7"/>
  <c r="M166" i="7"/>
  <c r="M167" i="7"/>
  <c r="M168" i="7"/>
  <c r="M169" i="7"/>
  <c r="M170" i="7"/>
  <c r="M171" i="7"/>
  <c r="M172" i="7"/>
  <c r="M173" i="7"/>
  <c r="M174" i="7"/>
  <c r="M175" i="7"/>
  <c r="M176" i="7"/>
  <c r="M177" i="7"/>
  <c r="M178" i="7"/>
  <c r="M179" i="7"/>
  <c r="M180" i="7"/>
  <c r="M181" i="7"/>
  <c r="M182" i="7"/>
  <c r="M183" i="7"/>
  <c r="M184" i="7"/>
  <c r="M185" i="7"/>
  <c r="M186" i="7"/>
  <c r="M187" i="7"/>
  <c r="M188" i="7"/>
  <c r="M189" i="7"/>
  <c r="M190" i="7"/>
  <c r="M191" i="7"/>
  <c r="M192" i="7"/>
  <c r="M193" i="7"/>
  <c r="M194" i="7"/>
  <c r="M195" i="7"/>
  <c r="M196" i="7"/>
  <c r="M197" i="7"/>
  <c r="M198" i="7"/>
  <c r="M199" i="7"/>
  <c r="M200" i="7"/>
  <c r="M201" i="7"/>
  <c r="M202" i="7"/>
  <c r="M203" i="7"/>
  <c r="M204" i="7"/>
  <c r="M205" i="7"/>
  <c r="M206" i="7"/>
  <c r="M207" i="7"/>
  <c r="M208" i="7"/>
  <c r="M209" i="7"/>
  <c r="M210" i="7"/>
  <c r="M211" i="7"/>
  <c r="M212" i="7"/>
  <c r="M213" i="7"/>
  <c r="M214" i="7"/>
  <c r="M215" i="7"/>
  <c r="M216" i="7"/>
  <c r="M217" i="7"/>
  <c r="M218" i="7"/>
  <c r="M219" i="7"/>
  <c r="M220" i="7"/>
  <c r="M221" i="7"/>
  <c r="M222" i="7"/>
  <c r="M223" i="7"/>
  <c r="M224" i="7"/>
  <c r="M225" i="7"/>
  <c r="M226" i="7"/>
  <c r="M227" i="7"/>
  <c r="M228" i="7"/>
  <c r="M229" i="7"/>
  <c r="M230" i="7"/>
  <c r="M231" i="7"/>
  <c r="M232" i="7"/>
  <c r="M233" i="7"/>
  <c r="M234" i="7"/>
  <c r="M235" i="7"/>
  <c r="M236" i="7"/>
  <c r="M237" i="7"/>
  <c r="M238" i="7"/>
  <c r="M239" i="7"/>
  <c r="M240" i="7"/>
  <c r="M241" i="7"/>
  <c r="M242" i="7"/>
  <c r="M243" i="7"/>
  <c r="M244" i="7"/>
  <c r="M245" i="7"/>
  <c r="M246" i="7"/>
  <c r="M247" i="7"/>
  <c r="M248" i="7"/>
  <c r="M249" i="7"/>
  <c r="M250" i="7"/>
  <c r="M251" i="7"/>
  <c r="M252" i="7"/>
  <c r="M253" i="7"/>
  <c r="M254" i="7"/>
  <c r="M255" i="7"/>
  <c r="M256" i="7"/>
  <c r="M257" i="7"/>
  <c r="M258" i="7"/>
  <c r="M259" i="7"/>
  <c r="M260" i="7"/>
  <c r="M261" i="7"/>
  <c r="M262" i="7"/>
  <c r="M263" i="7"/>
  <c r="M264" i="7"/>
  <c r="M265" i="7"/>
  <c r="M266" i="7"/>
  <c r="M267" i="7"/>
  <c r="M268" i="7"/>
  <c r="M269" i="7"/>
  <c r="M270" i="7"/>
  <c r="M271" i="7"/>
  <c r="M272" i="7"/>
  <c r="M273" i="7"/>
  <c r="M274" i="7"/>
  <c r="M275" i="7"/>
  <c r="M276" i="7"/>
  <c r="M277" i="7"/>
  <c r="M278" i="7"/>
  <c r="M279" i="7"/>
  <c r="M280" i="7"/>
  <c r="M281" i="7"/>
  <c r="M282" i="7"/>
  <c r="M283" i="7"/>
  <c r="M284" i="7"/>
  <c r="M285" i="7"/>
  <c r="M286" i="7"/>
  <c r="M287" i="7"/>
  <c r="M288" i="7"/>
  <c r="M289" i="7"/>
  <c r="M290" i="7"/>
  <c r="M291" i="7"/>
  <c r="M292" i="7"/>
  <c r="M293" i="7"/>
  <c r="M294" i="7"/>
  <c r="M295" i="7"/>
  <c r="M296" i="7"/>
  <c r="M297" i="7"/>
  <c r="M298" i="7"/>
  <c r="M299" i="7"/>
  <c r="M300" i="7"/>
  <c r="M301" i="7"/>
  <c r="M302" i="7"/>
  <c r="M303" i="7"/>
  <c r="M304" i="7"/>
  <c r="M305" i="7"/>
  <c r="M306" i="7"/>
  <c r="M307" i="7"/>
  <c r="M308" i="7"/>
  <c r="M309" i="7"/>
  <c r="M310" i="7"/>
  <c r="M311" i="7"/>
  <c r="M312" i="7"/>
  <c r="M313" i="7"/>
  <c r="M314" i="7"/>
  <c r="M315" i="7"/>
  <c r="M316" i="7"/>
  <c r="M317" i="7"/>
  <c r="M318" i="7"/>
  <c r="M319" i="7"/>
  <c r="M320" i="7"/>
  <c r="M321" i="7"/>
  <c r="M322" i="7"/>
  <c r="M323" i="7"/>
  <c r="M324" i="7"/>
  <c r="M325" i="7"/>
  <c r="M326" i="7"/>
  <c r="M327" i="7"/>
  <c r="M328" i="7"/>
  <c r="M329" i="7"/>
  <c r="M330" i="7"/>
  <c r="M331" i="7"/>
  <c r="M332" i="7"/>
  <c r="M333" i="7"/>
  <c r="M334" i="7"/>
  <c r="M335" i="7"/>
  <c r="M336" i="7"/>
  <c r="M337" i="7"/>
  <c r="M338" i="7"/>
  <c r="M339" i="7"/>
  <c r="M340" i="7"/>
  <c r="M341" i="7"/>
  <c r="M342" i="7"/>
  <c r="M343" i="7"/>
  <c r="M344" i="7"/>
  <c r="M345" i="7"/>
  <c r="M346" i="7"/>
  <c r="M347" i="7"/>
  <c r="M348" i="7"/>
  <c r="M349" i="7"/>
  <c r="M350" i="7"/>
  <c r="M351" i="7"/>
  <c r="M352" i="7"/>
  <c r="M353" i="7"/>
  <c r="M354" i="7"/>
  <c r="M355" i="7"/>
  <c r="M356" i="7"/>
  <c r="M357" i="7"/>
  <c r="M358" i="7"/>
  <c r="M359" i="7"/>
  <c r="M360" i="7"/>
  <c r="M361" i="7"/>
  <c r="M362" i="7"/>
  <c r="M363" i="7"/>
  <c r="M364" i="7"/>
  <c r="M365" i="7"/>
  <c r="M366" i="7"/>
  <c r="M367" i="7"/>
  <c r="M368" i="7"/>
  <c r="M369" i="7"/>
  <c r="M370" i="7"/>
  <c r="M371" i="7"/>
  <c r="M372" i="7"/>
  <c r="M373" i="7"/>
  <c r="M374" i="7"/>
  <c r="M375" i="7"/>
  <c r="M376" i="7"/>
  <c r="M377" i="7"/>
  <c r="M378" i="7"/>
  <c r="M379" i="7"/>
  <c r="M380" i="7"/>
  <c r="M381" i="7"/>
  <c r="M382" i="7"/>
  <c r="M383" i="7"/>
  <c r="M384" i="7"/>
  <c r="M385" i="7"/>
  <c r="M386" i="7"/>
  <c r="M387" i="7"/>
  <c r="M388" i="7"/>
  <c r="M389" i="7"/>
  <c r="M390" i="7"/>
  <c r="M391" i="7"/>
  <c r="M392" i="7"/>
  <c r="M393" i="7"/>
  <c r="M394" i="7"/>
  <c r="M395" i="7"/>
  <c r="M396" i="7"/>
  <c r="M397" i="7"/>
  <c r="M398" i="7"/>
  <c r="M399" i="7"/>
  <c r="M400" i="7"/>
  <c r="M401" i="7"/>
  <c r="M402" i="7"/>
  <c r="M403" i="7"/>
  <c r="M404" i="7"/>
  <c r="M405" i="7"/>
  <c r="M406" i="7"/>
  <c r="M407" i="7"/>
  <c r="M408" i="7"/>
  <c r="M409" i="7"/>
  <c r="M410" i="7"/>
  <c r="M411" i="7"/>
  <c r="M412" i="7"/>
  <c r="M413" i="7"/>
  <c r="M414" i="7"/>
  <c r="M415" i="7"/>
  <c r="M416" i="7"/>
  <c r="M417" i="7"/>
  <c r="M418" i="7"/>
  <c r="M419" i="7"/>
  <c r="M420" i="7"/>
  <c r="M421" i="7"/>
  <c r="M422" i="7"/>
  <c r="M423" i="7"/>
  <c r="M424" i="7"/>
  <c r="M425" i="7"/>
  <c r="M426" i="7"/>
  <c r="M427" i="7"/>
  <c r="M428" i="7"/>
  <c r="M429" i="7"/>
  <c r="M430" i="7"/>
  <c r="M431" i="7"/>
  <c r="M432" i="7"/>
  <c r="M433" i="7"/>
  <c r="M434" i="7"/>
  <c r="M435" i="7"/>
  <c r="M436" i="7"/>
  <c r="M437" i="7"/>
  <c r="M438" i="7"/>
  <c r="M439" i="7"/>
  <c r="M440" i="7"/>
  <c r="M441" i="7"/>
  <c r="M442" i="7"/>
  <c r="M443" i="7"/>
  <c r="M444" i="7"/>
  <c r="M445" i="7"/>
  <c r="M446" i="7"/>
  <c r="M447" i="7"/>
  <c r="M448" i="7"/>
  <c r="M449" i="7"/>
  <c r="M450" i="7"/>
  <c r="M451" i="7"/>
  <c r="M452" i="7"/>
  <c r="M453" i="7"/>
  <c r="M454" i="7"/>
  <c r="M455" i="7"/>
  <c r="M456" i="7"/>
  <c r="M457" i="7"/>
  <c r="M458" i="7"/>
  <c r="M459" i="7"/>
  <c r="M460" i="7"/>
  <c r="M461" i="7"/>
  <c r="M462" i="7"/>
  <c r="M463" i="7"/>
  <c r="M464" i="7"/>
  <c r="M465" i="7"/>
  <c r="M466" i="7"/>
  <c r="M467" i="7"/>
  <c r="M468" i="7"/>
  <c r="M469" i="7"/>
  <c r="M470" i="7"/>
  <c r="M471" i="7"/>
  <c r="M472" i="7"/>
  <c r="M473" i="7"/>
  <c r="M474" i="7"/>
  <c r="M475" i="7"/>
  <c r="M476" i="7"/>
  <c r="M477" i="7"/>
  <c r="M478" i="7"/>
  <c r="M479" i="7"/>
  <c r="M480" i="7"/>
  <c r="M481" i="7"/>
  <c r="M482" i="7"/>
  <c r="M483" i="7"/>
  <c r="M484" i="7"/>
  <c r="M485" i="7"/>
  <c r="M486" i="7"/>
  <c r="M487" i="7"/>
  <c r="M488" i="7"/>
  <c r="M489" i="7"/>
  <c r="M490" i="7"/>
  <c r="M491" i="7"/>
  <c r="M492" i="7"/>
  <c r="M493" i="7"/>
  <c r="M494" i="7"/>
  <c r="M495" i="7"/>
  <c r="M496" i="7"/>
  <c r="M497" i="7"/>
  <c r="M498" i="7"/>
  <c r="M499" i="7"/>
  <c r="M500" i="7"/>
  <c r="M501" i="7"/>
  <c r="M502" i="7"/>
  <c r="M503" i="7"/>
  <c r="M504" i="7"/>
  <c r="M505" i="7"/>
  <c r="M506" i="7"/>
  <c r="M507" i="7"/>
  <c r="M508" i="7"/>
  <c r="M509" i="7"/>
  <c r="M510" i="7"/>
  <c r="M511" i="7"/>
  <c r="M512" i="7"/>
  <c r="M513" i="7"/>
  <c r="M514" i="7"/>
  <c r="M515" i="7"/>
  <c r="M516" i="7"/>
  <c r="M517" i="7"/>
  <c r="M518" i="7"/>
  <c r="M519" i="7"/>
  <c r="M520" i="7"/>
  <c r="M521" i="7"/>
  <c r="M522" i="7"/>
  <c r="M523" i="7"/>
  <c r="M524" i="7"/>
  <c r="M525" i="7"/>
  <c r="M526" i="7"/>
  <c r="M527" i="7"/>
  <c r="M528" i="7"/>
  <c r="M529" i="7"/>
  <c r="M530" i="7"/>
  <c r="M531" i="7"/>
  <c r="M532" i="7"/>
  <c r="M533" i="7"/>
  <c r="M534" i="7"/>
  <c r="M535" i="7"/>
  <c r="M536" i="7"/>
  <c r="M537" i="7"/>
  <c r="M538" i="7"/>
  <c r="M539" i="7"/>
  <c r="M540" i="7"/>
  <c r="M541" i="7"/>
  <c r="M542" i="7"/>
  <c r="M543" i="7"/>
  <c r="M544" i="7"/>
  <c r="M545" i="7"/>
  <c r="M546" i="7"/>
  <c r="M547" i="7"/>
  <c r="M548" i="7"/>
  <c r="M549" i="7"/>
  <c r="M550" i="7"/>
  <c r="M551" i="7"/>
  <c r="M552" i="7"/>
  <c r="M553" i="7"/>
  <c r="M554" i="7"/>
  <c r="M555" i="7"/>
  <c r="M556" i="7"/>
  <c r="M557" i="7"/>
  <c r="M558" i="7"/>
  <c r="M559" i="7"/>
  <c r="M560" i="7"/>
  <c r="M561" i="7"/>
  <c r="M562" i="7"/>
  <c r="M563" i="7"/>
  <c r="M564" i="7"/>
  <c r="M565" i="7"/>
  <c r="M566" i="7"/>
  <c r="M567" i="7"/>
  <c r="M568" i="7"/>
  <c r="M569" i="7"/>
  <c r="M2" i="7"/>
  <c r="J2" i="7" a="1"/>
  <c r="J2" i="7" s="1"/>
  <c r="J414" i="7" a="1"/>
  <c r="J414" i="7" s="1"/>
  <c r="J415" i="7" a="1"/>
  <c r="J415" i="7"/>
  <c r="J416" i="7" a="1"/>
  <c r="J416" i="7" s="1"/>
  <c r="J417" i="7" a="1"/>
  <c r="J417" i="7"/>
  <c r="J418" i="7" a="1"/>
  <c r="J418" i="7" s="1"/>
  <c r="J419" i="7" a="1"/>
  <c r="J419" i="7"/>
  <c r="J420" i="7" a="1"/>
  <c r="J420" i="7"/>
  <c r="J421" i="7" a="1"/>
  <c r="J421" i="7"/>
  <c r="J422" i="7" a="1"/>
  <c r="J422" i="7" s="1"/>
  <c r="J423" i="7" a="1"/>
  <c r="J423" i="7" s="1"/>
  <c r="J424" i="7" a="1"/>
  <c r="J424" i="7"/>
  <c r="J425" i="7" a="1"/>
  <c r="J425" i="7" s="1"/>
  <c r="J426" i="7" a="1"/>
  <c r="J426" i="7"/>
  <c r="J427" i="7" a="1"/>
  <c r="J427" i="7"/>
  <c r="J428" i="7" a="1"/>
  <c r="J428" i="7"/>
  <c r="J429" i="7" a="1"/>
  <c r="J429" i="7"/>
  <c r="J430" i="7" a="1"/>
  <c r="J430" i="7" s="1"/>
  <c r="J431" i="7" a="1"/>
  <c r="J431" i="7" s="1"/>
  <c r="J432" i="7" a="1"/>
  <c r="J432" i="7"/>
  <c r="J433" i="7" a="1"/>
  <c r="J433" i="7" s="1"/>
  <c r="J434" i="7" a="1"/>
  <c r="J434" i="7"/>
  <c r="J435" i="7" a="1"/>
  <c r="J435" i="7" s="1"/>
  <c r="J436" i="7" a="1"/>
  <c r="J436" i="7"/>
  <c r="J437" i="7" a="1"/>
  <c r="J437" i="7"/>
  <c r="J438" i="7" a="1"/>
  <c r="J438" i="7" s="1"/>
  <c r="J439" i="7" a="1"/>
  <c r="J439" i="7"/>
  <c r="J440" i="7" a="1"/>
  <c r="J440" i="7" s="1"/>
  <c r="J441" i="7" a="1"/>
  <c r="J441" i="7"/>
  <c r="J442" i="7" a="1"/>
  <c r="J442" i="7" s="1"/>
  <c r="J443" i="7" a="1"/>
  <c r="J443" i="7"/>
  <c r="J444" i="7" a="1"/>
  <c r="J444" i="7"/>
  <c r="J445" i="7" a="1"/>
  <c r="J445" i="7"/>
  <c r="J446" i="7" a="1"/>
  <c r="J446" i="7" s="1"/>
  <c r="J447" i="7" a="1"/>
  <c r="J447" i="7"/>
  <c r="J448" i="7" a="1"/>
  <c r="J448" i="7" s="1"/>
  <c r="J449" i="7" a="1"/>
  <c r="J449" i="7"/>
  <c r="J450" i="7" a="1"/>
  <c r="J450" i="7" s="1"/>
  <c r="J451" i="7" a="1"/>
  <c r="J451" i="7"/>
  <c r="J452" i="7" a="1"/>
  <c r="J452" i="7" s="1"/>
  <c r="J453" i="7" a="1"/>
  <c r="J453" i="7"/>
  <c r="J454" i="7" a="1"/>
  <c r="J454" i="7" s="1"/>
  <c r="J455" i="7" a="1"/>
  <c r="J455" i="7"/>
  <c r="J456" i="7" a="1"/>
  <c r="J456" i="7"/>
  <c r="J457" i="7" a="1"/>
  <c r="J457" i="7" s="1"/>
  <c r="J458" i="7" a="1"/>
  <c r="J458" i="7"/>
  <c r="J459" i="7" a="1"/>
  <c r="J459" i="7" s="1"/>
  <c r="J460" i="7" a="1"/>
  <c r="J460" i="7"/>
  <c r="J461" i="7" a="1"/>
  <c r="J461" i="7"/>
  <c r="J462" i="7" a="1"/>
  <c r="J462" i="7" s="1"/>
  <c r="J463" i="7" a="1"/>
  <c r="J463" i="7"/>
  <c r="J464" i="7" a="1"/>
  <c r="J464" i="7"/>
  <c r="J465" i="7" a="1"/>
  <c r="J465" i="7" s="1"/>
  <c r="J466" i="7" a="1"/>
  <c r="J466" i="7"/>
  <c r="J467" i="7" a="1"/>
  <c r="J467" i="7" s="1"/>
  <c r="J468" i="7" a="1"/>
  <c r="J468" i="7"/>
  <c r="J469" i="7" a="1"/>
  <c r="J469" i="7" s="1"/>
  <c r="J470" i="7" a="1"/>
  <c r="J470" i="7" s="1"/>
  <c r="J471" i="7" a="1"/>
  <c r="J471" i="7"/>
  <c r="J472" i="7" a="1"/>
  <c r="J472" i="7"/>
  <c r="J473" i="7" a="1"/>
  <c r="J473" i="7"/>
  <c r="J474" i="7" a="1"/>
  <c r="J474" i="7" s="1"/>
  <c r="J475" i="7" a="1"/>
  <c r="J475" i="7"/>
  <c r="J476" i="7" a="1"/>
  <c r="J476" i="7" s="1"/>
  <c r="J477" i="7" a="1"/>
  <c r="J477" i="7"/>
  <c r="J478" i="7" a="1"/>
  <c r="J478" i="7" s="1"/>
  <c r="J479" i="7" a="1"/>
  <c r="J479" i="7"/>
  <c r="J480" i="7" a="1"/>
  <c r="J480" i="7"/>
  <c r="J481" i="7" a="1"/>
  <c r="J481" i="7"/>
  <c r="J482" i="7" a="1"/>
  <c r="J482" i="7" s="1"/>
  <c r="J483" i="7" a="1"/>
  <c r="J483" i="7"/>
  <c r="J484" i="7" a="1"/>
  <c r="J484" i="7" s="1"/>
  <c r="J485" i="7" a="1"/>
  <c r="J485" i="7"/>
  <c r="J486" i="7" a="1"/>
  <c r="J486" i="7" s="1"/>
  <c r="J487" i="7" a="1"/>
  <c r="J487" i="7"/>
  <c r="J488" i="7" a="1"/>
  <c r="J488" i="7"/>
  <c r="J489" i="7" a="1"/>
  <c r="J489" i="7"/>
  <c r="J490" i="7" a="1"/>
  <c r="J490" i="7"/>
  <c r="J491" i="7" a="1"/>
  <c r="J491" i="7" s="1"/>
  <c r="J492" i="7" a="1"/>
  <c r="J492" i="7"/>
  <c r="J493" i="7" a="1"/>
  <c r="J493" i="7" s="1"/>
  <c r="J494" i="7" a="1"/>
  <c r="J494" i="7" s="1"/>
  <c r="J495" i="7" a="1"/>
  <c r="J495" i="7" s="1"/>
  <c r="J496" i="7" a="1"/>
  <c r="J496" i="7"/>
  <c r="J497" i="7" a="1"/>
  <c r="J497" i="7"/>
  <c r="J498" i="7" a="1"/>
  <c r="J498" i="7"/>
  <c r="J499" i="7" a="1"/>
  <c r="J499" i="7" s="1"/>
  <c r="J500" i="7" a="1"/>
  <c r="J500" i="7"/>
  <c r="J501" i="7" a="1"/>
  <c r="J501" i="7" s="1"/>
  <c r="J502" i="7" a="1"/>
  <c r="J502" i="7" s="1"/>
  <c r="J503" i="7" a="1"/>
  <c r="J503" i="7"/>
  <c r="J504" i="7" a="1"/>
  <c r="J504" i="7"/>
  <c r="J505" i="7" a="1"/>
  <c r="J505" i="7"/>
  <c r="J506" i="7" a="1"/>
  <c r="J506" i="7"/>
  <c r="J507" i="7" a="1"/>
  <c r="J507" i="7"/>
  <c r="J508" i="7" a="1"/>
  <c r="J508" i="7" s="1"/>
  <c r="J509" i="7" a="1"/>
  <c r="J509" i="7"/>
  <c r="J510" i="7" a="1"/>
  <c r="J510" i="7" s="1"/>
  <c r="J511" i="7" a="1"/>
  <c r="J511" i="7"/>
  <c r="J512" i="7" a="1"/>
  <c r="J512" i="7" s="1"/>
  <c r="J513" i="7" a="1"/>
  <c r="J513" i="7"/>
  <c r="J514" i="7" a="1"/>
  <c r="J514" i="7"/>
  <c r="J515" i="7" a="1"/>
  <c r="J515" i="7"/>
  <c r="J516" i="7" a="1"/>
  <c r="J516" i="7" s="1"/>
  <c r="J517" i="7" a="1"/>
  <c r="J517" i="7"/>
  <c r="J518" i="7" a="1"/>
  <c r="J518" i="7" s="1"/>
  <c r="J519" i="7" a="1"/>
  <c r="J519" i="7" s="1"/>
  <c r="J520" i="7" a="1"/>
  <c r="J520" i="7"/>
  <c r="J521" i="7" a="1"/>
  <c r="J521" i="7"/>
  <c r="J522" i="7" a="1"/>
  <c r="J522" i="7"/>
  <c r="J523" i="7" a="1"/>
  <c r="J523" i="7"/>
  <c r="J524" i="7" a="1"/>
  <c r="J524" i="7"/>
  <c r="J525" i="7" a="1"/>
  <c r="J525" i="7" s="1"/>
  <c r="J526" i="7" a="1"/>
  <c r="J526" i="7" s="1"/>
  <c r="J527" i="7" a="1"/>
  <c r="J527" i="7" s="1"/>
  <c r="J528" i="7" a="1"/>
  <c r="J528" i="7"/>
  <c r="J529" i="7" a="1"/>
  <c r="J529" i="7" s="1"/>
  <c r="J530" i="7" a="1"/>
  <c r="J530" i="7"/>
  <c r="J531" i="7" a="1"/>
  <c r="J531" i="7"/>
  <c r="J532" i="7" a="1"/>
  <c r="J532" i="7"/>
  <c r="J533" i="7" a="1"/>
  <c r="J533" i="7" s="1"/>
  <c r="J534" i="7" a="1"/>
  <c r="J534" i="7" s="1"/>
  <c r="J535" i="7" a="1"/>
  <c r="J535" i="7"/>
  <c r="J536" i="7" a="1"/>
  <c r="J536" i="7" s="1"/>
  <c r="J537" i="7" a="1"/>
  <c r="J537" i="7"/>
  <c r="J538" i="7" a="1"/>
  <c r="J538" i="7"/>
  <c r="J539" i="7" a="1"/>
  <c r="J539" i="7"/>
  <c r="J540" i="7" a="1"/>
  <c r="J540" i="7"/>
  <c r="J541" i="7" a="1"/>
  <c r="J541" i="7"/>
  <c r="J542" i="7" a="1"/>
  <c r="J542" i="7" s="1"/>
  <c r="J543" i="7" a="1"/>
  <c r="J543" i="7"/>
  <c r="J544" i="7" a="1"/>
  <c r="J544" i="7" s="1"/>
  <c r="J545" i="7" a="1"/>
  <c r="J545" i="7"/>
  <c r="J546" i="7" a="1"/>
  <c r="J546" i="7" s="1"/>
  <c r="J547" i="7" a="1"/>
  <c r="J547" i="7"/>
  <c r="J548" i="7" a="1"/>
  <c r="J548" i="7"/>
  <c r="J549" i="7" a="1"/>
  <c r="J549" i="7"/>
  <c r="J550" i="7" a="1"/>
  <c r="J550" i="7" s="1"/>
  <c r="J551" i="7" a="1"/>
  <c r="J551" i="7" s="1"/>
  <c r="J552" i="7" a="1"/>
  <c r="J552" i="7"/>
  <c r="J553" i="7" a="1"/>
  <c r="J553" i="7" s="1"/>
  <c r="J554" i="7" a="1"/>
  <c r="J554" i="7"/>
  <c r="J555" i="7" a="1"/>
  <c r="J555" i="7"/>
  <c r="J556" i="7" a="1"/>
  <c r="J556" i="7"/>
  <c r="J557" i="7" a="1"/>
  <c r="J557" i="7"/>
  <c r="J558" i="7" a="1"/>
  <c r="J558" i="7" s="1"/>
  <c r="J559" i="7" a="1"/>
  <c r="J559" i="7" s="1"/>
  <c r="J560" i="7" a="1"/>
  <c r="J560" i="7"/>
  <c r="J561" i="7" a="1"/>
  <c r="J561" i="7" s="1"/>
  <c r="J562" i="7" a="1"/>
  <c r="J562" i="7"/>
  <c r="J563" i="7" a="1"/>
  <c r="J563" i="7" s="1"/>
  <c r="J564" i="7" a="1"/>
  <c r="J564" i="7"/>
  <c r="J565" i="7" a="1"/>
  <c r="J565" i="7"/>
  <c r="J566" i="7" a="1"/>
  <c r="J566" i="7" s="1"/>
  <c r="J567" i="7" a="1"/>
  <c r="J567" i="7"/>
  <c r="J568" i="7" a="1"/>
  <c r="J568" i="7" s="1"/>
  <c r="J569" i="7" a="1"/>
  <c r="J569" i="7"/>
  <c r="J410" i="7" a="1"/>
  <c r="J410" i="7" s="1"/>
  <c r="J411" i="7" a="1"/>
  <c r="J411" i="7" s="1"/>
  <c r="J412" i="7" a="1"/>
  <c r="J412" i="7" s="1"/>
  <c r="J413" i="7" a="1"/>
  <c r="J413" i="7" s="1"/>
  <c r="J386" i="7" a="1"/>
  <c r="J386" i="7" s="1"/>
  <c r="J387" i="7" a="1"/>
  <c r="J387" i="7" s="1"/>
  <c r="J388" i="7" a="1"/>
  <c r="J388" i="7" s="1"/>
  <c r="J389" i="7" a="1"/>
  <c r="J389" i="7" s="1"/>
  <c r="J390" i="7" a="1"/>
  <c r="J390" i="7" s="1"/>
  <c r="J391" i="7" a="1"/>
  <c r="J391" i="7"/>
  <c r="J392" i="7" a="1"/>
  <c r="J392" i="7" s="1"/>
  <c r="J393" i="7" a="1"/>
  <c r="J393" i="7" s="1"/>
  <c r="J394" i="7" a="1"/>
  <c r="J394" i="7" s="1"/>
  <c r="J395" i="7" a="1"/>
  <c r="J395" i="7" s="1"/>
  <c r="J396" i="7" a="1"/>
  <c r="J396" i="7" s="1"/>
  <c r="J397" i="7" a="1"/>
  <c r="J397" i="7" s="1"/>
  <c r="J398" i="7" a="1"/>
  <c r="J398" i="7" s="1"/>
  <c r="J399" i="7" a="1"/>
  <c r="J399" i="7" s="1"/>
  <c r="J400" i="7" a="1"/>
  <c r="J400" i="7" s="1"/>
  <c r="J401" i="7" a="1"/>
  <c r="J401" i="7" s="1"/>
  <c r="J402" i="7" a="1"/>
  <c r="J402" i="7" s="1"/>
  <c r="J403" i="7" a="1"/>
  <c r="J403" i="7" s="1"/>
  <c r="J404" i="7" a="1"/>
  <c r="J404" i="7" s="1"/>
  <c r="J405" i="7" a="1"/>
  <c r="J405" i="7" s="1"/>
  <c r="J406" i="7" a="1"/>
  <c r="J406" i="7"/>
  <c r="J407" i="7" a="1"/>
  <c r="J407" i="7"/>
  <c r="J408" i="7" a="1"/>
  <c r="J408" i="7" s="1"/>
  <c r="J409" i="7" a="1"/>
  <c r="J409" i="7"/>
  <c r="J195" i="7" a="1"/>
  <c r="J195" i="7" s="1"/>
  <c r="J196" i="7" a="1"/>
  <c r="J196" i="7" s="1"/>
  <c r="J197" i="7" a="1"/>
  <c r="J197" i="7" s="1"/>
  <c r="J198" i="7" a="1"/>
  <c r="J198" i="7" s="1"/>
  <c r="J199" i="7" a="1"/>
  <c r="J199" i="7" s="1"/>
  <c r="J200" i="7" a="1"/>
  <c r="J200" i="7" s="1"/>
  <c r="J201" i="7" a="1"/>
  <c r="J201" i="7" s="1"/>
  <c r="J202" i="7" a="1"/>
  <c r="J202" i="7" s="1"/>
  <c r="J203" i="7" a="1"/>
  <c r="J203" i="7" s="1"/>
  <c r="J204" i="7" a="1"/>
  <c r="J204" i="7" s="1"/>
  <c r="J205" i="7" a="1"/>
  <c r="J205" i="7" s="1"/>
  <c r="J206" i="7" a="1"/>
  <c r="J206" i="7" s="1"/>
  <c r="J207" i="7" a="1"/>
  <c r="J207" i="7" s="1"/>
  <c r="J208" i="7" a="1"/>
  <c r="J208" i="7" s="1"/>
  <c r="J209" i="7" a="1"/>
  <c r="J209" i="7" s="1"/>
  <c r="J210" i="7" a="1"/>
  <c r="J210" i="7" s="1"/>
  <c r="J211" i="7" a="1"/>
  <c r="J211" i="7" s="1"/>
  <c r="J212" i="7" a="1"/>
  <c r="J212" i="7" s="1"/>
  <c r="J213" i="7" a="1"/>
  <c r="J213" i="7" s="1"/>
  <c r="J214" i="7" a="1"/>
  <c r="J214" i="7" s="1"/>
  <c r="J215" i="7" a="1"/>
  <c r="J215" i="7" s="1"/>
  <c r="J216" i="7" a="1"/>
  <c r="J216" i="7" s="1"/>
  <c r="J217" i="7" a="1"/>
  <c r="J217" i="7" s="1"/>
  <c r="J218" i="7" a="1"/>
  <c r="J218" i="7" s="1"/>
  <c r="J219" i="7" a="1"/>
  <c r="J219" i="7" s="1"/>
  <c r="J220" i="7" a="1"/>
  <c r="J220" i="7"/>
  <c r="J221" i="7" a="1"/>
  <c r="J221" i="7" s="1"/>
  <c r="J222" i="7" a="1"/>
  <c r="J222" i="7" s="1"/>
  <c r="J223" i="7" a="1"/>
  <c r="J223" i="7" s="1"/>
  <c r="J224" i="7" a="1"/>
  <c r="J224" i="7" s="1"/>
  <c r="J225" i="7" a="1"/>
  <c r="J225" i="7" s="1"/>
  <c r="J226" i="7" a="1"/>
  <c r="J226" i="7" s="1"/>
  <c r="J227" i="7" a="1"/>
  <c r="J227" i="7" s="1"/>
  <c r="J228" i="7" a="1"/>
  <c r="J228" i="7"/>
  <c r="J229" i="7" a="1"/>
  <c r="J229" i="7"/>
  <c r="J230" i="7" a="1"/>
  <c r="J230" i="7" s="1"/>
  <c r="J231" i="7" a="1"/>
  <c r="J231" i="7" s="1"/>
  <c r="J232" i="7" a="1"/>
  <c r="J232" i="7" s="1"/>
  <c r="J233" i="7" a="1"/>
  <c r="J233" i="7" s="1"/>
  <c r="J234" i="7" a="1"/>
  <c r="J234" i="7" s="1"/>
  <c r="J235" i="7" a="1"/>
  <c r="J235" i="7" s="1"/>
  <c r="J236" i="7" a="1"/>
  <c r="J236" i="7" s="1"/>
  <c r="J237" i="7" a="1"/>
  <c r="J237" i="7" s="1"/>
  <c r="J238" i="7" a="1"/>
  <c r="J238" i="7" s="1"/>
  <c r="J239" i="7" a="1"/>
  <c r="J239" i="7" s="1"/>
  <c r="J240" i="7" a="1"/>
  <c r="J240" i="7" s="1"/>
  <c r="J241" i="7" a="1"/>
  <c r="J241" i="7" s="1"/>
  <c r="J242" i="7" a="1"/>
  <c r="J242" i="7" s="1"/>
  <c r="J243" i="7" a="1"/>
  <c r="J243" i="7" s="1"/>
  <c r="J244" i="7" a="1"/>
  <c r="J244" i="7" s="1"/>
  <c r="J245" i="7" a="1"/>
  <c r="J245" i="7" s="1"/>
  <c r="J246" i="7" a="1"/>
  <c r="J246" i="7" s="1"/>
  <c r="J247" i="7" a="1"/>
  <c r="J247" i="7"/>
  <c r="J248" i="7" a="1"/>
  <c r="J248" i="7" s="1"/>
  <c r="J249" i="7" a="1"/>
  <c r="J249" i="7" s="1"/>
  <c r="J250" i="7" a="1"/>
  <c r="J250" i="7" s="1"/>
  <c r="J251" i="7" a="1"/>
  <c r="J251" i="7" s="1"/>
  <c r="J252" i="7" a="1"/>
  <c r="J252" i="7" s="1"/>
  <c r="J253" i="7" a="1"/>
  <c r="J253" i="7" s="1"/>
  <c r="J254" i="7" a="1"/>
  <c r="J254" i="7" s="1"/>
  <c r="J255" i="7" a="1"/>
  <c r="J255" i="7"/>
  <c r="J256" i="7" a="1"/>
  <c r="J256" i="7" s="1"/>
  <c r="J257" i="7" a="1"/>
  <c r="J257" i="7" s="1"/>
  <c r="J258" i="7" a="1"/>
  <c r="J258" i="7" s="1"/>
  <c r="J259" i="7" a="1"/>
  <c r="J259" i="7" s="1"/>
  <c r="J260" i="7" a="1"/>
  <c r="J260" i="7" s="1"/>
  <c r="J261" i="7" a="1"/>
  <c r="J261" i="7" s="1"/>
  <c r="J262" i="7" a="1"/>
  <c r="J262" i="7" s="1"/>
  <c r="J263" i="7" a="1"/>
  <c r="J263" i="7"/>
  <c r="J264" i="7" a="1"/>
  <c r="J264" i="7" s="1"/>
  <c r="J265" i="7" a="1"/>
  <c r="J265" i="7" s="1"/>
  <c r="J266" i="7" a="1"/>
  <c r="J266" i="7" s="1"/>
  <c r="J267" i="7" a="1"/>
  <c r="J267" i="7" s="1"/>
  <c r="J268" i="7" a="1"/>
  <c r="J268" i="7" s="1"/>
  <c r="J269" i="7" a="1"/>
  <c r="J269" i="7" s="1"/>
  <c r="J270" i="7" a="1"/>
  <c r="J270" i="7" s="1"/>
  <c r="J271" i="7" a="1"/>
  <c r="J271" i="7" s="1"/>
  <c r="J272" i="7" a="1"/>
  <c r="J272" i="7" s="1"/>
  <c r="J273" i="7" a="1"/>
  <c r="J273" i="7" s="1"/>
  <c r="J274" i="7" a="1"/>
  <c r="J274" i="7" s="1"/>
  <c r="J275" i="7" a="1"/>
  <c r="J275" i="7" s="1"/>
  <c r="J276" i="7" a="1"/>
  <c r="J276" i="7" s="1"/>
  <c r="J277" i="7" a="1"/>
  <c r="J277" i="7" s="1"/>
  <c r="J278" i="7" a="1"/>
  <c r="J278" i="7" s="1"/>
  <c r="J279" i="7" a="1"/>
  <c r="J279" i="7"/>
  <c r="J280" i="7" a="1"/>
  <c r="J280" i="7" s="1"/>
  <c r="J281" i="7" a="1"/>
  <c r="J281" i="7" s="1"/>
  <c r="J282" i="7" a="1"/>
  <c r="J282" i="7" s="1"/>
  <c r="J283" i="7" a="1"/>
  <c r="J283" i="7" s="1"/>
  <c r="J284" i="7" a="1"/>
  <c r="J284" i="7" s="1"/>
  <c r="J285" i="7" a="1"/>
  <c r="J285" i="7"/>
  <c r="J286" i="7" a="1"/>
  <c r="J286" i="7" s="1"/>
  <c r="J287" i="7" a="1"/>
  <c r="J287" i="7"/>
  <c r="J288" i="7" a="1"/>
  <c r="J288" i="7" s="1"/>
  <c r="J289" i="7" a="1"/>
  <c r="J289" i="7" s="1"/>
  <c r="J290" i="7" a="1"/>
  <c r="J290" i="7"/>
  <c r="J291" i="7" a="1"/>
  <c r="J291" i="7" s="1"/>
  <c r="J292" i="7" a="1"/>
  <c r="J292" i="7" s="1"/>
  <c r="J293" i="7" a="1"/>
  <c r="J293" i="7" s="1"/>
  <c r="J294" i="7" a="1"/>
  <c r="J294" i="7" s="1"/>
  <c r="J295" i="7" a="1"/>
  <c r="J295" i="7" s="1"/>
  <c r="J296" i="7" a="1"/>
  <c r="J296" i="7" s="1"/>
  <c r="J297" i="7" a="1"/>
  <c r="J297" i="7" s="1"/>
  <c r="J298" i="7" a="1"/>
  <c r="J298" i="7" s="1"/>
  <c r="J299" i="7" a="1"/>
  <c r="J299" i="7" s="1"/>
  <c r="J300" i="7" a="1"/>
  <c r="J300" i="7" s="1"/>
  <c r="J301" i="7" a="1"/>
  <c r="J301" i="7" s="1"/>
  <c r="J302" i="7" a="1"/>
  <c r="J302" i="7" s="1"/>
  <c r="J303" i="7" a="1"/>
  <c r="J303" i="7" s="1"/>
  <c r="J304" i="7" a="1"/>
  <c r="J304" i="7" s="1"/>
  <c r="J305" i="7" a="1"/>
  <c r="J305" i="7" s="1"/>
  <c r="J306" i="7" a="1"/>
  <c r="J306" i="7"/>
  <c r="J307" i="7" a="1"/>
  <c r="J307" i="7" s="1"/>
  <c r="J308" i="7" a="1"/>
  <c r="J308" i="7" s="1"/>
  <c r="J309" i="7" a="1"/>
  <c r="J309" i="7" s="1"/>
  <c r="J310" i="7" a="1"/>
  <c r="J310" i="7" s="1"/>
  <c r="J311" i="7" a="1"/>
  <c r="J311" i="7" s="1"/>
  <c r="J312" i="7" a="1"/>
  <c r="J312" i="7" s="1"/>
  <c r="J313" i="7" a="1"/>
  <c r="J313" i="7" s="1"/>
  <c r="J314" i="7" a="1"/>
  <c r="J314" i="7" s="1"/>
  <c r="J315" i="7" a="1"/>
  <c r="J315" i="7" s="1"/>
  <c r="J316" i="7" a="1"/>
  <c r="J316" i="7" s="1"/>
  <c r="J317" i="7" a="1"/>
  <c r="J317" i="7" s="1"/>
  <c r="J318" i="7" a="1"/>
  <c r="J318" i="7" s="1"/>
  <c r="J319" i="7" a="1"/>
  <c r="J319" i="7"/>
  <c r="J320" i="7" a="1"/>
  <c r="J320" i="7" s="1"/>
  <c r="J321" i="7" a="1"/>
  <c r="J321" i="7" s="1"/>
  <c r="J322" i="7" a="1"/>
  <c r="J322" i="7" s="1"/>
  <c r="J323" i="7" a="1"/>
  <c r="J323" i="7" s="1"/>
  <c r="J324" i="7" a="1"/>
  <c r="J324" i="7" s="1"/>
  <c r="J325" i="7" a="1"/>
  <c r="J325" i="7"/>
  <c r="J326" i="7" a="1"/>
  <c r="J326" i="7" s="1"/>
  <c r="J327" i="7" a="1"/>
  <c r="J327" i="7" s="1"/>
  <c r="J328" i="7" a="1"/>
  <c r="J328" i="7" s="1"/>
  <c r="J329" i="7" a="1"/>
  <c r="J329" i="7" s="1"/>
  <c r="J330" i="7" a="1"/>
  <c r="J330" i="7" s="1"/>
  <c r="J331" i="7" a="1"/>
  <c r="J331" i="7" s="1"/>
  <c r="J332" i="7" a="1"/>
  <c r="J332" i="7"/>
  <c r="J333" i="7" a="1"/>
  <c r="J333" i="7" s="1"/>
  <c r="J334" i="7" a="1"/>
  <c r="J334" i="7" s="1"/>
  <c r="J335" i="7" a="1"/>
  <c r="J335" i="7" s="1"/>
  <c r="J336" i="7" a="1"/>
  <c r="J336" i="7" s="1"/>
  <c r="J337" i="7" a="1"/>
  <c r="J337" i="7" s="1"/>
  <c r="J338" i="7" a="1"/>
  <c r="J338" i="7" s="1"/>
  <c r="J339" i="7" a="1"/>
  <c r="J339" i="7" s="1"/>
  <c r="J340" i="7" a="1"/>
  <c r="J340" i="7" s="1"/>
  <c r="J341" i="7" a="1"/>
  <c r="J341" i="7" s="1"/>
  <c r="J342" i="7" a="1"/>
  <c r="J342" i="7" s="1"/>
  <c r="J343" i="7" a="1"/>
  <c r="J343" i="7" s="1"/>
  <c r="J344" i="7" a="1"/>
  <c r="J344" i="7" s="1"/>
  <c r="J345" i="7" a="1"/>
  <c r="J345" i="7" s="1"/>
  <c r="J346" i="7" a="1"/>
  <c r="J346" i="7" s="1"/>
  <c r="J347" i="7" a="1"/>
  <c r="J347" i="7" s="1"/>
  <c r="J348" i="7" a="1"/>
  <c r="J348" i="7" s="1"/>
  <c r="J349" i="7" a="1"/>
  <c r="J349" i="7"/>
  <c r="J350" i="7" a="1"/>
  <c r="J350" i="7"/>
  <c r="J351" i="7" a="1"/>
  <c r="J351" i="7" s="1"/>
  <c r="J352" i="7" a="1"/>
  <c r="J352" i="7"/>
  <c r="J353" i="7" a="1"/>
  <c r="J353" i="7" s="1"/>
  <c r="J354" i="7" a="1"/>
  <c r="J354" i="7" s="1"/>
  <c r="J355" i="7" a="1"/>
  <c r="J355" i="7" s="1"/>
  <c r="J356" i="7" a="1"/>
  <c r="J356" i="7"/>
  <c r="J357" i="7" a="1"/>
  <c r="J357" i="7" s="1"/>
  <c r="J358" i="7" a="1"/>
  <c r="J358" i="7"/>
  <c r="J359" i="7" a="1"/>
  <c r="J359" i="7"/>
  <c r="J360" i="7" a="1"/>
  <c r="J360" i="7" s="1"/>
  <c r="J361" i="7" a="1"/>
  <c r="J361" i="7" s="1"/>
  <c r="J362" i="7" a="1"/>
  <c r="J362" i="7" s="1"/>
  <c r="J363" i="7" a="1"/>
  <c r="J363" i="7" s="1"/>
  <c r="J364" i="7" a="1"/>
  <c r="J364" i="7" s="1"/>
  <c r="J365" i="7" a="1"/>
  <c r="J365" i="7" s="1"/>
  <c r="J366" i="7" a="1"/>
  <c r="J366" i="7" s="1"/>
  <c r="J367" i="7" a="1"/>
  <c r="J367" i="7" s="1"/>
  <c r="J368" i="7" a="1"/>
  <c r="J368" i="7"/>
  <c r="J369" i="7" a="1"/>
  <c r="J369" i="7"/>
  <c r="J370" i="7" a="1"/>
  <c r="J370" i="7"/>
  <c r="J371" i="7" a="1"/>
  <c r="J371" i="7" s="1"/>
  <c r="J372" i="7" a="1"/>
  <c r="J372" i="7" s="1"/>
  <c r="J373" i="7" a="1"/>
  <c r="J373" i="7" s="1"/>
  <c r="J374" i="7" a="1"/>
  <c r="J374" i="7" s="1"/>
  <c r="J375" i="7" a="1"/>
  <c r="J375" i="7" s="1"/>
  <c r="J376" i="7" a="1"/>
  <c r="J376" i="7" s="1"/>
  <c r="J377" i="7" a="1"/>
  <c r="J377" i="7" s="1"/>
  <c r="J378" i="7" a="1"/>
  <c r="J378" i="7" s="1"/>
  <c r="J379" i="7" a="1"/>
  <c r="J379" i="7" s="1"/>
  <c r="J380" i="7" a="1"/>
  <c r="J380" i="7"/>
  <c r="J381" i="7" a="1"/>
  <c r="J381" i="7" s="1"/>
  <c r="J382" i="7" a="1"/>
  <c r="J382" i="7" s="1"/>
  <c r="J383" i="7" a="1"/>
  <c r="J383" i="7" s="1"/>
  <c r="J384" i="7" a="1"/>
  <c r="J384" i="7" s="1"/>
  <c r="J385" i="7" a="1"/>
  <c r="J385" i="7" s="1"/>
  <c r="J194" i="7" a="1"/>
  <c r="J194" i="7" s="1"/>
  <c r="J3" i="7" a="1"/>
  <c r="J3" i="7" s="1"/>
  <c r="J4" i="7" a="1"/>
  <c r="J4" i="7" s="1"/>
  <c r="J5" i="7" a="1"/>
  <c r="J5" i="7" s="1"/>
  <c r="J6" i="7" a="1"/>
  <c r="J6" i="7" s="1"/>
  <c r="J7" i="7" a="1"/>
  <c r="J7" i="7" s="1"/>
  <c r="J9" i="7" a="1"/>
  <c r="J9" i="7" s="1"/>
  <c r="J10" i="7" a="1"/>
  <c r="J10" i="7" s="1"/>
  <c r="J11" i="7" a="1"/>
  <c r="J11" i="7" s="1"/>
  <c r="J12" i="7" a="1"/>
  <c r="J12" i="7"/>
  <c r="J13" i="7" a="1"/>
  <c r="J13" i="7"/>
  <c r="J14" i="7" a="1"/>
  <c r="J14" i="7" s="1"/>
  <c r="J15" i="7" a="1"/>
  <c r="J15" i="7" s="1"/>
  <c r="J16" i="7" a="1"/>
  <c r="J16" i="7" s="1"/>
  <c r="J17" i="7" a="1"/>
  <c r="J17" i="7" s="1"/>
  <c r="J18" i="7" a="1"/>
  <c r="J18" i="7" s="1"/>
  <c r="J19" i="7" a="1"/>
  <c r="J19" i="7" s="1"/>
  <c r="J20" i="7" a="1"/>
  <c r="J20" i="7" s="1"/>
  <c r="J21" i="7" a="1"/>
  <c r="J21" i="7" s="1"/>
  <c r="J22" i="7" a="1"/>
  <c r="J22" i="7"/>
  <c r="J23" i="7" a="1"/>
  <c r="J23" i="7"/>
  <c r="J24" i="7" a="1"/>
  <c r="J24" i="7"/>
  <c r="J25" i="7" a="1"/>
  <c r="J25" i="7" s="1"/>
  <c r="J26" i="7" a="1"/>
  <c r="J26" i="7" s="1"/>
  <c r="J27" i="7" a="1"/>
  <c r="J27" i="7" s="1"/>
  <c r="J28" i="7" a="1"/>
  <c r="J28" i="7" s="1"/>
  <c r="J29" i="7" a="1"/>
  <c r="J29" i="7" s="1"/>
  <c r="J30" i="7" a="1"/>
  <c r="J30" i="7" s="1"/>
  <c r="J31" i="7" a="1"/>
  <c r="J31" i="7" s="1"/>
  <c r="J32" i="7" a="1"/>
  <c r="J32" i="7"/>
  <c r="J33" i="7" a="1"/>
  <c r="J33" i="7" s="1"/>
  <c r="J34" i="7" a="1"/>
  <c r="J34" i="7" s="1"/>
  <c r="J35" i="7" a="1"/>
  <c r="J35" i="7" s="1"/>
  <c r="J36" i="7" a="1"/>
  <c r="J36" i="7" s="1"/>
  <c r="J37" i="7" a="1"/>
  <c r="J37" i="7"/>
  <c r="J38" i="7" a="1"/>
  <c r="J38" i="7" s="1"/>
  <c r="J39" i="7" a="1"/>
  <c r="J39" i="7" s="1"/>
  <c r="J40" i="7" a="1"/>
  <c r="J40" i="7"/>
  <c r="J41" i="7" a="1"/>
  <c r="J41" i="7" s="1"/>
  <c r="J42" i="7" a="1"/>
  <c r="J42" i="7" s="1"/>
  <c r="J43" i="7" a="1"/>
  <c r="J43" i="7" s="1"/>
  <c r="J44" i="7" a="1"/>
  <c r="J44" i="7" s="1"/>
  <c r="J45" i="7" a="1"/>
  <c r="J45" i="7" s="1"/>
  <c r="J46" i="7" a="1"/>
  <c r="J46" i="7"/>
  <c r="J47" i="7" a="1"/>
  <c r="J47" i="7" s="1"/>
  <c r="J48" i="7" a="1"/>
  <c r="J48" i="7"/>
  <c r="J49" i="7" a="1"/>
  <c r="J49" i="7" s="1"/>
  <c r="J50" i="7" a="1"/>
  <c r="J50" i="7" s="1"/>
  <c r="J51" i="7" a="1"/>
  <c r="J51" i="7" s="1"/>
  <c r="J52" i="7" a="1"/>
  <c r="J52" i="7"/>
  <c r="J53" i="7" a="1"/>
  <c r="J53" i="7" s="1"/>
  <c r="J54" i="7" a="1"/>
  <c r="J54" i="7" s="1"/>
  <c r="J55" i="7" a="1"/>
  <c r="J55" i="7"/>
  <c r="J56" i="7" a="1"/>
  <c r="J56" i="7" s="1"/>
  <c r="J57" i="7" a="1"/>
  <c r="J57" i="7"/>
  <c r="J58" i="7" a="1"/>
  <c r="J58" i="7" s="1"/>
  <c r="J59" i="7" a="1"/>
  <c r="J59" i="7" s="1"/>
  <c r="J60" i="7" a="1"/>
  <c r="J60" i="7" s="1"/>
  <c r="J61" i="7" a="1"/>
  <c r="J61" i="7" s="1"/>
  <c r="J62" i="7" a="1"/>
  <c r="J62" i="7" s="1"/>
  <c r="J63" i="7" a="1"/>
  <c r="J63" i="7" s="1"/>
  <c r="J64" i="7" a="1"/>
  <c r="J64" i="7"/>
  <c r="J65" i="7" a="1"/>
  <c r="J65" i="7" s="1"/>
  <c r="J66" i="7" a="1"/>
  <c r="J66" i="7" s="1"/>
  <c r="J67" i="7" a="1"/>
  <c r="J67" i="7" s="1"/>
  <c r="J68" i="7" a="1"/>
  <c r="J68" i="7" s="1"/>
  <c r="J69" i="7" a="1"/>
  <c r="J69" i="7"/>
  <c r="J70" i="7" a="1"/>
  <c r="J70" i="7" s="1"/>
  <c r="J71" i="7" a="1"/>
  <c r="J71" i="7" s="1"/>
  <c r="J72" i="7" a="1"/>
  <c r="J72" i="7"/>
  <c r="J73" i="7" a="1"/>
  <c r="J73" i="7" s="1"/>
  <c r="J74" i="7" a="1"/>
  <c r="J74" i="7"/>
  <c r="J75" i="7" a="1"/>
  <c r="J75" i="7" s="1"/>
  <c r="J76" i="7" a="1"/>
  <c r="J76" i="7" s="1"/>
  <c r="J77" i="7" a="1"/>
  <c r="J77" i="7" s="1"/>
  <c r="J78" i="7" a="1"/>
  <c r="J78" i="7" s="1"/>
  <c r="J79" i="7" a="1"/>
  <c r="J79" i="7" s="1"/>
  <c r="J80" i="7" a="1"/>
  <c r="J80" i="7" s="1"/>
  <c r="J81" i="7" a="1"/>
  <c r="J81" i="7"/>
  <c r="J82" i="7" a="1"/>
  <c r="J82" i="7" s="1"/>
  <c r="J83" i="7" a="1"/>
  <c r="J83" i="7" s="1"/>
  <c r="J84" i="7" a="1"/>
  <c r="J84" i="7"/>
  <c r="J85" i="7" a="1"/>
  <c r="J85" i="7" s="1"/>
  <c r="J86" i="7" a="1"/>
  <c r="J86" i="7" s="1"/>
  <c r="J87" i="7" a="1"/>
  <c r="J87" i="7" s="1"/>
  <c r="J88" i="7" a="1"/>
  <c r="J88" i="7" s="1"/>
  <c r="J89" i="7" a="1"/>
  <c r="J89" i="7" s="1"/>
  <c r="J90" i="7" a="1"/>
  <c r="J90" i="7" s="1"/>
  <c r="J91" i="7" a="1"/>
  <c r="J91" i="7" s="1"/>
  <c r="J92" i="7" a="1"/>
  <c r="J92" i="7" s="1"/>
  <c r="J93" i="7" a="1"/>
  <c r="J93" i="7" s="1"/>
  <c r="J94" i="7" a="1"/>
  <c r="J94" i="7" s="1"/>
  <c r="J95" i="7" a="1"/>
  <c r="J95" i="7"/>
  <c r="J96" i="7" a="1"/>
  <c r="J96" i="7" s="1"/>
  <c r="J97" i="7" a="1"/>
  <c r="J97" i="7"/>
  <c r="J98" i="7" a="1"/>
  <c r="J98" i="7"/>
  <c r="J99" i="7" a="1"/>
  <c r="J99" i="7" s="1"/>
  <c r="J100" i="7" a="1"/>
  <c r="J100" i="7" s="1"/>
  <c r="J101" i="7" a="1"/>
  <c r="J101" i="7" s="1"/>
  <c r="J102" i="7" a="1"/>
  <c r="J102" i="7" s="1"/>
  <c r="J103" i="7" a="1"/>
  <c r="J103" i="7" s="1"/>
  <c r="J104" i="7" a="1"/>
  <c r="J104" i="7" s="1"/>
  <c r="J105" i="7" a="1"/>
  <c r="J105" i="7" s="1"/>
  <c r="J106" i="7" a="1"/>
  <c r="J106" i="7" s="1"/>
  <c r="J107" i="7" a="1"/>
  <c r="J107" i="7" s="1"/>
  <c r="J108" i="7" a="1"/>
  <c r="J108" i="7"/>
  <c r="J109" i="7" a="1"/>
  <c r="J109" i="7" s="1"/>
  <c r="J110" i="7" a="1"/>
  <c r="J110" i="7" s="1"/>
  <c r="J111" i="7" a="1"/>
  <c r="J111" i="7" s="1"/>
  <c r="J112" i="7" a="1"/>
  <c r="J112" i="7" s="1"/>
  <c r="J113" i="7" a="1"/>
  <c r="J113" i="7" s="1"/>
  <c r="J114" i="7" a="1"/>
  <c r="J114" i="7" s="1"/>
  <c r="J115" i="7" a="1"/>
  <c r="J115" i="7" s="1"/>
  <c r="J116" i="7" a="1"/>
  <c r="J116" i="7" s="1"/>
  <c r="J117" i="7" a="1"/>
  <c r="J117" i="7" s="1"/>
  <c r="J118" i="7" a="1"/>
  <c r="J118" i="7" s="1"/>
  <c r="J119" i="7" a="1"/>
  <c r="J119" i="7" s="1"/>
  <c r="J120" i="7" a="1"/>
  <c r="J120" i="7" s="1"/>
  <c r="J121" i="7" a="1"/>
  <c r="J121" i="7" s="1"/>
  <c r="J122" i="7" a="1"/>
  <c r="J122" i="7" s="1"/>
  <c r="J123" i="7" a="1"/>
  <c r="J123" i="7" s="1"/>
  <c r="J124" i="7" a="1"/>
  <c r="J124" i="7" s="1"/>
  <c r="J125" i="7" a="1"/>
  <c r="J125" i="7" s="1"/>
  <c r="J126" i="7" a="1"/>
  <c r="J126" i="7" s="1"/>
  <c r="J127" i="7" a="1"/>
  <c r="J127" i="7"/>
  <c r="J128" i="7" a="1"/>
  <c r="J128" i="7" s="1"/>
  <c r="J129" i="7" a="1"/>
  <c r="J129" i="7" s="1"/>
  <c r="J130" i="7" a="1"/>
  <c r="J130" i="7" s="1"/>
  <c r="J131" i="7" a="1"/>
  <c r="J131" i="7" s="1"/>
  <c r="J132" i="7" a="1"/>
  <c r="J132" i="7" s="1"/>
  <c r="J133" i="7" a="1"/>
  <c r="J133" i="7" s="1"/>
  <c r="J134" i="7" a="1"/>
  <c r="J134" i="7" s="1"/>
  <c r="J135" i="7" a="1"/>
  <c r="J135" i="7" s="1"/>
  <c r="J136" i="7" a="1"/>
  <c r="J136" i="7" s="1"/>
  <c r="J137" i="7" a="1"/>
  <c r="J137" i="7" s="1"/>
  <c r="J138" i="7" a="1"/>
  <c r="J138" i="7" s="1"/>
  <c r="J139" i="7" a="1"/>
  <c r="J139" i="7" s="1"/>
  <c r="J140" i="7" a="1"/>
  <c r="J140" i="7" s="1"/>
  <c r="J141" i="7" a="1"/>
  <c r="J141" i="7" s="1"/>
  <c r="J142" i="7" a="1"/>
  <c r="J142" i="7" s="1"/>
  <c r="J143" i="7" a="1"/>
  <c r="J143" i="7"/>
  <c r="J144" i="7" a="1"/>
  <c r="J144" i="7" s="1"/>
  <c r="J145" i="7" a="1"/>
  <c r="J145" i="7" s="1"/>
  <c r="J146" i="7" a="1"/>
  <c r="J146" i="7" s="1"/>
  <c r="J147" i="7" a="1"/>
  <c r="J147" i="7" s="1"/>
  <c r="J148" i="7" a="1"/>
  <c r="J148" i="7" s="1"/>
  <c r="J149" i="7" a="1"/>
  <c r="J149" i="7" s="1"/>
  <c r="J150" i="7" a="1"/>
  <c r="J150" i="7" s="1"/>
  <c r="J151" i="7" a="1"/>
  <c r="J151" i="7"/>
  <c r="J152" i="7" a="1"/>
  <c r="J152" i="7" s="1"/>
  <c r="J153" i="7" a="1"/>
  <c r="J153" i="7"/>
  <c r="J154" i="7" a="1"/>
  <c r="J154" i="7" s="1"/>
  <c r="J155" i="7" a="1"/>
  <c r="J155" i="7" s="1"/>
  <c r="J156" i="7" a="1"/>
  <c r="J156" i="7"/>
  <c r="J157" i="7" a="1"/>
  <c r="J157" i="7" s="1"/>
  <c r="J158" i="7" a="1"/>
  <c r="J158" i="7" s="1"/>
  <c r="J159" i="7" a="1"/>
  <c r="J159" i="7" s="1"/>
  <c r="J160" i="7" a="1"/>
  <c r="J160" i="7"/>
  <c r="J161" i="7" a="1"/>
  <c r="J161" i="7" s="1"/>
  <c r="J162" i="7" a="1"/>
  <c r="J162" i="7" s="1"/>
  <c r="J163" i="7" a="1"/>
  <c r="J163" i="7" s="1"/>
  <c r="J164" i="7" a="1"/>
  <c r="J164" i="7" s="1"/>
  <c r="J165" i="7" a="1"/>
  <c r="J165" i="7" s="1"/>
  <c r="J166" i="7" a="1"/>
  <c r="J166" i="7" s="1"/>
  <c r="J167" i="7" a="1"/>
  <c r="J167" i="7" s="1"/>
  <c r="J168" i="7" a="1"/>
  <c r="J168" i="7" s="1"/>
  <c r="J169" i="7" a="1"/>
  <c r="J169" i="7"/>
  <c r="J170" i="7" a="1"/>
  <c r="J170" i="7" s="1"/>
  <c r="J171" i="7" a="1"/>
  <c r="J171" i="7" s="1"/>
  <c r="J172" i="7" a="1"/>
  <c r="J172" i="7"/>
  <c r="J173" i="7" a="1"/>
  <c r="J173" i="7" s="1"/>
  <c r="J174" i="7" a="1"/>
  <c r="J174" i="7" s="1"/>
  <c r="J175" i="7" a="1"/>
  <c r="J175" i="7" s="1"/>
  <c r="J176" i="7" a="1"/>
  <c r="J176" i="7" s="1"/>
  <c r="J177" i="7" a="1"/>
  <c r="J177" i="7" s="1"/>
  <c r="J178" i="7" a="1"/>
  <c r="J178" i="7" s="1"/>
  <c r="J179" i="7" a="1"/>
  <c r="J179" i="7" s="1"/>
  <c r="J180" i="7" a="1"/>
  <c r="J180" i="7" s="1"/>
  <c r="J181" i="7" a="1"/>
  <c r="J181" i="7" s="1"/>
  <c r="J182" i="7" a="1"/>
  <c r="J182" i="7" s="1"/>
  <c r="J183" i="7" a="1"/>
  <c r="J183" i="7" s="1"/>
  <c r="J184" i="7" a="1"/>
  <c r="J184" i="7" s="1"/>
  <c r="J185" i="7" a="1"/>
  <c r="J185" i="7" s="1"/>
  <c r="J186" i="7" a="1"/>
  <c r="J186" i="7" s="1"/>
  <c r="J187" i="7" a="1"/>
  <c r="J187" i="7" s="1"/>
  <c r="J188" i="7" a="1"/>
  <c r="J188" i="7" s="1"/>
  <c r="J189" i="7" a="1"/>
  <c r="J189" i="7" s="1"/>
  <c r="J190" i="7" a="1"/>
  <c r="J190" i="7" s="1"/>
  <c r="J191" i="7" a="1"/>
  <c r="J191" i="7" s="1"/>
  <c r="J192" i="7" a="1"/>
  <c r="J192" i="7" s="1"/>
  <c r="J193" i="7" a="1"/>
  <c r="J193" i="7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<sst xmlns="http://schemas.openxmlformats.org/spreadsheetml/2006/main" count="4678" uniqueCount="51">
  <si>
    <t>Carrier</t>
  </si>
  <si>
    <t>EffectiveDate</t>
  </si>
  <si>
    <t>ExpirationDate</t>
  </si>
  <si>
    <t>ChildID</t>
  </si>
  <si>
    <t>BillingCountry</t>
  </si>
  <si>
    <t>Service</t>
  </si>
  <si>
    <t>Zone</t>
  </si>
  <si>
    <t>Weight</t>
  </si>
  <si>
    <t>WeightUnit</t>
  </si>
  <si>
    <t>Note</t>
  </si>
  <si>
    <t>PackageIndicator</t>
  </si>
  <si>
    <t>USPS</t>
  </si>
  <si>
    <t>US</t>
  </si>
  <si>
    <t>Ground Advantage</t>
  </si>
  <si>
    <t>NonCubic</t>
  </si>
  <si>
    <t>Insert into</t>
  </si>
  <si>
    <t>NSA - Tier 1</t>
  </si>
  <si>
    <t>Priority Mail Express - NSA Fixed Pricing</t>
  </si>
  <si>
    <t>Rate Category</t>
  </si>
  <si>
    <t>Company Name (as on contract document)</t>
  </si>
  <si>
    <t>Wedgewood Pharm</t>
  </si>
  <si>
    <t>Effective Date</t>
  </si>
  <si>
    <t>End Date</t>
  </si>
  <si>
    <t>Flat-Rate Envelope</t>
  </si>
  <si>
    <t>Legal Flat-Rate Envelope</t>
  </si>
  <si>
    <t>Padded Flat-Rate Envelope</t>
  </si>
  <si>
    <t>NSA - Tier 2</t>
  </si>
  <si>
    <t>NSA - Tier 3</t>
  </si>
  <si>
    <t>Priority Mail - NSA Fixed Pricing</t>
  </si>
  <si>
    <t>Small Flat-Rate Box</t>
  </si>
  <si>
    <t>Medium Flat-Rate Box</t>
  </si>
  <si>
    <t>Large Flat-Rate Box</t>
  </si>
  <si>
    <t>Cubic Tier 1 (0.00 - 0.10)</t>
  </si>
  <si>
    <t>Cubic Tier 2 (0.10 - 0.20)</t>
  </si>
  <si>
    <t>Cubic Tier 3 (0.20 - 0.30)</t>
  </si>
  <si>
    <t>Cubic Tier 4 (0.30 - 0.40)</t>
  </si>
  <si>
    <t>Cubic Tier 5 (0.40 - 0.50)</t>
  </si>
  <si>
    <t>Ground Advantage - Lightweight - NSA Fixed Price</t>
  </si>
  <si>
    <t>Cubic Tier 6 (0.50 - 0.60)</t>
  </si>
  <si>
    <t>Cubic Tier 7 (0.60 - 0.70)</t>
  </si>
  <si>
    <t>Cubic Tier 8 (0.70 - 0.80)</t>
  </si>
  <si>
    <t>Cubic Tier 9 (0.80 - 0.90)</t>
  </si>
  <si>
    <t>Cubic Tier 10 (0.90 - 1.00)</t>
  </si>
  <si>
    <t>Priority Mail Express</t>
  </si>
  <si>
    <t>2/13/2025</t>
  </si>
  <si>
    <t>2/13/2026</t>
  </si>
  <si>
    <t>L</t>
  </si>
  <si>
    <t>Wedgewood_USPS_2025</t>
  </si>
  <si>
    <t>Priority Mail</t>
  </si>
  <si>
    <t>Rate '=IFERROR(
    XLOOKUP(G2, 'Wedgewood Pharm-PME-Yr2-2025'!$E$4:$L$4,
        XLOOKUP('Rate Load'!H2, 'Wedgewood Pharm-PME-Yr2-2025'!$D$5:$D$28,
            'Wedgewood Pharm-PME-Yr2-2025'!$E$5:$L$28, 0, 0),
        0, 0),
    XLOOKUP(G2, 'Wedgewood Pharm-PME-Yr2-2025'!$E$4:$L$4,
        XLOOKUP('Rate Load'!L2, 'Wedgewood Pharm-PME-Yr2-2025'!$D$5:$D$28,
            'Wedgewood Pharm-PME-Yr2-2025'!$E$5:$L$28, 0, 0),
        0, 0)
)</t>
  </si>
  <si>
    <t>INSERT INTO TNL_RATING.dbo.usps_rate_master (Carrier, EffectiveDate, ExpirationDate, ChildID, BillingCountry, Service, Zone, Weight, WeightUnit, Rate, Note, PackageIndicator) SELECT Carrier, effectiveDate, ExpirationDate, '12672', BillingCountry, Service, Zone, Weight, WeightUnit, Rate, Note, PackageIndicator FROM TNL_RATING.dbo.usps_rate_master WHERE ChildID = 12659 AND EffectiveDate = '2025-02-13';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</si>
</sst>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.00"/>
  </numFmts>
  <fonts count="6" x14ac:knownFonts="1">
    <font>
      <sz val="11"/>
      <color theme="1"/>
      <name val="Aptos Narrow"/>
      <family val="2"/>
      <scheme val="minor"/>
    </font>
    <font>
      <sz val="10"/>
      <name val="Arial"/>
      <family val="2"/>
    </font>
    <font>
      <b/>
      <sz val="10"/>
      <name val="Calibri"/>
      <family val="2"/>
    </font>
    <font>
      <b/>
      <sz val="10"/>
      <name val="Aptos Narrow"/>
      <family val="2"/>
      <scheme val="minor"/>
    </font>
    <font>
      <sz val="10"/>
      <name val="Aptos Narrow"/>
      <family val="2"/>
      <scheme val="minor"/>
    </font>
    <font>
      <sz val="8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2">
    <xf numFmtId="0" fontId="0" fillId="0" borderId="0"/>
    <xf numFmtId="0" fontId="1" fillId="0" borderId="0"/>
  </cellStyleXfs>
  <cellXfs count="23">
    <xf numFmtId="0" fontId="0" fillId="0" borderId="0" xfId="0"/>
    <xf numFmtId="14" fontId="0" fillId="0" borderId="0" xfId="0" quotePrefix="1" applyNumberFormat="1"/>
    <xf numFmtId="0" fontId="2" fillId="0" borderId="0" xfId="1" applyFont="1"/>
    <xf numFmtId="0" fontId="1" fillId="0" borderId="0" xfId="1"/>
    <xf numFmtId="0" fontId="3" fillId="0" borderId="0" xfId="1" applyFont="1" applyAlignment="1">
      <alignment horizontal="left" vertical="center"/>
    </xf>
    <xf numFmtId="0" fontId="3" fillId="0" borderId="0" xfId="1" applyFont="1" applyAlignment="1">
      <alignment horizontal="center" vertical="center"/>
    </xf>
    <xf numFmtId="0" fontId="4" fillId="0" borderId="0" xfId="1" applyFont="1" applyAlignment="1">
      <alignment horizontal="center" vertical="center"/>
    </xf>
    <xf numFmtId="0" fontId="1" fillId="0" borderId="0" xfId="1" applyAlignment="1">
      <alignment horizontal="left"/>
    </xf>
    <xf numFmtId="0" fontId="3" fillId="0" borderId="1" xfId="1" applyFont="1" applyBorder="1" applyAlignment="1">
      <alignment horizontal="center" vertical="center" wrapText="1"/>
    </xf>
    <xf numFmtId="0" fontId="3" fillId="0" borderId="1" xfId="1" applyFont="1" applyBorder="1" applyAlignment="1">
      <alignment horizontal="center" vertical="center"/>
    </xf>
    <xf numFmtId="14" fontId="1" fillId="0" borderId="0" xfId="1" applyNumberFormat="1" applyAlignment="1">
      <alignment horizontal="left"/>
    </xf>
    <xf numFmtId="164" fontId="4" fillId="0" borderId="0" xfId="1" applyNumberFormat="1" applyFont="1" applyAlignment="1">
      <alignment horizontal="right" vertical="center" shrinkToFit="1"/>
    </xf>
    <xf numFmtId="0" fontId="4" fillId="0" borderId="2" xfId="1" applyFont="1" applyBorder="1" applyAlignment="1">
      <alignment horizontal="center" vertical="center"/>
    </xf>
    <xf numFmtId="164" fontId="4" fillId="0" borderId="2" xfId="1" applyNumberFormat="1" applyFont="1" applyBorder="1" applyAlignment="1">
      <alignment horizontal="right" vertical="center" shrinkToFit="1"/>
    </xf>
    <xf numFmtId="0" fontId="4" fillId="0" borderId="3" xfId="1" applyFont="1" applyBorder="1" applyAlignment="1">
      <alignment horizontal="center" vertical="center" wrapText="1"/>
    </xf>
    <xf numFmtId="164" fontId="4" fillId="0" borderId="3" xfId="1" applyNumberFormat="1" applyFont="1" applyBorder="1" applyAlignment="1">
      <alignment horizontal="right" vertical="center" shrinkToFit="1"/>
    </xf>
    <xf numFmtId="0" fontId="4" fillId="0" borderId="0" xfId="1" applyFont="1" applyAlignment="1">
      <alignment horizontal="center" vertical="center" wrapText="1"/>
    </xf>
    <xf numFmtId="0" fontId="4" fillId="0" borderId="2" xfId="1" applyFont="1" applyBorder="1" applyAlignment="1">
      <alignment horizontal="center" vertical="center" wrapText="1"/>
    </xf>
    <xf numFmtId="0" fontId="4" fillId="0" borderId="3" xfId="1" applyFont="1" applyBorder="1" applyAlignment="1">
      <alignment horizontal="center" vertical="center"/>
    </xf>
    <xf numFmtId="0" fontId="3" fillId="2" borderId="0" xfId="1" applyFont="1" applyFill="1" applyAlignment="1">
      <alignment horizontal="left"/>
    </xf>
    <xf numFmtId="0" fontId="3" fillId="0" borderId="0" xfId="1" applyFont="1" applyAlignment="1">
      <alignment horizontal="left" vertical="center" wrapText="1"/>
    </xf>
    <xf numFmtId="0" fontId="3" fillId="0" borderId="1" xfId="1" applyFont="1" applyBorder="1" applyAlignment="1">
      <alignment horizontal="left" vertical="center" wrapText="1"/>
    </xf>
    <xf numFmtId="0" fontId="3" fillId="0" borderId="0" xfId="1" applyFont="1" applyAlignment="1">
      <alignment horizontal="center" vertical="center"/>
    </xf>
  </cellXfs>
  <cellStyles count="2">
    <cellStyle name="Normal" xfId="0" builtinId="0"/>
    <cellStyle name="Normal 2" xfId="1" xr:uid="{5594EFA4-5263-4566-832A-16F4A6AE72EE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9184E9-9493-43A5-939E-68B67FD4C779}">
  <dimension ref="A1:M569"/>
  <sheetViews>
    <sheetView tabSelected="1" workbookViewId="0">
      <pane ySplit="1" topLeftCell="A2" activePane="bottomLeft" state="frozen"/>
      <selection pane="bottomLeft" activeCell="J10" sqref="J10"/>
    </sheetView>
  </sheetViews>
  <sheetFormatPr defaultRowHeight="14.4" x14ac:dyDescent="0.3"/>
  <cols>
    <col min="1" max="1" width="6.77734375" bestFit="1" customWidth="1"/>
    <col min="2" max="2" width="11.77734375" bestFit="1" customWidth="1"/>
    <col min="3" max="3" width="13.5546875" bestFit="1" customWidth="1"/>
    <col min="4" max="4" width="9" bestFit="1" customWidth="1"/>
    <col min="5" max="5" width="13" bestFit="1" customWidth="1"/>
    <col min="6" max="6" width="19.77734375" customWidth="1"/>
    <col min="7" max="7" width="5.109375" bestFit="1" customWidth="1"/>
    <col min="8" max="8" width="20.44140625" customWidth="1"/>
    <col min="9" max="9" width="10.21875" bestFit="1" customWidth="1"/>
    <col min="10" max="10" width="46.33203125" customWidth="1"/>
    <col min="11" max="11" width="22.33203125" bestFit="1" customWidth="1"/>
    <col min="12" max="12" width="31.21875" customWidth="1"/>
    <col min="13" max="13" width="144.88671875" bestFit="1" customWidth="1"/>
  </cols>
  <sheetData>
    <row r="1" spans="1:13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49</v>
      </c>
      <c r="K1" t="s">
        <v>9</v>
      </c>
      <c r="L1" t="s">
        <v>10</v>
      </c>
      <c r="M1" t="s">
        <v>15</v>
      </c>
    </row>
    <row r="2" spans="1:13" x14ac:dyDescent="0.3">
      <c r="A2" t="s">
        <v>11</v>
      </c>
      <c r="B2" s="1" t="s">
        <v>44</v>
      </c>
      <c r="C2" s="1" t="s">
        <v>45</v>
      </c>
      <c r="D2">
        <v>12659</v>
      </c>
      <c r="E2" t="s">
        <v>12</v>
      </c>
      <c r="F2" t="s">
        <v>43</v>
      </c>
      <c r="G2">
        <v>1</v>
      </c>
      <c r="H2">
        <v>0.5</v>
      </c>
      <c r="I2" t="s">
        <v>46</v>
      </c>
      <c r="J2" cm="1">
        <f t="array" ref="J2">IFERROR(
    _xlfn.XLOOKUP(G2, 'Wedgewood Pharm-PME-Yr2-2025'!$E$4:$L$4,
        _xlfn.XLOOKUP('Rate Load'!H2, 'Wedgewood Pharm-PME-Yr2-2025'!$D$5:$D$28,
            'Wedgewood Pharm-PME-Yr2-2025'!$E$5:$L$28, 0, 0),
        0, 0),
    _xlfn.XLOOKUP(G2, 'Wedgewood Pharm-PME-Yr2-2025'!$E$4:$L$4,
        _xlfn.XLOOKUP('Rate Load'!L2, 'Wedgewood Pharm-PME-Yr2-2025'!$D$5:$D$28,
            'Wedgewood Pharm-PME-Yr2-2025'!$E$5:$L$28, 0, 0),
        0, 0)
)</f>
        <v>13.79</v>
      </c>
      <c r="K2" t="s">
        <v>47</v>
      </c>
      <c r="L2" t="s">
        <v>14</v>
      </c>
      <c r="M2" t="str">
        <f>"INSERT INTO TNL_RATING.dbo.usps_rate_master VALUES ('" &amp; A2 &amp; "', '" &amp; B2 &amp; "', '" &amp; C2 &amp; "', " &amp; D2 &amp; ", '" &amp; E2 &amp; "', '" &amp; F2 &amp; "', " &amp; G2 &amp; ", " &amp; H2 &amp; ", '" &amp; I2 &amp; "', " &amp; J2 &amp; ", '" &amp; K2 &amp; "', '" &amp; L2 &amp; "');"</f>
        <v>INSERT INTO TNL_RATING.dbo.usps_rate_master VALUES ('USPS', '2/13/2025', '2/13/2026', 12659, 'US', 'Priority Mail Express', 1, 0.5, 'L', 13.79, 'Wedgewood_USPS_2025', 'NonCubic');</v>
      </c>
    </row>
    <row r="3" spans="1:13" x14ac:dyDescent="0.3">
      <c r="A3" t="s">
        <v>11</v>
      </c>
      <c r="B3" s="1" t="s">
        <v>44</v>
      </c>
      <c r="C3" s="1" t="s">
        <v>45</v>
      </c>
      <c r="D3">
        <v>12659</v>
      </c>
      <c r="E3" t="s">
        <v>12</v>
      </c>
      <c r="F3" t="s">
        <v>43</v>
      </c>
      <c r="G3">
        <v>1</v>
      </c>
      <c r="H3">
        <v>1</v>
      </c>
      <c r="I3" t="s">
        <v>46</v>
      </c>
      <c r="J3" cm="1">
        <f t="array" ref="J3">IFERROR(
    _xlfn.XLOOKUP(G3, 'Wedgewood Pharm-PME-Yr2-2025'!$E$4:$L$4,
        _xlfn.XLOOKUP('Rate Load'!H3, 'Wedgewood Pharm-PME-Yr2-2025'!$D$5:$D$28,
            'Wedgewood Pharm-PME-Yr2-2025'!$E$5:$L$28, 0, 0),
        0, 0),
    _xlfn.XLOOKUP(G3, 'Wedgewood Pharm-PME-Yr2-2025'!$E$4:$L$4,
        _xlfn.XLOOKUP('Rate Load'!L3, 'Wedgewood Pharm-PME-Yr2-2025'!$D$5:$D$28,
            'Wedgewood Pharm-PME-Yr2-2025'!$E$5:$L$28, 0, 0),
        0, 0)
)</f>
        <v>14.25</v>
      </c>
      <c r="K3" t="s">
        <v>47</v>
      </c>
      <c r="L3" t="s">
        <v>14</v>
      </c>
      <c r="M3" t="str">
        <f t="shared" ref="M3:M66" si="0">"INSERT INTO TNL_RATING.dbo.usps_rate_master VALUES ('" &amp; A3 &amp; "', '" &amp; B3 &amp; "', '" &amp; C3 &amp; "', " &amp; D3 &amp; ", '" &amp; E3 &amp; "', '" &amp; F3 &amp; "', " &amp; G3 &amp; ", " &amp; H3 &amp; ", '" &amp; I3 &amp; "', " &amp; J3 &amp; ", '" &amp; K3 &amp; "', '" &amp; L3 &amp; "');"</f>
        <v>INSERT INTO TNL_RATING.dbo.usps_rate_master VALUES ('USPS', '2/13/2025', '2/13/2026', 12659, 'US', 'Priority Mail Express', 1, 1, 'L', 14.25, 'Wedgewood_USPS_2025', 'NonCubic');</v>
      </c>
    </row>
    <row r="4" spans="1:13" x14ac:dyDescent="0.3">
      <c r="A4" t="s">
        <v>11</v>
      </c>
      <c r="B4" s="1" t="s">
        <v>44</v>
      </c>
      <c r="C4" s="1" t="s">
        <v>45</v>
      </c>
      <c r="D4">
        <v>12659</v>
      </c>
      <c r="E4" t="s">
        <v>12</v>
      </c>
      <c r="F4" t="s">
        <v>43</v>
      </c>
      <c r="G4">
        <v>1</v>
      </c>
      <c r="H4">
        <v>2</v>
      </c>
      <c r="I4" t="s">
        <v>46</v>
      </c>
      <c r="J4" cm="1">
        <f t="array" ref="J4">IFERROR(
    _xlfn.XLOOKUP(G4, 'Wedgewood Pharm-PME-Yr2-2025'!$E$4:$L$4,
        _xlfn.XLOOKUP('Rate Load'!H4, 'Wedgewood Pharm-PME-Yr2-2025'!$D$5:$D$28,
            'Wedgewood Pharm-PME-Yr2-2025'!$E$5:$L$28, 0, 0),
        0, 0),
    _xlfn.XLOOKUP(G4, 'Wedgewood Pharm-PME-Yr2-2025'!$E$4:$L$4,
        _xlfn.XLOOKUP('Rate Load'!L4, 'Wedgewood Pharm-PME-Yr2-2025'!$D$5:$D$28,
            'Wedgewood Pharm-PME-Yr2-2025'!$E$5:$L$28, 0, 0),
        0, 0)
)</f>
        <v>15.53</v>
      </c>
      <c r="K4" t="s">
        <v>47</v>
      </c>
      <c r="L4" t="s">
        <v>14</v>
      </c>
      <c r="M4" t="str">
        <f t="shared" si="0"/>
        <v>INSERT INTO TNL_RATING.dbo.usps_rate_master VALUES ('USPS', '2/13/2025', '2/13/2026', 12659, 'US', 'Priority Mail Express', 1, 2, 'L', 15.53, 'Wedgewood_USPS_2025', 'NonCubic');</v>
      </c>
    </row>
    <row r="5" spans="1:13" x14ac:dyDescent="0.3">
      <c r="A5" t="s">
        <v>11</v>
      </c>
      <c r="B5" s="1" t="s">
        <v>44</v>
      </c>
      <c r="C5" s="1" t="s">
        <v>45</v>
      </c>
      <c r="D5">
        <v>12659</v>
      </c>
      <c r="E5" t="s">
        <v>12</v>
      </c>
      <c r="F5" t="s">
        <v>43</v>
      </c>
      <c r="G5">
        <v>1</v>
      </c>
      <c r="H5">
        <v>3</v>
      </c>
      <c r="I5" t="s">
        <v>46</v>
      </c>
      <c r="J5" cm="1">
        <f t="array" ref="J5">IFERROR(
    _xlfn.XLOOKUP(G5, 'Wedgewood Pharm-PME-Yr2-2025'!$E$4:$L$4,
        _xlfn.XLOOKUP('Rate Load'!H5, 'Wedgewood Pharm-PME-Yr2-2025'!$D$5:$D$28,
            'Wedgewood Pharm-PME-Yr2-2025'!$E$5:$L$28, 0, 0),
        0, 0),
    _xlfn.XLOOKUP(G5, 'Wedgewood Pharm-PME-Yr2-2025'!$E$4:$L$4,
        _xlfn.XLOOKUP('Rate Load'!L5, 'Wedgewood Pharm-PME-Yr2-2025'!$D$5:$D$28,
            'Wedgewood Pharm-PME-Yr2-2025'!$E$5:$L$28, 0, 0),
        0, 0)
)</f>
        <v>17.21</v>
      </c>
      <c r="K5" t="s">
        <v>47</v>
      </c>
      <c r="L5" t="s">
        <v>14</v>
      </c>
      <c r="M5" t="str">
        <f t="shared" si="0"/>
        <v>INSERT INTO TNL_RATING.dbo.usps_rate_master VALUES ('USPS', '2/13/2025', '2/13/2026', 12659, 'US', 'Priority Mail Express', 1, 3, 'L', 17.21, 'Wedgewood_USPS_2025', 'NonCubic');</v>
      </c>
    </row>
    <row r="6" spans="1:13" x14ac:dyDescent="0.3">
      <c r="A6" t="s">
        <v>11</v>
      </c>
      <c r="B6" s="1" t="s">
        <v>44</v>
      </c>
      <c r="C6" s="1" t="s">
        <v>45</v>
      </c>
      <c r="D6">
        <v>12659</v>
      </c>
      <c r="E6" t="s">
        <v>12</v>
      </c>
      <c r="F6" t="s">
        <v>43</v>
      </c>
      <c r="G6">
        <v>1</v>
      </c>
      <c r="H6">
        <v>4</v>
      </c>
      <c r="I6" t="s">
        <v>46</v>
      </c>
      <c r="J6" cm="1">
        <f t="array" ref="J6">IFERROR(
    _xlfn.XLOOKUP(G6, 'Wedgewood Pharm-PME-Yr2-2025'!$E$4:$L$4,
        _xlfn.XLOOKUP('Rate Load'!H6, 'Wedgewood Pharm-PME-Yr2-2025'!$D$5:$D$28,
            'Wedgewood Pharm-PME-Yr2-2025'!$E$5:$L$28, 0, 0),
        0, 0),
    _xlfn.XLOOKUP(G6, 'Wedgewood Pharm-PME-Yr2-2025'!$E$4:$L$4,
        _xlfn.XLOOKUP('Rate Load'!L6, 'Wedgewood Pharm-PME-Yr2-2025'!$D$5:$D$28,
            'Wedgewood Pharm-PME-Yr2-2025'!$E$5:$L$28, 0, 0),
        0, 0)
)</f>
        <v>18.89</v>
      </c>
      <c r="K6" t="s">
        <v>47</v>
      </c>
      <c r="L6" t="s">
        <v>14</v>
      </c>
      <c r="M6" t="str">
        <f t="shared" si="0"/>
        <v>INSERT INTO TNL_RATING.dbo.usps_rate_master VALUES ('USPS', '2/13/2025', '2/13/2026', 12659, 'US', 'Priority Mail Express', 1, 4, 'L', 18.89, 'Wedgewood_USPS_2025', 'NonCubic');</v>
      </c>
    </row>
    <row r="7" spans="1:13" x14ac:dyDescent="0.3">
      <c r="A7" t="s">
        <v>11</v>
      </c>
      <c r="B7" s="1" t="s">
        <v>44</v>
      </c>
      <c r="C7" s="1" t="s">
        <v>45</v>
      </c>
      <c r="D7">
        <v>12659</v>
      </c>
      <c r="E7" t="s">
        <v>12</v>
      </c>
      <c r="F7" t="s">
        <v>43</v>
      </c>
      <c r="G7">
        <v>1</v>
      </c>
      <c r="H7">
        <v>5</v>
      </c>
      <c r="I7" t="s">
        <v>46</v>
      </c>
      <c r="J7" cm="1">
        <f t="array" ref="J7">IFERROR(
    _xlfn.XLOOKUP(G7, 'Wedgewood Pharm-PME-Yr2-2025'!$E$4:$L$4,
        _xlfn.XLOOKUP('Rate Load'!H7, 'Wedgewood Pharm-PME-Yr2-2025'!$D$5:$D$28,
            'Wedgewood Pharm-PME-Yr2-2025'!$E$5:$L$28, 0, 0),
        0, 0),
    _xlfn.XLOOKUP(G7, 'Wedgewood Pharm-PME-Yr2-2025'!$E$4:$L$4,
        _xlfn.XLOOKUP('Rate Load'!L7, 'Wedgewood Pharm-PME-Yr2-2025'!$D$5:$D$28,
            'Wedgewood Pharm-PME-Yr2-2025'!$E$5:$L$28, 0, 0),
        0, 0)
)</f>
        <v>20.560000000000002</v>
      </c>
      <c r="K7" t="s">
        <v>47</v>
      </c>
      <c r="L7" t="s">
        <v>14</v>
      </c>
      <c r="M7" t="str">
        <f t="shared" si="0"/>
        <v>INSERT INTO TNL_RATING.dbo.usps_rate_master VALUES ('USPS', '2/13/2025', '2/13/2026', 12659, 'US', 'Priority Mail Express', 1, 5, 'L', 20.56, 'Wedgewood_USPS_2025', 'NonCubic');</v>
      </c>
    </row>
    <row r="8" spans="1:13" x14ac:dyDescent="0.3">
      <c r="A8" t="s">
        <v>11</v>
      </c>
      <c r="B8" s="1" t="s">
        <v>44</v>
      </c>
      <c r="C8" s="1" t="s">
        <v>45</v>
      </c>
      <c r="D8">
        <v>12659</v>
      </c>
      <c r="E8" t="s">
        <v>12</v>
      </c>
      <c r="F8" t="s">
        <v>43</v>
      </c>
      <c r="G8">
        <v>1</v>
      </c>
      <c r="H8">
        <v>6</v>
      </c>
      <c r="I8" t="s">
        <v>46</v>
      </c>
      <c r="J8" cm="1">
        <f t="array" ref="J8">IFERROR(
    _xlfn.XLOOKUP(G8, 'Wedgewood Pharm-PME-Yr2-2025'!$E$4:$L$4,
        _xlfn.XLOOKUP('Rate Load'!H8, 'Wedgewood Pharm-PME-Yr2-2025'!$D$5:$D$28,
            'Wedgewood Pharm-PME-Yr2-2025'!$E$5:$L$28, 0, 0),
        0, 0),
    _xlfn.XLOOKUP(G8, 'Wedgewood Pharm-PME-Yr2-2025'!$E$4:$L$4,
        _xlfn.XLOOKUP('Rate Load'!L8, 'Wedgewood Pharm-PME-Yr2-2025'!$D$5:$D$28,
            'Wedgewood Pharm-PME-Yr2-2025'!$E$5:$L$28, 0, 0),
        0, 0)
)</f>
        <v>22.720000000000002</v>
      </c>
      <c r="K8" t="s">
        <v>47</v>
      </c>
      <c r="L8" t="s">
        <v>14</v>
      </c>
      <c r="M8" t="str">
        <f t="shared" si="0"/>
        <v>INSERT INTO TNL_RATING.dbo.usps_rate_master VALUES ('USPS', '2/13/2025', '2/13/2026', 12659, 'US', 'Priority Mail Express', 1, 6, 'L', 22.72, 'Wedgewood_USPS_2025', 'NonCubic');</v>
      </c>
    </row>
    <row r="9" spans="1:13" x14ac:dyDescent="0.3">
      <c r="A9" t="s">
        <v>11</v>
      </c>
      <c r="B9" s="1" t="s">
        <v>44</v>
      </c>
      <c r="C9" s="1" t="s">
        <v>45</v>
      </c>
      <c r="D9">
        <v>12659</v>
      </c>
      <c r="E9" t="s">
        <v>12</v>
      </c>
      <c r="F9" t="s">
        <v>43</v>
      </c>
      <c r="G9">
        <v>1</v>
      </c>
      <c r="H9">
        <v>7</v>
      </c>
      <c r="I9" t="s">
        <v>46</v>
      </c>
      <c r="J9" cm="1">
        <f t="array" ref="J9">IFERROR(
    _xlfn.XLOOKUP(G9, 'Wedgewood Pharm-PME-Yr2-2025'!$E$4:$L$4,
        _xlfn.XLOOKUP('Rate Load'!H9, 'Wedgewood Pharm-PME-Yr2-2025'!$D$5:$D$28,
            'Wedgewood Pharm-PME-Yr2-2025'!$E$5:$L$28, 0, 0),
        0, 0),
    _xlfn.XLOOKUP(G9, 'Wedgewood Pharm-PME-Yr2-2025'!$E$4:$L$4,
        _xlfn.XLOOKUP('Rate Load'!L9, 'Wedgewood Pharm-PME-Yr2-2025'!$D$5:$D$28,
            'Wedgewood Pharm-PME-Yr2-2025'!$E$5:$L$28, 0, 0),
        0, 0)
)</f>
        <v>24.87</v>
      </c>
      <c r="K9" t="s">
        <v>47</v>
      </c>
      <c r="L9" t="s">
        <v>14</v>
      </c>
      <c r="M9" t="str">
        <f t="shared" si="0"/>
        <v>INSERT INTO TNL_RATING.dbo.usps_rate_master VALUES ('USPS', '2/13/2025', '2/13/2026', 12659, 'US', 'Priority Mail Express', 1, 7, 'L', 24.87, 'Wedgewood_USPS_2025', 'NonCubic');</v>
      </c>
    </row>
    <row r="10" spans="1:13" x14ac:dyDescent="0.3">
      <c r="A10" t="s">
        <v>11</v>
      </c>
      <c r="B10" s="1" t="s">
        <v>44</v>
      </c>
      <c r="C10" s="1" t="s">
        <v>45</v>
      </c>
      <c r="D10">
        <v>12659</v>
      </c>
      <c r="E10" t="s">
        <v>12</v>
      </c>
      <c r="F10" t="s">
        <v>43</v>
      </c>
      <c r="G10">
        <v>1</v>
      </c>
      <c r="H10">
        <v>8</v>
      </c>
      <c r="I10" t="s">
        <v>46</v>
      </c>
      <c r="J10" cm="1">
        <f t="array" ref="J10">IFERROR(
    _xlfn.XLOOKUP(G10, 'Wedgewood Pharm-PME-Yr2-2025'!$E$4:$L$4,
        _xlfn.XLOOKUP('Rate Load'!H10, 'Wedgewood Pharm-PME-Yr2-2025'!$D$5:$D$28,
            'Wedgewood Pharm-PME-Yr2-2025'!$E$5:$L$28, 0, 0),
        0, 0),
    _xlfn.XLOOKUP(G10, 'Wedgewood Pharm-PME-Yr2-2025'!$E$4:$L$4,
        _xlfn.XLOOKUP('Rate Load'!L10, 'Wedgewood Pharm-PME-Yr2-2025'!$D$5:$D$28,
            'Wedgewood Pharm-PME-Yr2-2025'!$E$5:$L$28, 0, 0),
        0, 0)
)</f>
        <v>27.020000000000003</v>
      </c>
      <c r="K10" t="s">
        <v>47</v>
      </c>
      <c r="L10" t="s">
        <v>14</v>
      </c>
      <c r="M10" t="str">
        <f t="shared" si="0"/>
        <v>INSERT INTO TNL_RATING.dbo.usps_rate_master VALUES ('USPS', '2/13/2025', '2/13/2026', 12659, 'US', 'Priority Mail Express', 1, 8, 'L', 27.02, 'Wedgewood_USPS_2025', 'NonCubic');</v>
      </c>
    </row>
    <row r="11" spans="1:13" x14ac:dyDescent="0.3">
      <c r="A11" t="s">
        <v>11</v>
      </c>
      <c r="B11" s="1" t="s">
        <v>44</v>
      </c>
      <c r="C11" s="1" t="s">
        <v>45</v>
      </c>
      <c r="D11">
        <v>12659</v>
      </c>
      <c r="E11" t="s">
        <v>12</v>
      </c>
      <c r="F11" t="s">
        <v>43</v>
      </c>
      <c r="G11">
        <v>1</v>
      </c>
      <c r="H11">
        <v>9</v>
      </c>
      <c r="I11" t="s">
        <v>46</v>
      </c>
      <c r="J11" cm="1">
        <f t="array" ref="J11">IFERROR(
    _xlfn.XLOOKUP(G11, 'Wedgewood Pharm-PME-Yr2-2025'!$E$4:$L$4,
        _xlfn.XLOOKUP('Rate Load'!H11, 'Wedgewood Pharm-PME-Yr2-2025'!$D$5:$D$28,
            'Wedgewood Pharm-PME-Yr2-2025'!$E$5:$L$28, 0, 0),
        0, 0),
    _xlfn.XLOOKUP(G11, 'Wedgewood Pharm-PME-Yr2-2025'!$E$4:$L$4,
        _xlfn.XLOOKUP('Rate Load'!L11, 'Wedgewood Pharm-PME-Yr2-2025'!$D$5:$D$28,
            'Wedgewood Pharm-PME-Yr2-2025'!$E$5:$L$28, 0, 0),
        0, 0)
)</f>
        <v>29.16</v>
      </c>
      <c r="K11" t="s">
        <v>47</v>
      </c>
      <c r="L11" t="s">
        <v>14</v>
      </c>
      <c r="M11" t="str">
        <f t="shared" si="0"/>
        <v>INSERT INTO TNL_RATING.dbo.usps_rate_master VALUES ('USPS', '2/13/2025', '2/13/2026', 12659, 'US', 'Priority Mail Express', 1, 9, 'L', 29.16, 'Wedgewood_USPS_2025', 'NonCubic');</v>
      </c>
    </row>
    <row r="12" spans="1:13" x14ac:dyDescent="0.3">
      <c r="A12" t="s">
        <v>11</v>
      </c>
      <c r="B12" s="1" t="s">
        <v>44</v>
      </c>
      <c r="C12" s="1" t="s">
        <v>45</v>
      </c>
      <c r="D12">
        <v>12659</v>
      </c>
      <c r="E12" t="s">
        <v>12</v>
      </c>
      <c r="F12" t="s">
        <v>43</v>
      </c>
      <c r="G12">
        <v>1</v>
      </c>
      <c r="H12">
        <v>10</v>
      </c>
      <c r="I12" t="s">
        <v>46</v>
      </c>
      <c r="J12" cm="1">
        <f t="array" ref="J12">IFERROR(
    _xlfn.XLOOKUP(G12, 'Wedgewood Pharm-PME-Yr2-2025'!$E$4:$L$4,
        _xlfn.XLOOKUP('Rate Load'!H12, 'Wedgewood Pharm-PME-Yr2-2025'!$D$5:$D$28,
            'Wedgewood Pharm-PME-Yr2-2025'!$E$5:$L$28, 0, 0),
        0, 0),
    _xlfn.XLOOKUP(G12, 'Wedgewood Pharm-PME-Yr2-2025'!$E$4:$L$4,
        _xlfn.XLOOKUP('Rate Load'!L12, 'Wedgewood Pharm-PME-Yr2-2025'!$D$5:$D$28,
            'Wedgewood Pharm-PME-Yr2-2025'!$E$5:$L$28, 0, 0),
        0, 0)
)</f>
        <v>31.330000000000002</v>
      </c>
      <c r="K12" t="s">
        <v>47</v>
      </c>
      <c r="L12" t="s">
        <v>14</v>
      </c>
      <c r="M12" t="str">
        <f t="shared" si="0"/>
        <v>INSERT INTO TNL_RATING.dbo.usps_rate_master VALUES ('USPS', '2/13/2025', '2/13/2026', 12659, 'US', 'Priority Mail Express', 1, 10, 'L', 31.33, 'Wedgewood_USPS_2025', 'NonCubic');</v>
      </c>
    </row>
    <row r="13" spans="1:13" x14ac:dyDescent="0.3">
      <c r="A13" t="s">
        <v>11</v>
      </c>
      <c r="B13" s="1" t="s">
        <v>44</v>
      </c>
      <c r="C13" s="1" t="s">
        <v>45</v>
      </c>
      <c r="D13">
        <v>12659</v>
      </c>
      <c r="E13" t="s">
        <v>12</v>
      </c>
      <c r="F13" t="s">
        <v>43</v>
      </c>
      <c r="G13">
        <v>1</v>
      </c>
      <c r="H13">
        <v>11</v>
      </c>
      <c r="I13" t="s">
        <v>46</v>
      </c>
      <c r="J13" cm="1">
        <f t="array" ref="J13">IFERROR(
    _xlfn.XLOOKUP(G13, 'Wedgewood Pharm-PME-Yr2-2025'!$E$4:$L$4,
        _xlfn.XLOOKUP('Rate Load'!H13, 'Wedgewood Pharm-PME-Yr2-2025'!$D$5:$D$28,
            'Wedgewood Pharm-PME-Yr2-2025'!$E$5:$L$28, 0, 0),
        0, 0),
    _xlfn.XLOOKUP(G13, 'Wedgewood Pharm-PME-Yr2-2025'!$E$4:$L$4,
        _xlfn.XLOOKUP('Rate Load'!L13, 'Wedgewood Pharm-PME-Yr2-2025'!$D$5:$D$28,
            'Wedgewood Pharm-PME-Yr2-2025'!$E$5:$L$28, 0, 0),
        0, 0)
)</f>
        <v>33.369999999999997</v>
      </c>
      <c r="K13" t="s">
        <v>47</v>
      </c>
      <c r="L13" t="s">
        <v>14</v>
      </c>
      <c r="M13" t="str">
        <f t="shared" si="0"/>
        <v>INSERT INTO TNL_RATING.dbo.usps_rate_master VALUES ('USPS', '2/13/2025', '2/13/2026', 12659, 'US', 'Priority Mail Express', 1, 11, 'L', 33.37, 'Wedgewood_USPS_2025', 'NonCubic');</v>
      </c>
    </row>
    <row r="14" spans="1:13" x14ac:dyDescent="0.3">
      <c r="A14" t="s">
        <v>11</v>
      </c>
      <c r="B14" s="1" t="s">
        <v>44</v>
      </c>
      <c r="C14" s="1" t="s">
        <v>45</v>
      </c>
      <c r="D14">
        <v>12659</v>
      </c>
      <c r="E14" t="s">
        <v>12</v>
      </c>
      <c r="F14" t="s">
        <v>43</v>
      </c>
      <c r="G14">
        <v>1</v>
      </c>
      <c r="H14">
        <v>12</v>
      </c>
      <c r="I14" t="s">
        <v>46</v>
      </c>
      <c r="J14" cm="1">
        <f t="array" ref="J14">IFERROR(
    _xlfn.XLOOKUP(G14, 'Wedgewood Pharm-PME-Yr2-2025'!$E$4:$L$4,
        _xlfn.XLOOKUP('Rate Load'!H14, 'Wedgewood Pharm-PME-Yr2-2025'!$D$5:$D$28,
            'Wedgewood Pharm-PME-Yr2-2025'!$E$5:$L$28, 0, 0),
        0, 0),
    _xlfn.XLOOKUP(G14, 'Wedgewood Pharm-PME-Yr2-2025'!$E$4:$L$4,
        _xlfn.XLOOKUP('Rate Load'!L14, 'Wedgewood Pharm-PME-Yr2-2025'!$D$5:$D$28,
            'Wedgewood Pharm-PME-Yr2-2025'!$E$5:$L$28, 0, 0),
        0, 0)
)</f>
        <v>35.4</v>
      </c>
      <c r="K14" t="s">
        <v>47</v>
      </c>
      <c r="L14" t="s">
        <v>14</v>
      </c>
      <c r="M14" t="str">
        <f t="shared" si="0"/>
        <v>INSERT INTO TNL_RATING.dbo.usps_rate_master VALUES ('USPS', '2/13/2025', '2/13/2026', 12659, 'US', 'Priority Mail Express', 1, 12, 'L', 35.4, 'Wedgewood_USPS_2025', 'NonCubic');</v>
      </c>
    </row>
    <row r="15" spans="1:13" x14ac:dyDescent="0.3">
      <c r="A15" t="s">
        <v>11</v>
      </c>
      <c r="B15" s="1" t="s">
        <v>44</v>
      </c>
      <c r="C15" s="1" t="s">
        <v>45</v>
      </c>
      <c r="D15">
        <v>12659</v>
      </c>
      <c r="E15" t="s">
        <v>12</v>
      </c>
      <c r="F15" t="s">
        <v>43</v>
      </c>
      <c r="G15">
        <v>1</v>
      </c>
      <c r="H15">
        <v>13</v>
      </c>
      <c r="I15" t="s">
        <v>46</v>
      </c>
      <c r="J15" cm="1">
        <f t="array" ref="J15">IFERROR(
    _xlfn.XLOOKUP(G15, 'Wedgewood Pharm-PME-Yr2-2025'!$E$4:$L$4,
        _xlfn.XLOOKUP('Rate Load'!H15, 'Wedgewood Pharm-PME-Yr2-2025'!$D$5:$D$28,
            'Wedgewood Pharm-PME-Yr2-2025'!$E$5:$L$28, 0, 0),
        0, 0),
    _xlfn.XLOOKUP(G15, 'Wedgewood Pharm-PME-Yr2-2025'!$E$4:$L$4,
        _xlfn.XLOOKUP('Rate Load'!L15, 'Wedgewood Pharm-PME-Yr2-2025'!$D$5:$D$28,
            'Wedgewood Pharm-PME-Yr2-2025'!$E$5:$L$28, 0, 0),
        0, 0)
)</f>
        <v>37.46</v>
      </c>
      <c r="K15" t="s">
        <v>47</v>
      </c>
      <c r="L15" t="s">
        <v>14</v>
      </c>
      <c r="M15" t="str">
        <f t="shared" si="0"/>
        <v>INSERT INTO TNL_RATING.dbo.usps_rate_master VALUES ('USPS', '2/13/2025', '2/13/2026', 12659, 'US', 'Priority Mail Express', 1, 13, 'L', 37.46, 'Wedgewood_USPS_2025', 'NonCubic');</v>
      </c>
    </row>
    <row r="16" spans="1:13" x14ac:dyDescent="0.3">
      <c r="A16" t="s">
        <v>11</v>
      </c>
      <c r="B16" s="1" t="s">
        <v>44</v>
      </c>
      <c r="C16" s="1" t="s">
        <v>45</v>
      </c>
      <c r="D16">
        <v>12659</v>
      </c>
      <c r="E16" t="s">
        <v>12</v>
      </c>
      <c r="F16" t="s">
        <v>43</v>
      </c>
      <c r="G16">
        <v>1</v>
      </c>
      <c r="H16">
        <v>14</v>
      </c>
      <c r="I16" t="s">
        <v>46</v>
      </c>
      <c r="J16" cm="1">
        <f t="array" ref="J16">IFERROR(
    _xlfn.XLOOKUP(G16, 'Wedgewood Pharm-PME-Yr2-2025'!$E$4:$L$4,
        _xlfn.XLOOKUP('Rate Load'!H16, 'Wedgewood Pharm-PME-Yr2-2025'!$D$5:$D$28,
            'Wedgewood Pharm-PME-Yr2-2025'!$E$5:$L$28, 0, 0),
        0, 0),
    _xlfn.XLOOKUP(G16, 'Wedgewood Pharm-PME-Yr2-2025'!$E$4:$L$4,
        _xlfn.XLOOKUP('Rate Load'!L16, 'Wedgewood Pharm-PME-Yr2-2025'!$D$5:$D$28,
            'Wedgewood Pharm-PME-Yr2-2025'!$E$5:$L$28, 0, 0),
        0, 0)
)</f>
        <v>39.5</v>
      </c>
      <c r="K16" t="s">
        <v>47</v>
      </c>
      <c r="L16" t="s">
        <v>14</v>
      </c>
      <c r="M16" t="str">
        <f t="shared" si="0"/>
        <v>INSERT INTO TNL_RATING.dbo.usps_rate_master VALUES ('USPS', '2/13/2025', '2/13/2026', 12659, 'US', 'Priority Mail Express', 1, 14, 'L', 39.5, 'Wedgewood_USPS_2025', 'NonCubic');</v>
      </c>
    </row>
    <row r="17" spans="1:13" x14ac:dyDescent="0.3">
      <c r="A17" t="s">
        <v>11</v>
      </c>
      <c r="B17" s="1" t="s">
        <v>44</v>
      </c>
      <c r="C17" s="1" t="s">
        <v>45</v>
      </c>
      <c r="D17">
        <v>12659</v>
      </c>
      <c r="E17" t="s">
        <v>12</v>
      </c>
      <c r="F17" t="s">
        <v>43</v>
      </c>
      <c r="G17">
        <v>1</v>
      </c>
      <c r="H17">
        <v>15</v>
      </c>
      <c r="I17" t="s">
        <v>46</v>
      </c>
      <c r="J17" cm="1">
        <f t="array" ref="J17">IFERROR(
    _xlfn.XLOOKUP(G17, 'Wedgewood Pharm-PME-Yr2-2025'!$E$4:$L$4,
        _xlfn.XLOOKUP('Rate Load'!H17, 'Wedgewood Pharm-PME-Yr2-2025'!$D$5:$D$28,
            'Wedgewood Pharm-PME-Yr2-2025'!$E$5:$L$28, 0, 0),
        0, 0),
    _xlfn.XLOOKUP(G17, 'Wedgewood Pharm-PME-Yr2-2025'!$E$4:$L$4,
        _xlfn.XLOOKUP('Rate Load'!L17, 'Wedgewood Pharm-PME-Yr2-2025'!$D$5:$D$28,
            'Wedgewood Pharm-PME-Yr2-2025'!$E$5:$L$28, 0, 0),
        0, 0)
)</f>
        <v>41.559999999999995</v>
      </c>
      <c r="K17" t="s">
        <v>47</v>
      </c>
      <c r="L17" t="s">
        <v>14</v>
      </c>
      <c r="M17" t="str">
        <f t="shared" si="0"/>
        <v>INSERT INTO TNL_RATING.dbo.usps_rate_master VALUES ('USPS', '2/13/2025', '2/13/2026', 12659, 'US', 'Priority Mail Express', 1, 15, 'L', 41.56, 'Wedgewood_USPS_2025', 'NonCubic');</v>
      </c>
    </row>
    <row r="18" spans="1:13" x14ac:dyDescent="0.3">
      <c r="A18" t="s">
        <v>11</v>
      </c>
      <c r="B18" s="1" t="s">
        <v>44</v>
      </c>
      <c r="C18" s="1" t="s">
        <v>45</v>
      </c>
      <c r="D18">
        <v>12659</v>
      </c>
      <c r="E18" t="s">
        <v>12</v>
      </c>
      <c r="F18" t="s">
        <v>43</v>
      </c>
      <c r="G18">
        <v>1</v>
      </c>
      <c r="H18">
        <v>16</v>
      </c>
      <c r="I18" t="s">
        <v>46</v>
      </c>
      <c r="J18" cm="1">
        <f t="array" ref="J18">IFERROR(
    _xlfn.XLOOKUP(G18, 'Wedgewood Pharm-PME-Yr2-2025'!$E$4:$L$4,
        _xlfn.XLOOKUP('Rate Load'!H18, 'Wedgewood Pharm-PME-Yr2-2025'!$D$5:$D$28,
            'Wedgewood Pharm-PME-Yr2-2025'!$E$5:$L$28, 0, 0),
        0, 0),
    _xlfn.XLOOKUP(G18, 'Wedgewood Pharm-PME-Yr2-2025'!$E$4:$L$4,
        _xlfn.XLOOKUP('Rate Load'!L18, 'Wedgewood Pharm-PME-Yr2-2025'!$D$5:$D$28,
            'Wedgewood Pharm-PME-Yr2-2025'!$E$5:$L$28, 0, 0),
        0, 0)
)</f>
        <v>43.6</v>
      </c>
      <c r="K18" t="s">
        <v>47</v>
      </c>
      <c r="L18" t="s">
        <v>14</v>
      </c>
      <c r="M18" t="str">
        <f t="shared" si="0"/>
        <v>INSERT INTO TNL_RATING.dbo.usps_rate_master VALUES ('USPS', '2/13/2025', '2/13/2026', 12659, 'US', 'Priority Mail Express', 1, 16, 'L', 43.6, 'Wedgewood_USPS_2025', 'NonCubic');</v>
      </c>
    </row>
    <row r="19" spans="1:13" x14ac:dyDescent="0.3">
      <c r="A19" t="s">
        <v>11</v>
      </c>
      <c r="B19" s="1" t="s">
        <v>44</v>
      </c>
      <c r="C19" s="1" t="s">
        <v>45</v>
      </c>
      <c r="D19">
        <v>12659</v>
      </c>
      <c r="E19" t="s">
        <v>12</v>
      </c>
      <c r="F19" t="s">
        <v>43</v>
      </c>
      <c r="G19">
        <v>1</v>
      </c>
      <c r="H19">
        <v>17</v>
      </c>
      <c r="I19" t="s">
        <v>46</v>
      </c>
      <c r="J19" cm="1">
        <f t="array" ref="J19">IFERROR(
    _xlfn.XLOOKUP(G19, 'Wedgewood Pharm-PME-Yr2-2025'!$E$4:$L$4,
        _xlfn.XLOOKUP('Rate Load'!H19, 'Wedgewood Pharm-PME-Yr2-2025'!$D$5:$D$28,
            'Wedgewood Pharm-PME-Yr2-2025'!$E$5:$L$28, 0, 0),
        0, 0),
    _xlfn.XLOOKUP(G19, 'Wedgewood Pharm-PME-Yr2-2025'!$E$4:$L$4,
        _xlfn.XLOOKUP('Rate Load'!L19, 'Wedgewood Pharm-PME-Yr2-2025'!$D$5:$D$28,
            'Wedgewood Pharm-PME-Yr2-2025'!$E$5:$L$28, 0, 0),
        0, 0)
)</f>
        <v>45.64</v>
      </c>
      <c r="K19" t="s">
        <v>47</v>
      </c>
      <c r="L19" t="s">
        <v>14</v>
      </c>
      <c r="M19" t="str">
        <f t="shared" si="0"/>
        <v>INSERT INTO TNL_RATING.dbo.usps_rate_master VALUES ('USPS', '2/13/2025', '2/13/2026', 12659, 'US', 'Priority Mail Express', 1, 17, 'L', 45.64, 'Wedgewood_USPS_2025', 'NonCubic');</v>
      </c>
    </row>
    <row r="20" spans="1:13" x14ac:dyDescent="0.3">
      <c r="A20" t="s">
        <v>11</v>
      </c>
      <c r="B20" s="1" t="s">
        <v>44</v>
      </c>
      <c r="C20" s="1" t="s">
        <v>45</v>
      </c>
      <c r="D20">
        <v>12659</v>
      </c>
      <c r="E20" t="s">
        <v>12</v>
      </c>
      <c r="F20" t="s">
        <v>43</v>
      </c>
      <c r="G20">
        <v>1</v>
      </c>
      <c r="H20">
        <v>18</v>
      </c>
      <c r="I20" t="s">
        <v>46</v>
      </c>
      <c r="J20" cm="1">
        <f t="array" ref="J20">IFERROR(
    _xlfn.XLOOKUP(G20, 'Wedgewood Pharm-PME-Yr2-2025'!$E$4:$L$4,
        _xlfn.XLOOKUP('Rate Load'!H20, 'Wedgewood Pharm-PME-Yr2-2025'!$D$5:$D$28,
            'Wedgewood Pharm-PME-Yr2-2025'!$E$5:$L$28, 0, 0),
        0, 0),
    _xlfn.XLOOKUP(G20, 'Wedgewood Pharm-PME-Yr2-2025'!$E$4:$L$4,
        _xlfn.XLOOKUP('Rate Load'!L20, 'Wedgewood Pharm-PME-Yr2-2025'!$D$5:$D$28,
            'Wedgewood Pharm-PME-Yr2-2025'!$E$5:$L$28, 0, 0),
        0, 0)
)</f>
        <v>47.69</v>
      </c>
      <c r="K20" t="s">
        <v>47</v>
      </c>
      <c r="L20" t="s">
        <v>14</v>
      </c>
      <c r="M20" t="str">
        <f t="shared" si="0"/>
        <v>INSERT INTO TNL_RATING.dbo.usps_rate_master VALUES ('USPS', '2/13/2025', '2/13/2026', 12659, 'US', 'Priority Mail Express', 1, 18, 'L', 47.69, 'Wedgewood_USPS_2025', 'NonCubic');</v>
      </c>
    </row>
    <row r="21" spans="1:13" x14ac:dyDescent="0.3">
      <c r="A21" t="s">
        <v>11</v>
      </c>
      <c r="B21" s="1" t="s">
        <v>44</v>
      </c>
      <c r="C21" s="1" t="s">
        <v>45</v>
      </c>
      <c r="D21">
        <v>12659</v>
      </c>
      <c r="E21" t="s">
        <v>12</v>
      </c>
      <c r="F21" t="s">
        <v>43</v>
      </c>
      <c r="G21">
        <v>1</v>
      </c>
      <c r="H21">
        <v>19</v>
      </c>
      <c r="I21" t="s">
        <v>46</v>
      </c>
      <c r="J21" cm="1">
        <f t="array" ref="J21">IFERROR(
    _xlfn.XLOOKUP(G21, 'Wedgewood Pharm-PME-Yr2-2025'!$E$4:$L$4,
        _xlfn.XLOOKUP('Rate Load'!H21, 'Wedgewood Pharm-PME-Yr2-2025'!$D$5:$D$28,
            'Wedgewood Pharm-PME-Yr2-2025'!$E$5:$L$28, 0, 0),
        0, 0),
    _xlfn.XLOOKUP(G21, 'Wedgewood Pharm-PME-Yr2-2025'!$E$4:$L$4,
        _xlfn.XLOOKUP('Rate Load'!L21, 'Wedgewood Pharm-PME-Yr2-2025'!$D$5:$D$28,
            'Wedgewood Pharm-PME-Yr2-2025'!$E$5:$L$28, 0, 0),
        0, 0)
)</f>
        <v>49.73</v>
      </c>
      <c r="K21" t="s">
        <v>47</v>
      </c>
      <c r="L21" t="s">
        <v>14</v>
      </c>
      <c r="M21" t="str">
        <f t="shared" si="0"/>
        <v>INSERT INTO TNL_RATING.dbo.usps_rate_master VALUES ('USPS', '2/13/2025', '2/13/2026', 12659, 'US', 'Priority Mail Express', 1, 19, 'L', 49.73, 'Wedgewood_USPS_2025', 'NonCubic');</v>
      </c>
    </row>
    <row r="22" spans="1:13" x14ac:dyDescent="0.3">
      <c r="A22" t="s">
        <v>11</v>
      </c>
      <c r="B22" s="1" t="s">
        <v>44</v>
      </c>
      <c r="C22" s="1" t="s">
        <v>45</v>
      </c>
      <c r="D22">
        <v>12659</v>
      </c>
      <c r="E22" t="s">
        <v>12</v>
      </c>
      <c r="F22" t="s">
        <v>43</v>
      </c>
      <c r="G22">
        <v>1</v>
      </c>
      <c r="H22">
        <v>20</v>
      </c>
      <c r="I22" t="s">
        <v>46</v>
      </c>
      <c r="J22" cm="1">
        <f t="array" ref="J22">IFERROR(
    _xlfn.XLOOKUP(G22, 'Wedgewood Pharm-PME-Yr2-2025'!$E$4:$L$4,
        _xlfn.XLOOKUP('Rate Load'!H22, 'Wedgewood Pharm-PME-Yr2-2025'!$D$5:$D$28,
            'Wedgewood Pharm-PME-Yr2-2025'!$E$5:$L$28, 0, 0),
        0, 0),
    _xlfn.XLOOKUP(G22, 'Wedgewood Pharm-PME-Yr2-2025'!$E$4:$L$4,
        _xlfn.XLOOKUP('Rate Load'!L22, 'Wedgewood Pharm-PME-Yr2-2025'!$D$5:$D$28,
            'Wedgewood Pharm-PME-Yr2-2025'!$E$5:$L$28, 0, 0),
        0, 0)
)</f>
        <v>51.78</v>
      </c>
      <c r="K22" t="s">
        <v>47</v>
      </c>
      <c r="L22" t="s">
        <v>14</v>
      </c>
      <c r="M22" t="str">
        <f t="shared" si="0"/>
        <v>INSERT INTO TNL_RATING.dbo.usps_rate_master VALUES ('USPS', '2/13/2025', '2/13/2026', 12659, 'US', 'Priority Mail Express', 1, 20, 'L', 51.78, 'Wedgewood_USPS_2025', 'NonCubic');</v>
      </c>
    </row>
    <row r="23" spans="1:13" x14ac:dyDescent="0.3">
      <c r="A23" t="s">
        <v>11</v>
      </c>
      <c r="B23" s="1" t="s">
        <v>44</v>
      </c>
      <c r="C23" s="1" t="s">
        <v>45</v>
      </c>
      <c r="D23">
        <v>12659</v>
      </c>
      <c r="E23" t="s">
        <v>12</v>
      </c>
      <c r="F23" t="s">
        <v>43</v>
      </c>
      <c r="G23">
        <v>2</v>
      </c>
      <c r="H23">
        <v>0.5</v>
      </c>
      <c r="I23" t="s">
        <v>46</v>
      </c>
      <c r="J23" cm="1">
        <f t="array" ref="J23">IFERROR(
    _xlfn.XLOOKUP(G23, 'Wedgewood Pharm-PME-Yr2-2025'!$E$4:$L$4,
        _xlfn.XLOOKUP('Rate Load'!H23, 'Wedgewood Pharm-PME-Yr2-2025'!$D$5:$D$28,
            'Wedgewood Pharm-PME-Yr2-2025'!$E$5:$L$28, 0, 0),
        0, 0),
    _xlfn.XLOOKUP(G23, 'Wedgewood Pharm-PME-Yr2-2025'!$E$4:$L$4,
        _xlfn.XLOOKUP('Rate Load'!L23, 'Wedgewood Pharm-PME-Yr2-2025'!$D$5:$D$28,
            'Wedgewood Pharm-PME-Yr2-2025'!$E$5:$L$28, 0, 0),
        0, 0)
)</f>
        <v>13.79</v>
      </c>
      <c r="K23" t="s">
        <v>47</v>
      </c>
      <c r="L23" t="s">
        <v>14</v>
      </c>
      <c r="M23" t="str">
        <f t="shared" si="0"/>
        <v>INSERT INTO TNL_RATING.dbo.usps_rate_master VALUES ('USPS', '2/13/2025', '2/13/2026', 12659, 'US', 'Priority Mail Express', 2, 0.5, 'L', 13.79, 'Wedgewood_USPS_2025', 'NonCubic');</v>
      </c>
    </row>
    <row r="24" spans="1:13" x14ac:dyDescent="0.3">
      <c r="A24" t="s">
        <v>11</v>
      </c>
      <c r="B24" s="1" t="s">
        <v>44</v>
      </c>
      <c r="C24" s="1" t="s">
        <v>45</v>
      </c>
      <c r="D24">
        <v>12659</v>
      </c>
      <c r="E24" t="s">
        <v>12</v>
      </c>
      <c r="F24" t="s">
        <v>43</v>
      </c>
      <c r="G24">
        <v>2</v>
      </c>
      <c r="H24">
        <v>1</v>
      </c>
      <c r="I24" t="s">
        <v>46</v>
      </c>
      <c r="J24" cm="1">
        <f t="array" ref="J24">IFERROR(
    _xlfn.XLOOKUP(G24, 'Wedgewood Pharm-PME-Yr2-2025'!$E$4:$L$4,
        _xlfn.XLOOKUP('Rate Load'!H24, 'Wedgewood Pharm-PME-Yr2-2025'!$D$5:$D$28,
            'Wedgewood Pharm-PME-Yr2-2025'!$E$5:$L$28, 0, 0),
        0, 0),
    _xlfn.XLOOKUP(G24, 'Wedgewood Pharm-PME-Yr2-2025'!$E$4:$L$4,
        _xlfn.XLOOKUP('Rate Load'!L24, 'Wedgewood Pharm-PME-Yr2-2025'!$D$5:$D$28,
            'Wedgewood Pharm-PME-Yr2-2025'!$E$5:$L$28, 0, 0),
        0, 0)
)</f>
        <v>14.35</v>
      </c>
      <c r="K24" t="s">
        <v>47</v>
      </c>
      <c r="L24" t="s">
        <v>14</v>
      </c>
      <c r="M24" t="str">
        <f t="shared" si="0"/>
        <v>INSERT INTO TNL_RATING.dbo.usps_rate_master VALUES ('USPS', '2/13/2025', '2/13/2026', 12659, 'US', 'Priority Mail Express', 2, 1, 'L', 14.35, 'Wedgewood_USPS_2025', 'NonCubic');</v>
      </c>
    </row>
    <row r="25" spans="1:13" x14ac:dyDescent="0.3">
      <c r="A25" t="s">
        <v>11</v>
      </c>
      <c r="B25" s="1" t="s">
        <v>44</v>
      </c>
      <c r="C25" s="1" t="s">
        <v>45</v>
      </c>
      <c r="D25">
        <v>12659</v>
      </c>
      <c r="E25" t="s">
        <v>12</v>
      </c>
      <c r="F25" t="s">
        <v>43</v>
      </c>
      <c r="G25">
        <v>2</v>
      </c>
      <c r="H25">
        <v>2</v>
      </c>
      <c r="I25" t="s">
        <v>46</v>
      </c>
      <c r="J25" cm="1">
        <f t="array" ref="J25">IFERROR(
    _xlfn.XLOOKUP(G25, 'Wedgewood Pharm-PME-Yr2-2025'!$E$4:$L$4,
        _xlfn.XLOOKUP('Rate Load'!H25, 'Wedgewood Pharm-PME-Yr2-2025'!$D$5:$D$28,
            'Wedgewood Pharm-PME-Yr2-2025'!$E$5:$L$28, 0, 0),
        0, 0),
    _xlfn.XLOOKUP(G25, 'Wedgewood Pharm-PME-Yr2-2025'!$E$4:$L$4,
        _xlfn.XLOOKUP('Rate Load'!L25, 'Wedgewood Pharm-PME-Yr2-2025'!$D$5:$D$28,
            'Wedgewood Pharm-PME-Yr2-2025'!$E$5:$L$28, 0, 0),
        0, 0)
)</f>
        <v>15.72</v>
      </c>
      <c r="K25" t="s">
        <v>47</v>
      </c>
      <c r="L25" t="s">
        <v>14</v>
      </c>
      <c r="M25" t="str">
        <f t="shared" si="0"/>
        <v>INSERT INTO TNL_RATING.dbo.usps_rate_master VALUES ('USPS', '2/13/2025', '2/13/2026', 12659, 'US', 'Priority Mail Express', 2, 2, 'L', 15.72, 'Wedgewood_USPS_2025', 'NonCubic');</v>
      </c>
    </row>
    <row r="26" spans="1:13" x14ac:dyDescent="0.3">
      <c r="A26" t="s">
        <v>11</v>
      </c>
      <c r="B26" s="1" t="s">
        <v>44</v>
      </c>
      <c r="C26" s="1" t="s">
        <v>45</v>
      </c>
      <c r="D26">
        <v>12659</v>
      </c>
      <c r="E26" t="s">
        <v>12</v>
      </c>
      <c r="F26" t="s">
        <v>43</v>
      </c>
      <c r="G26">
        <v>2</v>
      </c>
      <c r="H26">
        <v>3</v>
      </c>
      <c r="I26" t="s">
        <v>46</v>
      </c>
      <c r="J26" cm="1">
        <f t="array" ref="J26">IFERROR(
    _xlfn.XLOOKUP(G26, 'Wedgewood Pharm-PME-Yr2-2025'!$E$4:$L$4,
        _xlfn.XLOOKUP('Rate Load'!H26, 'Wedgewood Pharm-PME-Yr2-2025'!$D$5:$D$28,
            'Wedgewood Pharm-PME-Yr2-2025'!$E$5:$L$28, 0, 0),
        0, 0),
    _xlfn.XLOOKUP(G26, 'Wedgewood Pharm-PME-Yr2-2025'!$E$4:$L$4,
        _xlfn.XLOOKUP('Rate Load'!L26, 'Wedgewood Pharm-PME-Yr2-2025'!$D$5:$D$28,
            'Wedgewood Pharm-PME-Yr2-2025'!$E$5:$L$28, 0, 0),
        0, 0)
)</f>
        <v>17.510000000000002</v>
      </c>
      <c r="K26" t="s">
        <v>47</v>
      </c>
      <c r="L26" t="s">
        <v>14</v>
      </c>
      <c r="M26" t="str">
        <f t="shared" si="0"/>
        <v>INSERT INTO TNL_RATING.dbo.usps_rate_master VALUES ('USPS', '2/13/2025', '2/13/2026', 12659, 'US', 'Priority Mail Express', 2, 3, 'L', 17.51, 'Wedgewood_USPS_2025', 'NonCubic');</v>
      </c>
    </row>
    <row r="27" spans="1:13" x14ac:dyDescent="0.3">
      <c r="A27" t="s">
        <v>11</v>
      </c>
      <c r="B27" s="1" t="s">
        <v>44</v>
      </c>
      <c r="C27" s="1" t="s">
        <v>45</v>
      </c>
      <c r="D27">
        <v>12659</v>
      </c>
      <c r="E27" t="s">
        <v>12</v>
      </c>
      <c r="F27" t="s">
        <v>43</v>
      </c>
      <c r="G27">
        <v>2</v>
      </c>
      <c r="H27">
        <v>4</v>
      </c>
      <c r="I27" t="s">
        <v>46</v>
      </c>
      <c r="J27" cm="1">
        <f t="array" ref="J27">IFERROR(
    _xlfn.XLOOKUP(G27, 'Wedgewood Pharm-PME-Yr2-2025'!$E$4:$L$4,
        _xlfn.XLOOKUP('Rate Load'!H27, 'Wedgewood Pharm-PME-Yr2-2025'!$D$5:$D$28,
            'Wedgewood Pharm-PME-Yr2-2025'!$E$5:$L$28, 0, 0),
        0, 0),
    _xlfn.XLOOKUP(G27, 'Wedgewood Pharm-PME-Yr2-2025'!$E$4:$L$4,
        _xlfn.XLOOKUP('Rate Load'!L27, 'Wedgewood Pharm-PME-Yr2-2025'!$D$5:$D$28,
            'Wedgewood Pharm-PME-Yr2-2025'!$E$5:$L$28, 0, 0),
        0, 0)
)</f>
        <v>19.290000000000003</v>
      </c>
      <c r="K27" t="s">
        <v>47</v>
      </c>
      <c r="L27" t="s">
        <v>14</v>
      </c>
      <c r="M27" t="str">
        <f t="shared" si="0"/>
        <v>INSERT INTO TNL_RATING.dbo.usps_rate_master VALUES ('USPS', '2/13/2025', '2/13/2026', 12659, 'US', 'Priority Mail Express', 2, 4, 'L', 19.29, 'Wedgewood_USPS_2025', 'NonCubic');</v>
      </c>
    </row>
    <row r="28" spans="1:13" x14ac:dyDescent="0.3">
      <c r="A28" t="s">
        <v>11</v>
      </c>
      <c r="B28" s="1" t="s">
        <v>44</v>
      </c>
      <c r="C28" s="1" t="s">
        <v>45</v>
      </c>
      <c r="D28">
        <v>12659</v>
      </c>
      <c r="E28" t="s">
        <v>12</v>
      </c>
      <c r="F28" t="s">
        <v>43</v>
      </c>
      <c r="G28">
        <v>2</v>
      </c>
      <c r="H28">
        <v>5</v>
      </c>
      <c r="I28" t="s">
        <v>46</v>
      </c>
      <c r="J28" cm="1">
        <f t="array" ref="J28">IFERROR(
    _xlfn.XLOOKUP(G28, 'Wedgewood Pharm-PME-Yr2-2025'!$E$4:$L$4,
        _xlfn.XLOOKUP('Rate Load'!H28, 'Wedgewood Pharm-PME-Yr2-2025'!$D$5:$D$28,
            'Wedgewood Pharm-PME-Yr2-2025'!$E$5:$L$28, 0, 0),
        0, 0),
    _xlfn.XLOOKUP(G28, 'Wedgewood Pharm-PME-Yr2-2025'!$E$4:$L$4,
        _xlfn.XLOOKUP('Rate Load'!L28, 'Wedgewood Pharm-PME-Yr2-2025'!$D$5:$D$28,
            'Wedgewood Pharm-PME-Yr2-2025'!$E$5:$L$28, 0, 0),
        0, 0)
)</f>
        <v>21.07</v>
      </c>
      <c r="K28" t="s">
        <v>47</v>
      </c>
      <c r="L28" t="s">
        <v>14</v>
      </c>
      <c r="M28" t="str">
        <f t="shared" si="0"/>
        <v>INSERT INTO TNL_RATING.dbo.usps_rate_master VALUES ('USPS', '2/13/2025', '2/13/2026', 12659, 'US', 'Priority Mail Express', 2, 5, 'L', 21.07, 'Wedgewood_USPS_2025', 'NonCubic');</v>
      </c>
    </row>
    <row r="29" spans="1:13" x14ac:dyDescent="0.3">
      <c r="A29" t="s">
        <v>11</v>
      </c>
      <c r="B29" s="1" t="s">
        <v>44</v>
      </c>
      <c r="C29" s="1" t="s">
        <v>45</v>
      </c>
      <c r="D29">
        <v>12659</v>
      </c>
      <c r="E29" t="s">
        <v>12</v>
      </c>
      <c r="F29" t="s">
        <v>43</v>
      </c>
      <c r="G29">
        <v>2</v>
      </c>
      <c r="H29">
        <v>6</v>
      </c>
      <c r="I29" t="s">
        <v>46</v>
      </c>
      <c r="J29" cm="1">
        <f t="array" ref="J29">IFERROR(
    _xlfn.XLOOKUP(G29, 'Wedgewood Pharm-PME-Yr2-2025'!$E$4:$L$4,
        _xlfn.XLOOKUP('Rate Load'!H29, 'Wedgewood Pharm-PME-Yr2-2025'!$D$5:$D$28,
            'Wedgewood Pharm-PME-Yr2-2025'!$E$5:$L$28, 0, 0),
        0, 0),
    _xlfn.XLOOKUP(G29, 'Wedgewood Pharm-PME-Yr2-2025'!$E$4:$L$4,
        _xlfn.XLOOKUP('Rate Load'!L29, 'Wedgewood Pharm-PME-Yr2-2025'!$D$5:$D$28,
            'Wedgewood Pharm-PME-Yr2-2025'!$E$5:$L$28, 0, 0),
        0, 0)
)</f>
        <v>23.26</v>
      </c>
      <c r="K29" t="s">
        <v>47</v>
      </c>
      <c r="L29" t="s">
        <v>14</v>
      </c>
      <c r="M29" t="str">
        <f t="shared" si="0"/>
        <v>INSERT INTO TNL_RATING.dbo.usps_rate_master VALUES ('USPS', '2/13/2025', '2/13/2026', 12659, 'US', 'Priority Mail Express', 2, 6, 'L', 23.26, 'Wedgewood_USPS_2025', 'NonCubic');</v>
      </c>
    </row>
    <row r="30" spans="1:13" x14ac:dyDescent="0.3">
      <c r="A30" t="s">
        <v>11</v>
      </c>
      <c r="B30" s="1" t="s">
        <v>44</v>
      </c>
      <c r="C30" s="1" t="s">
        <v>45</v>
      </c>
      <c r="D30">
        <v>12659</v>
      </c>
      <c r="E30" t="s">
        <v>12</v>
      </c>
      <c r="F30" t="s">
        <v>43</v>
      </c>
      <c r="G30">
        <v>2</v>
      </c>
      <c r="H30">
        <v>7</v>
      </c>
      <c r="I30" t="s">
        <v>46</v>
      </c>
      <c r="J30" cm="1">
        <f t="array" ref="J30">IFERROR(
    _xlfn.XLOOKUP(G30, 'Wedgewood Pharm-PME-Yr2-2025'!$E$4:$L$4,
        _xlfn.XLOOKUP('Rate Load'!H30, 'Wedgewood Pharm-PME-Yr2-2025'!$D$5:$D$28,
            'Wedgewood Pharm-PME-Yr2-2025'!$E$5:$L$28, 0, 0),
        0, 0),
    _xlfn.XLOOKUP(G30, 'Wedgewood Pharm-PME-Yr2-2025'!$E$4:$L$4,
        _xlfn.XLOOKUP('Rate Load'!L30, 'Wedgewood Pharm-PME-Yr2-2025'!$D$5:$D$28,
            'Wedgewood Pharm-PME-Yr2-2025'!$E$5:$L$28, 0, 0),
        0, 0)
)</f>
        <v>25.450000000000003</v>
      </c>
      <c r="K30" t="s">
        <v>47</v>
      </c>
      <c r="L30" t="s">
        <v>14</v>
      </c>
      <c r="M30" t="str">
        <f t="shared" si="0"/>
        <v>INSERT INTO TNL_RATING.dbo.usps_rate_master VALUES ('USPS', '2/13/2025', '2/13/2026', 12659, 'US', 'Priority Mail Express', 2, 7, 'L', 25.45, 'Wedgewood_USPS_2025', 'NonCubic');</v>
      </c>
    </row>
    <row r="31" spans="1:13" x14ac:dyDescent="0.3">
      <c r="A31" t="s">
        <v>11</v>
      </c>
      <c r="B31" s="1" t="s">
        <v>44</v>
      </c>
      <c r="C31" s="1" t="s">
        <v>45</v>
      </c>
      <c r="D31">
        <v>12659</v>
      </c>
      <c r="E31" t="s">
        <v>12</v>
      </c>
      <c r="F31" t="s">
        <v>43</v>
      </c>
      <c r="G31">
        <v>2</v>
      </c>
      <c r="H31">
        <v>8</v>
      </c>
      <c r="I31" t="s">
        <v>46</v>
      </c>
      <c r="J31" cm="1">
        <f t="array" ref="J31">IFERROR(
    _xlfn.XLOOKUP(G31, 'Wedgewood Pharm-PME-Yr2-2025'!$E$4:$L$4,
        _xlfn.XLOOKUP('Rate Load'!H31, 'Wedgewood Pharm-PME-Yr2-2025'!$D$5:$D$28,
            'Wedgewood Pharm-PME-Yr2-2025'!$E$5:$L$28, 0, 0),
        0, 0),
    _xlfn.XLOOKUP(G31, 'Wedgewood Pharm-PME-Yr2-2025'!$E$4:$L$4,
        _xlfn.XLOOKUP('Rate Load'!L31, 'Wedgewood Pharm-PME-Yr2-2025'!$D$5:$D$28,
            'Wedgewood Pharm-PME-Yr2-2025'!$E$5:$L$28, 0, 0),
        0, 0)
)</f>
        <v>27.630000000000003</v>
      </c>
      <c r="K31" t="s">
        <v>47</v>
      </c>
      <c r="L31" t="s">
        <v>14</v>
      </c>
      <c r="M31" t="str">
        <f t="shared" si="0"/>
        <v>INSERT INTO TNL_RATING.dbo.usps_rate_master VALUES ('USPS', '2/13/2025', '2/13/2026', 12659, 'US', 'Priority Mail Express', 2, 8, 'L', 27.63, 'Wedgewood_USPS_2025', 'NonCubic');</v>
      </c>
    </row>
    <row r="32" spans="1:13" x14ac:dyDescent="0.3">
      <c r="A32" t="s">
        <v>11</v>
      </c>
      <c r="B32" s="1" t="s">
        <v>44</v>
      </c>
      <c r="C32" s="1" t="s">
        <v>45</v>
      </c>
      <c r="D32">
        <v>12659</v>
      </c>
      <c r="E32" t="s">
        <v>12</v>
      </c>
      <c r="F32" t="s">
        <v>43</v>
      </c>
      <c r="G32">
        <v>2</v>
      </c>
      <c r="H32">
        <v>9</v>
      </c>
      <c r="I32" t="s">
        <v>46</v>
      </c>
      <c r="J32" cm="1">
        <f t="array" ref="J32">IFERROR(
    _xlfn.XLOOKUP(G32, 'Wedgewood Pharm-PME-Yr2-2025'!$E$4:$L$4,
        _xlfn.XLOOKUP('Rate Load'!H32, 'Wedgewood Pharm-PME-Yr2-2025'!$D$5:$D$28,
            'Wedgewood Pharm-PME-Yr2-2025'!$E$5:$L$28, 0, 0),
        0, 0),
    _xlfn.XLOOKUP(G32, 'Wedgewood Pharm-PME-Yr2-2025'!$E$4:$L$4,
        _xlfn.XLOOKUP('Rate Load'!L32, 'Wedgewood Pharm-PME-Yr2-2025'!$D$5:$D$28,
            'Wedgewood Pharm-PME-Yr2-2025'!$E$5:$L$28, 0, 0),
        0, 0)
)</f>
        <v>29.84</v>
      </c>
      <c r="K32" t="s">
        <v>47</v>
      </c>
      <c r="L32" t="s">
        <v>14</v>
      </c>
      <c r="M32" t="str">
        <f t="shared" si="0"/>
        <v>INSERT INTO TNL_RATING.dbo.usps_rate_master VALUES ('USPS', '2/13/2025', '2/13/2026', 12659, 'US', 'Priority Mail Express', 2, 9, 'L', 29.84, 'Wedgewood_USPS_2025', 'NonCubic');</v>
      </c>
    </row>
    <row r="33" spans="1:13" x14ac:dyDescent="0.3">
      <c r="A33" t="s">
        <v>11</v>
      </c>
      <c r="B33" s="1" t="s">
        <v>44</v>
      </c>
      <c r="C33" s="1" t="s">
        <v>45</v>
      </c>
      <c r="D33">
        <v>12659</v>
      </c>
      <c r="E33" t="s">
        <v>12</v>
      </c>
      <c r="F33" t="s">
        <v>43</v>
      </c>
      <c r="G33">
        <v>2</v>
      </c>
      <c r="H33">
        <v>10</v>
      </c>
      <c r="I33" t="s">
        <v>46</v>
      </c>
      <c r="J33" cm="1">
        <f t="array" ref="J33">IFERROR(
    _xlfn.XLOOKUP(G33, 'Wedgewood Pharm-PME-Yr2-2025'!$E$4:$L$4,
        _xlfn.XLOOKUP('Rate Load'!H33, 'Wedgewood Pharm-PME-Yr2-2025'!$D$5:$D$28,
            'Wedgewood Pharm-PME-Yr2-2025'!$E$5:$L$28, 0, 0),
        0, 0),
    _xlfn.XLOOKUP(G33, 'Wedgewood Pharm-PME-Yr2-2025'!$E$4:$L$4,
        _xlfn.XLOOKUP('Rate Load'!L33, 'Wedgewood Pharm-PME-Yr2-2025'!$D$5:$D$28,
            'Wedgewood Pharm-PME-Yr2-2025'!$E$5:$L$28, 0, 0),
        0, 0)
)</f>
        <v>32.03</v>
      </c>
      <c r="K33" t="s">
        <v>47</v>
      </c>
      <c r="L33" t="s">
        <v>14</v>
      </c>
      <c r="M33" t="str">
        <f t="shared" si="0"/>
        <v>INSERT INTO TNL_RATING.dbo.usps_rate_master VALUES ('USPS', '2/13/2025', '2/13/2026', 12659, 'US', 'Priority Mail Express', 2, 10, 'L', 32.03, 'Wedgewood_USPS_2025', 'NonCubic');</v>
      </c>
    </row>
    <row r="34" spans="1:13" x14ac:dyDescent="0.3">
      <c r="A34" t="s">
        <v>11</v>
      </c>
      <c r="B34" s="1" t="s">
        <v>44</v>
      </c>
      <c r="C34" s="1" t="s">
        <v>45</v>
      </c>
      <c r="D34">
        <v>12659</v>
      </c>
      <c r="E34" t="s">
        <v>12</v>
      </c>
      <c r="F34" t="s">
        <v>43</v>
      </c>
      <c r="G34">
        <v>2</v>
      </c>
      <c r="H34">
        <v>11</v>
      </c>
      <c r="I34" t="s">
        <v>46</v>
      </c>
      <c r="J34" cm="1">
        <f t="array" ref="J34">IFERROR(
    _xlfn.XLOOKUP(G34, 'Wedgewood Pharm-PME-Yr2-2025'!$E$4:$L$4,
        _xlfn.XLOOKUP('Rate Load'!H34, 'Wedgewood Pharm-PME-Yr2-2025'!$D$5:$D$28,
            'Wedgewood Pharm-PME-Yr2-2025'!$E$5:$L$28, 0, 0),
        0, 0),
    _xlfn.XLOOKUP(G34, 'Wedgewood Pharm-PME-Yr2-2025'!$E$4:$L$4,
        _xlfn.XLOOKUP('Rate Load'!L34, 'Wedgewood Pharm-PME-Yr2-2025'!$D$5:$D$28,
            'Wedgewood Pharm-PME-Yr2-2025'!$E$5:$L$28, 0, 0),
        0, 0)
)</f>
        <v>34.169999999999995</v>
      </c>
      <c r="K34" t="s">
        <v>47</v>
      </c>
      <c r="L34" t="s">
        <v>14</v>
      </c>
      <c r="M34" t="str">
        <f t="shared" si="0"/>
        <v>INSERT INTO TNL_RATING.dbo.usps_rate_master VALUES ('USPS', '2/13/2025', '2/13/2026', 12659, 'US', 'Priority Mail Express', 2, 11, 'L', 34.17, 'Wedgewood_USPS_2025', 'NonCubic');</v>
      </c>
    </row>
    <row r="35" spans="1:13" x14ac:dyDescent="0.3">
      <c r="A35" t="s">
        <v>11</v>
      </c>
      <c r="B35" s="1" t="s">
        <v>44</v>
      </c>
      <c r="C35" s="1" t="s">
        <v>45</v>
      </c>
      <c r="D35">
        <v>12659</v>
      </c>
      <c r="E35" t="s">
        <v>12</v>
      </c>
      <c r="F35" t="s">
        <v>43</v>
      </c>
      <c r="G35">
        <v>2</v>
      </c>
      <c r="H35">
        <v>12</v>
      </c>
      <c r="I35" t="s">
        <v>46</v>
      </c>
      <c r="J35" cm="1">
        <f t="array" ref="J35">IFERROR(
    _xlfn.XLOOKUP(G35, 'Wedgewood Pharm-PME-Yr2-2025'!$E$4:$L$4,
        _xlfn.XLOOKUP('Rate Load'!H35, 'Wedgewood Pharm-PME-Yr2-2025'!$D$5:$D$28,
            'Wedgewood Pharm-PME-Yr2-2025'!$E$5:$L$28, 0, 0),
        0, 0),
    _xlfn.XLOOKUP(G35, 'Wedgewood Pharm-PME-Yr2-2025'!$E$4:$L$4,
        _xlfn.XLOOKUP('Rate Load'!L35, 'Wedgewood Pharm-PME-Yr2-2025'!$D$5:$D$28,
            'Wedgewood Pharm-PME-Yr2-2025'!$E$5:$L$28, 0, 0),
        0, 0)
)</f>
        <v>36.35</v>
      </c>
      <c r="K35" t="s">
        <v>47</v>
      </c>
      <c r="L35" t="s">
        <v>14</v>
      </c>
      <c r="M35" t="str">
        <f t="shared" si="0"/>
        <v>INSERT INTO TNL_RATING.dbo.usps_rate_master VALUES ('USPS', '2/13/2025', '2/13/2026', 12659, 'US', 'Priority Mail Express', 2, 12, 'L', 36.35, 'Wedgewood_USPS_2025', 'NonCubic');</v>
      </c>
    </row>
    <row r="36" spans="1:13" x14ac:dyDescent="0.3">
      <c r="A36" t="s">
        <v>11</v>
      </c>
      <c r="B36" s="1" t="s">
        <v>44</v>
      </c>
      <c r="C36" s="1" t="s">
        <v>45</v>
      </c>
      <c r="D36">
        <v>12659</v>
      </c>
      <c r="E36" t="s">
        <v>12</v>
      </c>
      <c r="F36" t="s">
        <v>43</v>
      </c>
      <c r="G36">
        <v>2</v>
      </c>
      <c r="H36">
        <v>13</v>
      </c>
      <c r="I36" t="s">
        <v>46</v>
      </c>
      <c r="J36" cm="1">
        <f t="array" ref="J36">IFERROR(
    _xlfn.XLOOKUP(G36, 'Wedgewood Pharm-PME-Yr2-2025'!$E$4:$L$4,
        _xlfn.XLOOKUP('Rate Load'!H36, 'Wedgewood Pharm-PME-Yr2-2025'!$D$5:$D$28,
            'Wedgewood Pharm-PME-Yr2-2025'!$E$5:$L$28, 0, 0),
        0, 0),
    _xlfn.XLOOKUP(G36, 'Wedgewood Pharm-PME-Yr2-2025'!$E$4:$L$4,
        _xlfn.XLOOKUP('Rate Load'!L36, 'Wedgewood Pharm-PME-Yr2-2025'!$D$5:$D$28,
            'Wedgewood Pharm-PME-Yr2-2025'!$E$5:$L$28, 0, 0),
        0, 0)
)</f>
        <v>38.51</v>
      </c>
      <c r="K36" t="s">
        <v>47</v>
      </c>
      <c r="L36" t="s">
        <v>14</v>
      </c>
      <c r="M36" t="str">
        <f t="shared" si="0"/>
        <v>INSERT INTO TNL_RATING.dbo.usps_rate_master VALUES ('USPS', '2/13/2025', '2/13/2026', 12659, 'US', 'Priority Mail Express', 2, 13, 'L', 38.51, 'Wedgewood_USPS_2025', 'NonCubic');</v>
      </c>
    </row>
    <row r="37" spans="1:13" x14ac:dyDescent="0.3">
      <c r="A37" t="s">
        <v>11</v>
      </c>
      <c r="B37" s="1" t="s">
        <v>44</v>
      </c>
      <c r="C37" s="1" t="s">
        <v>45</v>
      </c>
      <c r="D37">
        <v>12659</v>
      </c>
      <c r="E37" t="s">
        <v>12</v>
      </c>
      <c r="F37" t="s">
        <v>43</v>
      </c>
      <c r="G37">
        <v>2</v>
      </c>
      <c r="H37">
        <v>14</v>
      </c>
      <c r="I37" t="s">
        <v>46</v>
      </c>
      <c r="J37" cm="1">
        <f t="array" ref="J37">IFERROR(
    _xlfn.XLOOKUP(G37, 'Wedgewood Pharm-PME-Yr2-2025'!$E$4:$L$4,
        _xlfn.XLOOKUP('Rate Load'!H37, 'Wedgewood Pharm-PME-Yr2-2025'!$D$5:$D$28,
            'Wedgewood Pharm-PME-Yr2-2025'!$E$5:$L$28, 0, 0),
        0, 0),
    _xlfn.XLOOKUP(G37, 'Wedgewood Pharm-PME-Yr2-2025'!$E$4:$L$4,
        _xlfn.XLOOKUP('Rate Load'!L37, 'Wedgewood Pharm-PME-Yr2-2025'!$D$5:$D$28,
            'Wedgewood Pharm-PME-Yr2-2025'!$E$5:$L$28, 0, 0),
        0, 0)
)</f>
        <v>40.659999999999997</v>
      </c>
      <c r="K37" t="s">
        <v>47</v>
      </c>
      <c r="L37" t="s">
        <v>14</v>
      </c>
      <c r="M37" t="str">
        <f t="shared" si="0"/>
        <v>INSERT INTO TNL_RATING.dbo.usps_rate_master VALUES ('USPS', '2/13/2025', '2/13/2026', 12659, 'US', 'Priority Mail Express', 2, 14, 'L', 40.66, 'Wedgewood_USPS_2025', 'NonCubic');</v>
      </c>
    </row>
    <row r="38" spans="1:13" x14ac:dyDescent="0.3">
      <c r="A38" t="s">
        <v>11</v>
      </c>
      <c r="B38" s="1" t="s">
        <v>44</v>
      </c>
      <c r="C38" s="1" t="s">
        <v>45</v>
      </c>
      <c r="D38">
        <v>12659</v>
      </c>
      <c r="E38" t="s">
        <v>12</v>
      </c>
      <c r="F38" t="s">
        <v>43</v>
      </c>
      <c r="G38">
        <v>2</v>
      </c>
      <c r="H38">
        <v>15</v>
      </c>
      <c r="I38" t="s">
        <v>46</v>
      </c>
      <c r="J38" cm="1">
        <f t="array" ref="J38">IFERROR(
    _xlfn.XLOOKUP(G38, 'Wedgewood Pharm-PME-Yr2-2025'!$E$4:$L$4,
        _xlfn.XLOOKUP('Rate Load'!H38, 'Wedgewood Pharm-PME-Yr2-2025'!$D$5:$D$28,
            'Wedgewood Pharm-PME-Yr2-2025'!$E$5:$L$28, 0, 0),
        0, 0),
    _xlfn.XLOOKUP(G38, 'Wedgewood Pharm-PME-Yr2-2025'!$E$4:$L$4,
        _xlfn.XLOOKUP('Rate Load'!L38, 'Wedgewood Pharm-PME-Yr2-2025'!$D$5:$D$28,
            'Wedgewood Pharm-PME-Yr2-2025'!$E$5:$L$28, 0, 0),
        0, 0)
)</f>
        <v>42.82</v>
      </c>
      <c r="K38" t="s">
        <v>47</v>
      </c>
      <c r="L38" t="s">
        <v>14</v>
      </c>
      <c r="M38" t="str">
        <f t="shared" si="0"/>
        <v>INSERT INTO TNL_RATING.dbo.usps_rate_master VALUES ('USPS', '2/13/2025', '2/13/2026', 12659, 'US', 'Priority Mail Express', 2, 15, 'L', 42.82, 'Wedgewood_USPS_2025', 'NonCubic');</v>
      </c>
    </row>
    <row r="39" spans="1:13" x14ac:dyDescent="0.3">
      <c r="A39" t="s">
        <v>11</v>
      </c>
      <c r="B39" s="1" t="s">
        <v>44</v>
      </c>
      <c r="C39" s="1" t="s">
        <v>45</v>
      </c>
      <c r="D39">
        <v>12659</v>
      </c>
      <c r="E39" t="s">
        <v>12</v>
      </c>
      <c r="F39" t="s">
        <v>43</v>
      </c>
      <c r="G39">
        <v>2</v>
      </c>
      <c r="H39">
        <v>16</v>
      </c>
      <c r="I39" t="s">
        <v>46</v>
      </c>
      <c r="J39" cm="1">
        <f t="array" ref="J39">IFERROR(
    _xlfn.XLOOKUP(G39, 'Wedgewood Pharm-PME-Yr2-2025'!$E$4:$L$4,
        _xlfn.XLOOKUP('Rate Load'!H39, 'Wedgewood Pharm-PME-Yr2-2025'!$D$5:$D$28,
            'Wedgewood Pharm-PME-Yr2-2025'!$E$5:$L$28, 0, 0),
        0, 0),
    _xlfn.XLOOKUP(G39, 'Wedgewood Pharm-PME-Yr2-2025'!$E$4:$L$4,
        _xlfn.XLOOKUP('Rate Load'!L39, 'Wedgewood Pharm-PME-Yr2-2025'!$D$5:$D$28,
            'Wedgewood Pharm-PME-Yr2-2025'!$E$5:$L$28, 0, 0),
        0, 0)
)</f>
        <v>44.98</v>
      </c>
      <c r="K39" t="s">
        <v>47</v>
      </c>
      <c r="L39" t="s">
        <v>14</v>
      </c>
      <c r="M39" t="str">
        <f t="shared" si="0"/>
        <v>INSERT INTO TNL_RATING.dbo.usps_rate_master VALUES ('USPS', '2/13/2025', '2/13/2026', 12659, 'US', 'Priority Mail Express', 2, 16, 'L', 44.98, 'Wedgewood_USPS_2025', 'NonCubic');</v>
      </c>
    </row>
    <row r="40" spans="1:13" x14ac:dyDescent="0.3">
      <c r="A40" t="s">
        <v>11</v>
      </c>
      <c r="B40" s="1" t="s">
        <v>44</v>
      </c>
      <c r="C40" s="1" t="s">
        <v>45</v>
      </c>
      <c r="D40">
        <v>12659</v>
      </c>
      <c r="E40" t="s">
        <v>12</v>
      </c>
      <c r="F40" t="s">
        <v>43</v>
      </c>
      <c r="G40">
        <v>2</v>
      </c>
      <c r="H40">
        <v>17</v>
      </c>
      <c r="I40" t="s">
        <v>46</v>
      </c>
      <c r="J40" cm="1">
        <f t="array" ref="J40">IFERROR(
    _xlfn.XLOOKUP(G40, 'Wedgewood Pharm-PME-Yr2-2025'!$E$4:$L$4,
        _xlfn.XLOOKUP('Rate Load'!H40, 'Wedgewood Pharm-PME-Yr2-2025'!$D$5:$D$28,
            'Wedgewood Pharm-PME-Yr2-2025'!$E$5:$L$28, 0, 0),
        0, 0),
    _xlfn.XLOOKUP(G40, 'Wedgewood Pharm-PME-Yr2-2025'!$E$4:$L$4,
        _xlfn.XLOOKUP('Rate Load'!L40, 'Wedgewood Pharm-PME-Yr2-2025'!$D$5:$D$28,
            'Wedgewood Pharm-PME-Yr2-2025'!$E$5:$L$28, 0, 0),
        0, 0)
)</f>
        <v>47.129999999999995</v>
      </c>
      <c r="K40" t="s">
        <v>47</v>
      </c>
      <c r="L40" t="s">
        <v>14</v>
      </c>
      <c r="M40" t="str">
        <f t="shared" si="0"/>
        <v>INSERT INTO TNL_RATING.dbo.usps_rate_master VALUES ('USPS', '2/13/2025', '2/13/2026', 12659, 'US', 'Priority Mail Express', 2, 17, 'L', 47.13, 'Wedgewood_USPS_2025', 'NonCubic');</v>
      </c>
    </row>
    <row r="41" spans="1:13" x14ac:dyDescent="0.3">
      <c r="A41" t="s">
        <v>11</v>
      </c>
      <c r="B41" s="1" t="s">
        <v>44</v>
      </c>
      <c r="C41" s="1" t="s">
        <v>45</v>
      </c>
      <c r="D41">
        <v>12659</v>
      </c>
      <c r="E41" t="s">
        <v>12</v>
      </c>
      <c r="F41" t="s">
        <v>43</v>
      </c>
      <c r="G41">
        <v>2</v>
      </c>
      <c r="H41">
        <v>18</v>
      </c>
      <c r="I41" t="s">
        <v>46</v>
      </c>
      <c r="J41" cm="1">
        <f t="array" ref="J41">IFERROR(
    _xlfn.XLOOKUP(G41, 'Wedgewood Pharm-PME-Yr2-2025'!$E$4:$L$4,
        _xlfn.XLOOKUP('Rate Load'!H41, 'Wedgewood Pharm-PME-Yr2-2025'!$D$5:$D$28,
            'Wedgewood Pharm-PME-Yr2-2025'!$E$5:$L$28, 0, 0),
        0, 0),
    _xlfn.XLOOKUP(G41, 'Wedgewood Pharm-PME-Yr2-2025'!$E$4:$L$4,
        _xlfn.XLOOKUP('Rate Load'!L41, 'Wedgewood Pharm-PME-Yr2-2025'!$D$5:$D$28,
            'Wedgewood Pharm-PME-Yr2-2025'!$E$5:$L$28, 0, 0),
        0, 0)
)</f>
        <v>49.28</v>
      </c>
      <c r="K41" t="s">
        <v>47</v>
      </c>
      <c r="L41" t="s">
        <v>14</v>
      </c>
      <c r="M41" t="str">
        <f t="shared" si="0"/>
        <v>INSERT INTO TNL_RATING.dbo.usps_rate_master VALUES ('USPS', '2/13/2025', '2/13/2026', 12659, 'US', 'Priority Mail Express', 2, 18, 'L', 49.28, 'Wedgewood_USPS_2025', 'NonCubic');</v>
      </c>
    </row>
    <row r="42" spans="1:13" x14ac:dyDescent="0.3">
      <c r="A42" t="s">
        <v>11</v>
      </c>
      <c r="B42" s="1" t="s">
        <v>44</v>
      </c>
      <c r="C42" s="1" t="s">
        <v>45</v>
      </c>
      <c r="D42">
        <v>12659</v>
      </c>
      <c r="E42" t="s">
        <v>12</v>
      </c>
      <c r="F42" t="s">
        <v>43</v>
      </c>
      <c r="G42">
        <v>2</v>
      </c>
      <c r="H42">
        <v>19</v>
      </c>
      <c r="I42" t="s">
        <v>46</v>
      </c>
      <c r="J42" cm="1">
        <f t="array" ref="J42">IFERROR(
    _xlfn.XLOOKUP(G42, 'Wedgewood Pharm-PME-Yr2-2025'!$E$4:$L$4,
        _xlfn.XLOOKUP('Rate Load'!H42, 'Wedgewood Pharm-PME-Yr2-2025'!$D$5:$D$28,
            'Wedgewood Pharm-PME-Yr2-2025'!$E$5:$L$28, 0, 0),
        0, 0),
    _xlfn.XLOOKUP(G42, 'Wedgewood Pharm-PME-Yr2-2025'!$E$4:$L$4,
        _xlfn.XLOOKUP('Rate Load'!L42, 'Wedgewood Pharm-PME-Yr2-2025'!$D$5:$D$28,
            'Wedgewood Pharm-PME-Yr2-2025'!$E$5:$L$28, 0, 0),
        0, 0)
)</f>
        <v>51.449999999999996</v>
      </c>
      <c r="K42" t="s">
        <v>47</v>
      </c>
      <c r="L42" t="s">
        <v>14</v>
      </c>
      <c r="M42" t="str">
        <f t="shared" si="0"/>
        <v>INSERT INTO TNL_RATING.dbo.usps_rate_master VALUES ('USPS', '2/13/2025', '2/13/2026', 12659, 'US', 'Priority Mail Express', 2, 19, 'L', 51.45, 'Wedgewood_USPS_2025', 'NonCubic');</v>
      </c>
    </row>
    <row r="43" spans="1:13" x14ac:dyDescent="0.3">
      <c r="A43" t="s">
        <v>11</v>
      </c>
      <c r="B43" s="1" t="s">
        <v>44</v>
      </c>
      <c r="C43" s="1" t="s">
        <v>45</v>
      </c>
      <c r="D43">
        <v>12659</v>
      </c>
      <c r="E43" t="s">
        <v>12</v>
      </c>
      <c r="F43" t="s">
        <v>43</v>
      </c>
      <c r="G43">
        <v>2</v>
      </c>
      <c r="H43">
        <v>20</v>
      </c>
      <c r="I43" t="s">
        <v>46</v>
      </c>
      <c r="J43" cm="1">
        <f t="array" ref="J43">IFERROR(
    _xlfn.XLOOKUP(G43, 'Wedgewood Pharm-PME-Yr2-2025'!$E$4:$L$4,
        _xlfn.XLOOKUP('Rate Load'!H43, 'Wedgewood Pharm-PME-Yr2-2025'!$D$5:$D$28,
            'Wedgewood Pharm-PME-Yr2-2025'!$E$5:$L$28, 0, 0),
        0, 0),
    _xlfn.XLOOKUP(G43, 'Wedgewood Pharm-PME-Yr2-2025'!$E$4:$L$4,
        _xlfn.XLOOKUP('Rate Load'!L43, 'Wedgewood Pharm-PME-Yr2-2025'!$D$5:$D$28,
            'Wedgewood Pharm-PME-Yr2-2025'!$E$5:$L$28, 0, 0),
        0, 0)
)</f>
        <v>53.62</v>
      </c>
      <c r="K43" t="s">
        <v>47</v>
      </c>
      <c r="L43" t="s">
        <v>14</v>
      </c>
      <c r="M43" t="str">
        <f t="shared" si="0"/>
        <v>INSERT INTO TNL_RATING.dbo.usps_rate_master VALUES ('USPS', '2/13/2025', '2/13/2026', 12659, 'US', 'Priority Mail Express', 2, 20, 'L', 53.62, 'Wedgewood_USPS_2025', 'NonCubic');</v>
      </c>
    </row>
    <row r="44" spans="1:13" x14ac:dyDescent="0.3">
      <c r="A44" t="s">
        <v>11</v>
      </c>
      <c r="B44" s="1" t="s">
        <v>44</v>
      </c>
      <c r="C44" s="1" t="s">
        <v>45</v>
      </c>
      <c r="D44">
        <v>12659</v>
      </c>
      <c r="E44" t="s">
        <v>12</v>
      </c>
      <c r="F44" t="s">
        <v>43</v>
      </c>
      <c r="G44">
        <v>3</v>
      </c>
      <c r="H44">
        <v>0.5</v>
      </c>
      <c r="I44" t="s">
        <v>46</v>
      </c>
      <c r="J44" cm="1">
        <f t="array" ref="J44">IFERROR(
    _xlfn.XLOOKUP(G44, 'Wedgewood Pharm-PME-Yr2-2025'!$E$4:$L$4,
        _xlfn.XLOOKUP('Rate Load'!H44, 'Wedgewood Pharm-PME-Yr2-2025'!$D$5:$D$28,
            'Wedgewood Pharm-PME-Yr2-2025'!$E$5:$L$28, 0, 0),
        0, 0),
    _xlfn.XLOOKUP(G44, 'Wedgewood Pharm-PME-Yr2-2025'!$E$4:$L$4,
        _xlfn.XLOOKUP('Rate Load'!L44, 'Wedgewood Pharm-PME-Yr2-2025'!$D$5:$D$28,
            'Wedgewood Pharm-PME-Yr2-2025'!$E$5:$L$28, 0, 0),
        0, 0)
)</f>
        <v>13.9</v>
      </c>
      <c r="K44" t="s">
        <v>47</v>
      </c>
      <c r="L44" t="s">
        <v>14</v>
      </c>
      <c r="M44" t="str">
        <f t="shared" si="0"/>
        <v>INSERT INTO TNL_RATING.dbo.usps_rate_master VALUES ('USPS', '2/13/2025', '2/13/2026', 12659, 'US', 'Priority Mail Express', 3, 0.5, 'L', 13.9, 'Wedgewood_USPS_2025', 'NonCubic');</v>
      </c>
    </row>
    <row r="45" spans="1:13" x14ac:dyDescent="0.3">
      <c r="A45" t="s">
        <v>11</v>
      </c>
      <c r="B45" s="1" t="s">
        <v>44</v>
      </c>
      <c r="C45" s="1" t="s">
        <v>45</v>
      </c>
      <c r="D45">
        <v>12659</v>
      </c>
      <c r="E45" t="s">
        <v>12</v>
      </c>
      <c r="F45" t="s">
        <v>43</v>
      </c>
      <c r="G45">
        <v>3</v>
      </c>
      <c r="H45">
        <v>1</v>
      </c>
      <c r="I45" t="s">
        <v>46</v>
      </c>
      <c r="J45" cm="1">
        <f t="array" ref="J45">IFERROR(
    _xlfn.XLOOKUP(G45, 'Wedgewood Pharm-PME-Yr2-2025'!$E$4:$L$4,
        _xlfn.XLOOKUP('Rate Load'!H45, 'Wedgewood Pharm-PME-Yr2-2025'!$D$5:$D$28,
            'Wedgewood Pharm-PME-Yr2-2025'!$E$5:$L$28, 0, 0),
        0, 0),
    _xlfn.XLOOKUP(G45, 'Wedgewood Pharm-PME-Yr2-2025'!$E$4:$L$4,
        _xlfn.XLOOKUP('Rate Load'!L45, 'Wedgewood Pharm-PME-Yr2-2025'!$D$5:$D$28,
            'Wedgewood Pharm-PME-Yr2-2025'!$E$5:$L$28, 0, 0),
        0, 0)
)</f>
        <v>14.73</v>
      </c>
      <c r="K45" t="s">
        <v>47</v>
      </c>
      <c r="L45" t="s">
        <v>14</v>
      </c>
      <c r="M45" t="str">
        <f t="shared" si="0"/>
        <v>INSERT INTO TNL_RATING.dbo.usps_rate_master VALUES ('USPS', '2/13/2025', '2/13/2026', 12659, 'US', 'Priority Mail Express', 3, 1, 'L', 14.73, 'Wedgewood_USPS_2025', 'NonCubic');</v>
      </c>
    </row>
    <row r="46" spans="1:13" x14ac:dyDescent="0.3">
      <c r="A46" t="s">
        <v>11</v>
      </c>
      <c r="B46" s="1" t="s">
        <v>44</v>
      </c>
      <c r="C46" s="1" t="s">
        <v>45</v>
      </c>
      <c r="D46">
        <v>12659</v>
      </c>
      <c r="E46" t="s">
        <v>12</v>
      </c>
      <c r="F46" t="s">
        <v>43</v>
      </c>
      <c r="G46">
        <v>3</v>
      </c>
      <c r="H46">
        <v>2</v>
      </c>
      <c r="I46" t="s">
        <v>46</v>
      </c>
      <c r="J46" cm="1">
        <f t="array" ref="J46">IFERROR(
    _xlfn.XLOOKUP(G46, 'Wedgewood Pharm-PME-Yr2-2025'!$E$4:$L$4,
        _xlfn.XLOOKUP('Rate Load'!H46, 'Wedgewood Pharm-PME-Yr2-2025'!$D$5:$D$28,
            'Wedgewood Pharm-PME-Yr2-2025'!$E$5:$L$28, 0, 0),
        0, 0),
    _xlfn.XLOOKUP(G46, 'Wedgewood Pharm-PME-Yr2-2025'!$E$4:$L$4,
        _xlfn.XLOOKUP('Rate Load'!L46, 'Wedgewood Pharm-PME-Yr2-2025'!$D$5:$D$28,
            'Wedgewood Pharm-PME-Yr2-2025'!$E$5:$L$28, 0, 0),
        0, 0)
)</f>
        <v>16.380000000000003</v>
      </c>
      <c r="K46" t="s">
        <v>47</v>
      </c>
      <c r="L46" t="s">
        <v>14</v>
      </c>
      <c r="M46" t="str">
        <f t="shared" si="0"/>
        <v>INSERT INTO TNL_RATING.dbo.usps_rate_master VALUES ('USPS', '2/13/2025', '2/13/2026', 12659, 'US', 'Priority Mail Express', 3, 2, 'L', 16.38, 'Wedgewood_USPS_2025', 'NonCubic');</v>
      </c>
    </row>
    <row r="47" spans="1:13" x14ac:dyDescent="0.3">
      <c r="A47" t="s">
        <v>11</v>
      </c>
      <c r="B47" s="1" t="s">
        <v>44</v>
      </c>
      <c r="C47" s="1" t="s">
        <v>45</v>
      </c>
      <c r="D47">
        <v>12659</v>
      </c>
      <c r="E47" t="s">
        <v>12</v>
      </c>
      <c r="F47" t="s">
        <v>43</v>
      </c>
      <c r="G47">
        <v>3</v>
      </c>
      <c r="H47">
        <v>3</v>
      </c>
      <c r="I47" t="s">
        <v>46</v>
      </c>
      <c r="J47" cm="1">
        <f t="array" ref="J47">IFERROR(
    _xlfn.XLOOKUP(G47, 'Wedgewood Pharm-PME-Yr2-2025'!$E$4:$L$4,
        _xlfn.XLOOKUP('Rate Load'!H47, 'Wedgewood Pharm-PME-Yr2-2025'!$D$5:$D$28,
            'Wedgewood Pharm-PME-Yr2-2025'!$E$5:$L$28, 0, 0),
        0, 0),
    _xlfn.XLOOKUP(G47, 'Wedgewood Pharm-PME-Yr2-2025'!$E$4:$L$4,
        _xlfn.XLOOKUP('Rate Load'!L47, 'Wedgewood Pharm-PME-Yr2-2025'!$D$5:$D$28,
            'Wedgewood Pharm-PME-Yr2-2025'!$E$5:$L$28, 0, 0),
        0, 0)
)</f>
        <v>18.420000000000002</v>
      </c>
      <c r="K47" t="s">
        <v>47</v>
      </c>
      <c r="L47" t="s">
        <v>14</v>
      </c>
      <c r="M47" t="str">
        <f t="shared" si="0"/>
        <v>INSERT INTO TNL_RATING.dbo.usps_rate_master VALUES ('USPS', '2/13/2025', '2/13/2026', 12659, 'US', 'Priority Mail Express', 3, 3, 'L', 18.42, 'Wedgewood_USPS_2025', 'NonCubic');</v>
      </c>
    </row>
    <row r="48" spans="1:13" x14ac:dyDescent="0.3">
      <c r="A48" t="s">
        <v>11</v>
      </c>
      <c r="B48" s="1" t="s">
        <v>44</v>
      </c>
      <c r="C48" s="1" t="s">
        <v>45</v>
      </c>
      <c r="D48">
        <v>12659</v>
      </c>
      <c r="E48" t="s">
        <v>12</v>
      </c>
      <c r="F48" t="s">
        <v>43</v>
      </c>
      <c r="G48">
        <v>3</v>
      </c>
      <c r="H48">
        <v>4</v>
      </c>
      <c r="I48" t="s">
        <v>46</v>
      </c>
      <c r="J48" cm="1">
        <f t="array" ref="J48">IFERROR(
    _xlfn.XLOOKUP(G48, 'Wedgewood Pharm-PME-Yr2-2025'!$E$4:$L$4,
        _xlfn.XLOOKUP('Rate Load'!H48, 'Wedgewood Pharm-PME-Yr2-2025'!$D$5:$D$28,
            'Wedgewood Pharm-PME-Yr2-2025'!$E$5:$L$28, 0, 0),
        0, 0),
    _xlfn.XLOOKUP(G48, 'Wedgewood Pharm-PME-Yr2-2025'!$E$4:$L$4,
        _xlfn.XLOOKUP('Rate Load'!L48, 'Wedgewood Pharm-PME-Yr2-2025'!$D$5:$D$28,
            'Wedgewood Pharm-PME-Yr2-2025'!$E$5:$L$28, 0, 0),
        0, 0)
)</f>
        <v>20.46</v>
      </c>
      <c r="K48" t="s">
        <v>47</v>
      </c>
      <c r="L48" t="s">
        <v>14</v>
      </c>
      <c r="M48" t="str">
        <f t="shared" si="0"/>
        <v>INSERT INTO TNL_RATING.dbo.usps_rate_master VALUES ('USPS', '2/13/2025', '2/13/2026', 12659, 'US', 'Priority Mail Express', 3, 4, 'L', 20.46, 'Wedgewood_USPS_2025', 'NonCubic');</v>
      </c>
    </row>
    <row r="49" spans="1:13" x14ac:dyDescent="0.3">
      <c r="A49" t="s">
        <v>11</v>
      </c>
      <c r="B49" s="1" t="s">
        <v>44</v>
      </c>
      <c r="C49" s="1" t="s">
        <v>45</v>
      </c>
      <c r="D49">
        <v>12659</v>
      </c>
      <c r="E49" t="s">
        <v>12</v>
      </c>
      <c r="F49" t="s">
        <v>43</v>
      </c>
      <c r="G49">
        <v>3</v>
      </c>
      <c r="H49">
        <v>5</v>
      </c>
      <c r="I49" t="s">
        <v>46</v>
      </c>
      <c r="J49" cm="1">
        <f t="array" ref="J49">IFERROR(
    _xlfn.XLOOKUP(G49, 'Wedgewood Pharm-PME-Yr2-2025'!$E$4:$L$4,
        _xlfn.XLOOKUP('Rate Load'!H49, 'Wedgewood Pharm-PME-Yr2-2025'!$D$5:$D$28,
            'Wedgewood Pharm-PME-Yr2-2025'!$E$5:$L$28, 0, 0),
        0, 0),
    _xlfn.XLOOKUP(G49, 'Wedgewood Pharm-PME-Yr2-2025'!$E$4:$L$4,
        _xlfn.XLOOKUP('Rate Load'!L49, 'Wedgewood Pharm-PME-Yr2-2025'!$D$5:$D$28,
            'Wedgewood Pharm-PME-Yr2-2025'!$E$5:$L$28, 0, 0),
        0, 0)
)</f>
        <v>22.51</v>
      </c>
      <c r="K49" t="s">
        <v>47</v>
      </c>
      <c r="L49" t="s">
        <v>14</v>
      </c>
      <c r="M49" t="str">
        <f t="shared" si="0"/>
        <v>INSERT INTO TNL_RATING.dbo.usps_rate_master VALUES ('USPS', '2/13/2025', '2/13/2026', 12659, 'US', 'Priority Mail Express', 3, 5, 'L', 22.51, 'Wedgewood_USPS_2025', 'NonCubic');</v>
      </c>
    </row>
    <row r="50" spans="1:13" x14ac:dyDescent="0.3">
      <c r="A50" t="s">
        <v>11</v>
      </c>
      <c r="B50" s="1" t="s">
        <v>44</v>
      </c>
      <c r="C50" s="1" t="s">
        <v>45</v>
      </c>
      <c r="D50">
        <v>12659</v>
      </c>
      <c r="E50" t="s">
        <v>12</v>
      </c>
      <c r="F50" t="s">
        <v>43</v>
      </c>
      <c r="G50">
        <v>3</v>
      </c>
      <c r="H50">
        <v>6</v>
      </c>
      <c r="I50" t="s">
        <v>46</v>
      </c>
      <c r="J50" cm="1">
        <f t="array" ref="J50">IFERROR(
    _xlfn.XLOOKUP(G50, 'Wedgewood Pharm-PME-Yr2-2025'!$E$4:$L$4,
        _xlfn.XLOOKUP('Rate Load'!H50, 'Wedgewood Pharm-PME-Yr2-2025'!$D$5:$D$28,
            'Wedgewood Pharm-PME-Yr2-2025'!$E$5:$L$28, 0, 0),
        0, 0),
    _xlfn.XLOOKUP(G50, 'Wedgewood Pharm-PME-Yr2-2025'!$E$4:$L$4,
        _xlfn.XLOOKUP('Rate Load'!L50, 'Wedgewood Pharm-PME-Yr2-2025'!$D$5:$D$28,
            'Wedgewood Pharm-PME-Yr2-2025'!$E$5:$L$28, 0, 0),
        0, 0)
)</f>
        <v>24.87</v>
      </c>
      <c r="K50" t="s">
        <v>47</v>
      </c>
      <c r="L50" t="s">
        <v>14</v>
      </c>
      <c r="M50" t="str">
        <f t="shared" si="0"/>
        <v>INSERT INTO TNL_RATING.dbo.usps_rate_master VALUES ('USPS', '2/13/2025', '2/13/2026', 12659, 'US', 'Priority Mail Express', 3, 6, 'L', 24.87, 'Wedgewood_USPS_2025', 'NonCubic');</v>
      </c>
    </row>
    <row r="51" spans="1:13" x14ac:dyDescent="0.3">
      <c r="A51" t="s">
        <v>11</v>
      </c>
      <c r="B51" s="1" t="s">
        <v>44</v>
      </c>
      <c r="C51" s="1" t="s">
        <v>45</v>
      </c>
      <c r="D51">
        <v>12659</v>
      </c>
      <c r="E51" t="s">
        <v>12</v>
      </c>
      <c r="F51" t="s">
        <v>43</v>
      </c>
      <c r="G51">
        <v>3</v>
      </c>
      <c r="H51">
        <v>7</v>
      </c>
      <c r="I51" t="s">
        <v>46</v>
      </c>
      <c r="J51" cm="1">
        <f t="array" ref="J51">IFERROR(
    _xlfn.XLOOKUP(G51, 'Wedgewood Pharm-PME-Yr2-2025'!$E$4:$L$4,
        _xlfn.XLOOKUP('Rate Load'!H51, 'Wedgewood Pharm-PME-Yr2-2025'!$D$5:$D$28,
            'Wedgewood Pharm-PME-Yr2-2025'!$E$5:$L$28, 0, 0),
        0, 0),
    _xlfn.XLOOKUP(G51, 'Wedgewood Pharm-PME-Yr2-2025'!$E$4:$L$4,
        _xlfn.XLOOKUP('Rate Load'!L51, 'Wedgewood Pharm-PME-Yr2-2025'!$D$5:$D$28,
            'Wedgewood Pharm-PME-Yr2-2025'!$E$5:$L$28, 0, 0),
        0, 0)
)</f>
        <v>27.23</v>
      </c>
      <c r="K51" t="s">
        <v>47</v>
      </c>
      <c r="L51" t="s">
        <v>14</v>
      </c>
      <c r="M51" t="str">
        <f t="shared" si="0"/>
        <v>INSERT INTO TNL_RATING.dbo.usps_rate_master VALUES ('USPS', '2/13/2025', '2/13/2026', 12659, 'US', 'Priority Mail Express', 3, 7, 'L', 27.23, 'Wedgewood_USPS_2025', 'NonCubic');</v>
      </c>
    </row>
    <row r="52" spans="1:13" x14ac:dyDescent="0.3">
      <c r="A52" t="s">
        <v>11</v>
      </c>
      <c r="B52" s="1" t="s">
        <v>44</v>
      </c>
      <c r="C52" s="1" t="s">
        <v>45</v>
      </c>
      <c r="D52">
        <v>12659</v>
      </c>
      <c r="E52" t="s">
        <v>12</v>
      </c>
      <c r="F52" t="s">
        <v>43</v>
      </c>
      <c r="G52">
        <v>3</v>
      </c>
      <c r="H52">
        <v>8</v>
      </c>
      <c r="I52" t="s">
        <v>46</v>
      </c>
      <c r="J52" cm="1">
        <f t="array" ref="J52">IFERROR(
    _xlfn.XLOOKUP(G52, 'Wedgewood Pharm-PME-Yr2-2025'!$E$4:$L$4,
        _xlfn.XLOOKUP('Rate Load'!H52, 'Wedgewood Pharm-PME-Yr2-2025'!$D$5:$D$28,
            'Wedgewood Pharm-PME-Yr2-2025'!$E$5:$L$28, 0, 0),
        0, 0),
    _xlfn.XLOOKUP(G52, 'Wedgewood Pharm-PME-Yr2-2025'!$E$4:$L$4,
        _xlfn.XLOOKUP('Rate Load'!L52, 'Wedgewood Pharm-PME-Yr2-2025'!$D$5:$D$28,
            'Wedgewood Pharm-PME-Yr2-2025'!$E$5:$L$28, 0, 0),
        0, 0)
)</f>
        <v>29.57</v>
      </c>
      <c r="K52" t="s">
        <v>47</v>
      </c>
      <c r="L52" t="s">
        <v>14</v>
      </c>
      <c r="M52" t="str">
        <f t="shared" si="0"/>
        <v>INSERT INTO TNL_RATING.dbo.usps_rate_master VALUES ('USPS', '2/13/2025', '2/13/2026', 12659, 'US', 'Priority Mail Express', 3, 8, 'L', 29.57, 'Wedgewood_USPS_2025', 'NonCubic');</v>
      </c>
    </row>
    <row r="53" spans="1:13" x14ac:dyDescent="0.3">
      <c r="A53" t="s">
        <v>11</v>
      </c>
      <c r="B53" s="1" t="s">
        <v>44</v>
      </c>
      <c r="C53" s="1" t="s">
        <v>45</v>
      </c>
      <c r="D53">
        <v>12659</v>
      </c>
      <c r="E53" t="s">
        <v>12</v>
      </c>
      <c r="F53" t="s">
        <v>43</v>
      </c>
      <c r="G53">
        <v>3</v>
      </c>
      <c r="H53">
        <v>9</v>
      </c>
      <c r="I53" t="s">
        <v>46</v>
      </c>
      <c r="J53" cm="1">
        <f t="array" ref="J53">IFERROR(
    _xlfn.XLOOKUP(G53, 'Wedgewood Pharm-PME-Yr2-2025'!$E$4:$L$4,
        _xlfn.XLOOKUP('Rate Load'!H53, 'Wedgewood Pharm-PME-Yr2-2025'!$D$5:$D$28,
            'Wedgewood Pharm-PME-Yr2-2025'!$E$5:$L$28, 0, 0),
        0, 0),
    _xlfn.XLOOKUP(G53, 'Wedgewood Pharm-PME-Yr2-2025'!$E$4:$L$4,
        _xlfn.XLOOKUP('Rate Load'!L53, 'Wedgewood Pharm-PME-Yr2-2025'!$D$5:$D$28,
            'Wedgewood Pharm-PME-Yr2-2025'!$E$5:$L$28, 0, 0),
        0, 0)
)</f>
        <v>31.94</v>
      </c>
      <c r="K53" t="s">
        <v>47</v>
      </c>
      <c r="L53" t="s">
        <v>14</v>
      </c>
      <c r="M53" t="str">
        <f t="shared" si="0"/>
        <v>INSERT INTO TNL_RATING.dbo.usps_rate_master VALUES ('USPS', '2/13/2025', '2/13/2026', 12659, 'US', 'Priority Mail Express', 3, 9, 'L', 31.94, 'Wedgewood_USPS_2025', 'NonCubic');</v>
      </c>
    </row>
    <row r="54" spans="1:13" x14ac:dyDescent="0.3">
      <c r="A54" t="s">
        <v>11</v>
      </c>
      <c r="B54" s="1" t="s">
        <v>44</v>
      </c>
      <c r="C54" s="1" t="s">
        <v>45</v>
      </c>
      <c r="D54">
        <v>12659</v>
      </c>
      <c r="E54" t="s">
        <v>12</v>
      </c>
      <c r="F54" t="s">
        <v>43</v>
      </c>
      <c r="G54">
        <v>3</v>
      </c>
      <c r="H54">
        <v>10</v>
      </c>
      <c r="I54" t="s">
        <v>46</v>
      </c>
      <c r="J54" cm="1">
        <f t="array" ref="J54">IFERROR(
    _xlfn.XLOOKUP(G54, 'Wedgewood Pharm-PME-Yr2-2025'!$E$4:$L$4,
        _xlfn.XLOOKUP('Rate Load'!H54, 'Wedgewood Pharm-PME-Yr2-2025'!$D$5:$D$28,
            'Wedgewood Pharm-PME-Yr2-2025'!$E$5:$L$28, 0, 0),
        0, 0),
    _xlfn.XLOOKUP(G54, 'Wedgewood Pharm-PME-Yr2-2025'!$E$4:$L$4,
        _xlfn.XLOOKUP('Rate Load'!L54, 'Wedgewood Pharm-PME-Yr2-2025'!$D$5:$D$28,
            'Wedgewood Pharm-PME-Yr2-2025'!$E$5:$L$28, 0, 0),
        0, 0)
)</f>
        <v>34.29</v>
      </c>
      <c r="K54" t="s">
        <v>47</v>
      </c>
      <c r="L54" t="s">
        <v>14</v>
      </c>
      <c r="M54" t="str">
        <f t="shared" si="0"/>
        <v>INSERT INTO TNL_RATING.dbo.usps_rate_master VALUES ('USPS', '2/13/2025', '2/13/2026', 12659, 'US', 'Priority Mail Express', 3, 10, 'L', 34.29, 'Wedgewood_USPS_2025', 'NonCubic');</v>
      </c>
    </row>
    <row r="55" spans="1:13" x14ac:dyDescent="0.3">
      <c r="A55" t="s">
        <v>11</v>
      </c>
      <c r="B55" s="1" t="s">
        <v>44</v>
      </c>
      <c r="C55" s="1" t="s">
        <v>45</v>
      </c>
      <c r="D55">
        <v>12659</v>
      </c>
      <c r="E55" t="s">
        <v>12</v>
      </c>
      <c r="F55" t="s">
        <v>43</v>
      </c>
      <c r="G55">
        <v>3</v>
      </c>
      <c r="H55">
        <v>11</v>
      </c>
      <c r="I55" t="s">
        <v>46</v>
      </c>
      <c r="J55" cm="1">
        <f t="array" ref="J55">IFERROR(
    _xlfn.XLOOKUP(G55, 'Wedgewood Pharm-PME-Yr2-2025'!$E$4:$L$4,
        _xlfn.XLOOKUP('Rate Load'!H55, 'Wedgewood Pharm-PME-Yr2-2025'!$D$5:$D$28,
            'Wedgewood Pharm-PME-Yr2-2025'!$E$5:$L$28, 0, 0),
        0, 0),
    _xlfn.XLOOKUP(G55, 'Wedgewood Pharm-PME-Yr2-2025'!$E$4:$L$4,
        _xlfn.XLOOKUP('Rate Load'!L55, 'Wedgewood Pharm-PME-Yr2-2025'!$D$5:$D$28,
            'Wedgewood Pharm-PME-Yr2-2025'!$E$5:$L$28, 0, 0),
        0, 0)
)</f>
        <v>36.79</v>
      </c>
      <c r="K55" t="s">
        <v>47</v>
      </c>
      <c r="L55" t="s">
        <v>14</v>
      </c>
      <c r="M55" t="str">
        <f t="shared" si="0"/>
        <v>INSERT INTO TNL_RATING.dbo.usps_rate_master VALUES ('USPS', '2/13/2025', '2/13/2026', 12659, 'US', 'Priority Mail Express', 3, 11, 'L', 36.79, 'Wedgewood_USPS_2025', 'NonCubic');</v>
      </c>
    </row>
    <row r="56" spans="1:13" x14ac:dyDescent="0.3">
      <c r="A56" t="s">
        <v>11</v>
      </c>
      <c r="B56" s="1" t="s">
        <v>44</v>
      </c>
      <c r="C56" s="1" t="s">
        <v>45</v>
      </c>
      <c r="D56">
        <v>12659</v>
      </c>
      <c r="E56" t="s">
        <v>12</v>
      </c>
      <c r="F56" t="s">
        <v>43</v>
      </c>
      <c r="G56">
        <v>3</v>
      </c>
      <c r="H56">
        <v>12</v>
      </c>
      <c r="I56" t="s">
        <v>46</v>
      </c>
      <c r="J56" cm="1">
        <f t="array" ref="J56">IFERROR(
    _xlfn.XLOOKUP(G56, 'Wedgewood Pharm-PME-Yr2-2025'!$E$4:$L$4,
        _xlfn.XLOOKUP('Rate Load'!H56, 'Wedgewood Pharm-PME-Yr2-2025'!$D$5:$D$28,
            'Wedgewood Pharm-PME-Yr2-2025'!$E$5:$L$28, 0, 0),
        0, 0),
    _xlfn.XLOOKUP(G56, 'Wedgewood Pharm-PME-Yr2-2025'!$E$4:$L$4,
        _xlfn.XLOOKUP('Rate Load'!L56, 'Wedgewood Pharm-PME-Yr2-2025'!$D$5:$D$28,
            'Wedgewood Pharm-PME-Yr2-2025'!$E$5:$L$28, 0, 0),
        0, 0)
)</f>
        <v>39.299999999999997</v>
      </c>
      <c r="K56" t="s">
        <v>47</v>
      </c>
      <c r="L56" t="s">
        <v>14</v>
      </c>
      <c r="M56" t="str">
        <f t="shared" si="0"/>
        <v>INSERT INTO TNL_RATING.dbo.usps_rate_master VALUES ('USPS', '2/13/2025', '2/13/2026', 12659, 'US', 'Priority Mail Express', 3, 12, 'L', 39.3, 'Wedgewood_USPS_2025', 'NonCubic');</v>
      </c>
    </row>
    <row r="57" spans="1:13" x14ac:dyDescent="0.3">
      <c r="A57" t="s">
        <v>11</v>
      </c>
      <c r="B57" s="1" t="s">
        <v>44</v>
      </c>
      <c r="C57" s="1" t="s">
        <v>45</v>
      </c>
      <c r="D57">
        <v>12659</v>
      </c>
      <c r="E57" t="s">
        <v>12</v>
      </c>
      <c r="F57" t="s">
        <v>43</v>
      </c>
      <c r="G57">
        <v>3</v>
      </c>
      <c r="H57">
        <v>13</v>
      </c>
      <c r="I57" t="s">
        <v>46</v>
      </c>
      <c r="J57" cm="1">
        <f t="array" ref="J57">IFERROR(
    _xlfn.XLOOKUP(G57, 'Wedgewood Pharm-PME-Yr2-2025'!$E$4:$L$4,
        _xlfn.XLOOKUP('Rate Load'!H57, 'Wedgewood Pharm-PME-Yr2-2025'!$D$5:$D$28,
            'Wedgewood Pharm-PME-Yr2-2025'!$E$5:$L$28, 0, 0),
        0, 0),
    _xlfn.XLOOKUP(G57, 'Wedgewood Pharm-PME-Yr2-2025'!$E$4:$L$4,
        _xlfn.XLOOKUP('Rate Load'!L57, 'Wedgewood Pharm-PME-Yr2-2025'!$D$5:$D$28,
            'Wedgewood Pharm-PME-Yr2-2025'!$E$5:$L$28, 0, 0),
        0, 0)
)</f>
        <v>41.8</v>
      </c>
      <c r="K57" t="s">
        <v>47</v>
      </c>
      <c r="L57" t="s">
        <v>14</v>
      </c>
      <c r="M57" t="str">
        <f t="shared" si="0"/>
        <v>INSERT INTO TNL_RATING.dbo.usps_rate_master VALUES ('USPS', '2/13/2025', '2/13/2026', 12659, 'US', 'Priority Mail Express', 3, 13, 'L', 41.8, 'Wedgewood_USPS_2025', 'NonCubic');</v>
      </c>
    </row>
    <row r="58" spans="1:13" x14ac:dyDescent="0.3">
      <c r="A58" t="s">
        <v>11</v>
      </c>
      <c r="B58" s="1" t="s">
        <v>44</v>
      </c>
      <c r="C58" s="1" t="s">
        <v>45</v>
      </c>
      <c r="D58">
        <v>12659</v>
      </c>
      <c r="E58" t="s">
        <v>12</v>
      </c>
      <c r="F58" t="s">
        <v>43</v>
      </c>
      <c r="G58">
        <v>3</v>
      </c>
      <c r="H58">
        <v>14</v>
      </c>
      <c r="I58" t="s">
        <v>46</v>
      </c>
      <c r="J58" cm="1">
        <f t="array" ref="J58">IFERROR(
    _xlfn.XLOOKUP(G58, 'Wedgewood Pharm-PME-Yr2-2025'!$E$4:$L$4,
        _xlfn.XLOOKUP('Rate Load'!H58, 'Wedgewood Pharm-PME-Yr2-2025'!$D$5:$D$28,
            'Wedgewood Pharm-PME-Yr2-2025'!$E$5:$L$28, 0, 0),
        0, 0),
    _xlfn.XLOOKUP(G58, 'Wedgewood Pharm-PME-Yr2-2025'!$E$4:$L$4,
        _xlfn.XLOOKUP('Rate Load'!L58, 'Wedgewood Pharm-PME-Yr2-2025'!$D$5:$D$28,
            'Wedgewood Pharm-PME-Yr2-2025'!$E$5:$L$28, 0, 0),
        0, 0)
)</f>
        <v>44.32</v>
      </c>
      <c r="K58" t="s">
        <v>47</v>
      </c>
      <c r="L58" t="s">
        <v>14</v>
      </c>
      <c r="M58" t="str">
        <f t="shared" si="0"/>
        <v>INSERT INTO TNL_RATING.dbo.usps_rate_master VALUES ('USPS', '2/13/2025', '2/13/2026', 12659, 'US', 'Priority Mail Express', 3, 14, 'L', 44.32, 'Wedgewood_USPS_2025', 'NonCubic');</v>
      </c>
    </row>
    <row r="59" spans="1:13" x14ac:dyDescent="0.3">
      <c r="A59" t="s">
        <v>11</v>
      </c>
      <c r="B59" s="1" t="s">
        <v>44</v>
      </c>
      <c r="C59" s="1" t="s">
        <v>45</v>
      </c>
      <c r="D59">
        <v>12659</v>
      </c>
      <c r="E59" t="s">
        <v>12</v>
      </c>
      <c r="F59" t="s">
        <v>43</v>
      </c>
      <c r="G59">
        <v>3</v>
      </c>
      <c r="H59">
        <v>15</v>
      </c>
      <c r="I59" t="s">
        <v>46</v>
      </c>
      <c r="J59" cm="1">
        <f t="array" ref="J59">IFERROR(
    _xlfn.XLOOKUP(G59, 'Wedgewood Pharm-PME-Yr2-2025'!$E$4:$L$4,
        _xlfn.XLOOKUP('Rate Load'!H59, 'Wedgewood Pharm-PME-Yr2-2025'!$D$5:$D$28,
            'Wedgewood Pharm-PME-Yr2-2025'!$E$5:$L$28, 0, 0),
        0, 0),
    _xlfn.XLOOKUP(G59, 'Wedgewood Pharm-PME-Yr2-2025'!$E$4:$L$4,
        _xlfn.XLOOKUP('Rate Load'!L59, 'Wedgewood Pharm-PME-Yr2-2025'!$D$5:$D$28,
            'Wedgewood Pharm-PME-Yr2-2025'!$E$5:$L$28, 0, 0),
        0, 0)
)</f>
        <v>46.82</v>
      </c>
      <c r="K59" t="s">
        <v>47</v>
      </c>
      <c r="L59" t="s">
        <v>14</v>
      </c>
      <c r="M59" t="str">
        <f t="shared" si="0"/>
        <v>INSERT INTO TNL_RATING.dbo.usps_rate_master VALUES ('USPS', '2/13/2025', '2/13/2026', 12659, 'US', 'Priority Mail Express', 3, 15, 'L', 46.82, 'Wedgewood_USPS_2025', 'NonCubic');</v>
      </c>
    </row>
    <row r="60" spans="1:13" x14ac:dyDescent="0.3">
      <c r="A60" t="s">
        <v>11</v>
      </c>
      <c r="B60" s="1" t="s">
        <v>44</v>
      </c>
      <c r="C60" s="1" t="s">
        <v>45</v>
      </c>
      <c r="D60">
        <v>12659</v>
      </c>
      <c r="E60" t="s">
        <v>12</v>
      </c>
      <c r="F60" t="s">
        <v>43</v>
      </c>
      <c r="G60">
        <v>3</v>
      </c>
      <c r="H60">
        <v>16</v>
      </c>
      <c r="I60" t="s">
        <v>46</v>
      </c>
      <c r="J60" cm="1">
        <f t="array" ref="J60">IFERROR(
    _xlfn.XLOOKUP(G60, 'Wedgewood Pharm-PME-Yr2-2025'!$E$4:$L$4,
        _xlfn.XLOOKUP('Rate Load'!H60, 'Wedgewood Pharm-PME-Yr2-2025'!$D$5:$D$28,
            'Wedgewood Pharm-PME-Yr2-2025'!$E$5:$L$28, 0, 0),
        0, 0),
    _xlfn.XLOOKUP(G60, 'Wedgewood Pharm-PME-Yr2-2025'!$E$4:$L$4,
        _xlfn.XLOOKUP('Rate Load'!L60, 'Wedgewood Pharm-PME-Yr2-2025'!$D$5:$D$28,
            'Wedgewood Pharm-PME-Yr2-2025'!$E$5:$L$28, 0, 0),
        0, 0)
)</f>
        <v>49.309999999999995</v>
      </c>
      <c r="K60" t="s">
        <v>47</v>
      </c>
      <c r="L60" t="s">
        <v>14</v>
      </c>
      <c r="M60" t="str">
        <f t="shared" si="0"/>
        <v>INSERT INTO TNL_RATING.dbo.usps_rate_master VALUES ('USPS', '2/13/2025', '2/13/2026', 12659, 'US', 'Priority Mail Express', 3, 16, 'L', 49.31, 'Wedgewood_USPS_2025', 'NonCubic');</v>
      </c>
    </row>
    <row r="61" spans="1:13" x14ac:dyDescent="0.3">
      <c r="A61" t="s">
        <v>11</v>
      </c>
      <c r="B61" s="1" t="s">
        <v>44</v>
      </c>
      <c r="C61" s="1" t="s">
        <v>45</v>
      </c>
      <c r="D61">
        <v>12659</v>
      </c>
      <c r="E61" t="s">
        <v>12</v>
      </c>
      <c r="F61" t="s">
        <v>43</v>
      </c>
      <c r="G61">
        <v>3</v>
      </c>
      <c r="H61">
        <v>17</v>
      </c>
      <c r="I61" t="s">
        <v>46</v>
      </c>
      <c r="J61" cm="1">
        <f t="array" ref="J61">IFERROR(
    _xlfn.XLOOKUP(G61, 'Wedgewood Pharm-PME-Yr2-2025'!$E$4:$L$4,
        _xlfn.XLOOKUP('Rate Load'!H61, 'Wedgewood Pharm-PME-Yr2-2025'!$D$5:$D$28,
            'Wedgewood Pharm-PME-Yr2-2025'!$E$5:$L$28, 0, 0),
        0, 0),
    _xlfn.XLOOKUP(G61, 'Wedgewood Pharm-PME-Yr2-2025'!$E$4:$L$4,
        _xlfn.XLOOKUP('Rate Load'!L61, 'Wedgewood Pharm-PME-Yr2-2025'!$D$5:$D$28,
            'Wedgewood Pharm-PME-Yr2-2025'!$E$5:$L$28, 0, 0),
        0, 0)
)</f>
        <v>51.83</v>
      </c>
      <c r="K61" t="s">
        <v>47</v>
      </c>
      <c r="L61" t="s">
        <v>14</v>
      </c>
      <c r="M61" t="str">
        <f t="shared" si="0"/>
        <v>INSERT INTO TNL_RATING.dbo.usps_rate_master VALUES ('USPS', '2/13/2025', '2/13/2026', 12659, 'US', 'Priority Mail Express', 3, 17, 'L', 51.83, 'Wedgewood_USPS_2025', 'NonCubic');</v>
      </c>
    </row>
    <row r="62" spans="1:13" x14ac:dyDescent="0.3">
      <c r="A62" t="s">
        <v>11</v>
      </c>
      <c r="B62" s="1" t="s">
        <v>44</v>
      </c>
      <c r="C62" s="1" t="s">
        <v>45</v>
      </c>
      <c r="D62">
        <v>12659</v>
      </c>
      <c r="E62" t="s">
        <v>12</v>
      </c>
      <c r="F62" t="s">
        <v>43</v>
      </c>
      <c r="G62">
        <v>3</v>
      </c>
      <c r="H62">
        <v>18</v>
      </c>
      <c r="I62" t="s">
        <v>46</v>
      </c>
      <c r="J62" cm="1">
        <f t="array" ref="J62">IFERROR(
    _xlfn.XLOOKUP(G62, 'Wedgewood Pharm-PME-Yr2-2025'!$E$4:$L$4,
        _xlfn.XLOOKUP('Rate Load'!H62, 'Wedgewood Pharm-PME-Yr2-2025'!$D$5:$D$28,
            'Wedgewood Pharm-PME-Yr2-2025'!$E$5:$L$28, 0, 0),
        0, 0),
    _xlfn.XLOOKUP(G62, 'Wedgewood Pharm-PME-Yr2-2025'!$E$4:$L$4,
        _xlfn.XLOOKUP('Rate Load'!L62, 'Wedgewood Pharm-PME-Yr2-2025'!$D$5:$D$28,
            'Wedgewood Pharm-PME-Yr2-2025'!$E$5:$L$28, 0, 0),
        0, 0)
)</f>
        <v>54.33</v>
      </c>
      <c r="K62" t="s">
        <v>47</v>
      </c>
      <c r="L62" t="s">
        <v>14</v>
      </c>
      <c r="M62" t="str">
        <f t="shared" si="0"/>
        <v>INSERT INTO TNL_RATING.dbo.usps_rate_master VALUES ('USPS', '2/13/2025', '2/13/2026', 12659, 'US', 'Priority Mail Express', 3, 18, 'L', 54.33, 'Wedgewood_USPS_2025', 'NonCubic');</v>
      </c>
    </row>
    <row r="63" spans="1:13" x14ac:dyDescent="0.3">
      <c r="A63" t="s">
        <v>11</v>
      </c>
      <c r="B63" s="1" t="s">
        <v>44</v>
      </c>
      <c r="C63" s="1" t="s">
        <v>45</v>
      </c>
      <c r="D63">
        <v>12659</v>
      </c>
      <c r="E63" t="s">
        <v>12</v>
      </c>
      <c r="F63" t="s">
        <v>43</v>
      </c>
      <c r="G63">
        <v>3</v>
      </c>
      <c r="H63">
        <v>19</v>
      </c>
      <c r="I63" t="s">
        <v>46</v>
      </c>
      <c r="J63" cm="1">
        <f t="array" ref="J63">IFERROR(
    _xlfn.XLOOKUP(G63, 'Wedgewood Pharm-PME-Yr2-2025'!$E$4:$L$4,
        _xlfn.XLOOKUP('Rate Load'!H63, 'Wedgewood Pharm-PME-Yr2-2025'!$D$5:$D$28,
            'Wedgewood Pharm-PME-Yr2-2025'!$E$5:$L$28, 0, 0),
        0, 0),
    _xlfn.XLOOKUP(G63, 'Wedgewood Pharm-PME-Yr2-2025'!$E$4:$L$4,
        _xlfn.XLOOKUP('Rate Load'!L63, 'Wedgewood Pharm-PME-Yr2-2025'!$D$5:$D$28,
            'Wedgewood Pharm-PME-Yr2-2025'!$E$5:$L$28, 0, 0),
        0, 0)
)</f>
        <v>56.85</v>
      </c>
      <c r="K63" t="s">
        <v>47</v>
      </c>
      <c r="L63" t="s">
        <v>14</v>
      </c>
      <c r="M63" t="str">
        <f t="shared" si="0"/>
        <v>INSERT INTO TNL_RATING.dbo.usps_rate_master VALUES ('USPS', '2/13/2025', '2/13/2026', 12659, 'US', 'Priority Mail Express', 3, 19, 'L', 56.85, 'Wedgewood_USPS_2025', 'NonCubic');</v>
      </c>
    </row>
    <row r="64" spans="1:13" x14ac:dyDescent="0.3">
      <c r="A64" t="s">
        <v>11</v>
      </c>
      <c r="B64" s="1" t="s">
        <v>44</v>
      </c>
      <c r="C64" s="1" t="s">
        <v>45</v>
      </c>
      <c r="D64">
        <v>12659</v>
      </c>
      <c r="E64" t="s">
        <v>12</v>
      </c>
      <c r="F64" t="s">
        <v>43</v>
      </c>
      <c r="G64">
        <v>3</v>
      </c>
      <c r="H64">
        <v>20</v>
      </c>
      <c r="I64" t="s">
        <v>46</v>
      </c>
      <c r="J64" cm="1">
        <f t="array" ref="J64">IFERROR(
    _xlfn.XLOOKUP(G64, 'Wedgewood Pharm-PME-Yr2-2025'!$E$4:$L$4,
        _xlfn.XLOOKUP('Rate Load'!H64, 'Wedgewood Pharm-PME-Yr2-2025'!$D$5:$D$28,
            'Wedgewood Pharm-PME-Yr2-2025'!$E$5:$L$28, 0, 0),
        0, 0),
    _xlfn.XLOOKUP(G64, 'Wedgewood Pharm-PME-Yr2-2025'!$E$4:$L$4,
        _xlfn.XLOOKUP('Rate Load'!L64, 'Wedgewood Pharm-PME-Yr2-2025'!$D$5:$D$28,
            'Wedgewood Pharm-PME-Yr2-2025'!$E$5:$L$28, 0, 0),
        0, 0)
)</f>
        <v>59.34</v>
      </c>
      <c r="K64" t="s">
        <v>47</v>
      </c>
      <c r="L64" t="s">
        <v>14</v>
      </c>
      <c r="M64" t="str">
        <f t="shared" si="0"/>
        <v>INSERT INTO TNL_RATING.dbo.usps_rate_master VALUES ('USPS', '2/13/2025', '2/13/2026', 12659, 'US', 'Priority Mail Express', 3, 20, 'L', 59.34, 'Wedgewood_USPS_2025', 'NonCubic');</v>
      </c>
    </row>
    <row r="65" spans="1:13" x14ac:dyDescent="0.3">
      <c r="A65" t="s">
        <v>11</v>
      </c>
      <c r="B65" s="1" t="s">
        <v>44</v>
      </c>
      <c r="C65" s="1" t="s">
        <v>45</v>
      </c>
      <c r="D65">
        <v>12659</v>
      </c>
      <c r="E65" t="s">
        <v>12</v>
      </c>
      <c r="F65" t="s">
        <v>43</v>
      </c>
      <c r="G65">
        <v>4</v>
      </c>
      <c r="H65">
        <v>0.5</v>
      </c>
      <c r="I65" t="s">
        <v>46</v>
      </c>
      <c r="J65" cm="1">
        <f t="array" ref="J65">IFERROR(
    _xlfn.XLOOKUP(G65, 'Wedgewood Pharm-PME-Yr2-2025'!$E$4:$L$4,
        _xlfn.XLOOKUP('Rate Load'!H65, 'Wedgewood Pharm-PME-Yr2-2025'!$D$5:$D$28,
            'Wedgewood Pharm-PME-Yr2-2025'!$E$5:$L$28, 0, 0),
        0, 0),
    _xlfn.XLOOKUP(G65, 'Wedgewood Pharm-PME-Yr2-2025'!$E$4:$L$4,
        _xlfn.XLOOKUP('Rate Load'!L65, 'Wedgewood Pharm-PME-Yr2-2025'!$D$5:$D$28,
            'Wedgewood Pharm-PME-Yr2-2025'!$E$5:$L$28, 0, 0),
        0, 0)
)</f>
        <v>14.29</v>
      </c>
      <c r="K65" t="s">
        <v>47</v>
      </c>
      <c r="L65" t="s">
        <v>14</v>
      </c>
      <c r="M65" t="str">
        <f t="shared" si="0"/>
        <v>INSERT INTO TNL_RATING.dbo.usps_rate_master VALUES ('USPS', '2/13/2025', '2/13/2026', 12659, 'US', 'Priority Mail Express', 4, 0.5, 'L', 14.29, 'Wedgewood_USPS_2025', 'NonCubic');</v>
      </c>
    </row>
    <row r="66" spans="1:13" x14ac:dyDescent="0.3">
      <c r="A66" t="s">
        <v>11</v>
      </c>
      <c r="B66" s="1" t="s">
        <v>44</v>
      </c>
      <c r="C66" s="1" t="s">
        <v>45</v>
      </c>
      <c r="D66">
        <v>12659</v>
      </c>
      <c r="E66" t="s">
        <v>12</v>
      </c>
      <c r="F66" t="s">
        <v>43</v>
      </c>
      <c r="G66">
        <v>4</v>
      </c>
      <c r="H66">
        <v>1</v>
      </c>
      <c r="I66" t="s">
        <v>46</v>
      </c>
      <c r="J66" cm="1">
        <f t="array" ref="J66">IFERROR(
    _xlfn.XLOOKUP(G66, 'Wedgewood Pharm-PME-Yr2-2025'!$E$4:$L$4,
        _xlfn.XLOOKUP('Rate Load'!H66, 'Wedgewood Pharm-PME-Yr2-2025'!$D$5:$D$28,
            'Wedgewood Pharm-PME-Yr2-2025'!$E$5:$L$28, 0, 0),
        0, 0),
    _xlfn.XLOOKUP(G66, 'Wedgewood Pharm-PME-Yr2-2025'!$E$4:$L$4,
        _xlfn.XLOOKUP('Rate Load'!L66, 'Wedgewood Pharm-PME-Yr2-2025'!$D$5:$D$28,
            'Wedgewood Pharm-PME-Yr2-2025'!$E$5:$L$28, 0, 0),
        0, 0)
)</f>
        <v>15.52</v>
      </c>
      <c r="K66" t="s">
        <v>47</v>
      </c>
      <c r="L66" t="s">
        <v>14</v>
      </c>
      <c r="M66" t="str">
        <f t="shared" si="0"/>
        <v>INSERT INTO TNL_RATING.dbo.usps_rate_master VALUES ('USPS', '2/13/2025', '2/13/2026', 12659, 'US', 'Priority Mail Express', 4, 1, 'L', 15.52, 'Wedgewood_USPS_2025', 'NonCubic');</v>
      </c>
    </row>
    <row r="67" spans="1:13" x14ac:dyDescent="0.3">
      <c r="A67" t="s">
        <v>11</v>
      </c>
      <c r="B67" s="1" t="s">
        <v>44</v>
      </c>
      <c r="C67" s="1" t="s">
        <v>45</v>
      </c>
      <c r="D67">
        <v>12659</v>
      </c>
      <c r="E67" t="s">
        <v>12</v>
      </c>
      <c r="F67" t="s">
        <v>43</v>
      </c>
      <c r="G67">
        <v>4</v>
      </c>
      <c r="H67">
        <v>2</v>
      </c>
      <c r="I67" t="s">
        <v>46</v>
      </c>
      <c r="J67" cm="1">
        <f t="array" ref="J67">IFERROR(
    _xlfn.XLOOKUP(G67, 'Wedgewood Pharm-PME-Yr2-2025'!$E$4:$L$4,
        _xlfn.XLOOKUP('Rate Load'!H67, 'Wedgewood Pharm-PME-Yr2-2025'!$D$5:$D$28,
            'Wedgewood Pharm-PME-Yr2-2025'!$E$5:$L$28, 0, 0),
        0, 0),
    _xlfn.XLOOKUP(G67, 'Wedgewood Pharm-PME-Yr2-2025'!$E$4:$L$4,
        _xlfn.XLOOKUP('Rate Load'!L67, 'Wedgewood Pharm-PME-Yr2-2025'!$D$5:$D$28,
            'Wedgewood Pharm-PME-Yr2-2025'!$E$5:$L$28, 0, 0),
        0, 0)
)</f>
        <v>17.55</v>
      </c>
      <c r="K67" t="s">
        <v>47</v>
      </c>
      <c r="L67" t="s">
        <v>14</v>
      </c>
      <c r="M67" t="str">
        <f t="shared" ref="M67:M130" si="1">"INSERT INTO TNL_RATING.dbo.usps_rate_master VALUES ('" &amp; A67 &amp; "', '" &amp; B67 &amp; "', '" &amp; C67 &amp; "', " &amp; D67 &amp; ", '" &amp; E67 &amp; "', '" &amp; F67 &amp; "', " &amp; G67 &amp; ", " &amp; H67 &amp; ", '" &amp; I67 &amp; "', " &amp; J67 &amp; ", '" &amp; K67 &amp; "', '" &amp; L67 &amp; "');"</f>
        <v>INSERT INTO TNL_RATING.dbo.usps_rate_master VALUES ('USPS', '2/13/2025', '2/13/2026', 12659, 'US', 'Priority Mail Express', 4, 2, 'L', 17.55, 'Wedgewood_USPS_2025', 'NonCubic');</v>
      </c>
    </row>
    <row r="68" spans="1:13" x14ac:dyDescent="0.3">
      <c r="A68" t="s">
        <v>11</v>
      </c>
      <c r="B68" s="1" t="s">
        <v>44</v>
      </c>
      <c r="C68" s="1" t="s">
        <v>45</v>
      </c>
      <c r="D68">
        <v>12659</v>
      </c>
      <c r="E68" t="s">
        <v>12</v>
      </c>
      <c r="F68" t="s">
        <v>43</v>
      </c>
      <c r="G68">
        <v>4</v>
      </c>
      <c r="H68">
        <v>3</v>
      </c>
      <c r="I68" t="s">
        <v>46</v>
      </c>
      <c r="J68" cm="1">
        <f t="array" ref="J68">IFERROR(
    _xlfn.XLOOKUP(G68, 'Wedgewood Pharm-PME-Yr2-2025'!$E$4:$L$4,
        _xlfn.XLOOKUP('Rate Load'!H68, 'Wedgewood Pharm-PME-Yr2-2025'!$D$5:$D$28,
            'Wedgewood Pharm-PME-Yr2-2025'!$E$5:$L$28, 0, 0),
        0, 0),
    _xlfn.XLOOKUP(G68, 'Wedgewood Pharm-PME-Yr2-2025'!$E$4:$L$4,
        _xlfn.XLOOKUP('Rate Load'!L68, 'Wedgewood Pharm-PME-Yr2-2025'!$D$5:$D$28,
            'Wedgewood Pharm-PME-Yr2-2025'!$E$5:$L$28, 0, 0),
        0, 0)
)</f>
        <v>19.98</v>
      </c>
      <c r="K68" t="s">
        <v>47</v>
      </c>
      <c r="L68" t="s">
        <v>14</v>
      </c>
      <c r="M68" t="str">
        <f t="shared" si="1"/>
        <v>INSERT INTO TNL_RATING.dbo.usps_rate_master VALUES ('USPS', '2/13/2025', '2/13/2026', 12659, 'US', 'Priority Mail Express', 4, 3, 'L', 19.98, 'Wedgewood_USPS_2025', 'NonCubic');</v>
      </c>
    </row>
    <row r="69" spans="1:13" x14ac:dyDescent="0.3">
      <c r="A69" t="s">
        <v>11</v>
      </c>
      <c r="B69" s="1" t="s">
        <v>44</v>
      </c>
      <c r="C69" s="1" t="s">
        <v>45</v>
      </c>
      <c r="D69">
        <v>12659</v>
      </c>
      <c r="E69" t="s">
        <v>12</v>
      </c>
      <c r="F69" t="s">
        <v>43</v>
      </c>
      <c r="G69">
        <v>4</v>
      </c>
      <c r="H69">
        <v>4</v>
      </c>
      <c r="I69" t="s">
        <v>46</v>
      </c>
      <c r="J69" cm="1">
        <f t="array" ref="J69">IFERROR(
    _xlfn.XLOOKUP(G69, 'Wedgewood Pharm-PME-Yr2-2025'!$E$4:$L$4,
        _xlfn.XLOOKUP('Rate Load'!H69, 'Wedgewood Pharm-PME-Yr2-2025'!$D$5:$D$28,
            'Wedgewood Pharm-PME-Yr2-2025'!$E$5:$L$28, 0, 0),
        0, 0),
    _xlfn.XLOOKUP(G69, 'Wedgewood Pharm-PME-Yr2-2025'!$E$4:$L$4,
        _xlfn.XLOOKUP('Rate Load'!L69, 'Wedgewood Pharm-PME-Yr2-2025'!$D$5:$D$28,
            'Wedgewood Pharm-PME-Yr2-2025'!$E$5:$L$28, 0, 0),
        0, 0)
)</f>
        <v>22.42</v>
      </c>
      <c r="K69" t="s">
        <v>47</v>
      </c>
      <c r="L69" t="s">
        <v>14</v>
      </c>
      <c r="M69" t="str">
        <f t="shared" si="1"/>
        <v>INSERT INTO TNL_RATING.dbo.usps_rate_master VALUES ('USPS', '2/13/2025', '2/13/2026', 12659, 'US', 'Priority Mail Express', 4, 4, 'L', 22.42, 'Wedgewood_USPS_2025', 'NonCubic');</v>
      </c>
    </row>
    <row r="70" spans="1:13" x14ac:dyDescent="0.3">
      <c r="A70" t="s">
        <v>11</v>
      </c>
      <c r="B70" s="1" t="s">
        <v>44</v>
      </c>
      <c r="C70" s="1" t="s">
        <v>45</v>
      </c>
      <c r="D70">
        <v>12659</v>
      </c>
      <c r="E70" t="s">
        <v>12</v>
      </c>
      <c r="F70" t="s">
        <v>43</v>
      </c>
      <c r="G70">
        <v>4</v>
      </c>
      <c r="H70">
        <v>5</v>
      </c>
      <c r="I70" t="s">
        <v>46</v>
      </c>
      <c r="J70" cm="1">
        <f t="array" ref="J70">IFERROR(
    _xlfn.XLOOKUP(G70, 'Wedgewood Pharm-PME-Yr2-2025'!$E$4:$L$4,
        _xlfn.XLOOKUP('Rate Load'!H70, 'Wedgewood Pharm-PME-Yr2-2025'!$D$5:$D$28,
            'Wedgewood Pharm-PME-Yr2-2025'!$E$5:$L$28, 0, 0),
        0, 0),
    _xlfn.XLOOKUP(G70, 'Wedgewood Pharm-PME-Yr2-2025'!$E$4:$L$4,
        _xlfn.XLOOKUP('Rate Load'!L70, 'Wedgewood Pharm-PME-Yr2-2025'!$D$5:$D$28,
            'Wedgewood Pharm-PME-Yr2-2025'!$E$5:$L$28, 0, 0),
        0, 0)
)</f>
        <v>24.85</v>
      </c>
      <c r="K70" t="s">
        <v>47</v>
      </c>
      <c r="L70" t="s">
        <v>14</v>
      </c>
      <c r="M70" t="str">
        <f t="shared" si="1"/>
        <v>INSERT INTO TNL_RATING.dbo.usps_rate_master VALUES ('USPS', '2/13/2025', '2/13/2026', 12659, 'US', 'Priority Mail Express', 4, 5, 'L', 24.85, 'Wedgewood_USPS_2025', 'NonCubic');</v>
      </c>
    </row>
    <row r="71" spans="1:13" x14ac:dyDescent="0.3">
      <c r="A71" t="s">
        <v>11</v>
      </c>
      <c r="B71" s="1" t="s">
        <v>44</v>
      </c>
      <c r="C71" s="1" t="s">
        <v>45</v>
      </c>
      <c r="D71">
        <v>12659</v>
      </c>
      <c r="E71" t="s">
        <v>12</v>
      </c>
      <c r="F71" t="s">
        <v>43</v>
      </c>
      <c r="G71">
        <v>4</v>
      </c>
      <c r="H71">
        <v>6</v>
      </c>
      <c r="I71" t="s">
        <v>46</v>
      </c>
      <c r="J71" cm="1">
        <f t="array" ref="J71">IFERROR(
    _xlfn.XLOOKUP(G71, 'Wedgewood Pharm-PME-Yr2-2025'!$E$4:$L$4,
        _xlfn.XLOOKUP('Rate Load'!H71, 'Wedgewood Pharm-PME-Yr2-2025'!$D$5:$D$28,
            'Wedgewood Pharm-PME-Yr2-2025'!$E$5:$L$28, 0, 0),
        0, 0),
    _xlfn.XLOOKUP(G71, 'Wedgewood Pharm-PME-Yr2-2025'!$E$4:$L$4,
        _xlfn.XLOOKUP('Rate Load'!L71, 'Wedgewood Pharm-PME-Yr2-2025'!$D$5:$D$28,
            'Wedgewood Pharm-PME-Yr2-2025'!$E$5:$L$28, 0, 0),
        0, 0)
)</f>
        <v>27.55</v>
      </c>
      <c r="K71" t="s">
        <v>47</v>
      </c>
      <c r="L71" t="s">
        <v>14</v>
      </c>
      <c r="M71" t="str">
        <f t="shared" si="1"/>
        <v>INSERT INTO TNL_RATING.dbo.usps_rate_master VALUES ('USPS', '2/13/2025', '2/13/2026', 12659, 'US', 'Priority Mail Express', 4, 6, 'L', 27.55, 'Wedgewood_USPS_2025', 'NonCubic');</v>
      </c>
    </row>
    <row r="72" spans="1:13" x14ac:dyDescent="0.3">
      <c r="A72" t="s">
        <v>11</v>
      </c>
      <c r="B72" s="1" t="s">
        <v>44</v>
      </c>
      <c r="C72" s="1" t="s">
        <v>45</v>
      </c>
      <c r="D72">
        <v>12659</v>
      </c>
      <c r="E72" t="s">
        <v>12</v>
      </c>
      <c r="F72" t="s">
        <v>43</v>
      </c>
      <c r="G72">
        <v>4</v>
      </c>
      <c r="H72">
        <v>7</v>
      </c>
      <c r="I72" t="s">
        <v>46</v>
      </c>
      <c r="J72" cm="1">
        <f t="array" ref="J72">IFERROR(
    _xlfn.XLOOKUP(G72, 'Wedgewood Pharm-PME-Yr2-2025'!$E$4:$L$4,
        _xlfn.XLOOKUP('Rate Load'!H72, 'Wedgewood Pharm-PME-Yr2-2025'!$D$5:$D$28,
            'Wedgewood Pharm-PME-Yr2-2025'!$E$5:$L$28, 0, 0),
        0, 0),
    _xlfn.XLOOKUP(G72, 'Wedgewood Pharm-PME-Yr2-2025'!$E$4:$L$4,
        _xlfn.XLOOKUP('Rate Load'!L72, 'Wedgewood Pharm-PME-Yr2-2025'!$D$5:$D$28,
            'Wedgewood Pharm-PME-Yr2-2025'!$E$5:$L$28, 0, 0),
        0, 0)
)</f>
        <v>30.26</v>
      </c>
      <c r="K72" t="s">
        <v>47</v>
      </c>
      <c r="L72" t="s">
        <v>14</v>
      </c>
      <c r="M72" t="str">
        <f t="shared" si="1"/>
        <v>INSERT INTO TNL_RATING.dbo.usps_rate_master VALUES ('USPS', '2/13/2025', '2/13/2026', 12659, 'US', 'Priority Mail Express', 4, 7, 'L', 30.26, 'Wedgewood_USPS_2025', 'NonCubic');</v>
      </c>
    </row>
    <row r="73" spans="1:13" x14ac:dyDescent="0.3">
      <c r="A73" t="s">
        <v>11</v>
      </c>
      <c r="B73" s="1" t="s">
        <v>44</v>
      </c>
      <c r="C73" s="1" t="s">
        <v>45</v>
      </c>
      <c r="D73">
        <v>12659</v>
      </c>
      <c r="E73" t="s">
        <v>12</v>
      </c>
      <c r="F73" t="s">
        <v>43</v>
      </c>
      <c r="G73">
        <v>4</v>
      </c>
      <c r="H73">
        <v>8</v>
      </c>
      <c r="I73" t="s">
        <v>46</v>
      </c>
      <c r="J73" cm="1">
        <f t="array" ref="J73">IFERROR(
    _xlfn.XLOOKUP(G73, 'Wedgewood Pharm-PME-Yr2-2025'!$E$4:$L$4,
        _xlfn.XLOOKUP('Rate Load'!H73, 'Wedgewood Pharm-PME-Yr2-2025'!$D$5:$D$28,
            'Wedgewood Pharm-PME-Yr2-2025'!$E$5:$L$28, 0, 0),
        0, 0),
    _xlfn.XLOOKUP(G73, 'Wedgewood Pharm-PME-Yr2-2025'!$E$4:$L$4,
        _xlfn.XLOOKUP('Rate Load'!L73, 'Wedgewood Pharm-PME-Yr2-2025'!$D$5:$D$28,
            'Wedgewood Pharm-PME-Yr2-2025'!$E$5:$L$28, 0, 0),
        0, 0)
)</f>
        <v>32.96</v>
      </c>
      <c r="K73" t="s">
        <v>47</v>
      </c>
      <c r="L73" t="s">
        <v>14</v>
      </c>
      <c r="M73" t="str">
        <f t="shared" si="1"/>
        <v>INSERT INTO TNL_RATING.dbo.usps_rate_master VALUES ('USPS', '2/13/2025', '2/13/2026', 12659, 'US', 'Priority Mail Express', 4, 8, 'L', 32.96, 'Wedgewood_USPS_2025', 'NonCubic');</v>
      </c>
    </row>
    <row r="74" spans="1:13" x14ac:dyDescent="0.3">
      <c r="A74" t="s">
        <v>11</v>
      </c>
      <c r="B74" s="1" t="s">
        <v>44</v>
      </c>
      <c r="C74" s="1" t="s">
        <v>45</v>
      </c>
      <c r="D74">
        <v>12659</v>
      </c>
      <c r="E74" t="s">
        <v>12</v>
      </c>
      <c r="F74" t="s">
        <v>43</v>
      </c>
      <c r="G74">
        <v>4</v>
      </c>
      <c r="H74">
        <v>9</v>
      </c>
      <c r="I74" t="s">
        <v>46</v>
      </c>
      <c r="J74" cm="1">
        <f t="array" ref="J74">IFERROR(
    _xlfn.XLOOKUP(G74, 'Wedgewood Pharm-PME-Yr2-2025'!$E$4:$L$4,
        _xlfn.XLOOKUP('Rate Load'!H74, 'Wedgewood Pharm-PME-Yr2-2025'!$D$5:$D$28,
            'Wedgewood Pharm-PME-Yr2-2025'!$E$5:$L$28, 0, 0),
        0, 0),
    _xlfn.XLOOKUP(G74, 'Wedgewood Pharm-PME-Yr2-2025'!$E$4:$L$4,
        _xlfn.XLOOKUP('Rate Load'!L74, 'Wedgewood Pharm-PME-Yr2-2025'!$D$5:$D$28,
            'Wedgewood Pharm-PME-Yr2-2025'!$E$5:$L$28, 0, 0),
        0, 0)
)</f>
        <v>35.659999999999997</v>
      </c>
      <c r="K74" t="s">
        <v>47</v>
      </c>
      <c r="L74" t="s">
        <v>14</v>
      </c>
      <c r="M74" t="str">
        <f t="shared" si="1"/>
        <v>INSERT INTO TNL_RATING.dbo.usps_rate_master VALUES ('USPS', '2/13/2025', '2/13/2026', 12659, 'US', 'Priority Mail Express', 4, 9, 'L', 35.66, 'Wedgewood_USPS_2025', 'NonCubic');</v>
      </c>
    </row>
    <row r="75" spans="1:13" x14ac:dyDescent="0.3">
      <c r="A75" t="s">
        <v>11</v>
      </c>
      <c r="B75" s="1" t="s">
        <v>44</v>
      </c>
      <c r="C75" s="1" t="s">
        <v>45</v>
      </c>
      <c r="D75">
        <v>12659</v>
      </c>
      <c r="E75" t="s">
        <v>12</v>
      </c>
      <c r="F75" t="s">
        <v>43</v>
      </c>
      <c r="G75">
        <v>4</v>
      </c>
      <c r="H75">
        <v>10</v>
      </c>
      <c r="I75" t="s">
        <v>46</v>
      </c>
      <c r="J75" cm="1">
        <f t="array" ref="J75">IFERROR(
    _xlfn.XLOOKUP(G75, 'Wedgewood Pharm-PME-Yr2-2025'!$E$4:$L$4,
        _xlfn.XLOOKUP('Rate Load'!H75, 'Wedgewood Pharm-PME-Yr2-2025'!$D$5:$D$28,
            'Wedgewood Pharm-PME-Yr2-2025'!$E$5:$L$28, 0, 0),
        0, 0),
    _xlfn.XLOOKUP(G75, 'Wedgewood Pharm-PME-Yr2-2025'!$E$4:$L$4,
        _xlfn.XLOOKUP('Rate Load'!L75, 'Wedgewood Pharm-PME-Yr2-2025'!$D$5:$D$28,
            'Wedgewood Pharm-PME-Yr2-2025'!$E$5:$L$28, 0, 0),
        0, 0)
)</f>
        <v>38.36</v>
      </c>
      <c r="K75" t="s">
        <v>47</v>
      </c>
      <c r="L75" t="s">
        <v>14</v>
      </c>
      <c r="M75" t="str">
        <f t="shared" si="1"/>
        <v>INSERT INTO TNL_RATING.dbo.usps_rate_master VALUES ('USPS', '2/13/2025', '2/13/2026', 12659, 'US', 'Priority Mail Express', 4, 10, 'L', 38.36, 'Wedgewood_USPS_2025', 'NonCubic');</v>
      </c>
    </row>
    <row r="76" spans="1:13" x14ac:dyDescent="0.3">
      <c r="A76" t="s">
        <v>11</v>
      </c>
      <c r="B76" s="1" t="s">
        <v>44</v>
      </c>
      <c r="C76" s="1" t="s">
        <v>45</v>
      </c>
      <c r="D76">
        <v>12659</v>
      </c>
      <c r="E76" t="s">
        <v>12</v>
      </c>
      <c r="F76" t="s">
        <v>43</v>
      </c>
      <c r="G76">
        <v>4</v>
      </c>
      <c r="H76">
        <v>11</v>
      </c>
      <c r="I76" t="s">
        <v>46</v>
      </c>
      <c r="J76" cm="1">
        <f t="array" ref="J76">IFERROR(
    _xlfn.XLOOKUP(G76, 'Wedgewood Pharm-PME-Yr2-2025'!$E$4:$L$4,
        _xlfn.XLOOKUP('Rate Load'!H76, 'Wedgewood Pharm-PME-Yr2-2025'!$D$5:$D$28,
            'Wedgewood Pharm-PME-Yr2-2025'!$E$5:$L$28, 0, 0),
        0, 0),
    _xlfn.XLOOKUP(G76, 'Wedgewood Pharm-PME-Yr2-2025'!$E$4:$L$4,
        _xlfn.XLOOKUP('Rate Load'!L76, 'Wedgewood Pharm-PME-Yr2-2025'!$D$5:$D$28,
            'Wedgewood Pharm-PME-Yr2-2025'!$E$5:$L$28, 0, 0),
        0, 0)
)</f>
        <v>40.9</v>
      </c>
      <c r="K76" t="s">
        <v>47</v>
      </c>
      <c r="L76" t="s">
        <v>14</v>
      </c>
      <c r="M76" t="str">
        <f t="shared" si="1"/>
        <v>INSERT INTO TNL_RATING.dbo.usps_rate_master VALUES ('USPS', '2/13/2025', '2/13/2026', 12659, 'US', 'Priority Mail Express', 4, 11, 'L', 40.9, 'Wedgewood_USPS_2025', 'NonCubic');</v>
      </c>
    </row>
    <row r="77" spans="1:13" x14ac:dyDescent="0.3">
      <c r="A77" t="s">
        <v>11</v>
      </c>
      <c r="B77" s="1" t="s">
        <v>44</v>
      </c>
      <c r="C77" s="1" t="s">
        <v>45</v>
      </c>
      <c r="D77">
        <v>12659</v>
      </c>
      <c r="E77" t="s">
        <v>12</v>
      </c>
      <c r="F77" t="s">
        <v>43</v>
      </c>
      <c r="G77">
        <v>4</v>
      </c>
      <c r="H77">
        <v>12</v>
      </c>
      <c r="I77" t="s">
        <v>46</v>
      </c>
      <c r="J77" cm="1">
        <f t="array" ref="J77">IFERROR(
    _xlfn.XLOOKUP(G77, 'Wedgewood Pharm-PME-Yr2-2025'!$E$4:$L$4,
        _xlfn.XLOOKUP('Rate Load'!H77, 'Wedgewood Pharm-PME-Yr2-2025'!$D$5:$D$28,
            'Wedgewood Pharm-PME-Yr2-2025'!$E$5:$L$28, 0, 0),
        0, 0),
    _xlfn.XLOOKUP(G77, 'Wedgewood Pharm-PME-Yr2-2025'!$E$4:$L$4,
        _xlfn.XLOOKUP('Rate Load'!L77, 'Wedgewood Pharm-PME-Yr2-2025'!$D$5:$D$28,
            'Wedgewood Pharm-PME-Yr2-2025'!$E$5:$L$28, 0, 0),
        0, 0)
)</f>
        <v>43.44</v>
      </c>
      <c r="K77" t="s">
        <v>47</v>
      </c>
      <c r="L77" t="s">
        <v>14</v>
      </c>
      <c r="M77" t="str">
        <f t="shared" si="1"/>
        <v>INSERT INTO TNL_RATING.dbo.usps_rate_master VALUES ('USPS', '2/13/2025', '2/13/2026', 12659, 'US', 'Priority Mail Express', 4, 12, 'L', 43.44, 'Wedgewood_USPS_2025', 'NonCubic');</v>
      </c>
    </row>
    <row r="78" spans="1:13" x14ac:dyDescent="0.3">
      <c r="A78" t="s">
        <v>11</v>
      </c>
      <c r="B78" s="1" t="s">
        <v>44</v>
      </c>
      <c r="C78" s="1" t="s">
        <v>45</v>
      </c>
      <c r="D78">
        <v>12659</v>
      </c>
      <c r="E78" t="s">
        <v>12</v>
      </c>
      <c r="F78" t="s">
        <v>43</v>
      </c>
      <c r="G78">
        <v>4</v>
      </c>
      <c r="H78">
        <v>13</v>
      </c>
      <c r="I78" t="s">
        <v>46</v>
      </c>
      <c r="J78" cm="1">
        <f t="array" ref="J78">IFERROR(
    _xlfn.XLOOKUP(G78, 'Wedgewood Pharm-PME-Yr2-2025'!$E$4:$L$4,
        _xlfn.XLOOKUP('Rate Load'!H78, 'Wedgewood Pharm-PME-Yr2-2025'!$D$5:$D$28,
            'Wedgewood Pharm-PME-Yr2-2025'!$E$5:$L$28, 0, 0),
        0, 0),
    _xlfn.XLOOKUP(G78, 'Wedgewood Pharm-PME-Yr2-2025'!$E$4:$L$4,
        _xlfn.XLOOKUP('Rate Load'!L78, 'Wedgewood Pharm-PME-Yr2-2025'!$D$5:$D$28,
            'Wedgewood Pharm-PME-Yr2-2025'!$E$5:$L$28, 0, 0),
        0, 0)
)</f>
        <v>45.98</v>
      </c>
      <c r="K78" t="s">
        <v>47</v>
      </c>
      <c r="L78" t="s">
        <v>14</v>
      </c>
      <c r="M78" t="str">
        <f t="shared" si="1"/>
        <v>INSERT INTO TNL_RATING.dbo.usps_rate_master VALUES ('USPS', '2/13/2025', '2/13/2026', 12659, 'US', 'Priority Mail Express', 4, 13, 'L', 45.98, 'Wedgewood_USPS_2025', 'NonCubic');</v>
      </c>
    </row>
    <row r="79" spans="1:13" x14ac:dyDescent="0.3">
      <c r="A79" t="s">
        <v>11</v>
      </c>
      <c r="B79" s="1" t="s">
        <v>44</v>
      </c>
      <c r="C79" s="1" t="s">
        <v>45</v>
      </c>
      <c r="D79">
        <v>12659</v>
      </c>
      <c r="E79" t="s">
        <v>12</v>
      </c>
      <c r="F79" t="s">
        <v>43</v>
      </c>
      <c r="G79">
        <v>4</v>
      </c>
      <c r="H79">
        <v>14</v>
      </c>
      <c r="I79" t="s">
        <v>46</v>
      </c>
      <c r="J79" cm="1">
        <f t="array" ref="J79">IFERROR(
    _xlfn.XLOOKUP(G79, 'Wedgewood Pharm-PME-Yr2-2025'!$E$4:$L$4,
        _xlfn.XLOOKUP('Rate Load'!H79, 'Wedgewood Pharm-PME-Yr2-2025'!$D$5:$D$28,
            'Wedgewood Pharm-PME-Yr2-2025'!$E$5:$L$28, 0, 0),
        0, 0),
    _xlfn.XLOOKUP(G79, 'Wedgewood Pharm-PME-Yr2-2025'!$E$4:$L$4,
        _xlfn.XLOOKUP('Rate Load'!L79, 'Wedgewood Pharm-PME-Yr2-2025'!$D$5:$D$28,
            'Wedgewood Pharm-PME-Yr2-2025'!$E$5:$L$28, 0, 0),
        0, 0)
)</f>
        <v>48.519999999999996</v>
      </c>
      <c r="K79" t="s">
        <v>47</v>
      </c>
      <c r="L79" t="s">
        <v>14</v>
      </c>
      <c r="M79" t="str">
        <f t="shared" si="1"/>
        <v>INSERT INTO TNL_RATING.dbo.usps_rate_master VALUES ('USPS', '2/13/2025', '2/13/2026', 12659, 'US', 'Priority Mail Express', 4, 14, 'L', 48.52, 'Wedgewood_USPS_2025', 'NonCubic');</v>
      </c>
    </row>
    <row r="80" spans="1:13" x14ac:dyDescent="0.3">
      <c r="A80" t="s">
        <v>11</v>
      </c>
      <c r="B80" s="1" t="s">
        <v>44</v>
      </c>
      <c r="C80" s="1" t="s">
        <v>45</v>
      </c>
      <c r="D80">
        <v>12659</v>
      </c>
      <c r="E80" t="s">
        <v>12</v>
      </c>
      <c r="F80" t="s">
        <v>43</v>
      </c>
      <c r="G80">
        <v>4</v>
      </c>
      <c r="H80">
        <v>15</v>
      </c>
      <c r="I80" t="s">
        <v>46</v>
      </c>
      <c r="J80" cm="1">
        <f t="array" ref="J80">IFERROR(
    _xlfn.XLOOKUP(G80, 'Wedgewood Pharm-PME-Yr2-2025'!$E$4:$L$4,
        _xlfn.XLOOKUP('Rate Load'!H80, 'Wedgewood Pharm-PME-Yr2-2025'!$D$5:$D$28,
            'Wedgewood Pharm-PME-Yr2-2025'!$E$5:$L$28, 0, 0),
        0, 0),
    _xlfn.XLOOKUP(G80, 'Wedgewood Pharm-PME-Yr2-2025'!$E$4:$L$4,
        _xlfn.XLOOKUP('Rate Load'!L80, 'Wedgewood Pharm-PME-Yr2-2025'!$D$5:$D$28,
            'Wedgewood Pharm-PME-Yr2-2025'!$E$5:$L$28, 0, 0),
        0, 0)
)</f>
        <v>51.05</v>
      </c>
      <c r="K80" t="s">
        <v>47</v>
      </c>
      <c r="L80" t="s">
        <v>14</v>
      </c>
      <c r="M80" t="str">
        <f t="shared" si="1"/>
        <v>INSERT INTO TNL_RATING.dbo.usps_rate_master VALUES ('USPS', '2/13/2025', '2/13/2026', 12659, 'US', 'Priority Mail Express', 4, 15, 'L', 51.05, 'Wedgewood_USPS_2025', 'NonCubic');</v>
      </c>
    </row>
    <row r="81" spans="1:13" x14ac:dyDescent="0.3">
      <c r="A81" t="s">
        <v>11</v>
      </c>
      <c r="B81" s="1" t="s">
        <v>44</v>
      </c>
      <c r="C81" s="1" t="s">
        <v>45</v>
      </c>
      <c r="D81">
        <v>12659</v>
      </c>
      <c r="E81" t="s">
        <v>12</v>
      </c>
      <c r="F81" t="s">
        <v>43</v>
      </c>
      <c r="G81">
        <v>4</v>
      </c>
      <c r="H81">
        <v>16</v>
      </c>
      <c r="I81" t="s">
        <v>46</v>
      </c>
      <c r="J81" cm="1">
        <f t="array" ref="J81">IFERROR(
    _xlfn.XLOOKUP(G81, 'Wedgewood Pharm-PME-Yr2-2025'!$E$4:$L$4,
        _xlfn.XLOOKUP('Rate Load'!H81, 'Wedgewood Pharm-PME-Yr2-2025'!$D$5:$D$28,
            'Wedgewood Pharm-PME-Yr2-2025'!$E$5:$L$28, 0, 0),
        0, 0),
    _xlfn.XLOOKUP(G81, 'Wedgewood Pharm-PME-Yr2-2025'!$E$4:$L$4,
        _xlfn.XLOOKUP('Rate Load'!L81, 'Wedgewood Pharm-PME-Yr2-2025'!$D$5:$D$28,
            'Wedgewood Pharm-PME-Yr2-2025'!$E$5:$L$28, 0, 0),
        0, 0)
)</f>
        <v>53.58</v>
      </c>
      <c r="K81" t="s">
        <v>47</v>
      </c>
      <c r="L81" t="s">
        <v>14</v>
      </c>
      <c r="M81" t="str">
        <f t="shared" si="1"/>
        <v>INSERT INTO TNL_RATING.dbo.usps_rate_master VALUES ('USPS', '2/13/2025', '2/13/2026', 12659, 'US', 'Priority Mail Express', 4, 16, 'L', 53.58, 'Wedgewood_USPS_2025', 'NonCubic');</v>
      </c>
    </row>
    <row r="82" spans="1:13" x14ac:dyDescent="0.3">
      <c r="A82" t="s">
        <v>11</v>
      </c>
      <c r="B82" s="1" t="s">
        <v>44</v>
      </c>
      <c r="C82" s="1" t="s">
        <v>45</v>
      </c>
      <c r="D82">
        <v>12659</v>
      </c>
      <c r="E82" t="s">
        <v>12</v>
      </c>
      <c r="F82" t="s">
        <v>43</v>
      </c>
      <c r="G82">
        <v>4</v>
      </c>
      <c r="H82">
        <v>17</v>
      </c>
      <c r="I82" t="s">
        <v>46</v>
      </c>
      <c r="J82" cm="1">
        <f t="array" ref="J82">IFERROR(
    _xlfn.XLOOKUP(G82, 'Wedgewood Pharm-PME-Yr2-2025'!$E$4:$L$4,
        _xlfn.XLOOKUP('Rate Load'!H82, 'Wedgewood Pharm-PME-Yr2-2025'!$D$5:$D$28,
            'Wedgewood Pharm-PME-Yr2-2025'!$E$5:$L$28, 0, 0),
        0, 0),
    _xlfn.XLOOKUP(G82, 'Wedgewood Pharm-PME-Yr2-2025'!$E$4:$L$4,
        _xlfn.XLOOKUP('Rate Load'!L82, 'Wedgewood Pharm-PME-Yr2-2025'!$D$5:$D$28,
            'Wedgewood Pharm-PME-Yr2-2025'!$E$5:$L$28, 0, 0),
        0, 0)
)</f>
        <v>56.129999999999995</v>
      </c>
      <c r="K82" t="s">
        <v>47</v>
      </c>
      <c r="L82" t="s">
        <v>14</v>
      </c>
      <c r="M82" t="str">
        <f t="shared" si="1"/>
        <v>INSERT INTO TNL_RATING.dbo.usps_rate_master VALUES ('USPS', '2/13/2025', '2/13/2026', 12659, 'US', 'Priority Mail Express', 4, 17, 'L', 56.13, 'Wedgewood_USPS_2025', 'NonCubic');</v>
      </c>
    </row>
    <row r="83" spans="1:13" x14ac:dyDescent="0.3">
      <c r="A83" t="s">
        <v>11</v>
      </c>
      <c r="B83" s="1" t="s">
        <v>44</v>
      </c>
      <c r="C83" s="1" t="s">
        <v>45</v>
      </c>
      <c r="D83">
        <v>12659</v>
      </c>
      <c r="E83" t="s">
        <v>12</v>
      </c>
      <c r="F83" t="s">
        <v>43</v>
      </c>
      <c r="G83">
        <v>4</v>
      </c>
      <c r="H83">
        <v>18</v>
      </c>
      <c r="I83" t="s">
        <v>46</v>
      </c>
      <c r="J83" cm="1">
        <f t="array" ref="J83">IFERROR(
    _xlfn.XLOOKUP(G83, 'Wedgewood Pharm-PME-Yr2-2025'!$E$4:$L$4,
        _xlfn.XLOOKUP('Rate Load'!H83, 'Wedgewood Pharm-PME-Yr2-2025'!$D$5:$D$28,
            'Wedgewood Pharm-PME-Yr2-2025'!$E$5:$L$28, 0, 0),
        0, 0),
    _xlfn.XLOOKUP(G83, 'Wedgewood Pharm-PME-Yr2-2025'!$E$4:$L$4,
        _xlfn.XLOOKUP('Rate Load'!L83, 'Wedgewood Pharm-PME-Yr2-2025'!$D$5:$D$28,
            'Wedgewood Pharm-PME-Yr2-2025'!$E$5:$L$28, 0, 0),
        0, 0)
)</f>
        <v>58.66</v>
      </c>
      <c r="K83" t="s">
        <v>47</v>
      </c>
      <c r="L83" t="s">
        <v>14</v>
      </c>
      <c r="M83" t="str">
        <f t="shared" si="1"/>
        <v>INSERT INTO TNL_RATING.dbo.usps_rate_master VALUES ('USPS', '2/13/2025', '2/13/2026', 12659, 'US', 'Priority Mail Express', 4, 18, 'L', 58.66, 'Wedgewood_USPS_2025', 'NonCubic');</v>
      </c>
    </row>
    <row r="84" spans="1:13" x14ac:dyDescent="0.3">
      <c r="A84" t="s">
        <v>11</v>
      </c>
      <c r="B84" s="1" t="s">
        <v>44</v>
      </c>
      <c r="C84" s="1" t="s">
        <v>45</v>
      </c>
      <c r="D84">
        <v>12659</v>
      </c>
      <c r="E84" t="s">
        <v>12</v>
      </c>
      <c r="F84" t="s">
        <v>43</v>
      </c>
      <c r="G84">
        <v>4</v>
      </c>
      <c r="H84">
        <v>19</v>
      </c>
      <c r="I84" t="s">
        <v>46</v>
      </c>
      <c r="J84" cm="1">
        <f t="array" ref="J84">IFERROR(
    _xlfn.XLOOKUP(G84, 'Wedgewood Pharm-PME-Yr2-2025'!$E$4:$L$4,
        _xlfn.XLOOKUP('Rate Load'!H84, 'Wedgewood Pharm-PME-Yr2-2025'!$D$5:$D$28,
            'Wedgewood Pharm-PME-Yr2-2025'!$E$5:$L$28, 0, 0),
        0, 0),
    _xlfn.XLOOKUP(G84, 'Wedgewood Pharm-PME-Yr2-2025'!$E$4:$L$4,
        _xlfn.XLOOKUP('Rate Load'!L84, 'Wedgewood Pharm-PME-Yr2-2025'!$D$5:$D$28,
            'Wedgewood Pharm-PME-Yr2-2025'!$E$5:$L$28, 0, 0),
        0, 0)
)</f>
        <v>61.199999999999996</v>
      </c>
      <c r="K84" t="s">
        <v>47</v>
      </c>
      <c r="L84" t="s">
        <v>14</v>
      </c>
      <c r="M84" t="str">
        <f t="shared" si="1"/>
        <v>INSERT INTO TNL_RATING.dbo.usps_rate_master VALUES ('USPS', '2/13/2025', '2/13/2026', 12659, 'US', 'Priority Mail Express', 4, 19, 'L', 61.2, 'Wedgewood_USPS_2025', 'NonCubic');</v>
      </c>
    </row>
    <row r="85" spans="1:13" x14ac:dyDescent="0.3">
      <c r="A85" t="s">
        <v>11</v>
      </c>
      <c r="B85" s="1" t="s">
        <v>44</v>
      </c>
      <c r="C85" s="1" t="s">
        <v>45</v>
      </c>
      <c r="D85">
        <v>12659</v>
      </c>
      <c r="E85" t="s">
        <v>12</v>
      </c>
      <c r="F85" t="s">
        <v>43</v>
      </c>
      <c r="G85">
        <v>4</v>
      </c>
      <c r="H85">
        <v>20</v>
      </c>
      <c r="I85" t="s">
        <v>46</v>
      </c>
      <c r="J85" cm="1">
        <f t="array" ref="J85">IFERROR(
    _xlfn.XLOOKUP(G85, 'Wedgewood Pharm-PME-Yr2-2025'!$E$4:$L$4,
        _xlfn.XLOOKUP('Rate Load'!H85, 'Wedgewood Pharm-PME-Yr2-2025'!$D$5:$D$28,
            'Wedgewood Pharm-PME-Yr2-2025'!$E$5:$L$28, 0, 0),
        0, 0),
    _xlfn.XLOOKUP(G85, 'Wedgewood Pharm-PME-Yr2-2025'!$E$4:$L$4,
        _xlfn.XLOOKUP('Rate Load'!L85, 'Wedgewood Pharm-PME-Yr2-2025'!$D$5:$D$28,
            'Wedgewood Pharm-PME-Yr2-2025'!$E$5:$L$28, 0, 0),
        0, 0)
)</f>
        <v>63.739999999999995</v>
      </c>
      <c r="K85" t="s">
        <v>47</v>
      </c>
      <c r="L85" t="s">
        <v>14</v>
      </c>
      <c r="M85" t="str">
        <f t="shared" si="1"/>
        <v>INSERT INTO TNL_RATING.dbo.usps_rate_master VALUES ('USPS', '2/13/2025', '2/13/2026', 12659, 'US', 'Priority Mail Express', 4, 20, 'L', 63.74, 'Wedgewood_USPS_2025', 'NonCubic');</v>
      </c>
    </row>
    <row r="86" spans="1:13" x14ac:dyDescent="0.3">
      <c r="A86" t="s">
        <v>11</v>
      </c>
      <c r="B86" s="1" t="s">
        <v>44</v>
      </c>
      <c r="C86" s="1" t="s">
        <v>45</v>
      </c>
      <c r="D86">
        <v>12659</v>
      </c>
      <c r="E86" t="s">
        <v>12</v>
      </c>
      <c r="F86" t="s">
        <v>43</v>
      </c>
      <c r="G86">
        <v>5</v>
      </c>
      <c r="H86">
        <v>0.5</v>
      </c>
      <c r="I86" t="s">
        <v>46</v>
      </c>
      <c r="J86" cm="1">
        <f t="array" ref="J86">IFERROR(
    _xlfn.XLOOKUP(G86, 'Wedgewood Pharm-PME-Yr2-2025'!$E$4:$L$4,
        _xlfn.XLOOKUP('Rate Load'!H86, 'Wedgewood Pharm-PME-Yr2-2025'!$D$5:$D$28,
            'Wedgewood Pharm-PME-Yr2-2025'!$E$5:$L$28, 0, 0),
        0, 0),
    _xlfn.XLOOKUP(G86, 'Wedgewood Pharm-PME-Yr2-2025'!$E$4:$L$4,
        _xlfn.XLOOKUP('Rate Load'!L86, 'Wedgewood Pharm-PME-Yr2-2025'!$D$5:$D$28,
            'Wedgewood Pharm-PME-Yr2-2025'!$E$5:$L$28, 0, 0),
        0, 0)
)</f>
        <v>14.98</v>
      </c>
      <c r="K86" t="s">
        <v>47</v>
      </c>
      <c r="L86" t="s">
        <v>14</v>
      </c>
      <c r="M86" t="str">
        <f t="shared" si="1"/>
        <v>INSERT INTO TNL_RATING.dbo.usps_rate_master VALUES ('USPS', '2/13/2025', '2/13/2026', 12659, 'US', 'Priority Mail Express', 5, 0.5, 'L', 14.98, 'Wedgewood_USPS_2025', 'NonCubic');</v>
      </c>
    </row>
    <row r="87" spans="1:13" x14ac:dyDescent="0.3">
      <c r="A87" t="s">
        <v>11</v>
      </c>
      <c r="B87" s="1" t="s">
        <v>44</v>
      </c>
      <c r="C87" s="1" t="s">
        <v>45</v>
      </c>
      <c r="D87">
        <v>12659</v>
      </c>
      <c r="E87" t="s">
        <v>12</v>
      </c>
      <c r="F87" t="s">
        <v>43</v>
      </c>
      <c r="G87">
        <v>5</v>
      </c>
      <c r="H87">
        <v>1</v>
      </c>
      <c r="I87" t="s">
        <v>46</v>
      </c>
      <c r="J87" cm="1">
        <f t="array" ref="J87">IFERROR(
    _xlfn.XLOOKUP(G87, 'Wedgewood Pharm-PME-Yr2-2025'!$E$4:$L$4,
        _xlfn.XLOOKUP('Rate Load'!H87, 'Wedgewood Pharm-PME-Yr2-2025'!$D$5:$D$28,
            'Wedgewood Pharm-PME-Yr2-2025'!$E$5:$L$28, 0, 0),
        0, 0),
    _xlfn.XLOOKUP(G87, 'Wedgewood Pharm-PME-Yr2-2025'!$E$4:$L$4,
        _xlfn.XLOOKUP('Rate Load'!L87, 'Wedgewood Pharm-PME-Yr2-2025'!$D$5:$D$28,
            'Wedgewood Pharm-PME-Yr2-2025'!$E$5:$L$28, 0, 0),
        0, 0)
)</f>
        <v>16.560000000000002</v>
      </c>
      <c r="K87" t="s">
        <v>47</v>
      </c>
      <c r="L87" t="s">
        <v>14</v>
      </c>
      <c r="M87" t="str">
        <f t="shared" si="1"/>
        <v>INSERT INTO TNL_RATING.dbo.usps_rate_master VALUES ('USPS', '2/13/2025', '2/13/2026', 12659, 'US', 'Priority Mail Express', 5, 1, 'L', 16.56, 'Wedgewood_USPS_2025', 'NonCubic');</v>
      </c>
    </row>
    <row r="88" spans="1:13" x14ac:dyDescent="0.3">
      <c r="A88" t="s">
        <v>11</v>
      </c>
      <c r="B88" s="1" t="s">
        <v>44</v>
      </c>
      <c r="C88" s="1" t="s">
        <v>45</v>
      </c>
      <c r="D88">
        <v>12659</v>
      </c>
      <c r="E88" t="s">
        <v>12</v>
      </c>
      <c r="F88" t="s">
        <v>43</v>
      </c>
      <c r="G88">
        <v>5</v>
      </c>
      <c r="H88">
        <v>2</v>
      </c>
      <c r="I88" t="s">
        <v>46</v>
      </c>
      <c r="J88" cm="1">
        <f t="array" ref="J88">IFERROR(
    _xlfn.XLOOKUP(G88, 'Wedgewood Pharm-PME-Yr2-2025'!$E$4:$L$4,
        _xlfn.XLOOKUP('Rate Load'!H88, 'Wedgewood Pharm-PME-Yr2-2025'!$D$5:$D$28,
            'Wedgewood Pharm-PME-Yr2-2025'!$E$5:$L$28, 0, 0),
        0, 0),
    _xlfn.XLOOKUP(G88, 'Wedgewood Pharm-PME-Yr2-2025'!$E$4:$L$4,
        _xlfn.XLOOKUP('Rate Load'!L88, 'Wedgewood Pharm-PME-Yr2-2025'!$D$5:$D$28,
            'Wedgewood Pharm-PME-Yr2-2025'!$E$5:$L$28, 0, 0),
        0, 0)
)</f>
        <v>18.930000000000003</v>
      </c>
      <c r="K88" t="s">
        <v>47</v>
      </c>
      <c r="L88" t="s">
        <v>14</v>
      </c>
      <c r="M88" t="str">
        <f t="shared" si="1"/>
        <v>INSERT INTO TNL_RATING.dbo.usps_rate_master VALUES ('USPS', '2/13/2025', '2/13/2026', 12659, 'US', 'Priority Mail Express', 5, 2, 'L', 18.93, 'Wedgewood_USPS_2025', 'NonCubic');</v>
      </c>
    </row>
    <row r="89" spans="1:13" x14ac:dyDescent="0.3">
      <c r="A89" t="s">
        <v>11</v>
      </c>
      <c r="B89" s="1" t="s">
        <v>44</v>
      </c>
      <c r="C89" s="1" t="s">
        <v>45</v>
      </c>
      <c r="D89">
        <v>12659</v>
      </c>
      <c r="E89" t="s">
        <v>12</v>
      </c>
      <c r="F89" t="s">
        <v>43</v>
      </c>
      <c r="G89">
        <v>5</v>
      </c>
      <c r="H89">
        <v>3</v>
      </c>
      <c r="I89" t="s">
        <v>46</v>
      </c>
      <c r="J89" cm="1">
        <f t="array" ref="J89">IFERROR(
    _xlfn.XLOOKUP(G89, 'Wedgewood Pharm-PME-Yr2-2025'!$E$4:$L$4,
        _xlfn.XLOOKUP('Rate Load'!H89, 'Wedgewood Pharm-PME-Yr2-2025'!$D$5:$D$28,
            'Wedgewood Pharm-PME-Yr2-2025'!$E$5:$L$28, 0, 0),
        0, 0),
    _xlfn.XLOOKUP(G89, 'Wedgewood Pharm-PME-Yr2-2025'!$E$4:$L$4,
        _xlfn.XLOOKUP('Rate Load'!L89, 'Wedgewood Pharm-PME-Yr2-2025'!$D$5:$D$28,
            'Wedgewood Pharm-PME-Yr2-2025'!$E$5:$L$28, 0, 0),
        0, 0)
)</f>
        <v>21.720000000000002</v>
      </c>
      <c r="K89" t="s">
        <v>47</v>
      </c>
      <c r="L89" t="s">
        <v>14</v>
      </c>
      <c r="M89" t="str">
        <f t="shared" si="1"/>
        <v>INSERT INTO TNL_RATING.dbo.usps_rate_master VALUES ('USPS', '2/13/2025', '2/13/2026', 12659, 'US', 'Priority Mail Express', 5, 3, 'L', 21.72, 'Wedgewood_USPS_2025', 'NonCubic');</v>
      </c>
    </row>
    <row r="90" spans="1:13" x14ac:dyDescent="0.3">
      <c r="A90" t="s">
        <v>11</v>
      </c>
      <c r="B90" s="1" t="s">
        <v>44</v>
      </c>
      <c r="C90" s="1" t="s">
        <v>45</v>
      </c>
      <c r="D90">
        <v>12659</v>
      </c>
      <c r="E90" t="s">
        <v>12</v>
      </c>
      <c r="F90" t="s">
        <v>43</v>
      </c>
      <c r="G90">
        <v>5</v>
      </c>
      <c r="H90">
        <v>4</v>
      </c>
      <c r="I90" t="s">
        <v>46</v>
      </c>
      <c r="J90" cm="1">
        <f t="array" ref="J90">IFERROR(
    _xlfn.XLOOKUP(G90, 'Wedgewood Pharm-PME-Yr2-2025'!$E$4:$L$4,
        _xlfn.XLOOKUP('Rate Load'!H90, 'Wedgewood Pharm-PME-Yr2-2025'!$D$5:$D$28,
            'Wedgewood Pharm-PME-Yr2-2025'!$E$5:$L$28, 0, 0),
        0, 0),
    _xlfn.XLOOKUP(G90, 'Wedgewood Pharm-PME-Yr2-2025'!$E$4:$L$4,
        _xlfn.XLOOKUP('Rate Load'!L90, 'Wedgewood Pharm-PME-Yr2-2025'!$D$5:$D$28,
            'Wedgewood Pharm-PME-Yr2-2025'!$E$5:$L$28, 0, 0),
        0, 0)
)</f>
        <v>24.490000000000002</v>
      </c>
      <c r="K90" t="s">
        <v>47</v>
      </c>
      <c r="L90" t="s">
        <v>14</v>
      </c>
      <c r="M90" t="str">
        <f t="shared" si="1"/>
        <v>INSERT INTO TNL_RATING.dbo.usps_rate_master VALUES ('USPS', '2/13/2025', '2/13/2026', 12659, 'US', 'Priority Mail Express', 5, 4, 'L', 24.49, 'Wedgewood_USPS_2025', 'NonCubic');</v>
      </c>
    </row>
    <row r="91" spans="1:13" x14ac:dyDescent="0.3">
      <c r="A91" t="s">
        <v>11</v>
      </c>
      <c r="B91" s="1" t="s">
        <v>44</v>
      </c>
      <c r="C91" s="1" t="s">
        <v>45</v>
      </c>
      <c r="D91">
        <v>12659</v>
      </c>
      <c r="E91" t="s">
        <v>12</v>
      </c>
      <c r="F91" t="s">
        <v>43</v>
      </c>
      <c r="G91">
        <v>5</v>
      </c>
      <c r="H91">
        <v>5</v>
      </c>
      <c r="I91" t="s">
        <v>46</v>
      </c>
      <c r="J91" cm="1">
        <f t="array" ref="J91">IFERROR(
    _xlfn.XLOOKUP(G91, 'Wedgewood Pharm-PME-Yr2-2025'!$E$4:$L$4,
        _xlfn.XLOOKUP('Rate Load'!H91, 'Wedgewood Pharm-PME-Yr2-2025'!$D$5:$D$28,
            'Wedgewood Pharm-PME-Yr2-2025'!$E$5:$L$28, 0, 0),
        0, 0),
    _xlfn.XLOOKUP(G91, 'Wedgewood Pharm-PME-Yr2-2025'!$E$4:$L$4,
        _xlfn.XLOOKUP('Rate Load'!L91, 'Wedgewood Pharm-PME-Yr2-2025'!$D$5:$D$28,
            'Wedgewood Pharm-PME-Yr2-2025'!$E$5:$L$28, 0, 0),
        0, 0)
)</f>
        <v>27.28</v>
      </c>
      <c r="K91" t="s">
        <v>47</v>
      </c>
      <c r="L91" t="s">
        <v>14</v>
      </c>
      <c r="M91" t="str">
        <f t="shared" si="1"/>
        <v>INSERT INTO TNL_RATING.dbo.usps_rate_master VALUES ('USPS', '2/13/2025', '2/13/2026', 12659, 'US', 'Priority Mail Express', 5, 5, 'L', 27.28, 'Wedgewood_USPS_2025', 'NonCubic');</v>
      </c>
    </row>
    <row r="92" spans="1:13" x14ac:dyDescent="0.3">
      <c r="A92" t="s">
        <v>11</v>
      </c>
      <c r="B92" s="1" t="s">
        <v>44</v>
      </c>
      <c r="C92" s="1" t="s">
        <v>45</v>
      </c>
      <c r="D92">
        <v>12659</v>
      </c>
      <c r="E92" t="s">
        <v>12</v>
      </c>
      <c r="F92" t="s">
        <v>43</v>
      </c>
      <c r="G92">
        <v>5</v>
      </c>
      <c r="H92">
        <v>6</v>
      </c>
      <c r="I92" t="s">
        <v>46</v>
      </c>
      <c r="J92" cm="1">
        <f t="array" ref="J92">IFERROR(
    _xlfn.XLOOKUP(G92, 'Wedgewood Pharm-PME-Yr2-2025'!$E$4:$L$4,
        _xlfn.XLOOKUP('Rate Load'!H92, 'Wedgewood Pharm-PME-Yr2-2025'!$D$5:$D$28,
            'Wedgewood Pharm-PME-Yr2-2025'!$E$5:$L$28, 0, 0),
        0, 0),
    _xlfn.XLOOKUP(G92, 'Wedgewood Pharm-PME-Yr2-2025'!$E$4:$L$4,
        _xlfn.XLOOKUP('Rate Load'!L92, 'Wedgewood Pharm-PME-Yr2-2025'!$D$5:$D$28,
            'Wedgewood Pharm-PME-Yr2-2025'!$E$5:$L$28, 0, 0),
        0, 0)
)</f>
        <v>30.12</v>
      </c>
      <c r="K92" t="s">
        <v>47</v>
      </c>
      <c r="L92" t="s">
        <v>14</v>
      </c>
      <c r="M92" t="str">
        <f t="shared" si="1"/>
        <v>INSERT INTO TNL_RATING.dbo.usps_rate_master VALUES ('USPS', '2/13/2025', '2/13/2026', 12659, 'US', 'Priority Mail Express', 5, 6, 'L', 30.12, 'Wedgewood_USPS_2025', 'NonCubic');</v>
      </c>
    </row>
    <row r="93" spans="1:13" x14ac:dyDescent="0.3">
      <c r="A93" t="s">
        <v>11</v>
      </c>
      <c r="B93" s="1" t="s">
        <v>44</v>
      </c>
      <c r="C93" s="1" t="s">
        <v>45</v>
      </c>
      <c r="D93">
        <v>12659</v>
      </c>
      <c r="E93" t="s">
        <v>12</v>
      </c>
      <c r="F93" t="s">
        <v>43</v>
      </c>
      <c r="G93">
        <v>5</v>
      </c>
      <c r="H93">
        <v>7</v>
      </c>
      <c r="I93" t="s">
        <v>46</v>
      </c>
      <c r="J93" cm="1">
        <f t="array" ref="J93">IFERROR(
    _xlfn.XLOOKUP(G93, 'Wedgewood Pharm-PME-Yr2-2025'!$E$4:$L$4,
        _xlfn.XLOOKUP('Rate Load'!H93, 'Wedgewood Pharm-PME-Yr2-2025'!$D$5:$D$28,
            'Wedgewood Pharm-PME-Yr2-2025'!$E$5:$L$28, 0, 0),
        0, 0),
    _xlfn.XLOOKUP(G93, 'Wedgewood Pharm-PME-Yr2-2025'!$E$4:$L$4,
        _xlfn.XLOOKUP('Rate Load'!L93, 'Wedgewood Pharm-PME-Yr2-2025'!$D$5:$D$28,
            'Wedgewood Pharm-PME-Yr2-2025'!$E$5:$L$28, 0, 0),
        0, 0)
)</f>
        <v>32.949999999999996</v>
      </c>
      <c r="K93" t="s">
        <v>47</v>
      </c>
      <c r="L93" t="s">
        <v>14</v>
      </c>
      <c r="M93" t="str">
        <f t="shared" si="1"/>
        <v>INSERT INTO TNL_RATING.dbo.usps_rate_master VALUES ('USPS', '2/13/2025', '2/13/2026', 12659, 'US', 'Priority Mail Express', 5, 7, 'L', 32.95, 'Wedgewood_USPS_2025', 'NonCubic');</v>
      </c>
    </row>
    <row r="94" spans="1:13" x14ac:dyDescent="0.3">
      <c r="A94" t="s">
        <v>11</v>
      </c>
      <c r="B94" s="1" t="s">
        <v>44</v>
      </c>
      <c r="C94" s="1" t="s">
        <v>45</v>
      </c>
      <c r="D94">
        <v>12659</v>
      </c>
      <c r="E94" t="s">
        <v>12</v>
      </c>
      <c r="F94" t="s">
        <v>43</v>
      </c>
      <c r="G94">
        <v>5</v>
      </c>
      <c r="H94">
        <v>8</v>
      </c>
      <c r="I94" t="s">
        <v>46</v>
      </c>
      <c r="J94" cm="1">
        <f t="array" ref="J94">IFERROR(
    _xlfn.XLOOKUP(G94, 'Wedgewood Pharm-PME-Yr2-2025'!$E$4:$L$4,
        _xlfn.XLOOKUP('Rate Load'!H94, 'Wedgewood Pharm-PME-Yr2-2025'!$D$5:$D$28,
            'Wedgewood Pharm-PME-Yr2-2025'!$E$5:$L$28, 0, 0),
        0, 0),
    _xlfn.XLOOKUP(G94, 'Wedgewood Pharm-PME-Yr2-2025'!$E$4:$L$4,
        _xlfn.XLOOKUP('Rate Load'!L94, 'Wedgewood Pharm-PME-Yr2-2025'!$D$5:$D$28,
            'Wedgewood Pharm-PME-Yr2-2025'!$E$5:$L$28, 0, 0),
        0, 0)
)</f>
        <v>35.78</v>
      </c>
      <c r="K94" t="s">
        <v>47</v>
      </c>
      <c r="L94" t="s">
        <v>14</v>
      </c>
      <c r="M94" t="str">
        <f t="shared" si="1"/>
        <v>INSERT INTO TNL_RATING.dbo.usps_rate_master VALUES ('USPS', '2/13/2025', '2/13/2026', 12659, 'US', 'Priority Mail Express', 5, 8, 'L', 35.78, 'Wedgewood_USPS_2025', 'NonCubic');</v>
      </c>
    </row>
    <row r="95" spans="1:13" x14ac:dyDescent="0.3">
      <c r="A95" t="s">
        <v>11</v>
      </c>
      <c r="B95" s="1" t="s">
        <v>44</v>
      </c>
      <c r="C95" s="1" t="s">
        <v>45</v>
      </c>
      <c r="D95">
        <v>12659</v>
      </c>
      <c r="E95" t="s">
        <v>12</v>
      </c>
      <c r="F95" t="s">
        <v>43</v>
      </c>
      <c r="G95">
        <v>5</v>
      </c>
      <c r="H95">
        <v>9</v>
      </c>
      <c r="I95" t="s">
        <v>46</v>
      </c>
      <c r="J95" cm="1">
        <f t="array" ref="J95">IFERROR(
    _xlfn.XLOOKUP(G95, 'Wedgewood Pharm-PME-Yr2-2025'!$E$4:$L$4,
        _xlfn.XLOOKUP('Rate Load'!H95, 'Wedgewood Pharm-PME-Yr2-2025'!$D$5:$D$28,
            'Wedgewood Pharm-PME-Yr2-2025'!$E$5:$L$28, 0, 0),
        0, 0),
    _xlfn.XLOOKUP(G95, 'Wedgewood Pharm-PME-Yr2-2025'!$E$4:$L$4,
        _xlfn.XLOOKUP('Rate Load'!L95, 'Wedgewood Pharm-PME-Yr2-2025'!$D$5:$D$28,
            'Wedgewood Pharm-PME-Yr2-2025'!$E$5:$L$28, 0, 0),
        0, 0)
)</f>
        <v>38.61</v>
      </c>
      <c r="K95" t="s">
        <v>47</v>
      </c>
      <c r="L95" t="s">
        <v>14</v>
      </c>
      <c r="M95" t="str">
        <f t="shared" si="1"/>
        <v>INSERT INTO TNL_RATING.dbo.usps_rate_master VALUES ('USPS', '2/13/2025', '2/13/2026', 12659, 'US', 'Priority Mail Express', 5, 9, 'L', 38.61, 'Wedgewood_USPS_2025', 'NonCubic');</v>
      </c>
    </row>
    <row r="96" spans="1:13" x14ac:dyDescent="0.3">
      <c r="A96" t="s">
        <v>11</v>
      </c>
      <c r="B96" s="1" t="s">
        <v>44</v>
      </c>
      <c r="C96" s="1" t="s">
        <v>45</v>
      </c>
      <c r="D96">
        <v>12659</v>
      </c>
      <c r="E96" t="s">
        <v>12</v>
      </c>
      <c r="F96" t="s">
        <v>43</v>
      </c>
      <c r="G96">
        <v>5</v>
      </c>
      <c r="H96">
        <v>10</v>
      </c>
      <c r="I96" t="s">
        <v>46</v>
      </c>
      <c r="J96" cm="1">
        <f t="array" ref="J96">IFERROR(
    _xlfn.XLOOKUP(G96, 'Wedgewood Pharm-PME-Yr2-2025'!$E$4:$L$4,
        _xlfn.XLOOKUP('Rate Load'!H96, 'Wedgewood Pharm-PME-Yr2-2025'!$D$5:$D$28,
            'Wedgewood Pharm-PME-Yr2-2025'!$E$5:$L$28, 0, 0),
        0, 0),
    _xlfn.XLOOKUP(G96, 'Wedgewood Pharm-PME-Yr2-2025'!$E$4:$L$4,
        _xlfn.XLOOKUP('Rate Load'!L96, 'Wedgewood Pharm-PME-Yr2-2025'!$D$5:$D$28,
            'Wedgewood Pharm-PME-Yr2-2025'!$E$5:$L$28, 0, 0),
        0, 0)
)</f>
        <v>41.449999999999996</v>
      </c>
      <c r="K96" t="s">
        <v>47</v>
      </c>
      <c r="L96" t="s">
        <v>14</v>
      </c>
      <c r="M96" t="str">
        <f t="shared" si="1"/>
        <v>INSERT INTO TNL_RATING.dbo.usps_rate_master VALUES ('USPS', '2/13/2025', '2/13/2026', 12659, 'US', 'Priority Mail Express', 5, 10, 'L', 41.45, 'Wedgewood_USPS_2025', 'NonCubic');</v>
      </c>
    </row>
    <row r="97" spans="1:13" x14ac:dyDescent="0.3">
      <c r="A97" t="s">
        <v>11</v>
      </c>
      <c r="B97" s="1" t="s">
        <v>44</v>
      </c>
      <c r="C97" s="1" t="s">
        <v>45</v>
      </c>
      <c r="D97">
        <v>12659</v>
      </c>
      <c r="E97" t="s">
        <v>12</v>
      </c>
      <c r="F97" t="s">
        <v>43</v>
      </c>
      <c r="G97">
        <v>5</v>
      </c>
      <c r="H97">
        <v>11</v>
      </c>
      <c r="I97" t="s">
        <v>46</v>
      </c>
      <c r="J97" cm="1">
        <f t="array" ref="J97">IFERROR(
    _xlfn.XLOOKUP(G97, 'Wedgewood Pharm-PME-Yr2-2025'!$E$4:$L$4,
        _xlfn.XLOOKUP('Rate Load'!H97, 'Wedgewood Pharm-PME-Yr2-2025'!$D$5:$D$28,
            'Wedgewood Pharm-PME-Yr2-2025'!$E$5:$L$28, 0, 0),
        0, 0),
    _xlfn.XLOOKUP(G97, 'Wedgewood Pharm-PME-Yr2-2025'!$E$4:$L$4,
        _xlfn.XLOOKUP('Rate Load'!L97, 'Wedgewood Pharm-PME-Yr2-2025'!$D$5:$D$28,
            'Wedgewood Pharm-PME-Yr2-2025'!$E$5:$L$28, 0, 0),
        0, 0)
)</f>
        <v>44.019999999999996</v>
      </c>
      <c r="K97" t="s">
        <v>47</v>
      </c>
      <c r="L97" t="s">
        <v>14</v>
      </c>
      <c r="M97" t="str">
        <f t="shared" si="1"/>
        <v>INSERT INTO TNL_RATING.dbo.usps_rate_master VALUES ('USPS', '2/13/2025', '2/13/2026', 12659, 'US', 'Priority Mail Express', 5, 11, 'L', 44.02, 'Wedgewood_USPS_2025', 'NonCubic');</v>
      </c>
    </row>
    <row r="98" spans="1:13" x14ac:dyDescent="0.3">
      <c r="A98" t="s">
        <v>11</v>
      </c>
      <c r="B98" s="1" t="s">
        <v>44</v>
      </c>
      <c r="C98" s="1" t="s">
        <v>45</v>
      </c>
      <c r="D98">
        <v>12659</v>
      </c>
      <c r="E98" t="s">
        <v>12</v>
      </c>
      <c r="F98" t="s">
        <v>43</v>
      </c>
      <c r="G98">
        <v>5</v>
      </c>
      <c r="H98">
        <v>12</v>
      </c>
      <c r="I98" t="s">
        <v>46</v>
      </c>
      <c r="J98" cm="1">
        <f t="array" ref="J98">IFERROR(
    _xlfn.XLOOKUP(G98, 'Wedgewood Pharm-PME-Yr2-2025'!$E$4:$L$4,
        _xlfn.XLOOKUP('Rate Load'!H98, 'Wedgewood Pharm-PME-Yr2-2025'!$D$5:$D$28,
            'Wedgewood Pharm-PME-Yr2-2025'!$E$5:$L$28, 0, 0),
        0, 0),
    _xlfn.XLOOKUP(G98, 'Wedgewood Pharm-PME-Yr2-2025'!$E$4:$L$4,
        _xlfn.XLOOKUP('Rate Load'!L98, 'Wedgewood Pharm-PME-Yr2-2025'!$D$5:$D$28,
            'Wedgewood Pharm-PME-Yr2-2025'!$E$5:$L$28, 0, 0),
        0, 0)
)</f>
        <v>46.58</v>
      </c>
      <c r="K98" t="s">
        <v>47</v>
      </c>
      <c r="L98" t="s">
        <v>14</v>
      </c>
      <c r="M98" t="str">
        <f t="shared" si="1"/>
        <v>INSERT INTO TNL_RATING.dbo.usps_rate_master VALUES ('USPS', '2/13/2025', '2/13/2026', 12659, 'US', 'Priority Mail Express', 5, 12, 'L', 46.58, 'Wedgewood_USPS_2025', 'NonCubic');</v>
      </c>
    </row>
    <row r="99" spans="1:13" x14ac:dyDescent="0.3">
      <c r="A99" t="s">
        <v>11</v>
      </c>
      <c r="B99" s="1" t="s">
        <v>44</v>
      </c>
      <c r="C99" s="1" t="s">
        <v>45</v>
      </c>
      <c r="D99">
        <v>12659</v>
      </c>
      <c r="E99" t="s">
        <v>12</v>
      </c>
      <c r="F99" t="s">
        <v>43</v>
      </c>
      <c r="G99">
        <v>5</v>
      </c>
      <c r="H99">
        <v>13</v>
      </c>
      <c r="I99" t="s">
        <v>46</v>
      </c>
      <c r="J99" cm="1">
        <f t="array" ref="J99">IFERROR(
    _xlfn.XLOOKUP(G99, 'Wedgewood Pharm-PME-Yr2-2025'!$E$4:$L$4,
        _xlfn.XLOOKUP('Rate Load'!H99, 'Wedgewood Pharm-PME-Yr2-2025'!$D$5:$D$28,
            'Wedgewood Pharm-PME-Yr2-2025'!$E$5:$L$28, 0, 0),
        0, 0),
    _xlfn.XLOOKUP(G99, 'Wedgewood Pharm-PME-Yr2-2025'!$E$4:$L$4,
        _xlfn.XLOOKUP('Rate Load'!L99, 'Wedgewood Pharm-PME-Yr2-2025'!$D$5:$D$28,
            'Wedgewood Pharm-PME-Yr2-2025'!$E$5:$L$28, 0, 0),
        0, 0)
)</f>
        <v>49.12</v>
      </c>
      <c r="K99" t="s">
        <v>47</v>
      </c>
      <c r="L99" t="s">
        <v>14</v>
      </c>
      <c r="M99" t="str">
        <f t="shared" si="1"/>
        <v>INSERT INTO TNL_RATING.dbo.usps_rate_master VALUES ('USPS', '2/13/2025', '2/13/2026', 12659, 'US', 'Priority Mail Express', 5, 13, 'L', 49.12, 'Wedgewood_USPS_2025', 'NonCubic');</v>
      </c>
    </row>
    <row r="100" spans="1:13" x14ac:dyDescent="0.3">
      <c r="A100" t="s">
        <v>11</v>
      </c>
      <c r="B100" s="1" t="s">
        <v>44</v>
      </c>
      <c r="C100" s="1" t="s">
        <v>45</v>
      </c>
      <c r="D100">
        <v>12659</v>
      </c>
      <c r="E100" t="s">
        <v>12</v>
      </c>
      <c r="F100" t="s">
        <v>43</v>
      </c>
      <c r="G100">
        <v>5</v>
      </c>
      <c r="H100">
        <v>14</v>
      </c>
      <c r="I100" t="s">
        <v>46</v>
      </c>
      <c r="J100" cm="1">
        <f t="array" ref="J100">IFERROR(
    _xlfn.XLOOKUP(G100, 'Wedgewood Pharm-PME-Yr2-2025'!$E$4:$L$4,
        _xlfn.XLOOKUP('Rate Load'!H100, 'Wedgewood Pharm-PME-Yr2-2025'!$D$5:$D$28,
            'Wedgewood Pharm-PME-Yr2-2025'!$E$5:$L$28, 0, 0),
        0, 0),
    _xlfn.XLOOKUP(G100, 'Wedgewood Pharm-PME-Yr2-2025'!$E$4:$L$4,
        _xlfn.XLOOKUP('Rate Load'!L100, 'Wedgewood Pharm-PME-Yr2-2025'!$D$5:$D$28,
            'Wedgewood Pharm-PME-Yr2-2025'!$E$5:$L$28, 0, 0),
        0, 0)
)</f>
        <v>51.69</v>
      </c>
      <c r="K100" t="s">
        <v>47</v>
      </c>
      <c r="L100" t="s">
        <v>14</v>
      </c>
      <c r="M100" t="str">
        <f t="shared" si="1"/>
        <v>INSERT INTO TNL_RATING.dbo.usps_rate_master VALUES ('USPS', '2/13/2025', '2/13/2026', 12659, 'US', 'Priority Mail Express', 5, 14, 'L', 51.69, 'Wedgewood_USPS_2025', 'NonCubic');</v>
      </c>
    </row>
    <row r="101" spans="1:13" x14ac:dyDescent="0.3">
      <c r="A101" t="s">
        <v>11</v>
      </c>
      <c r="B101" s="1" t="s">
        <v>44</v>
      </c>
      <c r="C101" s="1" t="s">
        <v>45</v>
      </c>
      <c r="D101">
        <v>12659</v>
      </c>
      <c r="E101" t="s">
        <v>12</v>
      </c>
      <c r="F101" t="s">
        <v>43</v>
      </c>
      <c r="G101">
        <v>5</v>
      </c>
      <c r="H101">
        <v>15</v>
      </c>
      <c r="I101" t="s">
        <v>46</v>
      </c>
      <c r="J101" cm="1">
        <f t="array" ref="J101">IFERROR(
    _xlfn.XLOOKUP(G101, 'Wedgewood Pharm-PME-Yr2-2025'!$E$4:$L$4,
        _xlfn.XLOOKUP('Rate Load'!H101, 'Wedgewood Pharm-PME-Yr2-2025'!$D$5:$D$28,
            'Wedgewood Pharm-PME-Yr2-2025'!$E$5:$L$28, 0, 0),
        0, 0),
    _xlfn.XLOOKUP(G101, 'Wedgewood Pharm-PME-Yr2-2025'!$E$4:$L$4,
        _xlfn.XLOOKUP('Rate Load'!L101, 'Wedgewood Pharm-PME-Yr2-2025'!$D$5:$D$28,
            'Wedgewood Pharm-PME-Yr2-2025'!$E$5:$L$28, 0, 0),
        0, 0)
)</f>
        <v>54.25</v>
      </c>
      <c r="K101" t="s">
        <v>47</v>
      </c>
      <c r="L101" t="s">
        <v>14</v>
      </c>
      <c r="M101" t="str">
        <f t="shared" si="1"/>
        <v>INSERT INTO TNL_RATING.dbo.usps_rate_master VALUES ('USPS', '2/13/2025', '2/13/2026', 12659, 'US', 'Priority Mail Express', 5, 15, 'L', 54.25, 'Wedgewood_USPS_2025', 'NonCubic');</v>
      </c>
    </row>
    <row r="102" spans="1:13" x14ac:dyDescent="0.3">
      <c r="A102" t="s">
        <v>11</v>
      </c>
      <c r="B102" s="1" t="s">
        <v>44</v>
      </c>
      <c r="C102" s="1" t="s">
        <v>45</v>
      </c>
      <c r="D102">
        <v>12659</v>
      </c>
      <c r="E102" t="s">
        <v>12</v>
      </c>
      <c r="F102" t="s">
        <v>43</v>
      </c>
      <c r="G102">
        <v>5</v>
      </c>
      <c r="H102">
        <v>16</v>
      </c>
      <c r="I102" t="s">
        <v>46</v>
      </c>
      <c r="J102" cm="1">
        <f t="array" ref="J102">IFERROR(
    _xlfn.XLOOKUP(G102, 'Wedgewood Pharm-PME-Yr2-2025'!$E$4:$L$4,
        _xlfn.XLOOKUP('Rate Load'!H102, 'Wedgewood Pharm-PME-Yr2-2025'!$D$5:$D$28,
            'Wedgewood Pharm-PME-Yr2-2025'!$E$5:$L$28, 0, 0),
        0, 0),
    _xlfn.XLOOKUP(G102, 'Wedgewood Pharm-PME-Yr2-2025'!$E$4:$L$4,
        _xlfn.XLOOKUP('Rate Load'!L102, 'Wedgewood Pharm-PME-Yr2-2025'!$D$5:$D$28,
            'Wedgewood Pharm-PME-Yr2-2025'!$E$5:$L$28, 0, 0),
        0, 0)
)</f>
        <v>56.8</v>
      </c>
      <c r="K102" t="s">
        <v>47</v>
      </c>
      <c r="L102" t="s">
        <v>14</v>
      </c>
      <c r="M102" t="str">
        <f t="shared" si="1"/>
        <v>INSERT INTO TNL_RATING.dbo.usps_rate_master VALUES ('USPS', '2/13/2025', '2/13/2026', 12659, 'US', 'Priority Mail Express', 5, 16, 'L', 56.8, 'Wedgewood_USPS_2025', 'NonCubic');</v>
      </c>
    </row>
    <row r="103" spans="1:13" x14ac:dyDescent="0.3">
      <c r="A103" t="s">
        <v>11</v>
      </c>
      <c r="B103" s="1" t="s">
        <v>44</v>
      </c>
      <c r="C103" s="1" t="s">
        <v>45</v>
      </c>
      <c r="D103">
        <v>12659</v>
      </c>
      <c r="E103" t="s">
        <v>12</v>
      </c>
      <c r="F103" t="s">
        <v>43</v>
      </c>
      <c r="G103">
        <v>5</v>
      </c>
      <c r="H103">
        <v>17</v>
      </c>
      <c r="I103" t="s">
        <v>46</v>
      </c>
      <c r="J103" cm="1">
        <f t="array" ref="J103">IFERROR(
    _xlfn.XLOOKUP(G103, 'Wedgewood Pharm-PME-Yr2-2025'!$E$4:$L$4,
        _xlfn.XLOOKUP('Rate Load'!H103, 'Wedgewood Pharm-PME-Yr2-2025'!$D$5:$D$28,
            'Wedgewood Pharm-PME-Yr2-2025'!$E$5:$L$28, 0, 0),
        0, 0),
    _xlfn.XLOOKUP(G103, 'Wedgewood Pharm-PME-Yr2-2025'!$E$4:$L$4,
        _xlfn.XLOOKUP('Rate Load'!L103, 'Wedgewood Pharm-PME-Yr2-2025'!$D$5:$D$28,
            'Wedgewood Pharm-PME-Yr2-2025'!$E$5:$L$28, 0, 0),
        0, 0)
)</f>
        <v>59.36</v>
      </c>
      <c r="K103" t="s">
        <v>47</v>
      </c>
      <c r="L103" t="s">
        <v>14</v>
      </c>
      <c r="M103" t="str">
        <f t="shared" si="1"/>
        <v>INSERT INTO TNL_RATING.dbo.usps_rate_master VALUES ('USPS', '2/13/2025', '2/13/2026', 12659, 'US', 'Priority Mail Express', 5, 17, 'L', 59.36, 'Wedgewood_USPS_2025', 'NonCubic');</v>
      </c>
    </row>
    <row r="104" spans="1:13" x14ac:dyDescent="0.3">
      <c r="A104" t="s">
        <v>11</v>
      </c>
      <c r="B104" s="1" t="s">
        <v>44</v>
      </c>
      <c r="C104" s="1" t="s">
        <v>45</v>
      </c>
      <c r="D104">
        <v>12659</v>
      </c>
      <c r="E104" t="s">
        <v>12</v>
      </c>
      <c r="F104" t="s">
        <v>43</v>
      </c>
      <c r="G104">
        <v>5</v>
      </c>
      <c r="H104">
        <v>18</v>
      </c>
      <c r="I104" t="s">
        <v>46</v>
      </c>
      <c r="J104" cm="1">
        <f t="array" ref="J104">IFERROR(
    _xlfn.XLOOKUP(G104, 'Wedgewood Pharm-PME-Yr2-2025'!$E$4:$L$4,
        _xlfn.XLOOKUP('Rate Load'!H104, 'Wedgewood Pharm-PME-Yr2-2025'!$D$5:$D$28,
            'Wedgewood Pharm-PME-Yr2-2025'!$E$5:$L$28, 0, 0),
        0, 0),
    _xlfn.XLOOKUP(G104, 'Wedgewood Pharm-PME-Yr2-2025'!$E$4:$L$4,
        _xlfn.XLOOKUP('Rate Load'!L104, 'Wedgewood Pharm-PME-Yr2-2025'!$D$5:$D$28,
            'Wedgewood Pharm-PME-Yr2-2025'!$E$5:$L$28, 0, 0),
        0, 0)
)</f>
        <v>61.91</v>
      </c>
      <c r="K104" t="s">
        <v>47</v>
      </c>
      <c r="L104" t="s">
        <v>14</v>
      </c>
      <c r="M104" t="str">
        <f t="shared" si="1"/>
        <v>INSERT INTO TNL_RATING.dbo.usps_rate_master VALUES ('USPS', '2/13/2025', '2/13/2026', 12659, 'US', 'Priority Mail Express', 5, 18, 'L', 61.91, 'Wedgewood_USPS_2025', 'NonCubic');</v>
      </c>
    </row>
    <row r="105" spans="1:13" x14ac:dyDescent="0.3">
      <c r="A105" t="s">
        <v>11</v>
      </c>
      <c r="B105" s="1" t="s">
        <v>44</v>
      </c>
      <c r="C105" s="1" t="s">
        <v>45</v>
      </c>
      <c r="D105">
        <v>12659</v>
      </c>
      <c r="E105" t="s">
        <v>12</v>
      </c>
      <c r="F105" t="s">
        <v>43</v>
      </c>
      <c r="G105">
        <v>5</v>
      </c>
      <c r="H105">
        <v>19</v>
      </c>
      <c r="I105" t="s">
        <v>46</v>
      </c>
      <c r="J105" cm="1">
        <f t="array" ref="J105">IFERROR(
    _xlfn.XLOOKUP(G105, 'Wedgewood Pharm-PME-Yr2-2025'!$E$4:$L$4,
        _xlfn.XLOOKUP('Rate Load'!H105, 'Wedgewood Pharm-PME-Yr2-2025'!$D$5:$D$28,
            'Wedgewood Pharm-PME-Yr2-2025'!$E$5:$L$28, 0, 0),
        0, 0),
    _xlfn.XLOOKUP(G105, 'Wedgewood Pharm-PME-Yr2-2025'!$E$4:$L$4,
        _xlfn.XLOOKUP('Rate Load'!L105, 'Wedgewood Pharm-PME-Yr2-2025'!$D$5:$D$28,
            'Wedgewood Pharm-PME-Yr2-2025'!$E$5:$L$28, 0, 0),
        0, 0)
)</f>
        <v>64.47</v>
      </c>
      <c r="K105" t="s">
        <v>47</v>
      </c>
      <c r="L105" t="s">
        <v>14</v>
      </c>
      <c r="M105" t="str">
        <f t="shared" si="1"/>
        <v>INSERT INTO TNL_RATING.dbo.usps_rate_master VALUES ('USPS', '2/13/2025', '2/13/2026', 12659, 'US', 'Priority Mail Express', 5, 19, 'L', 64.47, 'Wedgewood_USPS_2025', 'NonCubic');</v>
      </c>
    </row>
    <row r="106" spans="1:13" x14ac:dyDescent="0.3">
      <c r="A106" t="s">
        <v>11</v>
      </c>
      <c r="B106" s="1" t="s">
        <v>44</v>
      </c>
      <c r="C106" s="1" t="s">
        <v>45</v>
      </c>
      <c r="D106">
        <v>12659</v>
      </c>
      <c r="E106" t="s">
        <v>12</v>
      </c>
      <c r="F106" t="s">
        <v>43</v>
      </c>
      <c r="G106">
        <v>5</v>
      </c>
      <c r="H106">
        <v>20</v>
      </c>
      <c r="I106" t="s">
        <v>46</v>
      </c>
      <c r="J106" cm="1">
        <f t="array" ref="J106">IFERROR(
    _xlfn.XLOOKUP(G106, 'Wedgewood Pharm-PME-Yr2-2025'!$E$4:$L$4,
        _xlfn.XLOOKUP('Rate Load'!H106, 'Wedgewood Pharm-PME-Yr2-2025'!$D$5:$D$28,
            'Wedgewood Pharm-PME-Yr2-2025'!$E$5:$L$28, 0, 0),
        0, 0),
    _xlfn.XLOOKUP(G106, 'Wedgewood Pharm-PME-Yr2-2025'!$E$4:$L$4,
        _xlfn.XLOOKUP('Rate Load'!L106, 'Wedgewood Pharm-PME-Yr2-2025'!$D$5:$D$28,
            'Wedgewood Pharm-PME-Yr2-2025'!$E$5:$L$28, 0, 0),
        0, 0)
)</f>
        <v>67.02000000000001</v>
      </c>
      <c r="K106" t="s">
        <v>47</v>
      </c>
      <c r="L106" t="s">
        <v>14</v>
      </c>
      <c r="M106" t="str">
        <f t="shared" si="1"/>
        <v>INSERT INTO TNL_RATING.dbo.usps_rate_master VALUES ('USPS', '2/13/2025', '2/13/2026', 12659, 'US', 'Priority Mail Express', 5, 20, 'L', 67.02, 'Wedgewood_USPS_2025', 'NonCubic');</v>
      </c>
    </row>
    <row r="107" spans="1:13" x14ac:dyDescent="0.3">
      <c r="A107" t="s">
        <v>11</v>
      </c>
      <c r="B107" s="1" t="s">
        <v>44</v>
      </c>
      <c r="C107" s="1" t="s">
        <v>45</v>
      </c>
      <c r="D107">
        <v>12659</v>
      </c>
      <c r="E107" t="s">
        <v>12</v>
      </c>
      <c r="F107" t="s">
        <v>43</v>
      </c>
      <c r="G107">
        <v>6</v>
      </c>
      <c r="H107">
        <v>0.5</v>
      </c>
      <c r="I107" t="s">
        <v>46</v>
      </c>
      <c r="J107" cm="1">
        <f t="array" ref="J107">IFERROR(
    _xlfn.XLOOKUP(G107, 'Wedgewood Pharm-PME-Yr2-2025'!$E$4:$L$4,
        _xlfn.XLOOKUP('Rate Load'!H107, 'Wedgewood Pharm-PME-Yr2-2025'!$D$5:$D$28,
            'Wedgewood Pharm-PME-Yr2-2025'!$E$5:$L$28, 0, 0),
        0, 0),
    _xlfn.XLOOKUP(G107, 'Wedgewood Pharm-PME-Yr2-2025'!$E$4:$L$4,
        _xlfn.XLOOKUP('Rate Load'!L107, 'Wedgewood Pharm-PME-Yr2-2025'!$D$5:$D$28,
            'Wedgewood Pharm-PME-Yr2-2025'!$E$5:$L$28, 0, 0),
        0, 0)
)</f>
        <v>15.45</v>
      </c>
      <c r="K107" t="s">
        <v>47</v>
      </c>
      <c r="L107" t="s">
        <v>14</v>
      </c>
      <c r="M107" t="str">
        <f t="shared" si="1"/>
        <v>INSERT INTO TNL_RATING.dbo.usps_rate_master VALUES ('USPS', '2/13/2025', '2/13/2026', 12659, 'US', 'Priority Mail Express', 6, 0.5, 'L', 15.45, 'Wedgewood_USPS_2025', 'NonCubic');</v>
      </c>
    </row>
    <row r="108" spans="1:13" x14ac:dyDescent="0.3">
      <c r="A108" t="s">
        <v>11</v>
      </c>
      <c r="B108" s="1" t="s">
        <v>44</v>
      </c>
      <c r="C108" s="1" t="s">
        <v>45</v>
      </c>
      <c r="D108">
        <v>12659</v>
      </c>
      <c r="E108" t="s">
        <v>12</v>
      </c>
      <c r="F108" t="s">
        <v>43</v>
      </c>
      <c r="G108">
        <v>6</v>
      </c>
      <c r="H108">
        <v>1</v>
      </c>
      <c r="I108" t="s">
        <v>46</v>
      </c>
      <c r="J108" cm="1">
        <f t="array" ref="J108">IFERROR(
    _xlfn.XLOOKUP(G108, 'Wedgewood Pharm-PME-Yr2-2025'!$E$4:$L$4,
        _xlfn.XLOOKUP('Rate Load'!H108, 'Wedgewood Pharm-PME-Yr2-2025'!$D$5:$D$28,
            'Wedgewood Pharm-PME-Yr2-2025'!$E$5:$L$28, 0, 0),
        0, 0),
    _xlfn.XLOOKUP(G108, 'Wedgewood Pharm-PME-Yr2-2025'!$E$4:$L$4,
        _xlfn.XLOOKUP('Rate Load'!L108, 'Wedgewood Pharm-PME-Yr2-2025'!$D$5:$D$28,
            'Wedgewood Pharm-PME-Yr2-2025'!$E$5:$L$28, 0, 0),
        0, 0)
)</f>
        <v>17.180000000000003</v>
      </c>
      <c r="K108" t="s">
        <v>47</v>
      </c>
      <c r="L108" t="s">
        <v>14</v>
      </c>
      <c r="M108" t="str">
        <f t="shared" si="1"/>
        <v>INSERT INTO TNL_RATING.dbo.usps_rate_master VALUES ('USPS', '2/13/2025', '2/13/2026', 12659, 'US', 'Priority Mail Express', 6, 1, 'L', 17.18, 'Wedgewood_USPS_2025', 'NonCubic');</v>
      </c>
    </row>
    <row r="109" spans="1:13" x14ac:dyDescent="0.3">
      <c r="A109" t="s">
        <v>11</v>
      </c>
      <c r="B109" s="1" t="s">
        <v>44</v>
      </c>
      <c r="C109" s="1" t="s">
        <v>45</v>
      </c>
      <c r="D109">
        <v>12659</v>
      </c>
      <c r="E109" t="s">
        <v>12</v>
      </c>
      <c r="F109" t="s">
        <v>43</v>
      </c>
      <c r="G109">
        <v>6</v>
      </c>
      <c r="H109">
        <v>2</v>
      </c>
      <c r="I109" t="s">
        <v>46</v>
      </c>
      <c r="J109" cm="1">
        <f t="array" ref="J109">IFERROR(
    _xlfn.XLOOKUP(G109, 'Wedgewood Pharm-PME-Yr2-2025'!$E$4:$L$4,
        _xlfn.XLOOKUP('Rate Load'!H109, 'Wedgewood Pharm-PME-Yr2-2025'!$D$5:$D$28,
            'Wedgewood Pharm-PME-Yr2-2025'!$E$5:$L$28, 0, 0),
        0, 0),
    _xlfn.XLOOKUP(G109, 'Wedgewood Pharm-PME-Yr2-2025'!$E$4:$L$4,
        _xlfn.XLOOKUP('Rate Load'!L109, 'Wedgewood Pharm-PME-Yr2-2025'!$D$5:$D$28,
            'Wedgewood Pharm-PME-Yr2-2025'!$E$5:$L$28, 0, 0),
        0, 0)
)</f>
        <v>19.700000000000003</v>
      </c>
      <c r="K109" t="s">
        <v>47</v>
      </c>
      <c r="L109" t="s">
        <v>14</v>
      </c>
      <c r="M109" t="str">
        <f t="shared" si="1"/>
        <v>INSERT INTO TNL_RATING.dbo.usps_rate_master VALUES ('USPS', '2/13/2025', '2/13/2026', 12659, 'US', 'Priority Mail Express', 6, 2, 'L', 19.7, 'Wedgewood_USPS_2025', 'NonCubic');</v>
      </c>
    </row>
    <row r="110" spans="1:13" x14ac:dyDescent="0.3">
      <c r="A110" t="s">
        <v>11</v>
      </c>
      <c r="B110" s="1" t="s">
        <v>44</v>
      </c>
      <c r="C110" s="1" t="s">
        <v>45</v>
      </c>
      <c r="D110">
        <v>12659</v>
      </c>
      <c r="E110" t="s">
        <v>12</v>
      </c>
      <c r="F110" t="s">
        <v>43</v>
      </c>
      <c r="G110">
        <v>6</v>
      </c>
      <c r="H110">
        <v>3</v>
      </c>
      <c r="I110" t="s">
        <v>46</v>
      </c>
      <c r="J110" cm="1">
        <f t="array" ref="J110">IFERROR(
    _xlfn.XLOOKUP(G110, 'Wedgewood Pharm-PME-Yr2-2025'!$E$4:$L$4,
        _xlfn.XLOOKUP('Rate Load'!H110, 'Wedgewood Pharm-PME-Yr2-2025'!$D$5:$D$28,
            'Wedgewood Pharm-PME-Yr2-2025'!$E$5:$L$28, 0, 0),
        0, 0),
    _xlfn.XLOOKUP(G110, 'Wedgewood Pharm-PME-Yr2-2025'!$E$4:$L$4,
        _xlfn.XLOOKUP('Rate Load'!L110, 'Wedgewood Pharm-PME-Yr2-2025'!$D$5:$D$28,
            'Wedgewood Pharm-PME-Yr2-2025'!$E$5:$L$28, 0, 0),
        0, 0)
)</f>
        <v>22.630000000000003</v>
      </c>
      <c r="K110" t="s">
        <v>47</v>
      </c>
      <c r="L110" t="s">
        <v>14</v>
      </c>
      <c r="M110" t="str">
        <f t="shared" si="1"/>
        <v>INSERT INTO TNL_RATING.dbo.usps_rate_master VALUES ('USPS', '2/13/2025', '2/13/2026', 12659, 'US', 'Priority Mail Express', 6, 3, 'L', 22.63, 'Wedgewood_USPS_2025', 'NonCubic');</v>
      </c>
    </row>
    <row r="111" spans="1:13" x14ac:dyDescent="0.3">
      <c r="A111" t="s">
        <v>11</v>
      </c>
      <c r="B111" s="1" t="s">
        <v>44</v>
      </c>
      <c r="C111" s="1" t="s">
        <v>45</v>
      </c>
      <c r="D111">
        <v>12659</v>
      </c>
      <c r="E111" t="s">
        <v>12</v>
      </c>
      <c r="F111" t="s">
        <v>43</v>
      </c>
      <c r="G111">
        <v>6</v>
      </c>
      <c r="H111">
        <v>4</v>
      </c>
      <c r="I111" t="s">
        <v>46</v>
      </c>
      <c r="J111" cm="1">
        <f t="array" ref="J111">IFERROR(
    _xlfn.XLOOKUP(G111, 'Wedgewood Pharm-PME-Yr2-2025'!$E$4:$L$4,
        _xlfn.XLOOKUP('Rate Load'!H111, 'Wedgewood Pharm-PME-Yr2-2025'!$D$5:$D$28,
            'Wedgewood Pharm-PME-Yr2-2025'!$E$5:$L$28, 0, 0),
        0, 0),
    _xlfn.XLOOKUP(G111, 'Wedgewood Pharm-PME-Yr2-2025'!$E$4:$L$4,
        _xlfn.XLOOKUP('Rate Load'!L111, 'Wedgewood Pharm-PME-Yr2-2025'!$D$5:$D$28,
            'Wedgewood Pharm-PME-Yr2-2025'!$E$5:$L$28, 0, 0),
        0, 0)
)</f>
        <v>25.560000000000002</v>
      </c>
      <c r="K111" t="s">
        <v>47</v>
      </c>
      <c r="L111" t="s">
        <v>14</v>
      </c>
      <c r="M111" t="str">
        <f t="shared" si="1"/>
        <v>INSERT INTO TNL_RATING.dbo.usps_rate_master VALUES ('USPS', '2/13/2025', '2/13/2026', 12659, 'US', 'Priority Mail Express', 6, 4, 'L', 25.56, 'Wedgewood_USPS_2025', 'NonCubic');</v>
      </c>
    </row>
    <row r="112" spans="1:13" x14ac:dyDescent="0.3">
      <c r="A112" t="s">
        <v>11</v>
      </c>
      <c r="B112" s="1" t="s">
        <v>44</v>
      </c>
      <c r="C112" s="1" t="s">
        <v>45</v>
      </c>
      <c r="D112">
        <v>12659</v>
      </c>
      <c r="E112" t="s">
        <v>12</v>
      </c>
      <c r="F112" t="s">
        <v>43</v>
      </c>
      <c r="G112">
        <v>6</v>
      </c>
      <c r="H112">
        <v>5</v>
      </c>
      <c r="I112" t="s">
        <v>46</v>
      </c>
      <c r="J112" cm="1">
        <f t="array" ref="J112">IFERROR(
    _xlfn.XLOOKUP(G112, 'Wedgewood Pharm-PME-Yr2-2025'!$E$4:$L$4,
        _xlfn.XLOOKUP('Rate Load'!H112, 'Wedgewood Pharm-PME-Yr2-2025'!$D$5:$D$28,
            'Wedgewood Pharm-PME-Yr2-2025'!$E$5:$L$28, 0, 0),
        0, 0),
    _xlfn.XLOOKUP(G112, 'Wedgewood Pharm-PME-Yr2-2025'!$E$4:$L$4,
        _xlfn.XLOOKUP('Rate Load'!L112, 'Wedgewood Pharm-PME-Yr2-2025'!$D$5:$D$28,
            'Wedgewood Pharm-PME-Yr2-2025'!$E$5:$L$28, 0, 0),
        0, 0)
)</f>
        <v>28.48</v>
      </c>
      <c r="K112" t="s">
        <v>47</v>
      </c>
      <c r="L112" t="s">
        <v>14</v>
      </c>
      <c r="M112" t="str">
        <f t="shared" si="1"/>
        <v>INSERT INTO TNL_RATING.dbo.usps_rate_master VALUES ('USPS', '2/13/2025', '2/13/2026', 12659, 'US', 'Priority Mail Express', 6, 5, 'L', 28.48, 'Wedgewood_USPS_2025', 'NonCubic');</v>
      </c>
    </row>
    <row r="113" spans="1:13" x14ac:dyDescent="0.3">
      <c r="A113" t="s">
        <v>11</v>
      </c>
      <c r="B113" s="1" t="s">
        <v>44</v>
      </c>
      <c r="C113" s="1" t="s">
        <v>45</v>
      </c>
      <c r="D113">
        <v>12659</v>
      </c>
      <c r="E113" t="s">
        <v>12</v>
      </c>
      <c r="F113" t="s">
        <v>43</v>
      </c>
      <c r="G113">
        <v>6</v>
      </c>
      <c r="H113">
        <v>6</v>
      </c>
      <c r="I113" t="s">
        <v>46</v>
      </c>
      <c r="J113" cm="1">
        <f t="array" ref="J113">IFERROR(
    _xlfn.XLOOKUP(G113, 'Wedgewood Pharm-PME-Yr2-2025'!$E$4:$L$4,
        _xlfn.XLOOKUP('Rate Load'!H113, 'Wedgewood Pharm-PME-Yr2-2025'!$D$5:$D$28,
            'Wedgewood Pharm-PME-Yr2-2025'!$E$5:$L$28, 0, 0),
        0, 0),
    _xlfn.XLOOKUP(G113, 'Wedgewood Pharm-PME-Yr2-2025'!$E$4:$L$4,
        _xlfn.XLOOKUP('Rate Load'!L113, 'Wedgewood Pharm-PME-Yr2-2025'!$D$5:$D$28,
            'Wedgewood Pharm-PME-Yr2-2025'!$E$5:$L$28, 0, 0),
        0, 0)
)</f>
        <v>31.37</v>
      </c>
      <c r="K113" t="s">
        <v>47</v>
      </c>
      <c r="L113" t="s">
        <v>14</v>
      </c>
      <c r="M113" t="str">
        <f t="shared" si="1"/>
        <v>INSERT INTO TNL_RATING.dbo.usps_rate_master VALUES ('USPS', '2/13/2025', '2/13/2026', 12659, 'US', 'Priority Mail Express', 6, 6, 'L', 31.37, 'Wedgewood_USPS_2025', 'NonCubic');</v>
      </c>
    </row>
    <row r="114" spans="1:13" x14ac:dyDescent="0.3">
      <c r="A114" t="s">
        <v>11</v>
      </c>
      <c r="B114" s="1" t="s">
        <v>44</v>
      </c>
      <c r="C114" s="1" t="s">
        <v>45</v>
      </c>
      <c r="D114">
        <v>12659</v>
      </c>
      <c r="E114" t="s">
        <v>12</v>
      </c>
      <c r="F114" t="s">
        <v>43</v>
      </c>
      <c r="G114">
        <v>6</v>
      </c>
      <c r="H114">
        <v>7</v>
      </c>
      <c r="I114" t="s">
        <v>46</v>
      </c>
      <c r="J114" cm="1">
        <f t="array" ref="J114">IFERROR(
    _xlfn.XLOOKUP(G114, 'Wedgewood Pharm-PME-Yr2-2025'!$E$4:$L$4,
        _xlfn.XLOOKUP('Rate Load'!H114, 'Wedgewood Pharm-PME-Yr2-2025'!$D$5:$D$28,
            'Wedgewood Pharm-PME-Yr2-2025'!$E$5:$L$28, 0, 0),
        0, 0),
    _xlfn.XLOOKUP(G114, 'Wedgewood Pharm-PME-Yr2-2025'!$E$4:$L$4,
        _xlfn.XLOOKUP('Rate Load'!L114, 'Wedgewood Pharm-PME-Yr2-2025'!$D$5:$D$28,
            'Wedgewood Pharm-PME-Yr2-2025'!$E$5:$L$28, 0, 0),
        0, 0)
)</f>
        <v>34.239999999999995</v>
      </c>
      <c r="K114" t="s">
        <v>47</v>
      </c>
      <c r="L114" t="s">
        <v>14</v>
      </c>
      <c r="M114" t="str">
        <f t="shared" si="1"/>
        <v>INSERT INTO TNL_RATING.dbo.usps_rate_master VALUES ('USPS', '2/13/2025', '2/13/2026', 12659, 'US', 'Priority Mail Express', 6, 7, 'L', 34.24, 'Wedgewood_USPS_2025', 'NonCubic');</v>
      </c>
    </row>
    <row r="115" spans="1:13" x14ac:dyDescent="0.3">
      <c r="A115" t="s">
        <v>11</v>
      </c>
      <c r="B115" s="1" t="s">
        <v>44</v>
      </c>
      <c r="C115" s="1" t="s">
        <v>45</v>
      </c>
      <c r="D115">
        <v>12659</v>
      </c>
      <c r="E115" t="s">
        <v>12</v>
      </c>
      <c r="F115" t="s">
        <v>43</v>
      </c>
      <c r="G115">
        <v>6</v>
      </c>
      <c r="H115">
        <v>8</v>
      </c>
      <c r="I115" t="s">
        <v>46</v>
      </c>
      <c r="J115" cm="1">
        <f t="array" ref="J115">IFERROR(
    _xlfn.XLOOKUP(G115, 'Wedgewood Pharm-PME-Yr2-2025'!$E$4:$L$4,
        _xlfn.XLOOKUP('Rate Load'!H115, 'Wedgewood Pharm-PME-Yr2-2025'!$D$5:$D$28,
            'Wedgewood Pharm-PME-Yr2-2025'!$E$5:$L$28, 0, 0),
        0, 0),
    _xlfn.XLOOKUP(G115, 'Wedgewood Pharm-PME-Yr2-2025'!$E$4:$L$4,
        _xlfn.XLOOKUP('Rate Load'!L115, 'Wedgewood Pharm-PME-Yr2-2025'!$D$5:$D$28,
            'Wedgewood Pharm-PME-Yr2-2025'!$E$5:$L$28, 0, 0),
        0, 0)
)</f>
        <v>37.119999999999997</v>
      </c>
      <c r="K115" t="s">
        <v>47</v>
      </c>
      <c r="L115" t="s">
        <v>14</v>
      </c>
      <c r="M115" t="str">
        <f t="shared" si="1"/>
        <v>INSERT INTO TNL_RATING.dbo.usps_rate_master VALUES ('USPS', '2/13/2025', '2/13/2026', 12659, 'US', 'Priority Mail Express', 6, 8, 'L', 37.12, 'Wedgewood_USPS_2025', 'NonCubic');</v>
      </c>
    </row>
    <row r="116" spans="1:13" x14ac:dyDescent="0.3">
      <c r="A116" t="s">
        <v>11</v>
      </c>
      <c r="B116" s="1" t="s">
        <v>44</v>
      </c>
      <c r="C116" s="1" t="s">
        <v>45</v>
      </c>
      <c r="D116">
        <v>12659</v>
      </c>
      <c r="E116" t="s">
        <v>12</v>
      </c>
      <c r="F116" t="s">
        <v>43</v>
      </c>
      <c r="G116">
        <v>6</v>
      </c>
      <c r="H116">
        <v>9</v>
      </c>
      <c r="I116" t="s">
        <v>46</v>
      </c>
      <c r="J116" cm="1">
        <f t="array" ref="J116">IFERROR(
    _xlfn.XLOOKUP(G116, 'Wedgewood Pharm-PME-Yr2-2025'!$E$4:$L$4,
        _xlfn.XLOOKUP('Rate Load'!H116, 'Wedgewood Pharm-PME-Yr2-2025'!$D$5:$D$28,
            'Wedgewood Pharm-PME-Yr2-2025'!$E$5:$L$28, 0, 0),
        0, 0),
    _xlfn.XLOOKUP(G116, 'Wedgewood Pharm-PME-Yr2-2025'!$E$4:$L$4,
        _xlfn.XLOOKUP('Rate Load'!L116, 'Wedgewood Pharm-PME-Yr2-2025'!$D$5:$D$28,
            'Wedgewood Pharm-PME-Yr2-2025'!$E$5:$L$28, 0, 0),
        0, 0)
)</f>
        <v>39.97</v>
      </c>
      <c r="K116" t="s">
        <v>47</v>
      </c>
      <c r="L116" t="s">
        <v>14</v>
      </c>
      <c r="M116" t="str">
        <f t="shared" si="1"/>
        <v>INSERT INTO TNL_RATING.dbo.usps_rate_master VALUES ('USPS', '2/13/2025', '2/13/2026', 12659, 'US', 'Priority Mail Express', 6, 9, 'L', 39.97, 'Wedgewood_USPS_2025', 'NonCubic');</v>
      </c>
    </row>
    <row r="117" spans="1:13" x14ac:dyDescent="0.3">
      <c r="A117" t="s">
        <v>11</v>
      </c>
      <c r="B117" s="1" t="s">
        <v>44</v>
      </c>
      <c r="C117" s="1" t="s">
        <v>45</v>
      </c>
      <c r="D117">
        <v>12659</v>
      </c>
      <c r="E117" t="s">
        <v>12</v>
      </c>
      <c r="F117" t="s">
        <v>43</v>
      </c>
      <c r="G117">
        <v>6</v>
      </c>
      <c r="H117">
        <v>10</v>
      </c>
      <c r="I117" t="s">
        <v>46</v>
      </c>
      <c r="J117" cm="1">
        <f t="array" ref="J117">IFERROR(
    _xlfn.XLOOKUP(G117, 'Wedgewood Pharm-PME-Yr2-2025'!$E$4:$L$4,
        _xlfn.XLOOKUP('Rate Load'!H117, 'Wedgewood Pharm-PME-Yr2-2025'!$D$5:$D$28,
            'Wedgewood Pharm-PME-Yr2-2025'!$E$5:$L$28, 0, 0),
        0, 0),
    _xlfn.XLOOKUP(G117, 'Wedgewood Pharm-PME-Yr2-2025'!$E$4:$L$4,
        _xlfn.XLOOKUP('Rate Load'!L117, 'Wedgewood Pharm-PME-Yr2-2025'!$D$5:$D$28,
            'Wedgewood Pharm-PME-Yr2-2025'!$E$5:$L$28, 0, 0),
        0, 0)
)</f>
        <v>42.85</v>
      </c>
      <c r="K117" t="s">
        <v>47</v>
      </c>
      <c r="L117" t="s">
        <v>14</v>
      </c>
      <c r="M117" t="str">
        <f t="shared" si="1"/>
        <v>INSERT INTO TNL_RATING.dbo.usps_rate_master VALUES ('USPS', '2/13/2025', '2/13/2026', 12659, 'US', 'Priority Mail Express', 6, 10, 'L', 42.85, 'Wedgewood_USPS_2025', 'NonCubic');</v>
      </c>
    </row>
    <row r="118" spans="1:13" x14ac:dyDescent="0.3">
      <c r="A118" t="s">
        <v>11</v>
      </c>
      <c r="B118" s="1" t="s">
        <v>44</v>
      </c>
      <c r="C118" s="1" t="s">
        <v>45</v>
      </c>
      <c r="D118">
        <v>12659</v>
      </c>
      <c r="E118" t="s">
        <v>12</v>
      </c>
      <c r="F118" t="s">
        <v>43</v>
      </c>
      <c r="G118">
        <v>6</v>
      </c>
      <c r="H118">
        <v>11</v>
      </c>
      <c r="I118" t="s">
        <v>46</v>
      </c>
      <c r="J118" cm="1">
        <f t="array" ref="J118">IFERROR(
    _xlfn.XLOOKUP(G118, 'Wedgewood Pharm-PME-Yr2-2025'!$E$4:$L$4,
        _xlfn.XLOOKUP('Rate Load'!H118, 'Wedgewood Pharm-PME-Yr2-2025'!$D$5:$D$28,
            'Wedgewood Pharm-PME-Yr2-2025'!$E$5:$L$28, 0, 0),
        0, 0),
    _xlfn.XLOOKUP(G118, 'Wedgewood Pharm-PME-Yr2-2025'!$E$4:$L$4,
        _xlfn.XLOOKUP('Rate Load'!L118, 'Wedgewood Pharm-PME-Yr2-2025'!$D$5:$D$28,
            'Wedgewood Pharm-PME-Yr2-2025'!$E$5:$L$28, 0, 0),
        0, 0)
)</f>
        <v>45.379999999999995</v>
      </c>
      <c r="K118" t="s">
        <v>47</v>
      </c>
      <c r="L118" t="s">
        <v>14</v>
      </c>
      <c r="M118" t="str">
        <f t="shared" si="1"/>
        <v>INSERT INTO TNL_RATING.dbo.usps_rate_master VALUES ('USPS', '2/13/2025', '2/13/2026', 12659, 'US', 'Priority Mail Express', 6, 11, 'L', 45.38, 'Wedgewood_USPS_2025', 'NonCubic');</v>
      </c>
    </row>
    <row r="119" spans="1:13" x14ac:dyDescent="0.3">
      <c r="A119" t="s">
        <v>11</v>
      </c>
      <c r="B119" s="1" t="s">
        <v>44</v>
      </c>
      <c r="C119" s="1" t="s">
        <v>45</v>
      </c>
      <c r="D119">
        <v>12659</v>
      </c>
      <c r="E119" t="s">
        <v>12</v>
      </c>
      <c r="F119" t="s">
        <v>43</v>
      </c>
      <c r="G119">
        <v>6</v>
      </c>
      <c r="H119">
        <v>12</v>
      </c>
      <c r="I119" t="s">
        <v>46</v>
      </c>
      <c r="J119" cm="1">
        <f t="array" ref="J119">IFERROR(
    _xlfn.XLOOKUP(G119, 'Wedgewood Pharm-PME-Yr2-2025'!$E$4:$L$4,
        _xlfn.XLOOKUP('Rate Load'!H119, 'Wedgewood Pharm-PME-Yr2-2025'!$D$5:$D$28,
            'Wedgewood Pharm-PME-Yr2-2025'!$E$5:$L$28, 0, 0),
        0, 0),
    _xlfn.XLOOKUP(G119, 'Wedgewood Pharm-PME-Yr2-2025'!$E$4:$L$4,
        _xlfn.XLOOKUP('Rate Load'!L119, 'Wedgewood Pharm-PME-Yr2-2025'!$D$5:$D$28,
            'Wedgewood Pharm-PME-Yr2-2025'!$E$5:$L$28, 0, 0),
        0, 0)
)</f>
        <v>47.9</v>
      </c>
      <c r="K119" t="s">
        <v>47</v>
      </c>
      <c r="L119" t="s">
        <v>14</v>
      </c>
      <c r="M119" t="str">
        <f t="shared" si="1"/>
        <v>INSERT INTO TNL_RATING.dbo.usps_rate_master VALUES ('USPS', '2/13/2025', '2/13/2026', 12659, 'US', 'Priority Mail Express', 6, 12, 'L', 47.9, 'Wedgewood_USPS_2025', 'NonCubic');</v>
      </c>
    </row>
    <row r="120" spans="1:13" x14ac:dyDescent="0.3">
      <c r="A120" t="s">
        <v>11</v>
      </c>
      <c r="B120" s="1" t="s">
        <v>44</v>
      </c>
      <c r="C120" s="1" t="s">
        <v>45</v>
      </c>
      <c r="D120">
        <v>12659</v>
      </c>
      <c r="E120" t="s">
        <v>12</v>
      </c>
      <c r="F120" t="s">
        <v>43</v>
      </c>
      <c r="G120">
        <v>6</v>
      </c>
      <c r="H120">
        <v>13</v>
      </c>
      <c r="I120" t="s">
        <v>46</v>
      </c>
      <c r="J120" cm="1">
        <f t="array" ref="J120">IFERROR(
    _xlfn.XLOOKUP(G120, 'Wedgewood Pharm-PME-Yr2-2025'!$E$4:$L$4,
        _xlfn.XLOOKUP('Rate Load'!H120, 'Wedgewood Pharm-PME-Yr2-2025'!$D$5:$D$28,
            'Wedgewood Pharm-PME-Yr2-2025'!$E$5:$L$28, 0, 0),
        0, 0),
    _xlfn.XLOOKUP(G120, 'Wedgewood Pharm-PME-Yr2-2025'!$E$4:$L$4,
        _xlfn.XLOOKUP('Rate Load'!L120, 'Wedgewood Pharm-PME-Yr2-2025'!$D$5:$D$28,
            'Wedgewood Pharm-PME-Yr2-2025'!$E$5:$L$28, 0, 0),
        0, 0)
)</f>
        <v>50.43</v>
      </c>
      <c r="K120" t="s">
        <v>47</v>
      </c>
      <c r="L120" t="s">
        <v>14</v>
      </c>
      <c r="M120" t="str">
        <f t="shared" si="1"/>
        <v>INSERT INTO TNL_RATING.dbo.usps_rate_master VALUES ('USPS', '2/13/2025', '2/13/2026', 12659, 'US', 'Priority Mail Express', 6, 13, 'L', 50.43, 'Wedgewood_USPS_2025', 'NonCubic');</v>
      </c>
    </row>
    <row r="121" spans="1:13" x14ac:dyDescent="0.3">
      <c r="A121" t="s">
        <v>11</v>
      </c>
      <c r="B121" s="1" t="s">
        <v>44</v>
      </c>
      <c r="C121" s="1" t="s">
        <v>45</v>
      </c>
      <c r="D121">
        <v>12659</v>
      </c>
      <c r="E121" t="s">
        <v>12</v>
      </c>
      <c r="F121" t="s">
        <v>43</v>
      </c>
      <c r="G121">
        <v>6</v>
      </c>
      <c r="H121">
        <v>14</v>
      </c>
      <c r="I121" t="s">
        <v>46</v>
      </c>
      <c r="J121" cm="1">
        <f t="array" ref="J121">IFERROR(
    _xlfn.XLOOKUP(G121, 'Wedgewood Pharm-PME-Yr2-2025'!$E$4:$L$4,
        _xlfn.XLOOKUP('Rate Load'!H121, 'Wedgewood Pharm-PME-Yr2-2025'!$D$5:$D$28,
            'Wedgewood Pharm-PME-Yr2-2025'!$E$5:$L$28, 0, 0),
        0, 0),
    _xlfn.XLOOKUP(G121, 'Wedgewood Pharm-PME-Yr2-2025'!$E$4:$L$4,
        _xlfn.XLOOKUP('Rate Load'!L121, 'Wedgewood Pharm-PME-Yr2-2025'!$D$5:$D$28,
            'Wedgewood Pharm-PME-Yr2-2025'!$E$5:$L$28, 0, 0),
        0, 0)
)</f>
        <v>52.949999999999996</v>
      </c>
      <c r="K121" t="s">
        <v>47</v>
      </c>
      <c r="L121" t="s">
        <v>14</v>
      </c>
      <c r="M121" t="str">
        <f t="shared" si="1"/>
        <v>INSERT INTO TNL_RATING.dbo.usps_rate_master VALUES ('USPS', '2/13/2025', '2/13/2026', 12659, 'US', 'Priority Mail Express', 6, 14, 'L', 52.95, 'Wedgewood_USPS_2025', 'NonCubic');</v>
      </c>
    </row>
    <row r="122" spans="1:13" x14ac:dyDescent="0.3">
      <c r="A122" t="s">
        <v>11</v>
      </c>
      <c r="B122" s="1" t="s">
        <v>44</v>
      </c>
      <c r="C122" s="1" t="s">
        <v>45</v>
      </c>
      <c r="D122">
        <v>12659</v>
      </c>
      <c r="E122" t="s">
        <v>12</v>
      </c>
      <c r="F122" t="s">
        <v>43</v>
      </c>
      <c r="G122">
        <v>6</v>
      </c>
      <c r="H122">
        <v>15</v>
      </c>
      <c r="I122" t="s">
        <v>46</v>
      </c>
      <c r="J122" cm="1">
        <f t="array" ref="J122">IFERROR(
    _xlfn.XLOOKUP(G122, 'Wedgewood Pharm-PME-Yr2-2025'!$E$4:$L$4,
        _xlfn.XLOOKUP('Rate Load'!H122, 'Wedgewood Pharm-PME-Yr2-2025'!$D$5:$D$28,
            'Wedgewood Pharm-PME-Yr2-2025'!$E$5:$L$28, 0, 0),
        0, 0),
    _xlfn.XLOOKUP(G122, 'Wedgewood Pharm-PME-Yr2-2025'!$E$4:$L$4,
        _xlfn.XLOOKUP('Rate Load'!L122, 'Wedgewood Pharm-PME-Yr2-2025'!$D$5:$D$28,
            'Wedgewood Pharm-PME-Yr2-2025'!$E$5:$L$28, 0, 0),
        0, 0)
)</f>
        <v>55.47</v>
      </c>
      <c r="K122" t="s">
        <v>47</v>
      </c>
      <c r="L122" t="s">
        <v>14</v>
      </c>
      <c r="M122" t="str">
        <f t="shared" si="1"/>
        <v>INSERT INTO TNL_RATING.dbo.usps_rate_master VALUES ('USPS', '2/13/2025', '2/13/2026', 12659, 'US', 'Priority Mail Express', 6, 15, 'L', 55.47, 'Wedgewood_USPS_2025', 'NonCubic');</v>
      </c>
    </row>
    <row r="123" spans="1:13" x14ac:dyDescent="0.3">
      <c r="A123" t="s">
        <v>11</v>
      </c>
      <c r="B123" s="1" t="s">
        <v>44</v>
      </c>
      <c r="C123" s="1" t="s">
        <v>45</v>
      </c>
      <c r="D123">
        <v>12659</v>
      </c>
      <c r="E123" t="s">
        <v>12</v>
      </c>
      <c r="F123" t="s">
        <v>43</v>
      </c>
      <c r="G123">
        <v>6</v>
      </c>
      <c r="H123">
        <v>16</v>
      </c>
      <c r="I123" t="s">
        <v>46</v>
      </c>
      <c r="J123" cm="1">
        <f t="array" ref="J123">IFERROR(
    _xlfn.XLOOKUP(G123, 'Wedgewood Pharm-PME-Yr2-2025'!$E$4:$L$4,
        _xlfn.XLOOKUP('Rate Load'!H123, 'Wedgewood Pharm-PME-Yr2-2025'!$D$5:$D$28,
            'Wedgewood Pharm-PME-Yr2-2025'!$E$5:$L$28, 0, 0),
        0, 0),
    _xlfn.XLOOKUP(G123, 'Wedgewood Pharm-PME-Yr2-2025'!$E$4:$L$4,
        _xlfn.XLOOKUP('Rate Load'!L123, 'Wedgewood Pharm-PME-Yr2-2025'!$D$5:$D$28,
            'Wedgewood Pharm-PME-Yr2-2025'!$E$5:$L$28, 0, 0),
        0, 0)
)</f>
        <v>57.98</v>
      </c>
      <c r="K123" t="s">
        <v>47</v>
      </c>
      <c r="L123" t="s">
        <v>14</v>
      </c>
      <c r="M123" t="str">
        <f t="shared" si="1"/>
        <v>INSERT INTO TNL_RATING.dbo.usps_rate_master VALUES ('USPS', '2/13/2025', '2/13/2026', 12659, 'US', 'Priority Mail Express', 6, 16, 'L', 57.98, 'Wedgewood_USPS_2025', 'NonCubic');</v>
      </c>
    </row>
    <row r="124" spans="1:13" x14ac:dyDescent="0.3">
      <c r="A124" t="s">
        <v>11</v>
      </c>
      <c r="B124" s="1" t="s">
        <v>44</v>
      </c>
      <c r="C124" s="1" t="s">
        <v>45</v>
      </c>
      <c r="D124">
        <v>12659</v>
      </c>
      <c r="E124" t="s">
        <v>12</v>
      </c>
      <c r="F124" t="s">
        <v>43</v>
      </c>
      <c r="G124">
        <v>6</v>
      </c>
      <c r="H124">
        <v>17</v>
      </c>
      <c r="I124" t="s">
        <v>46</v>
      </c>
      <c r="J124" cm="1">
        <f t="array" ref="J124">IFERROR(
    _xlfn.XLOOKUP(G124, 'Wedgewood Pharm-PME-Yr2-2025'!$E$4:$L$4,
        _xlfn.XLOOKUP('Rate Load'!H124, 'Wedgewood Pharm-PME-Yr2-2025'!$D$5:$D$28,
            'Wedgewood Pharm-PME-Yr2-2025'!$E$5:$L$28, 0, 0),
        0, 0),
    _xlfn.XLOOKUP(G124, 'Wedgewood Pharm-PME-Yr2-2025'!$E$4:$L$4,
        _xlfn.XLOOKUP('Rate Load'!L124, 'Wedgewood Pharm-PME-Yr2-2025'!$D$5:$D$28,
            'Wedgewood Pharm-PME-Yr2-2025'!$E$5:$L$28, 0, 0),
        0, 0)
)</f>
        <v>60.51</v>
      </c>
      <c r="K124" t="s">
        <v>47</v>
      </c>
      <c r="L124" t="s">
        <v>14</v>
      </c>
      <c r="M124" t="str">
        <f t="shared" si="1"/>
        <v>INSERT INTO TNL_RATING.dbo.usps_rate_master VALUES ('USPS', '2/13/2025', '2/13/2026', 12659, 'US', 'Priority Mail Express', 6, 17, 'L', 60.51, 'Wedgewood_USPS_2025', 'NonCubic');</v>
      </c>
    </row>
    <row r="125" spans="1:13" x14ac:dyDescent="0.3">
      <c r="A125" t="s">
        <v>11</v>
      </c>
      <c r="B125" s="1" t="s">
        <v>44</v>
      </c>
      <c r="C125" s="1" t="s">
        <v>45</v>
      </c>
      <c r="D125">
        <v>12659</v>
      </c>
      <c r="E125" t="s">
        <v>12</v>
      </c>
      <c r="F125" t="s">
        <v>43</v>
      </c>
      <c r="G125">
        <v>6</v>
      </c>
      <c r="H125">
        <v>18</v>
      </c>
      <c r="I125" t="s">
        <v>46</v>
      </c>
      <c r="J125" cm="1">
        <f t="array" ref="J125">IFERROR(
    _xlfn.XLOOKUP(G125, 'Wedgewood Pharm-PME-Yr2-2025'!$E$4:$L$4,
        _xlfn.XLOOKUP('Rate Load'!H125, 'Wedgewood Pharm-PME-Yr2-2025'!$D$5:$D$28,
            'Wedgewood Pharm-PME-Yr2-2025'!$E$5:$L$28, 0, 0),
        0, 0),
    _xlfn.XLOOKUP(G125, 'Wedgewood Pharm-PME-Yr2-2025'!$E$4:$L$4,
        _xlfn.XLOOKUP('Rate Load'!L125, 'Wedgewood Pharm-PME-Yr2-2025'!$D$5:$D$28,
            'Wedgewood Pharm-PME-Yr2-2025'!$E$5:$L$28, 0, 0),
        0, 0)
)</f>
        <v>63.03</v>
      </c>
      <c r="K125" t="s">
        <v>47</v>
      </c>
      <c r="L125" t="s">
        <v>14</v>
      </c>
      <c r="M125" t="str">
        <f t="shared" si="1"/>
        <v>INSERT INTO TNL_RATING.dbo.usps_rate_master VALUES ('USPS', '2/13/2025', '2/13/2026', 12659, 'US', 'Priority Mail Express', 6, 18, 'L', 63.03, 'Wedgewood_USPS_2025', 'NonCubic');</v>
      </c>
    </row>
    <row r="126" spans="1:13" x14ac:dyDescent="0.3">
      <c r="A126" t="s">
        <v>11</v>
      </c>
      <c r="B126" s="1" t="s">
        <v>44</v>
      </c>
      <c r="C126" s="1" t="s">
        <v>45</v>
      </c>
      <c r="D126">
        <v>12659</v>
      </c>
      <c r="E126" t="s">
        <v>12</v>
      </c>
      <c r="F126" t="s">
        <v>43</v>
      </c>
      <c r="G126">
        <v>6</v>
      </c>
      <c r="H126">
        <v>19</v>
      </c>
      <c r="I126" t="s">
        <v>46</v>
      </c>
      <c r="J126" cm="1">
        <f t="array" ref="J126">IFERROR(
    _xlfn.XLOOKUP(G126, 'Wedgewood Pharm-PME-Yr2-2025'!$E$4:$L$4,
        _xlfn.XLOOKUP('Rate Load'!H126, 'Wedgewood Pharm-PME-Yr2-2025'!$D$5:$D$28,
            'Wedgewood Pharm-PME-Yr2-2025'!$E$5:$L$28, 0, 0),
        0, 0),
    _xlfn.XLOOKUP(G126, 'Wedgewood Pharm-PME-Yr2-2025'!$E$4:$L$4,
        _xlfn.XLOOKUP('Rate Load'!L126, 'Wedgewood Pharm-PME-Yr2-2025'!$D$5:$D$28,
            'Wedgewood Pharm-PME-Yr2-2025'!$E$5:$L$28, 0, 0),
        0, 0)
)</f>
        <v>65.56</v>
      </c>
      <c r="K126" t="s">
        <v>47</v>
      </c>
      <c r="L126" t="s">
        <v>14</v>
      </c>
      <c r="M126" t="str">
        <f t="shared" si="1"/>
        <v>INSERT INTO TNL_RATING.dbo.usps_rate_master VALUES ('USPS', '2/13/2025', '2/13/2026', 12659, 'US', 'Priority Mail Express', 6, 19, 'L', 65.56, 'Wedgewood_USPS_2025', 'NonCubic');</v>
      </c>
    </row>
    <row r="127" spans="1:13" x14ac:dyDescent="0.3">
      <c r="A127" t="s">
        <v>11</v>
      </c>
      <c r="B127" s="1" t="s">
        <v>44</v>
      </c>
      <c r="C127" s="1" t="s">
        <v>45</v>
      </c>
      <c r="D127">
        <v>12659</v>
      </c>
      <c r="E127" t="s">
        <v>12</v>
      </c>
      <c r="F127" t="s">
        <v>43</v>
      </c>
      <c r="G127">
        <v>6</v>
      </c>
      <c r="H127">
        <v>20</v>
      </c>
      <c r="I127" t="s">
        <v>46</v>
      </c>
      <c r="J127" cm="1">
        <f t="array" ref="J127">IFERROR(
    _xlfn.XLOOKUP(G127, 'Wedgewood Pharm-PME-Yr2-2025'!$E$4:$L$4,
        _xlfn.XLOOKUP('Rate Load'!H127, 'Wedgewood Pharm-PME-Yr2-2025'!$D$5:$D$28,
            'Wedgewood Pharm-PME-Yr2-2025'!$E$5:$L$28, 0, 0),
        0, 0),
    _xlfn.XLOOKUP(G127, 'Wedgewood Pharm-PME-Yr2-2025'!$E$4:$L$4,
        _xlfn.XLOOKUP('Rate Load'!L127, 'Wedgewood Pharm-PME-Yr2-2025'!$D$5:$D$28,
            'Wedgewood Pharm-PME-Yr2-2025'!$E$5:$L$28, 0, 0),
        0, 0)
)</f>
        <v>68.08</v>
      </c>
      <c r="K127" t="s">
        <v>47</v>
      </c>
      <c r="L127" t="s">
        <v>14</v>
      </c>
      <c r="M127" t="str">
        <f t="shared" si="1"/>
        <v>INSERT INTO TNL_RATING.dbo.usps_rate_master VALUES ('USPS', '2/13/2025', '2/13/2026', 12659, 'US', 'Priority Mail Express', 6, 20, 'L', 68.08, 'Wedgewood_USPS_2025', 'NonCubic');</v>
      </c>
    </row>
    <row r="128" spans="1:13" x14ac:dyDescent="0.3">
      <c r="A128" t="s">
        <v>11</v>
      </c>
      <c r="B128" s="1" t="s">
        <v>44</v>
      </c>
      <c r="C128" s="1" t="s">
        <v>45</v>
      </c>
      <c r="D128">
        <v>12659</v>
      </c>
      <c r="E128" t="s">
        <v>12</v>
      </c>
      <c r="F128" t="s">
        <v>43</v>
      </c>
      <c r="G128">
        <v>7</v>
      </c>
      <c r="H128">
        <v>0.5</v>
      </c>
      <c r="I128" t="s">
        <v>46</v>
      </c>
      <c r="J128" cm="1">
        <f t="array" ref="J128">IFERROR(
    _xlfn.XLOOKUP(G128, 'Wedgewood Pharm-PME-Yr2-2025'!$E$4:$L$4,
        _xlfn.XLOOKUP('Rate Load'!H128, 'Wedgewood Pharm-PME-Yr2-2025'!$D$5:$D$28,
            'Wedgewood Pharm-PME-Yr2-2025'!$E$5:$L$28, 0, 0),
        0, 0),
    _xlfn.XLOOKUP(G128, 'Wedgewood Pharm-PME-Yr2-2025'!$E$4:$L$4,
        _xlfn.XLOOKUP('Rate Load'!L128, 'Wedgewood Pharm-PME-Yr2-2025'!$D$5:$D$28,
            'Wedgewood Pharm-PME-Yr2-2025'!$E$5:$L$28, 0, 0),
        0, 0)
)</f>
        <v>15.95</v>
      </c>
      <c r="K128" t="s">
        <v>47</v>
      </c>
      <c r="L128" t="s">
        <v>14</v>
      </c>
      <c r="M128" t="str">
        <f t="shared" si="1"/>
        <v>INSERT INTO TNL_RATING.dbo.usps_rate_master VALUES ('USPS', '2/13/2025', '2/13/2026', 12659, 'US', 'Priority Mail Express', 7, 0.5, 'L', 15.95, 'Wedgewood_USPS_2025', 'NonCubic');</v>
      </c>
    </row>
    <row r="129" spans="1:13" x14ac:dyDescent="0.3">
      <c r="A129" t="s">
        <v>11</v>
      </c>
      <c r="B129" s="1" t="s">
        <v>44</v>
      </c>
      <c r="C129" s="1" t="s">
        <v>45</v>
      </c>
      <c r="D129">
        <v>12659</v>
      </c>
      <c r="E129" t="s">
        <v>12</v>
      </c>
      <c r="F129" t="s">
        <v>43</v>
      </c>
      <c r="G129">
        <v>7</v>
      </c>
      <c r="H129">
        <v>1</v>
      </c>
      <c r="I129" t="s">
        <v>46</v>
      </c>
      <c r="J129" cm="1">
        <f t="array" ref="J129">IFERROR(
    _xlfn.XLOOKUP(G129, 'Wedgewood Pharm-PME-Yr2-2025'!$E$4:$L$4,
        _xlfn.XLOOKUP('Rate Load'!H129, 'Wedgewood Pharm-PME-Yr2-2025'!$D$5:$D$28,
            'Wedgewood Pharm-PME-Yr2-2025'!$E$5:$L$28, 0, 0),
        0, 0),
    _xlfn.XLOOKUP(G129, 'Wedgewood Pharm-PME-Yr2-2025'!$E$4:$L$4,
        _xlfn.XLOOKUP('Rate Load'!L129, 'Wedgewood Pharm-PME-Yr2-2025'!$D$5:$D$28,
            'Wedgewood Pharm-PME-Yr2-2025'!$E$5:$L$28, 0, 0),
        0, 0)
)</f>
        <v>17.75</v>
      </c>
      <c r="K129" t="s">
        <v>47</v>
      </c>
      <c r="L129" t="s">
        <v>14</v>
      </c>
      <c r="M129" t="str">
        <f t="shared" si="1"/>
        <v>INSERT INTO TNL_RATING.dbo.usps_rate_master VALUES ('USPS', '2/13/2025', '2/13/2026', 12659, 'US', 'Priority Mail Express', 7, 1, 'L', 17.75, 'Wedgewood_USPS_2025', 'NonCubic');</v>
      </c>
    </row>
    <row r="130" spans="1:13" x14ac:dyDescent="0.3">
      <c r="A130" t="s">
        <v>11</v>
      </c>
      <c r="B130" s="1" t="s">
        <v>44</v>
      </c>
      <c r="C130" s="1" t="s">
        <v>45</v>
      </c>
      <c r="D130">
        <v>12659</v>
      </c>
      <c r="E130" t="s">
        <v>12</v>
      </c>
      <c r="F130" t="s">
        <v>43</v>
      </c>
      <c r="G130">
        <v>7</v>
      </c>
      <c r="H130">
        <v>2</v>
      </c>
      <c r="I130" t="s">
        <v>46</v>
      </c>
      <c r="J130" cm="1">
        <f t="array" ref="J130">IFERROR(
    _xlfn.XLOOKUP(G130, 'Wedgewood Pharm-PME-Yr2-2025'!$E$4:$L$4,
        _xlfn.XLOOKUP('Rate Load'!H130, 'Wedgewood Pharm-PME-Yr2-2025'!$D$5:$D$28,
            'Wedgewood Pharm-PME-Yr2-2025'!$E$5:$L$28, 0, 0),
        0, 0),
    _xlfn.XLOOKUP(G130, 'Wedgewood Pharm-PME-Yr2-2025'!$E$4:$L$4,
        _xlfn.XLOOKUP('Rate Load'!L130, 'Wedgewood Pharm-PME-Yr2-2025'!$D$5:$D$28,
            'Wedgewood Pharm-PME-Yr2-2025'!$E$5:$L$28, 0, 0),
        0, 0)
)</f>
        <v>20.3</v>
      </c>
      <c r="K130" t="s">
        <v>47</v>
      </c>
      <c r="L130" t="s">
        <v>14</v>
      </c>
      <c r="M130" t="str">
        <f t="shared" si="1"/>
        <v>INSERT INTO TNL_RATING.dbo.usps_rate_master VALUES ('USPS', '2/13/2025', '2/13/2026', 12659, 'US', 'Priority Mail Express', 7, 2, 'L', 20.3, 'Wedgewood_USPS_2025', 'NonCubic');</v>
      </c>
    </row>
    <row r="131" spans="1:13" x14ac:dyDescent="0.3">
      <c r="A131" t="s">
        <v>11</v>
      </c>
      <c r="B131" s="1" t="s">
        <v>44</v>
      </c>
      <c r="C131" s="1" t="s">
        <v>45</v>
      </c>
      <c r="D131">
        <v>12659</v>
      </c>
      <c r="E131" t="s">
        <v>12</v>
      </c>
      <c r="F131" t="s">
        <v>43</v>
      </c>
      <c r="G131">
        <v>7</v>
      </c>
      <c r="H131">
        <v>3</v>
      </c>
      <c r="I131" t="s">
        <v>46</v>
      </c>
      <c r="J131" cm="1">
        <f t="array" ref="J131">IFERROR(
    _xlfn.XLOOKUP(G131, 'Wedgewood Pharm-PME-Yr2-2025'!$E$4:$L$4,
        _xlfn.XLOOKUP('Rate Load'!H131, 'Wedgewood Pharm-PME-Yr2-2025'!$D$5:$D$28,
            'Wedgewood Pharm-PME-Yr2-2025'!$E$5:$L$28, 0, 0),
        0, 0),
    _xlfn.XLOOKUP(G131, 'Wedgewood Pharm-PME-Yr2-2025'!$E$4:$L$4,
        _xlfn.XLOOKUP('Rate Load'!L131, 'Wedgewood Pharm-PME-Yr2-2025'!$D$5:$D$28,
            'Wedgewood Pharm-PME-Yr2-2025'!$E$5:$L$28, 0, 0),
        0, 0)
)</f>
        <v>23.3</v>
      </c>
      <c r="K131" t="s">
        <v>47</v>
      </c>
      <c r="L131" t="s">
        <v>14</v>
      </c>
      <c r="M131" t="str">
        <f t="shared" ref="M131:M194" si="2">"INSERT INTO TNL_RATING.dbo.usps_rate_master VALUES ('" &amp; A131 &amp; "', '" &amp; B131 &amp; "', '" &amp; C131 &amp; "', " &amp; D131 &amp; ", '" &amp; E131 &amp; "', '" &amp; F131 &amp; "', " &amp; G131 &amp; ", " &amp; H131 &amp; ", '" &amp; I131 &amp; "', " &amp; J131 &amp; ", '" &amp; K131 &amp; "', '" &amp; L131 &amp; "');"</f>
        <v>INSERT INTO TNL_RATING.dbo.usps_rate_master VALUES ('USPS', '2/13/2025', '2/13/2026', 12659, 'US', 'Priority Mail Express', 7, 3, 'L', 23.3, 'Wedgewood_USPS_2025', 'NonCubic');</v>
      </c>
    </row>
    <row r="132" spans="1:13" x14ac:dyDescent="0.3">
      <c r="A132" t="s">
        <v>11</v>
      </c>
      <c r="B132" s="1" t="s">
        <v>44</v>
      </c>
      <c r="C132" s="1" t="s">
        <v>45</v>
      </c>
      <c r="D132">
        <v>12659</v>
      </c>
      <c r="E132" t="s">
        <v>12</v>
      </c>
      <c r="F132" t="s">
        <v>43</v>
      </c>
      <c r="G132">
        <v>7</v>
      </c>
      <c r="H132">
        <v>4</v>
      </c>
      <c r="I132" t="s">
        <v>46</v>
      </c>
      <c r="J132" cm="1">
        <f t="array" ref="J132">IFERROR(
    _xlfn.XLOOKUP(G132, 'Wedgewood Pharm-PME-Yr2-2025'!$E$4:$L$4,
        _xlfn.XLOOKUP('Rate Load'!H132, 'Wedgewood Pharm-PME-Yr2-2025'!$D$5:$D$28,
            'Wedgewood Pharm-PME-Yr2-2025'!$E$5:$L$28, 0, 0),
        0, 0),
    _xlfn.XLOOKUP(G132, 'Wedgewood Pharm-PME-Yr2-2025'!$E$4:$L$4,
        _xlfn.XLOOKUP('Rate Load'!L132, 'Wedgewood Pharm-PME-Yr2-2025'!$D$5:$D$28,
            'Wedgewood Pharm-PME-Yr2-2025'!$E$5:$L$28, 0, 0),
        0, 0)
)</f>
        <v>26.28</v>
      </c>
      <c r="K132" t="s">
        <v>47</v>
      </c>
      <c r="L132" t="s">
        <v>14</v>
      </c>
      <c r="M132" t="str">
        <f t="shared" si="2"/>
        <v>INSERT INTO TNL_RATING.dbo.usps_rate_master VALUES ('USPS', '2/13/2025', '2/13/2026', 12659, 'US', 'Priority Mail Express', 7, 4, 'L', 26.28, 'Wedgewood_USPS_2025', 'NonCubic');</v>
      </c>
    </row>
    <row r="133" spans="1:13" x14ac:dyDescent="0.3">
      <c r="A133" t="s">
        <v>11</v>
      </c>
      <c r="B133" s="1" t="s">
        <v>44</v>
      </c>
      <c r="C133" s="1" t="s">
        <v>45</v>
      </c>
      <c r="D133">
        <v>12659</v>
      </c>
      <c r="E133" t="s">
        <v>12</v>
      </c>
      <c r="F133" t="s">
        <v>43</v>
      </c>
      <c r="G133">
        <v>7</v>
      </c>
      <c r="H133">
        <v>5</v>
      </c>
      <c r="I133" t="s">
        <v>46</v>
      </c>
      <c r="J133" cm="1">
        <f t="array" ref="J133">IFERROR(
    _xlfn.XLOOKUP(G133, 'Wedgewood Pharm-PME-Yr2-2025'!$E$4:$L$4,
        _xlfn.XLOOKUP('Rate Load'!H133, 'Wedgewood Pharm-PME-Yr2-2025'!$D$5:$D$28,
            'Wedgewood Pharm-PME-Yr2-2025'!$E$5:$L$28, 0, 0),
        0, 0),
    _xlfn.XLOOKUP(G133, 'Wedgewood Pharm-PME-Yr2-2025'!$E$4:$L$4,
        _xlfn.XLOOKUP('Rate Load'!L133, 'Wedgewood Pharm-PME-Yr2-2025'!$D$5:$D$28,
            'Wedgewood Pharm-PME-Yr2-2025'!$E$5:$L$28, 0, 0),
        0, 0)
)</f>
        <v>29.26</v>
      </c>
      <c r="K133" t="s">
        <v>47</v>
      </c>
      <c r="L133" t="s">
        <v>14</v>
      </c>
      <c r="M133" t="str">
        <f t="shared" si="2"/>
        <v>INSERT INTO TNL_RATING.dbo.usps_rate_master VALUES ('USPS', '2/13/2025', '2/13/2026', 12659, 'US', 'Priority Mail Express', 7, 5, 'L', 29.26, 'Wedgewood_USPS_2025', 'NonCubic');</v>
      </c>
    </row>
    <row r="134" spans="1:13" x14ac:dyDescent="0.3">
      <c r="A134" t="s">
        <v>11</v>
      </c>
      <c r="B134" s="1" t="s">
        <v>44</v>
      </c>
      <c r="C134" s="1" t="s">
        <v>45</v>
      </c>
      <c r="D134">
        <v>12659</v>
      </c>
      <c r="E134" t="s">
        <v>12</v>
      </c>
      <c r="F134" t="s">
        <v>43</v>
      </c>
      <c r="G134">
        <v>7</v>
      </c>
      <c r="H134">
        <v>6</v>
      </c>
      <c r="I134" t="s">
        <v>46</v>
      </c>
      <c r="J134" cm="1">
        <f t="array" ref="J134">IFERROR(
    _xlfn.XLOOKUP(G134, 'Wedgewood Pharm-PME-Yr2-2025'!$E$4:$L$4,
        _xlfn.XLOOKUP('Rate Load'!H134, 'Wedgewood Pharm-PME-Yr2-2025'!$D$5:$D$28,
            'Wedgewood Pharm-PME-Yr2-2025'!$E$5:$L$28, 0, 0),
        0, 0),
    _xlfn.XLOOKUP(G134, 'Wedgewood Pharm-PME-Yr2-2025'!$E$4:$L$4,
        _xlfn.XLOOKUP('Rate Load'!L134, 'Wedgewood Pharm-PME-Yr2-2025'!$D$5:$D$28,
            'Wedgewood Pharm-PME-Yr2-2025'!$E$5:$L$28, 0, 0),
        0, 0)
)</f>
        <v>32.25</v>
      </c>
      <c r="K134" t="s">
        <v>47</v>
      </c>
      <c r="L134" t="s">
        <v>14</v>
      </c>
      <c r="M134" t="str">
        <f t="shared" si="2"/>
        <v>INSERT INTO TNL_RATING.dbo.usps_rate_master VALUES ('USPS', '2/13/2025', '2/13/2026', 12659, 'US', 'Priority Mail Express', 7, 6, 'L', 32.25, 'Wedgewood_USPS_2025', 'NonCubic');</v>
      </c>
    </row>
    <row r="135" spans="1:13" x14ac:dyDescent="0.3">
      <c r="A135" t="s">
        <v>11</v>
      </c>
      <c r="B135" s="1" t="s">
        <v>44</v>
      </c>
      <c r="C135" s="1" t="s">
        <v>45</v>
      </c>
      <c r="D135">
        <v>12659</v>
      </c>
      <c r="E135" t="s">
        <v>12</v>
      </c>
      <c r="F135" t="s">
        <v>43</v>
      </c>
      <c r="G135">
        <v>7</v>
      </c>
      <c r="H135">
        <v>7</v>
      </c>
      <c r="I135" t="s">
        <v>46</v>
      </c>
      <c r="J135" cm="1">
        <f t="array" ref="J135">IFERROR(
    _xlfn.XLOOKUP(G135, 'Wedgewood Pharm-PME-Yr2-2025'!$E$4:$L$4,
        _xlfn.XLOOKUP('Rate Load'!H135, 'Wedgewood Pharm-PME-Yr2-2025'!$D$5:$D$28,
            'Wedgewood Pharm-PME-Yr2-2025'!$E$5:$L$28, 0, 0),
        0, 0),
    _xlfn.XLOOKUP(G135, 'Wedgewood Pharm-PME-Yr2-2025'!$E$4:$L$4,
        _xlfn.XLOOKUP('Rate Load'!L135, 'Wedgewood Pharm-PME-Yr2-2025'!$D$5:$D$28,
            'Wedgewood Pharm-PME-Yr2-2025'!$E$5:$L$28, 0, 0),
        0, 0)
)</f>
        <v>35.22</v>
      </c>
      <c r="K135" t="s">
        <v>47</v>
      </c>
      <c r="L135" t="s">
        <v>14</v>
      </c>
      <c r="M135" t="str">
        <f t="shared" si="2"/>
        <v>INSERT INTO TNL_RATING.dbo.usps_rate_master VALUES ('USPS', '2/13/2025', '2/13/2026', 12659, 'US', 'Priority Mail Express', 7, 7, 'L', 35.22, 'Wedgewood_USPS_2025', 'NonCubic');</v>
      </c>
    </row>
    <row r="136" spans="1:13" x14ac:dyDescent="0.3">
      <c r="A136" t="s">
        <v>11</v>
      </c>
      <c r="B136" s="1" t="s">
        <v>44</v>
      </c>
      <c r="C136" s="1" t="s">
        <v>45</v>
      </c>
      <c r="D136">
        <v>12659</v>
      </c>
      <c r="E136" t="s">
        <v>12</v>
      </c>
      <c r="F136" t="s">
        <v>43</v>
      </c>
      <c r="G136">
        <v>7</v>
      </c>
      <c r="H136">
        <v>8</v>
      </c>
      <c r="I136" t="s">
        <v>46</v>
      </c>
      <c r="J136" cm="1">
        <f t="array" ref="J136">IFERROR(
    _xlfn.XLOOKUP(G136, 'Wedgewood Pharm-PME-Yr2-2025'!$E$4:$L$4,
        _xlfn.XLOOKUP('Rate Load'!H136, 'Wedgewood Pharm-PME-Yr2-2025'!$D$5:$D$28,
            'Wedgewood Pharm-PME-Yr2-2025'!$E$5:$L$28, 0, 0),
        0, 0),
    _xlfn.XLOOKUP(G136, 'Wedgewood Pharm-PME-Yr2-2025'!$E$4:$L$4,
        _xlfn.XLOOKUP('Rate Load'!L136, 'Wedgewood Pharm-PME-Yr2-2025'!$D$5:$D$28,
            'Wedgewood Pharm-PME-Yr2-2025'!$E$5:$L$28, 0, 0),
        0, 0)
)</f>
        <v>38.21</v>
      </c>
      <c r="K136" t="s">
        <v>47</v>
      </c>
      <c r="L136" t="s">
        <v>14</v>
      </c>
      <c r="M136" t="str">
        <f t="shared" si="2"/>
        <v>INSERT INTO TNL_RATING.dbo.usps_rate_master VALUES ('USPS', '2/13/2025', '2/13/2026', 12659, 'US', 'Priority Mail Express', 7, 8, 'L', 38.21, 'Wedgewood_USPS_2025', 'NonCubic');</v>
      </c>
    </row>
    <row r="137" spans="1:13" x14ac:dyDescent="0.3">
      <c r="A137" t="s">
        <v>11</v>
      </c>
      <c r="B137" s="1" t="s">
        <v>44</v>
      </c>
      <c r="C137" s="1" t="s">
        <v>45</v>
      </c>
      <c r="D137">
        <v>12659</v>
      </c>
      <c r="E137" t="s">
        <v>12</v>
      </c>
      <c r="F137" t="s">
        <v>43</v>
      </c>
      <c r="G137">
        <v>7</v>
      </c>
      <c r="H137">
        <v>9</v>
      </c>
      <c r="I137" t="s">
        <v>46</v>
      </c>
      <c r="J137" cm="1">
        <f t="array" ref="J137">IFERROR(
    _xlfn.XLOOKUP(G137, 'Wedgewood Pharm-PME-Yr2-2025'!$E$4:$L$4,
        _xlfn.XLOOKUP('Rate Load'!H137, 'Wedgewood Pharm-PME-Yr2-2025'!$D$5:$D$28,
            'Wedgewood Pharm-PME-Yr2-2025'!$E$5:$L$28, 0, 0),
        0, 0),
    _xlfn.XLOOKUP(G137, 'Wedgewood Pharm-PME-Yr2-2025'!$E$4:$L$4,
        _xlfn.XLOOKUP('Rate Load'!L137, 'Wedgewood Pharm-PME-Yr2-2025'!$D$5:$D$28,
            'Wedgewood Pharm-PME-Yr2-2025'!$E$5:$L$28, 0, 0),
        0, 0)
)</f>
        <v>41.18</v>
      </c>
      <c r="K137" t="s">
        <v>47</v>
      </c>
      <c r="L137" t="s">
        <v>14</v>
      </c>
      <c r="M137" t="str">
        <f t="shared" si="2"/>
        <v>INSERT INTO TNL_RATING.dbo.usps_rate_master VALUES ('USPS', '2/13/2025', '2/13/2026', 12659, 'US', 'Priority Mail Express', 7, 9, 'L', 41.18, 'Wedgewood_USPS_2025', 'NonCubic');</v>
      </c>
    </row>
    <row r="138" spans="1:13" x14ac:dyDescent="0.3">
      <c r="A138" t="s">
        <v>11</v>
      </c>
      <c r="B138" s="1" t="s">
        <v>44</v>
      </c>
      <c r="C138" s="1" t="s">
        <v>45</v>
      </c>
      <c r="D138">
        <v>12659</v>
      </c>
      <c r="E138" t="s">
        <v>12</v>
      </c>
      <c r="F138" t="s">
        <v>43</v>
      </c>
      <c r="G138">
        <v>7</v>
      </c>
      <c r="H138">
        <v>10</v>
      </c>
      <c r="I138" t="s">
        <v>46</v>
      </c>
      <c r="J138" cm="1">
        <f t="array" ref="J138">IFERROR(
    _xlfn.XLOOKUP(G138, 'Wedgewood Pharm-PME-Yr2-2025'!$E$4:$L$4,
        _xlfn.XLOOKUP('Rate Load'!H138, 'Wedgewood Pharm-PME-Yr2-2025'!$D$5:$D$28,
            'Wedgewood Pharm-PME-Yr2-2025'!$E$5:$L$28, 0, 0),
        0, 0),
    _xlfn.XLOOKUP(G138, 'Wedgewood Pharm-PME-Yr2-2025'!$E$4:$L$4,
        _xlfn.XLOOKUP('Rate Load'!L138, 'Wedgewood Pharm-PME-Yr2-2025'!$D$5:$D$28,
            'Wedgewood Pharm-PME-Yr2-2025'!$E$5:$L$28, 0, 0),
        0, 0)
)</f>
        <v>44.169999999999995</v>
      </c>
      <c r="K138" t="s">
        <v>47</v>
      </c>
      <c r="L138" t="s">
        <v>14</v>
      </c>
      <c r="M138" t="str">
        <f t="shared" si="2"/>
        <v>INSERT INTO TNL_RATING.dbo.usps_rate_master VALUES ('USPS', '2/13/2025', '2/13/2026', 12659, 'US', 'Priority Mail Express', 7, 10, 'L', 44.17, 'Wedgewood_USPS_2025', 'NonCubic');</v>
      </c>
    </row>
    <row r="139" spans="1:13" x14ac:dyDescent="0.3">
      <c r="A139" t="s">
        <v>11</v>
      </c>
      <c r="B139" s="1" t="s">
        <v>44</v>
      </c>
      <c r="C139" s="1" t="s">
        <v>45</v>
      </c>
      <c r="D139">
        <v>12659</v>
      </c>
      <c r="E139" t="s">
        <v>12</v>
      </c>
      <c r="F139" t="s">
        <v>43</v>
      </c>
      <c r="G139">
        <v>7</v>
      </c>
      <c r="H139">
        <v>11</v>
      </c>
      <c r="I139" t="s">
        <v>46</v>
      </c>
      <c r="J139" cm="1">
        <f t="array" ref="J139">IFERROR(
    _xlfn.XLOOKUP(G139, 'Wedgewood Pharm-PME-Yr2-2025'!$E$4:$L$4,
        _xlfn.XLOOKUP('Rate Load'!H139, 'Wedgewood Pharm-PME-Yr2-2025'!$D$5:$D$28,
            'Wedgewood Pharm-PME-Yr2-2025'!$E$5:$L$28, 0, 0),
        0, 0),
    _xlfn.XLOOKUP(G139, 'Wedgewood Pharm-PME-Yr2-2025'!$E$4:$L$4,
        _xlfn.XLOOKUP('Rate Load'!L139, 'Wedgewood Pharm-PME-Yr2-2025'!$D$5:$D$28,
            'Wedgewood Pharm-PME-Yr2-2025'!$E$5:$L$28, 0, 0),
        0, 0)
)</f>
        <v>46.739999999999995</v>
      </c>
      <c r="K139" t="s">
        <v>47</v>
      </c>
      <c r="L139" t="s">
        <v>14</v>
      </c>
      <c r="M139" t="str">
        <f t="shared" si="2"/>
        <v>INSERT INTO TNL_RATING.dbo.usps_rate_master VALUES ('USPS', '2/13/2025', '2/13/2026', 12659, 'US', 'Priority Mail Express', 7, 11, 'L', 46.74, 'Wedgewood_USPS_2025', 'NonCubic');</v>
      </c>
    </row>
    <row r="140" spans="1:13" x14ac:dyDescent="0.3">
      <c r="A140" t="s">
        <v>11</v>
      </c>
      <c r="B140" s="1" t="s">
        <v>44</v>
      </c>
      <c r="C140" s="1" t="s">
        <v>45</v>
      </c>
      <c r="D140">
        <v>12659</v>
      </c>
      <c r="E140" t="s">
        <v>12</v>
      </c>
      <c r="F140" t="s">
        <v>43</v>
      </c>
      <c r="G140">
        <v>7</v>
      </c>
      <c r="H140">
        <v>12</v>
      </c>
      <c r="I140" t="s">
        <v>46</v>
      </c>
      <c r="J140" cm="1">
        <f t="array" ref="J140">IFERROR(
    _xlfn.XLOOKUP(G140, 'Wedgewood Pharm-PME-Yr2-2025'!$E$4:$L$4,
        _xlfn.XLOOKUP('Rate Load'!H140, 'Wedgewood Pharm-PME-Yr2-2025'!$D$5:$D$28,
            'Wedgewood Pharm-PME-Yr2-2025'!$E$5:$L$28, 0, 0),
        0, 0),
    _xlfn.XLOOKUP(G140, 'Wedgewood Pharm-PME-Yr2-2025'!$E$4:$L$4,
        _xlfn.XLOOKUP('Rate Load'!L140, 'Wedgewood Pharm-PME-Yr2-2025'!$D$5:$D$28,
            'Wedgewood Pharm-PME-Yr2-2025'!$E$5:$L$28, 0, 0),
        0, 0)
)</f>
        <v>49.309999999999995</v>
      </c>
      <c r="K140" t="s">
        <v>47</v>
      </c>
      <c r="L140" t="s">
        <v>14</v>
      </c>
      <c r="M140" t="str">
        <f t="shared" si="2"/>
        <v>INSERT INTO TNL_RATING.dbo.usps_rate_master VALUES ('USPS', '2/13/2025', '2/13/2026', 12659, 'US', 'Priority Mail Express', 7, 12, 'L', 49.31, 'Wedgewood_USPS_2025', 'NonCubic');</v>
      </c>
    </row>
    <row r="141" spans="1:13" x14ac:dyDescent="0.3">
      <c r="A141" t="s">
        <v>11</v>
      </c>
      <c r="B141" s="1" t="s">
        <v>44</v>
      </c>
      <c r="C141" s="1" t="s">
        <v>45</v>
      </c>
      <c r="D141">
        <v>12659</v>
      </c>
      <c r="E141" t="s">
        <v>12</v>
      </c>
      <c r="F141" t="s">
        <v>43</v>
      </c>
      <c r="G141">
        <v>7</v>
      </c>
      <c r="H141">
        <v>13</v>
      </c>
      <c r="I141" t="s">
        <v>46</v>
      </c>
      <c r="J141" cm="1">
        <f t="array" ref="J141">IFERROR(
    _xlfn.XLOOKUP(G141, 'Wedgewood Pharm-PME-Yr2-2025'!$E$4:$L$4,
        _xlfn.XLOOKUP('Rate Load'!H141, 'Wedgewood Pharm-PME-Yr2-2025'!$D$5:$D$28,
            'Wedgewood Pharm-PME-Yr2-2025'!$E$5:$L$28, 0, 0),
        0, 0),
    _xlfn.XLOOKUP(G141, 'Wedgewood Pharm-PME-Yr2-2025'!$E$4:$L$4,
        _xlfn.XLOOKUP('Rate Load'!L141, 'Wedgewood Pharm-PME-Yr2-2025'!$D$5:$D$28,
            'Wedgewood Pharm-PME-Yr2-2025'!$E$5:$L$28, 0, 0),
        0, 0)
)</f>
        <v>51.89</v>
      </c>
      <c r="K141" t="s">
        <v>47</v>
      </c>
      <c r="L141" t="s">
        <v>14</v>
      </c>
      <c r="M141" t="str">
        <f t="shared" si="2"/>
        <v>INSERT INTO TNL_RATING.dbo.usps_rate_master VALUES ('USPS', '2/13/2025', '2/13/2026', 12659, 'US', 'Priority Mail Express', 7, 13, 'L', 51.89, 'Wedgewood_USPS_2025', 'NonCubic');</v>
      </c>
    </row>
    <row r="142" spans="1:13" x14ac:dyDescent="0.3">
      <c r="A142" t="s">
        <v>11</v>
      </c>
      <c r="B142" s="1" t="s">
        <v>44</v>
      </c>
      <c r="C142" s="1" t="s">
        <v>45</v>
      </c>
      <c r="D142">
        <v>12659</v>
      </c>
      <c r="E142" t="s">
        <v>12</v>
      </c>
      <c r="F142" t="s">
        <v>43</v>
      </c>
      <c r="G142">
        <v>7</v>
      </c>
      <c r="H142">
        <v>14</v>
      </c>
      <c r="I142" t="s">
        <v>46</v>
      </c>
      <c r="J142" cm="1">
        <f t="array" ref="J142">IFERROR(
    _xlfn.XLOOKUP(G142, 'Wedgewood Pharm-PME-Yr2-2025'!$E$4:$L$4,
        _xlfn.XLOOKUP('Rate Load'!H142, 'Wedgewood Pharm-PME-Yr2-2025'!$D$5:$D$28,
            'Wedgewood Pharm-PME-Yr2-2025'!$E$5:$L$28, 0, 0),
        0, 0),
    _xlfn.XLOOKUP(G142, 'Wedgewood Pharm-PME-Yr2-2025'!$E$4:$L$4,
        _xlfn.XLOOKUP('Rate Load'!L142, 'Wedgewood Pharm-PME-Yr2-2025'!$D$5:$D$28,
            'Wedgewood Pharm-PME-Yr2-2025'!$E$5:$L$28, 0, 0),
        0, 0)
)</f>
        <v>54.46</v>
      </c>
      <c r="K142" t="s">
        <v>47</v>
      </c>
      <c r="L142" t="s">
        <v>14</v>
      </c>
      <c r="M142" t="str">
        <f t="shared" si="2"/>
        <v>INSERT INTO TNL_RATING.dbo.usps_rate_master VALUES ('USPS', '2/13/2025', '2/13/2026', 12659, 'US', 'Priority Mail Express', 7, 14, 'L', 54.46, 'Wedgewood_USPS_2025', 'NonCubic');</v>
      </c>
    </row>
    <row r="143" spans="1:13" x14ac:dyDescent="0.3">
      <c r="A143" t="s">
        <v>11</v>
      </c>
      <c r="B143" s="1" t="s">
        <v>44</v>
      </c>
      <c r="C143" s="1" t="s">
        <v>45</v>
      </c>
      <c r="D143">
        <v>12659</v>
      </c>
      <c r="E143" t="s">
        <v>12</v>
      </c>
      <c r="F143" t="s">
        <v>43</v>
      </c>
      <c r="G143">
        <v>7</v>
      </c>
      <c r="H143">
        <v>15</v>
      </c>
      <c r="I143" t="s">
        <v>46</v>
      </c>
      <c r="J143" cm="1">
        <f t="array" ref="J143">IFERROR(
    _xlfn.XLOOKUP(G143, 'Wedgewood Pharm-PME-Yr2-2025'!$E$4:$L$4,
        _xlfn.XLOOKUP('Rate Load'!H143, 'Wedgewood Pharm-PME-Yr2-2025'!$D$5:$D$28,
            'Wedgewood Pharm-PME-Yr2-2025'!$E$5:$L$28, 0, 0),
        0, 0),
    _xlfn.XLOOKUP(G143, 'Wedgewood Pharm-PME-Yr2-2025'!$E$4:$L$4,
        _xlfn.XLOOKUP('Rate Load'!L143, 'Wedgewood Pharm-PME-Yr2-2025'!$D$5:$D$28,
            'Wedgewood Pharm-PME-Yr2-2025'!$E$5:$L$28, 0, 0),
        0, 0)
)</f>
        <v>57.03</v>
      </c>
      <c r="K143" t="s">
        <v>47</v>
      </c>
      <c r="L143" t="s">
        <v>14</v>
      </c>
      <c r="M143" t="str">
        <f t="shared" si="2"/>
        <v>INSERT INTO TNL_RATING.dbo.usps_rate_master VALUES ('USPS', '2/13/2025', '2/13/2026', 12659, 'US', 'Priority Mail Express', 7, 15, 'L', 57.03, 'Wedgewood_USPS_2025', 'NonCubic');</v>
      </c>
    </row>
    <row r="144" spans="1:13" x14ac:dyDescent="0.3">
      <c r="A144" t="s">
        <v>11</v>
      </c>
      <c r="B144" s="1" t="s">
        <v>44</v>
      </c>
      <c r="C144" s="1" t="s">
        <v>45</v>
      </c>
      <c r="D144">
        <v>12659</v>
      </c>
      <c r="E144" t="s">
        <v>12</v>
      </c>
      <c r="F144" t="s">
        <v>43</v>
      </c>
      <c r="G144">
        <v>7</v>
      </c>
      <c r="H144">
        <v>16</v>
      </c>
      <c r="I144" t="s">
        <v>46</v>
      </c>
      <c r="J144" cm="1">
        <f t="array" ref="J144">IFERROR(
    _xlfn.XLOOKUP(G144, 'Wedgewood Pharm-PME-Yr2-2025'!$E$4:$L$4,
        _xlfn.XLOOKUP('Rate Load'!H144, 'Wedgewood Pharm-PME-Yr2-2025'!$D$5:$D$28,
            'Wedgewood Pharm-PME-Yr2-2025'!$E$5:$L$28, 0, 0),
        0, 0),
    _xlfn.XLOOKUP(G144, 'Wedgewood Pharm-PME-Yr2-2025'!$E$4:$L$4,
        _xlfn.XLOOKUP('Rate Load'!L144, 'Wedgewood Pharm-PME-Yr2-2025'!$D$5:$D$28,
            'Wedgewood Pharm-PME-Yr2-2025'!$E$5:$L$28, 0, 0),
        0, 0)
)</f>
        <v>59.61</v>
      </c>
      <c r="K144" t="s">
        <v>47</v>
      </c>
      <c r="L144" t="s">
        <v>14</v>
      </c>
      <c r="M144" t="str">
        <f t="shared" si="2"/>
        <v>INSERT INTO TNL_RATING.dbo.usps_rate_master VALUES ('USPS', '2/13/2025', '2/13/2026', 12659, 'US', 'Priority Mail Express', 7, 16, 'L', 59.61, 'Wedgewood_USPS_2025', 'NonCubic');</v>
      </c>
    </row>
    <row r="145" spans="1:13" x14ac:dyDescent="0.3">
      <c r="A145" t="s">
        <v>11</v>
      </c>
      <c r="B145" s="1" t="s">
        <v>44</v>
      </c>
      <c r="C145" s="1" t="s">
        <v>45</v>
      </c>
      <c r="D145">
        <v>12659</v>
      </c>
      <c r="E145" t="s">
        <v>12</v>
      </c>
      <c r="F145" t="s">
        <v>43</v>
      </c>
      <c r="G145">
        <v>7</v>
      </c>
      <c r="H145">
        <v>17</v>
      </c>
      <c r="I145" t="s">
        <v>46</v>
      </c>
      <c r="J145" cm="1">
        <f t="array" ref="J145">IFERROR(
    _xlfn.XLOOKUP(G145, 'Wedgewood Pharm-PME-Yr2-2025'!$E$4:$L$4,
        _xlfn.XLOOKUP('Rate Load'!H145, 'Wedgewood Pharm-PME-Yr2-2025'!$D$5:$D$28,
            'Wedgewood Pharm-PME-Yr2-2025'!$E$5:$L$28, 0, 0),
        0, 0),
    _xlfn.XLOOKUP(G145, 'Wedgewood Pharm-PME-Yr2-2025'!$E$4:$L$4,
        _xlfn.XLOOKUP('Rate Load'!L145, 'Wedgewood Pharm-PME-Yr2-2025'!$D$5:$D$28,
            'Wedgewood Pharm-PME-Yr2-2025'!$E$5:$L$28, 0, 0),
        0, 0)
)</f>
        <v>62.19</v>
      </c>
      <c r="K145" t="s">
        <v>47</v>
      </c>
      <c r="L145" t="s">
        <v>14</v>
      </c>
      <c r="M145" t="str">
        <f t="shared" si="2"/>
        <v>INSERT INTO TNL_RATING.dbo.usps_rate_master VALUES ('USPS', '2/13/2025', '2/13/2026', 12659, 'US', 'Priority Mail Express', 7, 17, 'L', 62.19, 'Wedgewood_USPS_2025', 'NonCubic');</v>
      </c>
    </row>
    <row r="146" spans="1:13" x14ac:dyDescent="0.3">
      <c r="A146" t="s">
        <v>11</v>
      </c>
      <c r="B146" s="1" t="s">
        <v>44</v>
      </c>
      <c r="C146" s="1" t="s">
        <v>45</v>
      </c>
      <c r="D146">
        <v>12659</v>
      </c>
      <c r="E146" t="s">
        <v>12</v>
      </c>
      <c r="F146" t="s">
        <v>43</v>
      </c>
      <c r="G146">
        <v>7</v>
      </c>
      <c r="H146">
        <v>18</v>
      </c>
      <c r="I146" t="s">
        <v>46</v>
      </c>
      <c r="J146" cm="1">
        <f t="array" ref="J146">IFERROR(
    _xlfn.XLOOKUP(G146, 'Wedgewood Pharm-PME-Yr2-2025'!$E$4:$L$4,
        _xlfn.XLOOKUP('Rate Load'!H146, 'Wedgewood Pharm-PME-Yr2-2025'!$D$5:$D$28,
            'Wedgewood Pharm-PME-Yr2-2025'!$E$5:$L$28, 0, 0),
        0, 0),
    _xlfn.XLOOKUP(G146, 'Wedgewood Pharm-PME-Yr2-2025'!$E$4:$L$4,
        _xlfn.XLOOKUP('Rate Load'!L146, 'Wedgewood Pharm-PME-Yr2-2025'!$D$5:$D$28,
            'Wedgewood Pharm-PME-Yr2-2025'!$E$5:$L$28, 0, 0),
        0, 0)
)</f>
        <v>64.760000000000005</v>
      </c>
      <c r="K146" t="s">
        <v>47</v>
      </c>
      <c r="L146" t="s">
        <v>14</v>
      </c>
      <c r="M146" t="str">
        <f t="shared" si="2"/>
        <v>INSERT INTO TNL_RATING.dbo.usps_rate_master VALUES ('USPS', '2/13/2025', '2/13/2026', 12659, 'US', 'Priority Mail Express', 7, 18, 'L', 64.76, 'Wedgewood_USPS_2025', 'NonCubic');</v>
      </c>
    </row>
    <row r="147" spans="1:13" x14ac:dyDescent="0.3">
      <c r="A147" t="s">
        <v>11</v>
      </c>
      <c r="B147" s="1" t="s">
        <v>44</v>
      </c>
      <c r="C147" s="1" t="s">
        <v>45</v>
      </c>
      <c r="D147">
        <v>12659</v>
      </c>
      <c r="E147" t="s">
        <v>12</v>
      </c>
      <c r="F147" t="s">
        <v>43</v>
      </c>
      <c r="G147">
        <v>7</v>
      </c>
      <c r="H147">
        <v>19</v>
      </c>
      <c r="I147" t="s">
        <v>46</v>
      </c>
      <c r="J147" cm="1">
        <f t="array" ref="J147">IFERROR(
    _xlfn.XLOOKUP(G147, 'Wedgewood Pharm-PME-Yr2-2025'!$E$4:$L$4,
        _xlfn.XLOOKUP('Rate Load'!H147, 'Wedgewood Pharm-PME-Yr2-2025'!$D$5:$D$28,
            'Wedgewood Pharm-PME-Yr2-2025'!$E$5:$L$28, 0, 0),
        0, 0),
    _xlfn.XLOOKUP(G147, 'Wedgewood Pharm-PME-Yr2-2025'!$E$4:$L$4,
        _xlfn.XLOOKUP('Rate Load'!L147, 'Wedgewood Pharm-PME-Yr2-2025'!$D$5:$D$28,
            'Wedgewood Pharm-PME-Yr2-2025'!$E$5:$L$28, 0, 0),
        0, 0)
)</f>
        <v>67.34</v>
      </c>
      <c r="K147" t="s">
        <v>47</v>
      </c>
      <c r="L147" t="s">
        <v>14</v>
      </c>
      <c r="M147" t="str">
        <f t="shared" si="2"/>
        <v>INSERT INTO TNL_RATING.dbo.usps_rate_master VALUES ('USPS', '2/13/2025', '2/13/2026', 12659, 'US', 'Priority Mail Express', 7, 19, 'L', 67.34, 'Wedgewood_USPS_2025', 'NonCubic');</v>
      </c>
    </row>
    <row r="148" spans="1:13" x14ac:dyDescent="0.3">
      <c r="A148" t="s">
        <v>11</v>
      </c>
      <c r="B148" s="1" t="s">
        <v>44</v>
      </c>
      <c r="C148" s="1" t="s">
        <v>45</v>
      </c>
      <c r="D148">
        <v>12659</v>
      </c>
      <c r="E148" t="s">
        <v>12</v>
      </c>
      <c r="F148" t="s">
        <v>43</v>
      </c>
      <c r="G148">
        <v>7</v>
      </c>
      <c r="H148">
        <v>20</v>
      </c>
      <c r="I148" t="s">
        <v>46</v>
      </c>
      <c r="J148" cm="1">
        <f t="array" ref="J148">IFERROR(
    _xlfn.XLOOKUP(G148, 'Wedgewood Pharm-PME-Yr2-2025'!$E$4:$L$4,
        _xlfn.XLOOKUP('Rate Load'!H148, 'Wedgewood Pharm-PME-Yr2-2025'!$D$5:$D$28,
            'Wedgewood Pharm-PME-Yr2-2025'!$E$5:$L$28, 0, 0),
        0, 0),
    _xlfn.XLOOKUP(G148, 'Wedgewood Pharm-PME-Yr2-2025'!$E$4:$L$4,
        _xlfn.XLOOKUP('Rate Load'!L148, 'Wedgewood Pharm-PME-Yr2-2025'!$D$5:$D$28,
            'Wedgewood Pharm-PME-Yr2-2025'!$E$5:$L$28, 0, 0),
        0, 0)
)</f>
        <v>69.900000000000006</v>
      </c>
      <c r="K148" t="s">
        <v>47</v>
      </c>
      <c r="L148" t="s">
        <v>14</v>
      </c>
      <c r="M148" t="str">
        <f t="shared" si="2"/>
        <v>INSERT INTO TNL_RATING.dbo.usps_rate_master VALUES ('USPS', '2/13/2025', '2/13/2026', 12659, 'US', 'Priority Mail Express', 7, 20, 'L', 69.9, 'Wedgewood_USPS_2025', 'NonCubic');</v>
      </c>
    </row>
    <row r="149" spans="1:13" x14ac:dyDescent="0.3">
      <c r="A149" t="s">
        <v>11</v>
      </c>
      <c r="B149" s="1" t="s">
        <v>44</v>
      </c>
      <c r="C149" s="1" t="s">
        <v>45</v>
      </c>
      <c r="D149">
        <v>12659</v>
      </c>
      <c r="E149" t="s">
        <v>12</v>
      </c>
      <c r="F149" t="s">
        <v>43</v>
      </c>
      <c r="G149">
        <v>8</v>
      </c>
      <c r="H149">
        <v>0.5</v>
      </c>
      <c r="I149" t="s">
        <v>46</v>
      </c>
      <c r="J149" cm="1">
        <f t="array" ref="J149">IFERROR(
    _xlfn.XLOOKUP(G149, 'Wedgewood Pharm-PME-Yr2-2025'!$E$4:$L$4,
        _xlfn.XLOOKUP('Rate Load'!H149, 'Wedgewood Pharm-PME-Yr2-2025'!$D$5:$D$28,
            'Wedgewood Pharm-PME-Yr2-2025'!$E$5:$L$28, 0, 0),
        0, 0),
    _xlfn.XLOOKUP(G149, 'Wedgewood Pharm-PME-Yr2-2025'!$E$4:$L$4,
        _xlfn.XLOOKUP('Rate Load'!L149, 'Wedgewood Pharm-PME-Yr2-2025'!$D$5:$D$28,
            'Wedgewood Pharm-PME-Yr2-2025'!$E$5:$L$28, 0, 0),
        0, 0)
)</f>
        <v>16.580000000000002</v>
      </c>
      <c r="K149" t="s">
        <v>47</v>
      </c>
      <c r="L149" t="s">
        <v>14</v>
      </c>
      <c r="M149" t="str">
        <f t="shared" si="2"/>
        <v>INSERT INTO TNL_RATING.dbo.usps_rate_master VALUES ('USPS', '2/13/2025', '2/13/2026', 12659, 'US', 'Priority Mail Express', 8, 0.5, 'L', 16.58, 'Wedgewood_USPS_2025', 'NonCubic');</v>
      </c>
    </row>
    <row r="150" spans="1:13" x14ac:dyDescent="0.3">
      <c r="A150" t="s">
        <v>11</v>
      </c>
      <c r="B150" s="1" t="s">
        <v>44</v>
      </c>
      <c r="C150" s="1" t="s">
        <v>45</v>
      </c>
      <c r="D150">
        <v>12659</v>
      </c>
      <c r="E150" t="s">
        <v>12</v>
      </c>
      <c r="F150" t="s">
        <v>43</v>
      </c>
      <c r="G150">
        <v>8</v>
      </c>
      <c r="H150">
        <v>1</v>
      </c>
      <c r="I150" t="s">
        <v>46</v>
      </c>
      <c r="J150" cm="1">
        <f t="array" ref="J150">IFERROR(
    _xlfn.XLOOKUP(G150, 'Wedgewood Pharm-PME-Yr2-2025'!$E$4:$L$4,
        _xlfn.XLOOKUP('Rate Load'!H150, 'Wedgewood Pharm-PME-Yr2-2025'!$D$5:$D$28,
            'Wedgewood Pharm-PME-Yr2-2025'!$E$5:$L$28, 0, 0),
        0, 0),
    _xlfn.XLOOKUP(G150, 'Wedgewood Pharm-PME-Yr2-2025'!$E$4:$L$4,
        _xlfn.XLOOKUP('Rate Load'!L150, 'Wedgewood Pharm-PME-Yr2-2025'!$D$5:$D$28,
            'Wedgewood Pharm-PME-Yr2-2025'!$E$5:$L$28, 0, 0),
        0, 0)
)</f>
        <v>18.360000000000003</v>
      </c>
      <c r="K150" t="s">
        <v>47</v>
      </c>
      <c r="L150" t="s">
        <v>14</v>
      </c>
      <c r="M150" t="str">
        <f t="shared" si="2"/>
        <v>INSERT INTO TNL_RATING.dbo.usps_rate_master VALUES ('USPS', '2/13/2025', '2/13/2026', 12659, 'US', 'Priority Mail Express', 8, 1, 'L', 18.36, 'Wedgewood_USPS_2025', 'NonCubic');</v>
      </c>
    </row>
    <row r="151" spans="1:13" x14ac:dyDescent="0.3">
      <c r="A151" t="s">
        <v>11</v>
      </c>
      <c r="B151" s="1" t="s">
        <v>44</v>
      </c>
      <c r="C151" s="1" t="s">
        <v>45</v>
      </c>
      <c r="D151">
        <v>12659</v>
      </c>
      <c r="E151" t="s">
        <v>12</v>
      </c>
      <c r="F151" t="s">
        <v>43</v>
      </c>
      <c r="G151">
        <v>8</v>
      </c>
      <c r="H151">
        <v>2</v>
      </c>
      <c r="I151" t="s">
        <v>46</v>
      </c>
      <c r="J151" cm="1">
        <f t="array" ref="J151">IFERROR(
    _xlfn.XLOOKUP(G151, 'Wedgewood Pharm-PME-Yr2-2025'!$E$4:$L$4,
        _xlfn.XLOOKUP('Rate Load'!H151, 'Wedgewood Pharm-PME-Yr2-2025'!$D$5:$D$28,
            'Wedgewood Pharm-PME-Yr2-2025'!$E$5:$L$28, 0, 0),
        0, 0),
    _xlfn.XLOOKUP(G151, 'Wedgewood Pharm-PME-Yr2-2025'!$E$4:$L$4,
        _xlfn.XLOOKUP('Rate Load'!L151, 'Wedgewood Pharm-PME-Yr2-2025'!$D$5:$D$28,
            'Wedgewood Pharm-PME-Yr2-2025'!$E$5:$L$28, 0, 0),
        0, 0)
)</f>
        <v>20.96</v>
      </c>
      <c r="K151" t="s">
        <v>47</v>
      </c>
      <c r="L151" t="s">
        <v>14</v>
      </c>
      <c r="M151" t="str">
        <f t="shared" si="2"/>
        <v>INSERT INTO TNL_RATING.dbo.usps_rate_master VALUES ('USPS', '2/13/2025', '2/13/2026', 12659, 'US', 'Priority Mail Express', 8, 2, 'L', 20.96, 'Wedgewood_USPS_2025', 'NonCubic');</v>
      </c>
    </row>
    <row r="152" spans="1:13" x14ac:dyDescent="0.3">
      <c r="A152" t="s">
        <v>11</v>
      </c>
      <c r="B152" s="1" t="s">
        <v>44</v>
      </c>
      <c r="C152" s="1" t="s">
        <v>45</v>
      </c>
      <c r="D152">
        <v>12659</v>
      </c>
      <c r="E152" t="s">
        <v>12</v>
      </c>
      <c r="F152" t="s">
        <v>43</v>
      </c>
      <c r="G152">
        <v>8</v>
      </c>
      <c r="H152">
        <v>3</v>
      </c>
      <c r="I152" t="s">
        <v>46</v>
      </c>
      <c r="J152" cm="1">
        <f t="array" ref="J152">IFERROR(
    _xlfn.XLOOKUP(G152, 'Wedgewood Pharm-PME-Yr2-2025'!$E$4:$L$4,
        _xlfn.XLOOKUP('Rate Load'!H152, 'Wedgewood Pharm-PME-Yr2-2025'!$D$5:$D$28,
            'Wedgewood Pharm-PME-Yr2-2025'!$E$5:$L$28, 0, 0),
        0, 0),
    _xlfn.XLOOKUP(G152, 'Wedgewood Pharm-PME-Yr2-2025'!$E$4:$L$4,
        _xlfn.XLOOKUP('Rate Load'!L152, 'Wedgewood Pharm-PME-Yr2-2025'!$D$5:$D$28,
            'Wedgewood Pharm-PME-Yr2-2025'!$E$5:$L$28, 0, 0),
        0, 0)
)</f>
        <v>23.950000000000003</v>
      </c>
      <c r="K152" t="s">
        <v>47</v>
      </c>
      <c r="L152" t="s">
        <v>14</v>
      </c>
      <c r="M152" t="str">
        <f t="shared" si="2"/>
        <v>INSERT INTO TNL_RATING.dbo.usps_rate_master VALUES ('USPS', '2/13/2025', '2/13/2026', 12659, 'US', 'Priority Mail Express', 8, 3, 'L', 23.95, 'Wedgewood_USPS_2025', 'NonCubic');</v>
      </c>
    </row>
    <row r="153" spans="1:13" x14ac:dyDescent="0.3">
      <c r="A153" t="s">
        <v>11</v>
      </c>
      <c r="B153" s="1" t="s">
        <v>44</v>
      </c>
      <c r="C153" s="1" t="s">
        <v>45</v>
      </c>
      <c r="D153">
        <v>12659</v>
      </c>
      <c r="E153" t="s">
        <v>12</v>
      </c>
      <c r="F153" t="s">
        <v>43</v>
      </c>
      <c r="G153">
        <v>8</v>
      </c>
      <c r="H153">
        <v>4</v>
      </c>
      <c r="I153" t="s">
        <v>46</v>
      </c>
      <c r="J153" cm="1">
        <f t="array" ref="J153">IFERROR(
    _xlfn.XLOOKUP(G153, 'Wedgewood Pharm-PME-Yr2-2025'!$E$4:$L$4,
        _xlfn.XLOOKUP('Rate Load'!H153, 'Wedgewood Pharm-PME-Yr2-2025'!$D$5:$D$28,
            'Wedgewood Pharm-PME-Yr2-2025'!$E$5:$L$28, 0, 0),
        0, 0),
    _xlfn.XLOOKUP(G153, 'Wedgewood Pharm-PME-Yr2-2025'!$E$4:$L$4,
        _xlfn.XLOOKUP('Rate Load'!L153, 'Wedgewood Pharm-PME-Yr2-2025'!$D$5:$D$28,
            'Wedgewood Pharm-PME-Yr2-2025'!$E$5:$L$28, 0, 0),
        0, 0)
)</f>
        <v>26.950000000000003</v>
      </c>
      <c r="K153" t="s">
        <v>47</v>
      </c>
      <c r="L153" t="s">
        <v>14</v>
      </c>
      <c r="M153" t="str">
        <f t="shared" si="2"/>
        <v>INSERT INTO TNL_RATING.dbo.usps_rate_master VALUES ('USPS', '2/13/2025', '2/13/2026', 12659, 'US', 'Priority Mail Express', 8, 4, 'L', 26.95, 'Wedgewood_USPS_2025', 'NonCubic');</v>
      </c>
    </row>
    <row r="154" spans="1:13" x14ac:dyDescent="0.3">
      <c r="A154" t="s">
        <v>11</v>
      </c>
      <c r="B154" s="1" t="s">
        <v>44</v>
      </c>
      <c r="C154" s="1" t="s">
        <v>45</v>
      </c>
      <c r="D154">
        <v>12659</v>
      </c>
      <c r="E154" t="s">
        <v>12</v>
      </c>
      <c r="F154" t="s">
        <v>43</v>
      </c>
      <c r="G154">
        <v>8</v>
      </c>
      <c r="H154">
        <v>5</v>
      </c>
      <c r="I154" t="s">
        <v>46</v>
      </c>
      <c r="J154" cm="1">
        <f t="array" ref="J154">IFERROR(
    _xlfn.XLOOKUP(G154, 'Wedgewood Pharm-PME-Yr2-2025'!$E$4:$L$4,
        _xlfn.XLOOKUP('Rate Load'!H154, 'Wedgewood Pharm-PME-Yr2-2025'!$D$5:$D$28,
            'Wedgewood Pharm-PME-Yr2-2025'!$E$5:$L$28, 0, 0),
        0, 0),
    _xlfn.XLOOKUP(G154, 'Wedgewood Pharm-PME-Yr2-2025'!$E$4:$L$4,
        _xlfn.XLOOKUP('Rate Load'!L154, 'Wedgewood Pharm-PME-Yr2-2025'!$D$5:$D$28,
            'Wedgewood Pharm-PME-Yr2-2025'!$E$5:$L$28, 0, 0),
        0, 0)
)</f>
        <v>29.92</v>
      </c>
      <c r="K154" t="s">
        <v>47</v>
      </c>
      <c r="L154" t="s">
        <v>14</v>
      </c>
      <c r="M154" t="str">
        <f t="shared" si="2"/>
        <v>INSERT INTO TNL_RATING.dbo.usps_rate_master VALUES ('USPS', '2/13/2025', '2/13/2026', 12659, 'US', 'Priority Mail Express', 8, 5, 'L', 29.92, 'Wedgewood_USPS_2025', 'NonCubic');</v>
      </c>
    </row>
    <row r="155" spans="1:13" x14ac:dyDescent="0.3">
      <c r="A155" t="s">
        <v>11</v>
      </c>
      <c r="B155" s="1" t="s">
        <v>44</v>
      </c>
      <c r="C155" s="1" t="s">
        <v>45</v>
      </c>
      <c r="D155">
        <v>12659</v>
      </c>
      <c r="E155" t="s">
        <v>12</v>
      </c>
      <c r="F155" t="s">
        <v>43</v>
      </c>
      <c r="G155">
        <v>8</v>
      </c>
      <c r="H155">
        <v>6</v>
      </c>
      <c r="I155" t="s">
        <v>46</v>
      </c>
      <c r="J155" cm="1">
        <f t="array" ref="J155">IFERROR(
    _xlfn.XLOOKUP(G155, 'Wedgewood Pharm-PME-Yr2-2025'!$E$4:$L$4,
        _xlfn.XLOOKUP('Rate Load'!H155, 'Wedgewood Pharm-PME-Yr2-2025'!$D$5:$D$28,
            'Wedgewood Pharm-PME-Yr2-2025'!$E$5:$L$28, 0, 0),
        0, 0),
    _xlfn.XLOOKUP(G155, 'Wedgewood Pharm-PME-Yr2-2025'!$E$4:$L$4,
        _xlfn.XLOOKUP('Rate Load'!L155, 'Wedgewood Pharm-PME-Yr2-2025'!$D$5:$D$28,
            'Wedgewood Pharm-PME-Yr2-2025'!$E$5:$L$28, 0, 0),
        0, 0)
)</f>
        <v>32.97</v>
      </c>
      <c r="K155" t="s">
        <v>47</v>
      </c>
      <c r="L155" t="s">
        <v>14</v>
      </c>
      <c r="M155" t="str">
        <f t="shared" si="2"/>
        <v>INSERT INTO TNL_RATING.dbo.usps_rate_master VALUES ('USPS', '2/13/2025', '2/13/2026', 12659, 'US', 'Priority Mail Express', 8, 6, 'L', 32.97, 'Wedgewood_USPS_2025', 'NonCubic');</v>
      </c>
    </row>
    <row r="156" spans="1:13" x14ac:dyDescent="0.3">
      <c r="A156" t="s">
        <v>11</v>
      </c>
      <c r="B156" s="1" t="s">
        <v>44</v>
      </c>
      <c r="C156" s="1" t="s">
        <v>45</v>
      </c>
      <c r="D156">
        <v>12659</v>
      </c>
      <c r="E156" t="s">
        <v>12</v>
      </c>
      <c r="F156" t="s">
        <v>43</v>
      </c>
      <c r="G156">
        <v>8</v>
      </c>
      <c r="H156">
        <v>7</v>
      </c>
      <c r="I156" t="s">
        <v>46</v>
      </c>
      <c r="J156" cm="1">
        <f t="array" ref="J156">IFERROR(
    _xlfn.XLOOKUP(G156, 'Wedgewood Pharm-PME-Yr2-2025'!$E$4:$L$4,
        _xlfn.XLOOKUP('Rate Load'!H156, 'Wedgewood Pharm-PME-Yr2-2025'!$D$5:$D$28,
            'Wedgewood Pharm-PME-Yr2-2025'!$E$5:$L$28, 0, 0),
        0, 0),
    _xlfn.XLOOKUP(G156, 'Wedgewood Pharm-PME-Yr2-2025'!$E$4:$L$4,
        _xlfn.XLOOKUP('Rate Load'!L156, 'Wedgewood Pharm-PME-Yr2-2025'!$D$5:$D$28,
            'Wedgewood Pharm-PME-Yr2-2025'!$E$5:$L$28, 0, 0),
        0, 0)
)</f>
        <v>36.019999999999996</v>
      </c>
      <c r="K156" t="s">
        <v>47</v>
      </c>
      <c r="L156" t="s">
        <v>14</v>
      </c>
      <c r="M156" t="str">
        <f t="shared" si="2"/>
        <v>INSERT INTO TNL_RATING.dbo.usps_rate_master VALUES ('USPS', '2/13/2025', '2/13/2026', 12659, 'US', 'Priority Mail Express', 8, 7, 'L', 36.02, 'Wedgewood_USPS_2025', 'NonCubic');</v>
      </c>
    </row>
    <row r="157" spans="1:13" x14ac:dyDescent="0.3">
      <c r="A157" t="s">
        <v>11</v>
      </c>
      <c r="B157" s="1" t="s">
        <v>44</v>
      </c>
      <c r="C157" s="1" t="s">
        <v>45</v>
      </c>
      <c r="D157">
        <v>12659</v>
      </c>
      <c r="E157" t="s">
        <v>12</v>
      </c>
      <c r="F157" t="s">
        <v>43</v>
      </c>
      <c r="G157">
        <v>8</v>
      </c>
      <c r="H157">
        <v>8</v>
      </c>
      <c r="I157" t="s">
        <v>46</v>
      </c>
      <c r="J157" cm="1">
        <f t="array" ref="J157">IFERROR(
    _xlfn.XLOOKUP(G157, 'Wedgewood Pharm-PME-Yr2-2025'!$E$4:$L$4,
        _xlfn.XLOOKUP('Rate Load'!H157, 'Wedgewood Pharm-PME-Yr2-2025'!$D$5:$D$28,
            'Wedgewood Pharm-PME-Yr2-2025'!$E$5:$L$28, 0, 0),
        0, 0),
    _xlfn.XLOOKUP(G157, 'Wedgewood Pharm-PME-Yr2-2025'!$E$4:$L$4,
        _xlfn.XLOOKUP('Rate Load'!L157, 'Wedgewood Pharm-PME-Yr2-2025'!$D$5:$D$28,
            'Wedgewood Pharm-PME-Yr2-2025'!$E$5:$L$28, 0, 0),
        0, 0)
)</f>
        <v>39.059999999999995</v>
      </c>
      <c r="K157" t="s">
        <v>47</v>
      </c>
      <c r="L157" t="s">
        <v>14</v>
      </c>
      <c r="M157" t="str">
        <f t="shared" si="2"/>
        <v>INSERT INTO TNL_RATING.dbo.usps_rate_master VALUES ('USPS', '2/13/2025', '2/13/2026', 12659, 'US', 'Priority Mail Express', 8, 8, 'L', 39.06, 'Wedgewood_USPS_2025', 'NonCubic');</v>
      </c>
    </row>
    <row r="158" spans="1:13" x14ac:dyDescent="0.3">
      <c r="A158" t="s">
        <v>11</v>
      </c>
      <c r="B158" s="1" t="s">
        <v>44</v>
      </c>
      <c r="C158" s="1" t="s">
        <v>45</v>
      </c>
      <c r="D158">
        <v>12659</v>
      </c>
      <c r="E158" t="s">
        <v>12</v>
      </c>
      <c r="F158" t="s">
        <v>43</v>
      </c>
      <c r="G158">
        <v>8</v>
      </c>
      <c r="H158">
        <v>9</v>
      </c>
      <c r="I158" t="s">
        <v>46</v>
      </c>
      <c r="J158" cm="1">
        <f t="array" ref="J158">IFERROR(
    _xlfn.XLOOKUP(G158, 'Wedgewood Pharm-PME-Yr2-2025'!$E$4:$L$4,
        _xlfn.XLOOKUP('Rate Load'!H158, 'Wedgewood Pharm-PME-Yr2-2025'!$D$5:$D$28,
            'Wedgewood Pharm-PME-Yr2-2025'!$E$5:$L$28, 0, 0),
        0, 0),
    _xlfn.XLOOKUP(G158, 'Wedgewood Pharm-PME-Yr2-2025'!$E$4:$L$4,
        _xlfn.XLOOKUP('Rate Load'!L158, 'Wedgewood Pharm-PME-Yr2-2025'!$D$5:$D$28,
            'Wedgewood Pharm-PME-Yr2-2025'!$E$5:$L$28, 0, 0),
        0, 0)
)</f>
        <v>42.11</v>
      </c>
      <c r="K158" t="s">
        <v>47</v>
      </c>
      <c r="L158" t="s">
        <v>14</v>
      </c>
      <c r="M158" t="str">
        <f t="shared" si="2"/>
        <v>INSERT INTO TNL_RATING.dbo.usps_rate_master VALUES ('USPS', '2/13/2025', '2/13/2026', 12659, 'US', 'Priority Mail Express', 8, 9, 'L', 42.11, 'Wedgewood_USPS_2025', 'NonCubic');</v>
      </c>
    </row>
    <row r="159" spans="1:13" x14ac:dyDescent="0.3">
      <c r="A159" t="s">
        <v>11</v>
      </c>
      <c r="B159" s="1" t="s">
        <v>44</v>
      </c>
      <c r="C159" s="1" t="s">
        <v>45</v>
      </c>
      <c r="D159">
        <v>12659</v>
      </c>
      <c r="E159" t="s">
        <v>12</v>
      </c>
      <c r="F159" t="s">
        <v>43</v>
      </c>
      <c r="G159">
        <v>8</v>
      </c>
      <c r="H159">
        <v>10</v>
      </c>
      <c r="I159" t="s">
        <v>46</v>
      </c>
      <c r="J159" cm="1">
        <f t="array" ref="J159">IFERROR(
    _xlfn.XLOOKUP(G159, 'Wedgewood Pharm-PME-Yr2-2025'!$E$4:$L$4,
        _xlfn.XLOOKUP('Rate Load'!H159, 'Wedgewood Pharm-PME-Yr2-2025'!$D$5:$D$28,
            'Wedgewood Pharm-PME-Yr2-2025'!$E$5:$L$28, 0, 0),
        0, 0),
    _xlfn.XLOOKUP(G159, 'Wedgewood Pharm-PME-Yr2-2025'!$E$4:$L$4,
        _xlfn.XLOOKUP('Rate Load'!L159, 'Wedgewood Pharm-PME-Yr2-2025'!$D$5:$D$28,
            'Wedgewood Pharm-PME-Yr2-2025'!$E$5:$L$28, 0, 0),
        0, 0)
)</f>
        <v>45.14</v>
      </c>
      <c r="K159" t="s">
        <v>47</v>
      </c>
      <c r="L159" t="s">
        <v>14</v>
      </c>
      <c r="M159" t="str">
        <f t="shared" si="2"/>
        <v>INSERT INTO TNL_RATING.dbo.usps_rate_master VALUES ('USPS', '2/13/2025', '2/13/2026', 12659, 'US', 'Priority Mail Express', 8, 10, 'L', 45.14, 'Wedgewood_USPS_2025', 'NonCubic');</v>
      </c>
    </row>
    <row r="160" spans="1:13" x14ac:dyDescent="0.3">
      <c r="A160" t="s">
        <v>11</v>
      </c>
      <c r="B160" s="1" t="s">
        <v>44</v>
      </c>
      <c r="C160" s="1" t="s">
        <v>45</v>
      </c>
      <c r="D160">
        <v>12659</v>
      </c>
      <c r="E160" t="s">
        <v>12</v>
      </c>
      <c r="F160" t="s">
        <v>43</v>
      </c>
      <c r="G160">
        <v>8</v>
      </c>
      <c r="H160">
        <v>11</v>
      </c>
      <c r="I160" t="s">
        <v>46</v>
      </c>
      <c r="J160" cm="1">
        <f t="array" ref="J160">IFERROR(
    _xlfn.XLOOKUP(G160, 'Wedgewood Pharm-PME-Yr2-2025'!$E$4:$L$4,
        _xlfn.XLOOKUP('Rate Load'!H160, 'Wedgewood Pharm-PME-Yr2-2025'!$D$5:$D$28,
            'Wedgewood Pharm-PME-Yr2-2025'!$E$5:$L$28, 0, 0),
        0, 0),
    _xlfn.XLOOKUP(G160, 'Wedgewood Pharm-PME-Yr2-2025'!$E$4:$L$4,
        _xlfn.XLOOKUP('Rate Load'!L160, 'Wedgewood Pharm-PME-Yr2-2025'!$D$5:$D$28,
            'Wedgewood Pharm-PME-Yr2-2025'!$E$5:$L$28, 0, 0),
        0, 0)
)</f>
        <v>47.78</v>
      </c>
      <c r="K160" t="s">
        <v>47</v>
      </c>
      <c r="L160" t="s">
        <v>14</v>
      </c>
      <c r="M160" t="str">
        <f t="shared" si="2"/>
        <v>INSERT INTO TNL_RATING.dbo.usps_rate_master VALUES ('USPS', '2/13/2025', '2/13/2026', 12659, 'US', 'Priority Mail Express', 8, 11, 'L', 47.78, 'Wedgewood_USPS_2025', 'NonCubic');</v>
      </c>
    </row>
    <row r="161" spans="1:13" x14ac:dyDescent="0.3">
      <c r="A161" t="s">
        <v>11</v>
      </c>
      <c r="B161" s="1" t="s">
        <v>44</v>
      </c>
      <c r="C161" s="1" t="s">
        <v>45</v>
      </c>
      <c r="D161">
        <v>12659</v>
      </c>
      <c r="E161" t="s">
        <v>12</v>
      </c>
      <c r="F161" t="s">
        <v>43</v>
      </c>
      <c r="G161">
        <v>8</v>
      </c>
      <c r="H161">
        <v>12</v>
      </c>
      <c r="I161" t="s">
        <v>46</v>
      </c>
      <c r="J161" cm="1">
        <f t="array" ref="J161">IFERROR(
    _xlfn.XLOOKUP(G161, 'Wedgewood Pharm-PME-Yr2-2025'!$E$4:$L$4,
        _xlfn.XLOOKUP('Rate Load'!H161, 'Wedgewood Pharm-PME-Yr2-2025'!$D$5:$D$28,
            'Wedgewood Pharm-PME-Yr2-2025'!$E$5:$L$28, 0, 0),
        0, 0),
    _xlfn.XLOOKUP(G161, 'Wedgewood Pharm-PME-Yr2-2025'!$E$4:$L$4,
        _xlfn.XLOOKUP('Rate Load'!L161, 'Wedgewood Pharm-PME-Yr2-2025'!$D$5:$D$28,
            'Wedgewood Pharm-PME-Yr2-2025'!$E$5:$L$28, 0, 0),
        0, 0)
)</f>
        <v>50.419999999999995</v>
      </c>
      <c r="K161" t="s">
        <v>47</v>
      </c>
      <c r="L161" t="s">
        <v>14</v>
      </c>
      <c r="M161" t="str">
        <f t="shared" si="2"/>
        <v>INSERT INTO TNL_RATING.dbo.usps_rate_master VALUES ('USPS', '2/13/2025', '2/13/2026', 12659, 'US', 'Priority Mail Express', 8, 12, 'L', 50.42, 'Wedgewood_USPS_2025', 'NonCubic');</v>
      </c>
    </row>
    <row r="162" spans="1:13" x14ac:dyDescent="0.3">
      <c r="A162" t="s">
        <v>11</v>
      </c>
      <c r="B162" s="1" t="s">
        <v>44</v>
      </c>
      <c r="C162" s="1" t="s">
        <v>45</v>
      </c>
      <c r="D162">
        <v>12659</v>
      </c>
      <c r="E162" t="s">
        <v>12</v>
      </c>
      <c r="F162" t="s">
        <v>43</v>
      </c>
      <c r="G162">
        <v>8</v>
      </c>
      <c r="H162">
        <v>13</v>
      </c>
      <c r="I162" t="s">
        <v>46</v>
      </c>
      <c r="J162" cm="1">
        <f t="array" ref="J162">IFERROR(
    _xlfn.XLOOKUP(G162, 'Wedgewood Pharm-PME-Yr2-2025'!$E$4:$L$4,
        _xlfn.XLOOKUP('Rate Load'!H162, 'Wedgewood Pharm-PME-Yr2-2025'!$D$5:$D$28,
            'Wedgewood Pharm-PME-Yr2-2025'!$E$5:$L$28, 0, 0),
        0, 0),
    _xlfn.XLOOKUP(G162, 'Wedgewood Pharm-PME-Yr2-2025'!$E$4:$L$4,
        _xlfn.XLOOKUP('Rate Load'!L162, 'Wedgewood Pharm-PME-Yr2-2025'!$D$5:$D$28,
            'Wedgewood Pharm-PME-Yr2-2025'!$E$5:$L$28, 0, 0),
        0, 0)
)</f>
        <v>53.05</v>
      </c>
      <c r="K162" t="s">
        <v>47</v>
      </c>
      <c r="L162" t="s">
        <v>14</v>
      </c>
      <c r="M162" t="str">
        <f t="shared" si="2"/>
        <v>INSERT INTO TNL_RATING.dbo.usps_rate_master VALUES ('USPS', '2/13/2025', '2/13/2026', 12659, 'US', 'Priority Mail Express', 8, 13, 'L', 53.05, 'Wedgewood_USPS_2025', 'NonCubic');</v>
      </c>
    </row>
    <row r="163" spans="1:13" x14ac:dyDescent="0.3">
      <c r="A163" t="s">
        <v>11</v>
      </c>
      <c r="B163" s="1" t="s">
        <v>44</v>
      </c>
      <c r="C163" s="1" t="s">
        <v>45</v>
      </c>
      <c r="D163">
        <v>12659</v>
      </c>
      <c r="E163" t="s">
        <v>12</v>
      </c>
      <c r="F163" t="s">
        <v>43</v>
      </c>
      <c r="G163">
        <v>8</v>
      </c>
      <c r="H163">
        <v>14</v>
      </c>
      <c r="I163" t="s">
        <v>46</v>
      </c>
      <c r="J163" cm="1">
        <f t="array" ref="J163">IFERROR(
    _xlfn.XLOOKUP(G163, 'Wedgewood Pharm-PME-Yr2-2025'!$E$4:$L$4,
        _xlfn.XLOOKUP('Rate Load'!H163, 'Wedgewood Pharm-PME-Yr2-2025'!$D$5:$D$28,
            'Wedgewood Pharm-PME-Yr2-2025'!$E$5:$L$28, 0, 0),
        0, 0),
    _xlfn.XLOOKUP(G163, 'Wedgewood Pharm-PME-Yr2-2025'!$E$4:$L$4,
        _xlfn.XLOOKUP('Rate Load'!L163, 'Wedgewood Pharm-PME-Yr2-2025'!$D$5:$D$28,
            'Wedgewood Pharm-PME-Yr2-2025'!$E$5:$L$28, 0, 0),
        0, 0)
)</f>
        <v>55.68</v>
      </c>
      <c r="K163" t="s">
        <v>47</v>
      </c>
      <c r="L163" t="s">
        <v>14</v>
      </c>
      <c r="M163" t="str">
        <f t="shared" si="2"/>
        <v>INSERT INTO TNL_RATING.dbo.usps_rate_master VALUES ('USPS', '2/13/2025', '2/13/2026', 12659, 'US', 'Priority Mail Express', 8, 14, 'L', 55.68, 'Wedgewood_USPS_2025', 'NonCubic');</v>
      </c>
    </row>
    <row r="164" spans="1:13" x14ac:dyDescent="0.3">
      <c r="A164" t="s">
        <v>11</v>
      </c>
      <c r="B164" s="1" t="s">
        <v>44</v>
      </c>
      <c r="C164" s="1" t="s">
        <v>45</v>
      </c>
      <c r="D164">
        <v>12659</v>
      </c>
      <c r="E164" t="s">
        <v>12</v>
      </c>
      <c r="F164" t="s">
        <v>43</v>
      </c>
      <c r="G164">
        <v>8</v>
      </c>
      <c r="H164">
        <v>15</v>
      </c>
      <c r="I164" t="s">
        <v>46</v>
      </c>
      <c r="J164" cm="1">
        <f t="array" ref="J164">IFERROR(
    _xlfn.XLOOKUP(G164, 'Wedgewood Pharm-PME-Yr2-2025'!$E$4:$L$4,
        _xlfn.XLOOKUP('Rate Load'!H164, 'Wedgewood Pharm-PME-Yr2-2025'!$D$5:$D$28,
            'Wedgewood Pharm-PME-Yr2-2025'!$E$5:$L$28, 0, 0),
        0, 0),
    _xlfn.XLOOKUP(G164, 'Wedgewood Pharm-PME-Yr2-2025'!$E$4:$L$4,
        _xlfn.XLOOKUP('Rate Load'!L164, 'Wedgewood Pharm-PME-Yr2-2025'!$D$5:$D$28,
            'Wedgewood Pharm-PME-Yr2-2025'!$E$5:$L$28, 0, 0),
        0, 0)
)</f>
        <v>58.309999999999995</v>
      </c>
      <c r="K164" t="s">
        <v>47</v>
      </c>
      <c r="L164" t="s">
        <v>14</v>
      </c>
      <c r="M164" t="str">
        <f t="shared" si="2"/>
        <v>INSERT INTO TNL_RATING.dbo.usps_rate_master VALUES ('USPS', '2/13/2025', '2/13/2026', 12659, 'US', 'Priority Mail Express', 8, 15, 'L', 58.31, 'Wedgewood_USPS_2025', 'NonCubic');</v>
      </c>
    </row>
    <row r="165" spans="1:13" x14ac:dyDescent="0.3">
      <c r="A165" t="s">
        <v>11</v>
      </c>
      <c r="B165" s="1" t="s">
        <v>44</v>
      </c>
      <c r="C165" s="1" t="s">
        <v>45</v>
      </c>
      <c r="D165">
        <v>12659</v>
      </c>
      <c r="E165" t="s">
        <v>12</v>
      </c>
      <c r="F165" t="s">
        <v>43</v>
      </c>
      <c r="G165">
        <v>8</v>
      </c>
      <c r="H165">
        <v>16</v>
      </c>
      <c r="I165" t="s">
        <v>46</v>
      </c>
      <c r="J165" cm="1">
        <f t="array" ref="J165">IFERROR(
    _xlfn.XLOOKUP(G165, 'Wedgewood Pharm-PME-Yr2-2025'!$E$4:$L$4,
        _xlfn.XLOOKUP('Rate Load'!H165, 'Wedgewood Pharm-PME-Yr2-2025'!$D$5:$D$28,
            'Wedgewood Pharm-PME-Yr2-2025'!$E$5:$L$28, 0, 0),
        0, 0),
    _xlfn.XLOOKUP(G165, 'Wedgewood Pharm-PME-Yr2-2025'!$E$4:$L$4,
        _xlfn.XLOOKUP('Rate Load'!L165, 'Wedgewood Pharm-PME-Yr2-2025'!$D$5:$D$28,
            'Wedgewood Pharm-PME-Yr2-2025'!$E$5:$L$28, 0, 0),
        0, 0)
)</f>
        <v>60.97</v>
      </c>
      <c r="K165" t="s">
        <v>47</v>
      </c>
      <c r="L165" t="s">
        <v>14</v>
      </c>
      <c r="M165" t="str">
        <f t="shared" si="2"/>
        <v>INSERT INTO TNL_RATING.dbo.usps_rate_master VALUES ('USPS', '2/13/2025', '2/13/2026', 12659, 'US', 'Priority Mail Express', 8, 16, 'L', 60.97, 'Wedgewood_USPS_2025', 'NonCubic');</v>
      </c>
    </row>
    <row r="166" spans="1:13" x14ac:dyDescent="0.3">
      <c r="A166" t="s">
        <v>11</v>
      </c>
      <c r="B166" s="1" t="s">
        <v>44</v>
      </c>
      <c r="C166" s="1" t="s">
        <v>45</v>
      </c>
      <c r="D166">
        <v>12659</v>
      </c>
      <c r="E166" t="s">
        <v>12</v>
      </c>
      <c r="F166" t="s">
        <v>43</v>
      </c>
      <c r="G166">
        <v>8</v>
      </c>
      <c r="H166">
        <v>17</v>
      </c>
      <c r="I166" t="s">
        <v>46</v>
      </c>
      <c r="J166" cm="1">
        <f t="array" ref="J166">IFERROR(
    _xlfn.XLOOKUP(G166, 'Wedgewood Pharm-PME-Yr2-2025'!$E$4:$L$4,
        _xlfn.XLOOKUP('Rate Load'!H166, 'Wedgewood Pharm-PME-Yr2-2025'!$D$5:$D$28,
            'Wedgewood Pharm-PME-Yr2-2025'!$E$5:$L$28, 0, 0),
        0, 0),
    _xlfn.XLOOKUP(G166, 'Wedgewood Pharm-PME-Yr2-2025'!$E$4:$L$4,
        _xlfn.XLOOKUP('Rate Load'!L166, 'Wedgewood Pharm-PME-Yr2-2025'!$D$5:$D$28,
            'Wedgewood Pharm-PME-Yr2-2025'!$E$5:$L$28, 0, 0),
        0, 0)
)</f>
        <v>63.6</v>
      </c>
      <c r="K166" t="s">
        <v>47</v>
      </c>
      <c r="L166" t="s">
        <v>14</v>
      </c>
      <c r="M166" t="str">
        <f t="shared" si="2"/>
        <v>INSERT INTO TNL_RATING.dbo.usps_rate_master VALUES ('USPS', '2/13/2025', '2/13/2026', 12659, 'US', 'Priority Mail Express', 8, 17, 'L', 63.6, 'Wedgewood_USPS_2025', 'NonCubic');</v>
      </c>
    </row>
    <row r="167" spans="1:13" x14ac:dyDescent="0.3">
      <c r="A167" t="s">
        <v>11</v>
      </c>
      <c r="B167" s="1" t="s">
        <v>44</v>
      </c>
      <c r="C167" s="1" t="s">
        <v>45</v>
      </c>
      <c r="D167">
        <v>12659</v>
      </c>
      <c r="E167" t="s">
        <v>12</v>
      </c>
      <c r="F167" t="s">
        <v>43</v>
      </c>
      <c r="G167">
        <v>8</v>
      </c>
      <c r="H167">
        <v>18</v>
      </c>
      <c r="I167" t="s">
        <v>46</v>
      </c>
      <c r="J167" cm="1">
        <f t="array" ref="J167">IFERROR(
    _xlfn.XLOOKUP(G167, 'Wedgewood Pharm-PME-Yr2-2025'!$E$4:$L$4,
        _xlfn.XLOOKUP('Rate Load'!H167, 'Wedgewood Pharm-PME-Yr2-2025'!$D$5:$D$28,
            'Wedgewood Pharm-PME-Yr2-2025'!$E$5:$L$28, 0, 0),
        0, 0),
    _xlfn.XLOOKUP(G167, 'Wedgewood Pharm-PME-Yr2-2025'!$E$4:$L$4,
        _xlfn.XLOOKUP('Rate Load'!L167, 'Wedgewood Pharm-PME-Yr2-2025'!$D$5:$D$28,
            'Wedgewood Pharm-PME-Yr2-2025'!$E$5:$L$28, 0, 0),
        0, 0)
)</f>
        <v>66.23</v>
      </c>
      <c r="K167" t="s">
        <v>47</v>
      </c>
      <c r="L167" t="s">
        <v>14</v>
      </c>
      <c r="M167" t="str">
        <f t="shared" si="2"/>
        <v>INSERT INTO TNL_RATING.dbo.usps_rate_master VALUES ('USPS', '2/13/2025', '2/13/2026', 12659, 'US', 'Priority Mail Express', 8, 18, 'L', 66.23, 'Wedgewood_USPS_2025', 'NonCubic');</v>
      </c>
    </row>
    <row r="168" spans="1:13" x14ac:dyDescent="0.3">
      <c r="A168" t="s">
        <v>11</v>
      </c>
      <c r="B168" s="1" t="s">
        <v>44</v>
      </c>
      <c r="C168" s="1" t="s">
        <v>45</v>
      </c>
      <c r="D168">
        <v>12659</v>
      </c>
      <c r="E168" t="s">
        <v>12</v>
      </c>
      <c r="F168" t="s">
        <v>43</v>
      </c>
      <c r="G168">
        <v>8</v>
      </c>
      <c r="H168">
        <v>19</v>
      </c>
      <c r="I168" t="s">
        <v>46</v>
      </c>
      <c r="J168" cm="1">
        <f t="array" ref="J168">IFERROR(
    _xlfn.XLOOKUP(G168, 'Wedgewood Pharm-PME-Yr2-2025'!$E$4:$L$4,
        _xlfn.XLOOKUP('Rate Load'!H168, 'Wedgewood Pharm-PME-Yr2-2025'!$D$5:$D$28,
            'Wedgewood Pharm-PME-Yr2-2025'!$E$5:$L$28, 0, 0),
        0, 0),
    _xlfn.XLOOKUP(G168, 'Wedgewood Pharm-PME-Yr2-2025'!$E$4:$L$4,
        _xlfn.XLOOKUP('Rate Load'!L168, 'Wedgewood Pharm-PME-Yr2-2025'!$D$5:$D$28,
            'Wedgewood Pharm-PME-Yr2-2025'!$E$5:$L$28, 0, 0),
        0, 0)
)</f>
        <v>68.87</v>
      </c>
      <c r="K168" t="s">
        <v>47</v>
      </c>
      <c r="L168" t="s">
        <v>14</v>
      </c>
      <c r="M168" t="str">
        <f t="shared" si="2"/>
        <v>INSERT INTO TNL_RATING.dbo.usps_rate_master VALUES ('USPS', '2/13/2025', '2/13/2026', 12659, 'US', 'Priority Mail Express', 8, 19, 'L', 68.87, 'Wedgewood_USPS_2025', 'NonCubic');</v>
      </c>
    </row>
    <row r="169" spans="1:13" x14ac:dyDescent="0.3">
      <c r="A169" t="s">
        <v>11</v>
      </c>
      <c r="B169" s="1" t="s">
        <v>44</v>
      </c>
      <c r="C169" s="1" t="s">
        <v>45</v>
      </c>
      <c r="D169">
        <v>12659</v>
      </c>
      <c r="E169" t="s">
        <v>12</v>
      </c>
      <c r="F169" t="s">
        <v>43</v>
      </c>
      <c r="G169">
        <v>8</v>
      </c>
      <c r="H169">
        <v>20</v>
      </c>
      <c r="I169" t="s">
        <v>46</v>
      </c>
      <c r="J169" cm="1">
        <f t="array" ref="J169">IFERROR(
    _xlfn.XLOOKUP(G169, 'Wedgewood Pharm-PME-Yr2-2025'!$E$4:$L$4,
        _xlfn.XLOOKUP('Rate Load'!H169, 'Wedgewood Pharm-PME-Yr2-2025'!$D$5:$D$28,
            'Wedgewood Pharm-PME-Yr2-2025'!$E$5:$L$28, 0, 0),
        0, 0),
    _xlfn.XLOOKUP(G169, 'Wedgewood Pharm-PME-Yr2-2025'!$E$4:$L$4,
        _xlfn.XLOOKUP('Rate Load'!L169, 'Wedgewood Pharm-PME-Yr2-2025'!$D$5:$D$28,
            'Wedgewood Pharm-PME-Yr2-2025'!$E$5:$L$28, 0, 0),
        0, 0)
)</f>
        <v>71.5</v>
      </c>
      <c r="K169" t="s">
        <v>47</v>
      </c>
      <c r="L169" t="s">
        <v>14</v>
      </c>
      <c r="M169" t="str">
        <f t="shared" si="2"/>
        <v>INSERT INTO TNL_RATING.dbo.usps_rate_master VALUES ('USPS', '2/13/2025', '2/13/2026', 12659, 'US', 'Priority Mail Express', 8, 20, 'L', 71.5, 'Wedgewood_USPS_2025', 'NonCubic');</v>
      </c>
    </row>
    <row r="170" spans="1:13" x14ac:dyDescent="0.3">
      <c r="A170" t="s">
        <v>11</v>
      </c>
      <c r="B170" s="1" t="s">
        <v>44</v>
      </c>
      <c r="C170" s="1" t="s">
        <v>45</v>
      </c>
      <c r="D170">
        <v>12659</v>
      </c>
      <c r="E170" t="s">
        <v>12</v>
      </c>
      <c r="F170" t="s">
        <v>43</v>
      </c>
      <c r="G170">
        <v>1</v>
      </c>
      <c r="H170">
        <v>0</v>
      </c>
      <c r="I170" t="s">
        <v>46</v>
      </c>
      <c r="J170" cm="1">
        <f t="array" ref="J170">IFERROR(
    _xlfn.XLOOKUP(G170, 'Wedgewood Pharm-PME-Yr2-2025'!$E$4:$L$4,
        _xlfn.XLOOKUP('Rate Load'!H170, 'Wedgewood Pharm-PME-Yr2-2025'!$D$5:$D$28,
            'Wedgewood Pharm-PME-Yr2-2025'!$E$5:$L$28, 0, 0),
        0, 0),
    _xlfn.XLOOKUP(G170, 'Wedgewood Pharm-PME-Yr2-2025'!$E$4:$L$4,
        _xlfn.XLOOKUP('Rate Load'!L170, 'Wedgewood Pharm-PME-Yr2-2025'!$D$5:$D$28,
            'Wedgewood Pharm-PME-Yr2-2025'!$E$5:$L$28, 0, 0),
        0, 0)
)</f>
        <v>25.060000000000002</v>
      </c>
      <c r="K170" t="s">
        <v>47</v>
      </c>
      <c r="L170" t="s">
        <v>23</v>
      </c>
      <c r="M170" t="str">
        <f t="shared" si="2"/>
        <v>INSERT INTO TNL_RATING.dbo.usps_rate_master VALUES ('USPS', '2/13/2025', '2/13/2026', 12659, 'US', 'Priority Mail Express', 1, 0, 'L', 25.06, 'Wedgewood_USPS_2025', 'Flat-Rate Envelope');</v>
      </c>
    </row>
    <row r="171" spans="1:13" x14ac:dyDescent="0.3">
      <c r="A171" t="s">
        <v>11</v>
      </c>
      <c r="B171" s="1" t="s">
        <v>44</v>
      </c>
      <c r="C171" s="1" t="s">
        <v>45</v>
      </c>
      <c r="D171">
        <v>12659</v>
      </c>
      <c r="E171" t="s">
        <v>12</v>
      </c>
      <c r="F171" t="s">
        <v>43</v>
      </c>
      <c r="G171">
        <v>2</v>
      </c>
      <c r="H171">
        <v>0</v>
      </c>
      <c r="I171" t="s">
        <v>46</v>
      </c>
      <c r="J171" cm="1">
        <f t="array" ref="J171">IFERROR(
    _xlfn.XLOOKUP(G171, 'Wedgewood Pharm-PME-Yr2-2025'!$E$4:$L$4,
        _xlfn.XLOOKUP('Rate Load'!H171, 'Wedgewood Pharm-PME-Yr2-2025'!$D$5:$D$28,
            'Wedgewood Pharm-PME-Yr2-2025'!$E$5:$L$28, 0, 0),
        0, 0),
    _xlfn.XLOOKUP(G171, 'Wedgewood Pharm-PME-Yr2-2025'!$E$4:$L$4,
        _xlfn.XLOOKUP('Rate Load'!L171, 'Wedgewood Pharm-PME-Yr2-2025'!$D$5:$D$28,
            'Wedgewood Pharm-PME-Yr2-2025'!$E$5:$L$28, 0, 0),
        0, 0)
)</f>
        <v>25.060000000000002</v>
      </c>
      <c r="K171" t="s">
        <v>47</v>
      </c>
      <c r="L171" t="s">
        <v>23</v>
      </c>
      <c r="M171" t="str">
        <f t="shared" si="2"/>
        <v>INSERT INTO TNL_RATING.dbo.usps_rate_master VALUES ('USPS', '2/13/2025', '2/13/2026', 12659, 'US', 'Priority Mail Express', 2, 0, 'L', 25.06, 'Wedgewood_USPS_2025', 'Flat-Rate Envelope');</v>
      </c>
    </row>
    <row r="172" spans="1:13" x14ac:dyDescent="0.3">
      <c r="A172" t="s">
        <v>11</v>
      </c>
      <c r="B172" s="1" t="s">
        <v>44</v>
      </c>
      <c r="C172" s="1" t="s">
        <v>45</v>
      </c>
      <c r="D172">
        <v>12659</v>
      </c>
      <c r="E172" t="s">
        <v>12</v>
      </c>
      <c r="F172" t="s">
        <v>43</v>
      </c>
      <c r="G172">
        <v>3</v>
      </c>
      <c r="H172">
        <v>0</v>
      </c>
      <c r="I172" t="s">
        <v>46</v>
      </c>
      <c r="J172" cm="1">
        <f t="array" ref="J172">IFERROR(
    _xlfn.XLOOKUP(G172, 'Wedgewood Pharm-PME-Yr2-2025'!$E$4:$L$4,
        _xlfn.XLOOKUP('Rate Load'!H172, 'Wedgewood Pharm-PME-Yr2-2025'!$D$5:$D$28,
            'Wedgewood Pharm-PME-Yr2-2025'!$E$5:$L$28, 0, 0),
        0, 0),
    _xlfn.XLOOKUP(G172, 'Wedgewood Pharm-PME-Yr2-2025'!$E$4:$L$4,
        _xlfn.XLOOKUP('Rate Load'!L172, 'Wedgewood Pharm-PME-Yr2-2025'!$D$5:$D$28,
            'Wedgewood Pharm-PME-Yr2-2025'!$E$5:$L$28, 0, 0),
        0, 0)
)</f>
        <v>25.060000000000002</v>
      </c>
      <c r="K172" t="s">
        <v>47</v>
      </c>
      <c r="L172" t="s">
        <v>23</v>
      </c>
      <c r="M172" t="str">
        <f t="shared" si="2"/>
        <v>INSERT INTO TNL_RATING.dbo.usps_rate_master VALUES ('USPS', '2/13/2025', '2/13/2026', 12659, 'US', 'Priority Mail Express', 3, 0, 'L', 25.06, 'Wedgewood_USPS_2025', 'Flat-Rate Envelope');</v>
      </c>
    </row>
    <row r="173" spans="1:13" x14ac:dyDescent="0.3">
      <c r="A173" t="s">
        <v>11</v>
      </c>
      <c r="B173" s="1" t="s">
        <v>44</v>
      </c>
      <c r="C173" s="1" t="s">
        <v>45</v>
      </c>
      <c r="D173">
        <v>12659</v>
      </c>
      <c r="E173" t="s">
        <v>12</v>
      </c>
      <c r="F173" t="s">
        <v>43</v>
      </c>
      <c r="G173">
        <v>4</v>
      </c>
      <c r="H173">
        <v>0</v>
      </c>
      <c r="I173" t="s">
        <v>46</v>
      </c>
      <c r="J173" cm="1">
        <f t="array" ref="J173">IFERROR(
    _xlfn.XLOOKUP(G173, 'Wedgewood Pharm-PME-Yr2-2025'!$E$4:$L$4,
        _xlfn.XLOOKUP('Rate Load'!H173, 'Wedgewood Pharm-PME-Yr2-2025'!$D$5:$D$28,
            'Wedgewood Pharm-PME-Yr2-2025'!$E$5:$L$28, 0, 0),
        0, 0),
    _xlfn.XLOOKUP(G173, 'Wedgewood Pharm-PME-Yr2-2025'!$E$4:$L$4,
        _xlfn.XLOOKUP('Rate Load'!L173, 'Wedgewood Pharm-PME-Yr2-2025'!$D$5:$D$28,
            'Wedgewood Pharm-PME-Yr2-2025'!$E$5:$L$28, 0, 0),
        0, 0)
)</f>
        <v>25.060000000000002</v>
      </c>
      <c r="K173" t="s">
        <v>47</v>
      </c>
      <c r="L173" t="s">
        <v>23</v>
      </c>
      <c r="M173" t="str">
        <f t="shared" si="2"/>
        <v>INSERT INTO TNL_RATING.dbo.usps_rate_master VALUES ('USPS', '2/13/2025', '2/13/2026', 12659, 'US', 'Priority Mail Express', 4, 0, 'L', 25.06, 'Wedgewood_USPS_2025', 'Flat-Rate Envelope');</v>
      </c>
    </row>
    <row r="174" spans="1:13" x14ac:dyDescent="0.3">
      <c r="A174" t="s">
        <v>11</v>
      </c>
      <c r="B174" s="1" t="s">
        <v>44</v>
      </c>
      <c r="C174" s="1" t="s">
        <v>45</v>
      </c>
      <c r="D174">
        <v>12659</v>
      </c>
      <c r="E174" t="s">
        <v>12</v>
      </c>
      <c r="F174" t="s">
        <v>43</v>
      </c>
      <c r="G174">
        <v>5</v>
      </c>
      <c r="H174">
        <v>0</v>
      </c>
      <c r="I174" t="s">
        <v>46</v>
      </c>
      <c r="J174" cm="1">
        <f t="array" ref="J174">IFERROR(
    _xlfn.XLOOKUP(G174, 'Wedgewood Pharm-PME-Yr2-2025'!$E$4:$L$4,
        _xlfn.XLOOKUP('Rate Load'!H174, 'Wedgewood Pharm-PME-Yr2-2025'!$D$5:$D$28,
            'Wedgewood Pharm-PME-Yr2-2025'!$E$5:$L$28, 0, 0),
        0, 0),
    _xlfn.XLOOKUP(G174, 'Wedgewood Pharm-PME-Yr2-2025'!$E$4:$L$4,
        _xlfn.XLOOKUP('Rate Load'!L174, 'Wedgewood Pharm-PME-Yr2-2025'!$D$5:$D$28,
            'Wedgewood Pharm-PME-Yr2-2025'!$E$5:$L$28, 0, 0),
        0, 0)
)</f>
        <v>25.060000000000002</v>
      </c>
      <c r="K174" t="s">
        <v>47</v>
      </c>
      <c r="L174" t="s">
        <v>23</v>
      </c>
      <c r="M174" t="str">
        <f t="shared" si="2"/>
        <v>INSERT INTO TNL_RATING.dbo.usps_rate_master VALUES ('USPS', '2/13/2025', '2/13/2026', 12659, 'US', 'Priority Mail Express', 5, 0, 'L', 25.06, 'Wedgewood_USPS_2025', 'Flat-Rate Envelope');</v>
      </c>
    </row>
    <row r="175" spans="1:13" x14ac:dyDescent="0.3">
      <c r="A175" t="s">
        <v>11</v>
      </c>
      <c r="B175" s="1" t="s">
        <v>44</v>
      </c>
      <c r="C175" s="1" t="s">
        <v>45</v>
      </c>
      <c r="D175">
        <v>12659</v>
      </c>
      <c r="E175" t="s">
        <v>12</v>
      </c>
      <c r="F175" t="s">
        <v>43</v>
      </c>
      <c r="G175">
        <v>6</v>
      </c>
      <c r="H175">
        <v>0</v>
      </c>
      <c r="I175" t="s">
        <v>46</v>
      </c>
      <c r="J175" cm="1">
        <f t="array" ref="J175">IFERROR(
    _xlfn.XLOOKUP(G175, 'Wedgewood Pharm-PME-Yr2-2025'!$E$4:$L$4,
        _xlfn.XLOOKUP('Rate Load'!H175, 'Wedgewood Pharm-PME-Yr2-2025'!$D$5:$D$28,
            'Wedgewood Pharm-PME-Yr2-2025'!$E$5:$L$28, 0, 0),
        0, 0),
    _xlfn.XLOOKUP(G175, 'Wedgewood Pharm-PME-Yr2-2025'!$E$4:$L$4,
        _xlfn.XLOOKUP('Rate Load'!L175, 'Wedgewood Pharm-PME-Yr2-2025'!$D$5:$D$28,
            'Wedgewood Pharm-PME-Yr2-2025'!$E$5:$L$28, 0, 0),
        0, 0)
)</f>
        <v>25.060000000000002</v>
      </c>
      <c r="K175" t="s">
        <v>47</v>
      </c>
      <c r="L175" t="s">
        <v>23</v>
      </c>
      <c r="M175" t="str">
        <f t="shared" si="2"/>
        <v>INSERT INTO TNL_RATING.dbo.usps_rate_master VALUES ('USPS', '2/13/2025', '2/13/2026', 12659, 'US', 'Priority Mail Express', 6, 0, 'L', 25.06, 'Wedgewood_USPS_2025', 'Flat-Rate Envelope');</v>
      </c>
    </row>
    <row r="176" spans="1:13" x14ac:dyDescent="0.3">
      <c r="A176" t="s">
        <v>11</v>
      </c>
      <c r="B176" s="1" t="s">
        <v>44</v>
      </c>
      <c r="C176" s="1" t="s">
        <v>45</v>
      </c>
      <c r="D176">
        <v>12659</v>
      </c>
      <c r="E176" t="s">
        <v>12</v>
      </c>
      <c r="F176" t="s">
        <v>43</v>
      </c>
      <c r="G176">
        <v>7</v>
      </c>
      <c r="H176">
        <v>0</v>
      </c>
      <c r="I176" t="s">
        <v>46</v>
      </c>
      <c r="J176" cm="1">
        <f t="array" ref="J176">IFERROR(
    _xlfn.XLOOKUP(G176, 'Wedgewood Pharm-PME-Yr2-2025'!$E$4:$L$4,
        _xlfn.XLOOKUP('Rate Load'!H176, 'Wedgewood Pharm-PME-Yr2-2025'!$D$5:$D$28,
            'Wedgewood Pharm-PME-Yr2-2025'!$E$5:$L$28, 0, 0),
        0, 0),
    _xlfn.XLOOKUP(G176, 'Wedgewood Pharm-PME-Yr2-2025'!$E$4:$L$4,
        _xlfn.XLOOKUP('Rate Load'!L176, 'Wedgewood Pharm-PME-Yr2-2025'!$D$5:$D$28,
            'Wedgewood Pharm-PME-Yr2-2025'!$E$5:$L$28, 0, 0),
        0, 0)
)</f>
        <v>25.060000000000002</v>
      </c>
      <c r="K176" t="s">
        <v>47</v>
      </c>
      <c r="L176" t="s">
        <v>23</v>
      </c>
      <c r="M176" t="str">
        <f t="shared" si="2"/>
        <v>INSERT INTO TNL_RATING.dbo.usps_rate_master VALUES ('USPS', '2/13/2025', '2/13/2026', 12659, 'US', 'Priority Mail Express', 7, 0, 'L', 25.06, 'Wedgewood_USPS_2025', 'Flat-Rate Envelope');</v>
      </c>
    </row>
    <row r="177" spans="1:13" x14ac:dyDescent="0.3">
      <c r="A177" t="s">
        <v>11</v>
      </c>
      <c r="B177" s="1" t="s">
        <v>44</v>
      </c>
      <c r="C177" s="1" t="s">
        <v>45</v>
      </c>
      <c r="D177">
        <v>12659</v>
      </c>
      <c r="E177" t="s">
        <v>12</v>
      </c>
      <c r="F177" t="s">
        <v>43</v>
      </c>
      <c r="G177">
        <v>8</v>
      </c>
      <c r="H177">
        <v>0</v>
      </c>
      <c r="I177" t="s">
        <v>46</v>
      </c>
      <c r="J177" cm="1">
        <f t="array" ref="J177">IFERROR(
    _xlfn.XLOOKUP(G177, 'Wedgewood Pharm-PME-Yr2-2025'!$E$4:$L$4,
        _xlfn.XLOOKUP('Rate Load'!H177, 'Wedgewood Pharm-PME-Yr2-2025'!$D$5:$D$28,
            'Wedgewood Pharm-PME-Yr2-2025'!$E$5:$L$28, 0, 0),
        0, 0),
    _xlfn.XLOOKUP(G177, 'Wedgewood Pharm-PME-Yr2-2025'!$E$4:$L$4,
        _xlfn.XLOOKUP('Rate Load'!L177, 'Wedgewood Pharm-PME-Yr2-2025'!$D$5:$D$28,
            'Wedgewood Pharm-PME-Yr2-2025'!$E$5:$L$28, 0, 0),
        0, 0)
)</f>
        <v>25.060000000000002</v>
      </c>
      <c r="K177" t="s">
        <v>47</v>
      </c>
      <c r="L177" t="s">
        <v>23</v>
      </c>
      <c r="M177" t="str">
        <f t="shared" si="2"/>
        <v>INSERT INTO TNL_RATING.dbo.usps_rate_master VALUES ('USPS', '2/13/2025', '2/13/2026', 12659, 'US', 'Priority Mail Express', 8, 0, 'L', 25.06, 'Wedgewood_USPS_2025', 'Flat-Rate Envelope');</v>
      </c>
    </row>
    <row r="178" spans="1:13" x14ac:dyDescent="0.3">
      <c r="A178" t="s">
        <v>11</v>
      </c>
      <c r="B178" s="1" t="s">
        <v>44</v>
      </c>
      <c r="C178" s="1" t="s">
        <v>45</v>
      </c>
      <c r="D178">
        <v>12659</v>
      </c>
      <c r="E178" t="s">
        <v>12</v>
      </c>
      <c r="F178" t="s">
        <v>43</v>
      </c>
      <c r="G178">
        <v>1</v>
      </c>
      <c r="H178">
        <v>0</v>
      </c>
      <c r="I178" t="s">
        <v>46</v>
      </c>
      <c r="J178" cm="1">
        <f t="array" ref="J178">IFERROR(
    _xlfn.XLOOKUP(G178, 'Wedgewood Pharm-PME-Yr2-2025'!$E$4:$L$4,
        _xlfn.XLOOKUP('Rate Load'!H178, 'Wedgewood Pharm-PME-Yr2-2025'!$D$5:$D$28,
            'Wedgewood Pharm-PME-Yr2-2025'!$E$5:$L$28, 0, 0),
        0, 0),
    _xlfn.XLOOKUP(G178, 'Wedgewood Pharm-PME-Yr2-2025'!$E$4:$L$4,
        _xlfn.XLOOKUP('Rate Load'!L178, 'Wedgewood Pharm-PME-Yr2-2025'!$D$5:$D$28,
            'Wedgewood Pharm-PME-Yr2-2025'!$E$5:$L$28, 0, 0),
        0, 0)
)</f>
        <v>25.32</v>
      </c>
      <c r="K178" t="s">
        <v>47</v>
      </c>
      <c r="L178" t="s">
        <v>24</v>
      </c>
      <c r="M178" t="str">
        <f t="shared" si="2"/>
        <v>INSERT INTO TNL_RATING.dbo.usps_rate_master VALUES ('USPS', '2/13/2025', '2/13/2026', 12659, 'US', 'Priority Mail Express', 1, 0, 'L', 25.32, 'Wedgewood_USPS_2025', 'Legal Flat-Rate Envelope');</v>
      </c>
    </row>
    <row r="179" spans="1:13" x14ac:dyDescent="0.3">
      <c r="A179" t="s">
        <v>11</v>
      </c>
      <c r="B179" s="1" t="s">
        <v>44</v>
      </c>
      <c r="C179" s="1" t="s">
        <v>45</v>
      </c>
      <c r="D179">
        <v>12659</v>
      </c>
      <c r="E179" t="s">
        <v>12</v>
      </c>
      <c r="F179" t="s">
        <v>43</v>
      </c>
      <c r="G179">
        <v>2</v>
      </c>
      <c r="H179">
        <v>0</v>
      </c>
      <c r="I179" t="s">
        <v>46</v>
      </c>
      <c r="J179" cm="1">
        <f t="array" ref="J179">IFERROR(
    _xlfn.XLOOKUP(G179, 'Wedgewood Pharm-PME-Yr2-2025'!$E$4:$L$4,
        _xlfn.XLOOKUP('Rate Load'!H179, 'Wedgewood Pharm-PME-Yr2-2025'!$D$5:$D$28,
            'Wedgewood Pharm-PME-Yr2-2025'!$E$5:$L$28, 0, 0),
        0, 0),
    _xlfn.XLOOKUP(G179, 'Wedgewood Pharm-PME-Yr2-2025'!$E$4:$L$4,
        _xlfn.XLOOKUP('Rate Load'!L179, 'Wedgewood Pharm-PME-Yr2-2025'!$D$5:$D$28,
            'Wedgewood Pharm-PME-Yr2-2025'!$E$5:$L$28, 0, 0),
        0, 0)
)</f>
        <v>25.32</v>
      </c>
      <c r="K179" t="s">
        <v>47</v>
      </c>
      <c r="L179" t="s">
        <v>24</v>
      </c>
      <c r="M179" t="str">
        <f t="shared" si="2"/>
        <v>INSERT INTO TNL_RATING.dbo.usps_rate_master VALUES ('USPS', '2/13/2025', '2/13/2026', 12659, 'US', 'Priority Mail Express', 2, 0, 'L', 25.32, 'Wedgewood_USPS_2025', 'Legal Flat-Rate Envelope');</v>
      </c>
    </row>
    <row r="180" spans="1:13" x14ac:dyDescent="0.3">
      <c r="A180" t="s">
        <v>11</v>
      </c>
      <c r="B180" s="1" t="s">
        <v>44</v>
      </c>
      <c r="C180" s="1" t="s">
        <v>45</v>
      </c>
      <c r="D180">
        <v>12659</v>
      </c>
      <c r="E180" t="s">
        <v>12</v>
      </c>
      <c r="F180" t="s">
        <v>43</v>
      </c>
      <c r="G180">
        <v>3</v>
      </c>
      <c r="H180">
        <v>0</v>
      </c>
      <c r="I180" t="s">
        <v>46</v>
      </c>
      <c r="J180" cm="1">
        <f t="array" ref="J180">IFERROR(
    _xlfn.XLOOKUP(G180, 'Wedgewood Pharm-PME-Yr2-2025'!$E$4:$L$4,
        _xlfn.XLOOKUP('Rate Load'!H180, 'Wedgewood Pharm-PME-Yr2-2025'!$D$5:$D$28,
            'Wedgewood Pharm-PME-Yr2-2025'!$E$5:$L$28, 0, 0),
        0, 0),
    _xlfn.XLOOKUP(G180, 'Wedgewood Pharm-PME-Yr2-2025'!$E$4:$L$4,
        _xlfn.XLOOKUP('Rate Load'!L180, 'Wedgewood Pharm-PME-Yr2-2025'!$D$5:$D$28,
            'Wedgewood Pharm-PME-Yr2-2025'!$E$5:$L$28, 0, 0),
        0, 0)
)</f>
        <v>25.32</v>
      </c>
      <c r="K180" t="s">
        <v>47</v>
      </c>
      <c r="L180" t="s">
        <v>24</v>
      </c>
      <c r="M180" t="str">
        <f t="shared" si="2"/>
        <v>INSERT INTO TNL_RATING.dbo.usps_rate_master VALUES ('USPS', '2/13/2025', '2/13/2026', 12659, 'US', 'Priority Mail Express', 3, 0, 'L', 25.32, 'Wedgewood_USPS_2025', 'Legal Flat-Rate Envelope');</v>
      </c>
    </row>
    <row r="181" spans="1:13" x14ac:dyDescent="0.3">
      <c r="A181" t="s">
        <v>11</v>
      </c>
      <c r="B181" s="1" t="s">
        <v>44</v>
      </c>
      <c r="C181" s="1" t="s">
        <v>45</v>
      </c>
      <c r="D181">
        <v>12659</v>
      </c>
      <c r="E181" t="s">
        <v>12</v>
      </c>
      <c r="F181" t="s">
        <v>43</v>
      </c>
      <c r="G181">
        <v>4</v>
      </c>
      <c r="H181">
        <v>0</v>
      </c>
      <c r="I181" t="s">
        <v>46</v>
      </c>
      <c r="J181" cm="1">
        <f t="array" ref="J181">IFERROR(
    _xlfn.XLOOKUP(G181, 'Wedgewood Pharm-PME-Yr2-2025'!$E$4:$L$4,
        _xlfn.XLOOKUP('Rate Load'!H181, 'Wedgewood Pharm-PME-Yr2-2025'!$D$5:$D$28,
            'Wedgewood Pharm-PME-Yr2-2025'!$E$5:$L$28, 0, 0),
        0, 0),
    _xlfn.XLOOKUP(G181, 'Wedgewood Pharm-PME-Yr2-2025'!$E$4:$L$4,
        _xlfn.XLOOKUP('Rate Load'!L181, 'Wedgewood Pharm-PME-Yr2-2025'!$D$5:$D$28,
            'Wedgewood Pharm-PME-Yr2-2025'!$E$5:$L$28, 0, 0),
        0, 0)
)</f>
        <v>25.32</v>
      </c>
      <c r="K181" t="s">
        <v>47</v>
      </c>
      <c r="L181" t="s">
        <v>24</v>
      </c>
      <c r="M181" t="str">
        <f t="shared" si="2"/>
        <v>INSERT INTO TNL_RATING.dbo.usps_rate_master VALUES ('USPS', '2/13/2025', '2/13/2026', 12659, 'US', 'Priority Mail Express', 4, 0, 'L', 25.32, 'Wedgewood_USPS_2025', 'Legal Flat-Rate Envelope');</v>
      </c>
    </row>
    <row r="182" spans="1:13" x14ac:dyDescent="0.3">
      <c r="A182" t="s">
        <v>11</v>
      </c>
      <c r="B182" s="1" t="s">
        <v>44</v>
      </c>
      <c r="C182" s="1" t="s">
        <v>45</v>
      </c>
      <c r="D182">
        <v>12659</v>
      </c>
      <c r="E182" t="s">
        <v>12</v>
      </c>
      <c r="F182" t="s">
        <v>43</v>
      </c>
      <c r="G182">
        <v>5</v>
      </c>
      <c r="H182">
        <v>0</v>
      </c>
      <c r="I182" t="s">
        <v>46</v>
      </c>
      <c r="J182" cm="1">
        <f t="array" ref="J182">IFERROR(
    _xlfn.XLOOKUP(G182, 'Wedgewood Pharm-PME-Yr2-2025'!$E$4:$L$4,
        _xlfn.XLOOKUP('Rate Load'!H182, 'Wedgewood Pharm-PME-Yr2-2025'!$D$5:$D$28,
            'Wedgewood Pharm-PME-Yr2-2025'!$E$5:$L$28, 0, 0),
        0, 0),
    _xlfn.XLOOKUP(G182, 'Wedgewood Pharm-PME-Yr2-2025'!$E$4:$L$4,
        _xlfn.XLOOKUP('Rate Load'!L182, 'Wedgewood Pharm-PME-Yr2-2025'!$D$5:$D$28,
            'Wedgewood Pharm-PME-Yr2-2025'!$E$5:$L$28, 0, 0),
        0, 0)
)</f>
        <v>25.32</v>
      </c>
      <c r="K182" t="s">
        <v>47</v>
      </c>
      <c r="L182" t="s">
        <v>24</v>
      </c>
      <c r="M182" t="str">
        <f t="shared" si="2"/>
        <v>INSERT INTO TNL_RATING.dbo.usps_rate_master VALUES ('USPS', '2/13/2025', '2/13/2026', 12659, 'US', 'Priority Mail Express', 5, 0, 'L', 25.32, 'Wedgewood_USPS_2025', 'Legal Flat-Rate Envelope');</v>
      </c>
    </row>
    <row r="183" spans="1:13" x14ac:dyDescent="0.3">
      <c r="A183" t="s">
        <v>11</v>
      </c>
      <c r="B183" s="1" t="s">
        <v>44</v>
      </c>
      <c r="C183" s="1" t="s">
        <v>45</v>
      </c>
      <c r="D183">
        <v>12659</v>
      </c>
      <c r="E183" t="s">
        <v>12</v>
      </c>
      <c r="F183" t="s">
        <v>43</v>
      </c>
      <c r="G183">
        <v>6</v>
      </c>
      <c r="H183">
        <v>0</v>
      </c>
      <c r="I183" t="s">
        <v>46</v>
      </c>
      <c r="J183" cm="1">
        <f t="array" ref="J183">IFERROR(
    _xlfn.XLOOKUP(G183, 'Wedgewood Pharm-PME-Yr2-2025'!$E$4:$L$4,
        _xlfn.XLOOKUP('Rate Load'!H183, 'Wedgewood Pharm-PME-Yr2-2025'!$D$5:$D$28,
            'Wedgewood Pharm-PME-Yr2-2025'!$E$5:$L$28, 0, 0),
        0, 0),
    _xlfn.XLOOKUP(G183, 'Wedgewood Pharm-PME-Yr2-2025'!$E$4:$L$4,
        _xlfn.XLOOKUP('Rate Load'!L183, 'Wedgewood Pharm-PME-Yr2-2025'!$D$5:$D$28,
            'Wedgewood Pharm-PME-Yr2-2025'!$E$5:$L$28, 0, 0),
        0, 0)
)</f>
        <v>25.32</v>
      </c>
      <c r="K183" t="s">
        <v>47</v>
      </c>
      <c r="L183" t="s">
        <v>24</v>
      </c>
      <c r="M183" t="str">
        <f t="shared" si="2"/>
        <v>INSERT INTO TNL_RATING.dbo.usps_rate_master VALUES ('USPS', '2/13/2025', '2/13/2026', 12659, 'US', 'Priority Mail Express', 6, 0, 'L', 25.32, 'Wedgewood_USPS_2025', 'Legal Flat-Rate Envelope');</v>
      </c>
    </row>
    <row r="184" spans="1:13" x14ac:dyDescent="0.3">
      <c r="A184" t="s">
        <v>11</v>
      </c>
      <c r="B184" s="1" t="s">
        <v>44</v>
      </c>
      <c r="C184" s="1" t="s">
        <v>45</v>
      </c>
      <c r="D184">
        <v>12659</v>
      </c>
      <c r="E184" t="s">
        <v>12</v>
      </c>
      <c r="F184" t="s">
        <v>43</v>
      </c>
      <c r="G184">
        <v>7</v>
      </c>
      <c r="H184">
        <v>0</v>
      </c>
      <c r="I184" t="s">
        <v>46</v>
      </c>
      <c r="J184" cm="1">
        <f t="array" ref="J184">IFERROR(
    _xlfn.XLOOKUP(G184, 'Wedgewood Pharm-PME-Yr2-2025'!$E$4:$L$4,
        _xlfn.XLOOKUP('Rate Load'!H184, 'Wedgewood Pharm-PME-Yr2-2025'!$D$5:$D$28,
            'Wedgewood Pharm-PME-Yr2-2025'!$E$5:$L$28, 0, 0),
        0, 0),
    _xlfn.XLOOKUP(G184, 'Wedgewood Pharm-PME-Yr2-2025'!$E$4:$L$4,
        _xlfn.XLOOKUP('Rate Load'!L184, 'Wedgewood Pharm-PME-Yr2-2025'!$D$5:$D$28,
            'Wedgewood Pharm-PME-Yr2-2025'!$E$5:$L$28, 0, 0),
        0, 0)
)</f>
        <v>25.32</v>
      </c>
      <c r="K184" t="s">
        <v>47</v>
      </c>
      <c r="L184" t="s">
        <v>24</v>
      </c>
      <c r="M184" t="str">
        <f t="shared" si="2"/>
        <v>INSERT INTO TNL_RATING.dbo.usps_rate_master VALUES ('USPS', '2/13/2025', '2/13/2026', 12659, 'US', 'Priority Mail Express', 7, 0, 'L', 25.32, 'Wedgewood_USPS_2025', 'Legal Flat-Rate Envelope');</v>
      </c>
    </row>
    <row r="185" spans="1:13" x14ac:dyDescent="0.3">
      <c r="A185" t="s">
        <v>11</v>
      </c>
      <c r="B185" s="1" t="s">
        <v>44</v>
      </c>
      <c r="C185" s="1" t="s">
        <v>45</v>
      </c>
      <c r="D185">
        <v>12659</v>
      </c>
      <c r="E185" t="s">
        <v>12</v>
      </c>
      <c r="F185" t="s">
        <v>43</v>
      </c>
      <c r="G185">
        <v>8</v>
      </c>
      <c r="H185">
        <v>0</v>
      </c>
      <c r="I185" t="s">
        <v>46</v>
      </c>
      <c r="J185" cm="1">
        <f t="array" ref="J185">IFERROR(
    _xlfn.XLOOKUP(G185, 'Wedgewood Pharm-PME-Yr2-2025'!$E$4:$L$4,
        _xlfn.XLOOKUP('Rate Load'!H185, 'Wedgewood Pharm-PME-Yr2-2025'!$D$5:$D$28,
            'Wedgewood Pharm-PME-Yr2-2025'!$E$5:$L$28, 0, 0),
        0, 0),
    _xlfn.XLOOKUP(G185, 'Wedgewood Pharm-PME-Yr2-2025'!$E$4:$L$4,
        _xlfn.XLOOKUP('Rate Load'!L185, 'Wedgewood Pharm-PME-Yr2-2025'!$D$5:$D$28,
            'Wedgewood Pharm-PME-Yr2-2025'!$E$5:$L$28, 0, 0),
        0, 0)
)</f>
        <v>25.32</v>
      </c>
      <c r="K185" t="s">
        <v>47</v>
      </c>
      <c r="L185" t="s">
        <v>24</v>
      </c>
      <c r="M185" t="str">
        <f t="shared" si="2"/>
        <v>INSERT INTO TNL_RATING.dbo.usps_rate_master VALUES ('USPS', '2/13/2025', '2/13/2026', 12659, 'US', 'Priority Mail Express', 8, 0, 'L', 25.32, 'Wedgewood_USPS_2025', 'Legal Flat-Rate Envelope');</v>
      </c>
    </row>
    <row r="186" spans="1:13" x14ac:dyDescent="0.3">
      <c r="A186" t="s">
        <v>11</v>
      </c>
      <c r="B186" s="1" t="s">
        <v>44</v>
      </c>
      <c r="C186" s="1" t="s">
        <v>45</v>
      </c>
      <c r="D186">
        <v>12659</v>
      </c>
      <c r="E186" t="s">
        <v>12</v>
      </c>
      <c r="F186" t="s">
        <v>43</v>
      </c>
      <c r="G186">
        <v>1</v>
      </c>
      <c r="H186">
        <v>0</v>
      </c>
      <c r="I186" t="s">
        <v>46</v>
      </c>
      <c r="J186" cm="1">
        <f t="array" ref="J186">IFERROR(
    _xlfn.XLOOKUP(G186, 'Wedgewood Pharm-PME-Yr2-2025'!$E$4:$L$4,
        _xlfn.XLOOKUP('Rate Load'!H186, 'Wedgewood Pharm-PME-Yr2-2025'!$D$5:$D$28,
            'Wedgewood Pharm-PME-Yr2-2025'!$E$5:$L$28, 0, 0),
        0, 0),
    _xlfn.XLOOKUP(G186, 'Wedgewood Pharm-PME-Yr2-2025'!$E$4:$L$4,
        _xlfn.XLOOKUP('Rate Load'!L186, 'Wedgewood Pharm-PME-Yr2-2025'!$D$5:$D$28,
            'Wedgewood Pharm-PME-Yr2-2025'!$E$5:$L$28, 0, 0),
        0, 0)
)</f>
        <v>25.520000000000003</v>
      </c>
      <c r="K186" t="s">
        <v>47</v>
      </c>
      <c r="L186" t="s">
        <v>25</v>
      </c>
      <c r="M186" t="str">
        <f t="shared" si="2"/>
        <v>INSERT INTO TNL_RATING.dbo.usps_rate_master VALUES ('USPS', '2/13/2025', '2/13/2026', 12659, 'US', 'Priority Mail Express', 1, 0, 'L', 25.52, 'Wedgewood_USPS_2025', 'Padded Flat-Rate Envelope');</v>
      </c>
    </row>
    <row r="187" spans="1:13" x14ac:dyDescent="0.3">
      <c r="A187" t="s">
        <v>11</v>
      </c>
      <c r="B187" s="1" t="s">
        <v>44</v>
      </c>
      <c r="C187" s="1" t="s">
        <v>45</v>
      </c>
      <c r="D187">
        <v>12659</v>
      </c>
      <c r="E187" t="s">
        <v>12</v>
      </c>
      <c r="F187" t="s">
        <v>43</v>
      </c>
      <c r="G187">
        <v>2</v>
      </c>
      <c r="H187">
        <v>0</v>
      </c>
      <c r="I187" t="s">
        <v>46</v>
      </c>
      <c r="J187" cm="1">
        <f t="array" ref="J187">IFERROR(
    _xlfn.XLOOKUP(G187, 'Wedgewood Pharm-PME-Yr2-2025'!$E$4:$L$4,
        _xlfn.XLOOKUP('Rate Load'!H187, 'Wedgewood Pharm-PME-Yr2-2025'!$D$5:$D$28,
            'Wedgewood Pharm-PME-Yr2-2025'!$E$5:$L$28, 0, 0),
        0, 0),
    _xlfn.XLOOKUP(G187, 'Wedgewood Pharm-PME-Yr2-2025'!$E$4:$L$4,
        _xlfn.XLOOKUP('Rate Load'!L187, 'Wedgewood Pharm-PME-Yr2-2025'!$D$5:$D$28,
            'Wedgewood Pharm-PME-Yr2-2025'!$E$5:$L$28, 0, 0),
        0, 0)
)</f>
        <v>25.520000000000003</v>
      </c>
      <c r="K187" t="s">
        <v>47</v>
      </c>
      <c r="L187" t="s">
        <v>25</v>
      </c>
      <c r="M187" t="str">
        <f t="shared" si="2"/>
        <v>INSERT INTO TNL_RATING.dbo.usps_rate_master VALUES ('USPS', '2/13/2025', '2/13/2026', 12659, 'US', 'Priority Mail Express', 2, 0, 'L', 25.52, 'Wedgewood_USPS_2025', 'Padded Flat-Rate Envelope');</v>
      </c>
    </row>
    <row r="188" spans="1:13" x14ac:dyDescent="0.3">
      <c r="A188" t="s">
        <v>11</v>
      </c>
      <c r="B188" s="1" t="s">
        <v>44</v>
      </c>
      <c r="C188" s="1" t="s">
        <v>45</v>
      </c>
      <c r="D188">
        <v>12659</v>
      </c>
      <c r="E188" t="s">
        <v>12</v>
      </c>
      <c r="F188" t="s">
        <v>43</v>
      </c>
      <c r="G188">
        <v>3</v>
      </c>
      <c r="H188">
        <v>0</v>
      </c>
      <c r="I188" t="s">
        <v>46</v>
      </c>
      <c r="J188" cm="1">
        <f t="array" ref="J188">IFERROR(
    _xlfn.XLOOKUP(G188, 'Wedgewood Pharm-PME-Yr2-2025'!$E$4:$L$4,
        _xlfn.XLOOKUP('Rate Load'!H188, 'Wedgewood Pharm-PME-Yr2-2025'!$D$5:$D$28,
            'Wedgewood Pharm-PME-Yr2-2025'!$E$5:$L$28, 0, 0),
        0, 0),
    _xlfn.XLOOKUP(G188, 'Wedgewood Pharm-PME-Yr2-2025'!$E$4:$L$4,
        _xlfn.XLOOKUP('Rate Load'!L188, 'Wedgewood Pharm-PME-Yr2-2025'!$D$5:$D$28,
            'Wedgewood Pharm-PME-Yr2-2025'!$E$5:$L$28, 0, 0),
        0, 0)
)</f>
        <v>25.520000000000003</v>
      </c>
      <c r="K188" t="s">
        <v>47</v>
      </c>
      <c r="L188" t="s">
        <v>25</v>
      </c>
      <c r="M188" t="str">
        <f t="shared" si="2"/>
        <v>INSERT INTO TNL_RATING.dbo.usps_rate_master VALUES ('USPS', '2/13/2025', '2/13/2026', 12659, 'US', 'Priority Mail Express', 3, 0, 'L', 25.52, 'Wedgewood_USPS_2025', 'Padded Flat-Rate Envelope');</v>
      </c>
    </row>
    <row r="189" spans="1:13" x14ac:dyDescent="0.3">
      <c r="A189" t="s">
        <v>11</v>
      </c>
      <c r="B189" s="1" t="s">
        <v>44</v>
      </c>
      <c r="C189" s="1" t="s">
        <v>45</v>
      </c>
      <c r="D189">
        <v>12659</v>
      </c>
      <c r="E189" t="s">
        <v>12</v>
      </c>
      <c r="F189" t="s">
        <v>43</v>
      </c>
      <c r="G189">
        <v>4</v>
      </c>
      <c r="H189">
        <v>0</v>
      </c>
      <c r="I189" t="s">
        <v>46</v>
      </c>
      <c r="J189" cm="1">
        <f t="array" ref="J189">IFERROR(
    _xlfn.XLOOKUP(G189, 'Wedgewood Pharm-PME-Yr2-2025'!$E$4:$L$4,
        _xlfn.XLOOKUP('Rate Load'!H189, 'Wedgewood Pharm-PME-Yr2-2025'!$D$5:$D$28,
            'Wedgewood Pharm-PME-Yr2-2025'!$E$5:$L$28, 0, 0),
        0, 0),
    _xlfn.XLOOKUP(G189, 'Wedgewood Pharm-PME-Yr2-2025'!$E$4:$L$4,
        _xlfn.XLOOKUP('Rate Load'!L189, 'Wedgewood Pharm-PME-Yr2-2025'!$D$5:$D$28,
            'Wedgewood Pharm-PME-Yr2-2025'!$E$5:$L$28, 0, 0),
        0, 0)
)</f>
        <v>25.520000000000003</v>
      </c>
      <c r="K189" t="s">
        <v>47</v>
      </c>
      <c r="L189" t="s">
        <v>25</v>
      </c>
      <c r="M189" t="str">
        <f t="shared" si="2"/>
        <v>INSERT INTO TNL_RATING.dbo.usps_rate_master VALUES ('USPS', '2/13/2025', '2/13/2026', 12659, 'US', 'Priority Mail Express', 4, 0, 'L', 25.52, 'Wedgewood_USPS_2025', 'Padded Flat-Rate Envelope');</v>
      </c>
    </row>
    <row r="190" spans="1:13" x14ac:dyDescent="0.3">
      <c r="A190" t="s">
        <v>11</v>
      </c>
      <c r="B190" s="1" t="s">
        <v>44</v>
      </c>
      <c r="C190" s="1" t="s">
        <v>45</v>
      </c>
      <c r="D190">
        <v>12659</v>
      </c>
      <c r="E190" t="s">
        <v>12</v>
      </c>
      <c r="F190" t="s">
        <v>43</v>
      </c>
      <c r="G190">
        <v>5</v>
      </c>
      <c r="H190">
        <v>0</v>
      </c>
      <c r="I190" t="s">
        <v>46</v>
      </c>
      <c r="J190" cm="1">
        <f t="array" ref="J190">IFERROR(
    _xlfn.XLOOKUP(G190, 'Wedgewood Pharm-PME-Yr2-2025'!$E$4:$L$4,
        _xlfn.XLOOKUP('Rate Load'!H190, 'Wedgewood Pharm-PME-Yr2-2025'!$D$5:$D$28,
            'Wedgewood Pharm-PME-Yr2-2025'!$E$5:$L$28, 0, 0),
        0, 0),
    _xlfn.XLOOKUP(G190, 'Wedgewood Pharm-PME-Yr2-2025'!$E$4:$L$4,
        _xlfn.XLOOKUP('Rate Load'!L190, 'Wedgewood Pharm-PME-Yr2-2025'!$D$5:$D$28,
            'Wedgewood Pharm-PME-Yr2-2025'!$E$5:$L$28, 0, 0),
        0, 0)
)</f>
        <v>25.520000000000003</v>
      </c>
      <c r="K190" t="s">
        <v>47</v>
      </c>
      <c r="L190" t="s">
        <v>25</v>
      </c>
      <c r="M190" t="str">
        <f t="shared" si="2"/>
        <v>INSERT INTO TNL_RATING.dbo.usps_rate_master VALUES ('USPS', '2/13/2025', '2/13/2026', 12659, 'US', 'Priority Mail Express', 5, 0, 'L', 25.52, 'Wedgewood_USPS_2025', 'Padded Flat-Rate Envelope');</v>
      </c>
    </row>
    <row r="191" spans="1:13" x14ac:dyDescent="0.3">
      <c r="A191" t="s">
        <v>11</v>
      </c>
      <c r="B191" s="1" t="s">
        <v>44</v>
      </c>
      <c r="C191" s="1" t="s">
        <v>45</v>
      </c>
      <c r="D191">
        <v>12659</v>
      </c>
      <c r="E191" t="s">
        <v>12</v>
      </c>
      <c r="F191" t="s">
        <v>43</v>
      </c>
      <c r="G191">
        <v>6</v>
      </c>
      <c r="H191">
        <v>0</v>
      </c>
      <c r="I191" t="s">
        <v>46</v>
      </c>
      <c r="J191" cm="1">
        <f t="array" ref="J191">IFERROR(
    _xlfn.XLOOKUP(G191, 'Wedgewood Pharm-PME-Yr2-2025'!$E$4:$L$4,
        _xlfn.XLOOKUP('Rate Load'!H191, 'Wedgewood Pharm-PME-Yr2-2025'!$D$5:$D$28,
            'Wedgewood Pharm-PME-Yr2-2025'!$E$5:$L$28, 0, 0),
        0, 0),
    _xlfn.XLOOKUP(G191, 'Wedgewood Pharm-PME-Yr2-2025'!$E$4:$L$4,
        _xlfn.XLOOKUP('Rate Load'!L191, 'Wedgewood Pharm-PME-Yr2-2025'!$D$5:$D$28,
            'Wedgewood Pharm-PME-Yr2-2025'!$E$5:$L$28, 0, 0),
        0, 0)
)</f>
        <v>25.520000000000003</v>
      </c>
      <c r="K191" t="s">
        <v>47</v>
      </c>
      <c r="L191" t="s">
        <v>25</v>
      </c>
      <c r="M191" t="str">
        <f t="shared" si="2"/>
        <v>INSERT INTO TNL_RATING.dbo.usps_rate_master VALUES ('USPS', '2/13/2025', '2/13/2026', 12659, 'US', 'Priority Mail Express', 6, 0, 'L', 25.52, 'Wedgewood_USPS_2025', 'Padded Flat-Rate Envelope');</v>
      </c>
    </row>
    <row r="192" spans="1:13" x14ac:dyDescent="0.3">
      <c r="A192" t="s">
        <v>11</v>
      </c>
      <c r="B192" s="1" t="s">
        <v>44</v>
      </c>
      <c r="C192" s="1" t="s">
        <v>45</v>
      </c>
      <c r="D192">
        <v>12659</v>
      </c>
      <c r="E192" t="s">
        <v>12</v>
      </c>
      <c r="F192" t="s">
        <v>43</v>
      </c>
      <c r="G192">
        <v>7</v>
      </c>
      <c r="H192">
        <v>0</v>
      </c>
      <c r="I192" t="s">
        <v>46</v>
      </c>
      <c r="J192" cm="1">
        <f t="array" ref="J192">IFERROR(
    _xlfn.XLOOKUP(G192, 'Wedgewood Pharm-PME-Yr2-2025'!$E$4:$L$4,
        _xlfn.XLOOKUP('Rate Load'!H192, 'Wedgewood Pharm-PME-Yr2-2025'!$D$5:$D$28,
            'Wedgewood Pharm-PME-Yr2-2025'!$E$5:$L$28, 0, 0),
        0, 0),
    _xlfn.XLOOKUP(G192, 'Wedgewood Pharm-PME-Yr2-2025'!$E$4:$L$4,
        _xlfn.XLOOKUP('Rate Load'!L192, 'Wedgewood Pharm-PME-Yr2-2025'!$D$5:$D$28,
            'Wedgewood Pharm-PME-Yr2-2025'!$E$5:$L$28, 0, 0),
        0, 0)
)</f>
        <v>25.520000000000003</v>
      </c>
      <c r="K192" t="s">
        <v>47</v>
      </c>
      <c r="L192" t="s">
        <v>25</v>
      </c>
      <c r="M192" t="str">
        <f t="shared" si="2"/>
        <v>INSERT INTO TNL_RATING.dbo.usps_rate_master VALUES ('USPS', '2/13/2025', '2/13/2026', 12659, 'US', 'Priority Mail Express', 7, 0, 'L', 25.52, 'Wedgewood_USPS_2025', 'Padded Flat-Rate Envelope');</v>
      </c>
    </row>
    <row r="193" spans="1:13" x14ac:dyDescent="0.3">
      <c r="A193" t="s">
        <v>11</v>
      </c>
      <c r="B193" s="1" t="s">
        <v>44</v>
      </c>
      <c r="C193" s="1" t="s">
        <v>45</v>
      </c>
      <c r="D193">
        <v>12659</v>
      </c>
      <c r="E193" t="s">
        <v>12</v>
      </c>
      <c r="F193" t="s">
        <v>43</v>
      </c>
      <c r="G193">
        <v>8</v>
      </c>
      <c r="H193">
        <v>0</v>
      </c>
      <c r="I193" t="s">
        <v>46</v>
      </c>
      <c r="J193" cm="1">
        <f t="array" ref="J193">IFERROR(
    _xlfn.XLOOKUP(G193, 'Wedgewood Pharm-PME-Yr2-2025'!$E$4:$L$4,
        _xlfn.XLOOKUP('Rate Load'!H193, 'Wedgewood Pharm-PME-Yr2-2025'!$D$5:$D$28,
            'Wedgewood Pharm-PME-Yr2-2025'!$E$5:$L$28, 0, 0),
        0, 0),
    _xlfn.XLOOKUP(G193, 'Wedgewood Pharm-PME-Yr2-2025'!$E$4:$L$4,
        _xlfn.XLOOKUP('Rate Load'!L193, 'Wedgewood Pharm-PME-Yr2-2025'!$D$5:$D$28,
            'Wedgewood Pharm-PME-Yr2-2025'!$E$5:$L$28, 0, 0),
        0, 0)
)</f>
        <v>25.520000000000003</v>
      </c>
      <c r="K193" t="s">
        <v>47</v>
      </c>
      <c r="L193" t="s">
        <v>25</v>
      </c>
      <c r="M193" t="str">
        <f t="shared" si="2"/>
        <v>INSERT INTO TNL_RATING.dbo.usps_rate_master VALUES ('USPS', '2/13/2025', '2/13/2026', 12659, 'US', 'Priority Mail Express', 8, 0, 'L', 25.52, 'Wedgewood_USPS_2025', 'Padded Flat-Rate Envelope');</v>
      </c>
    </row>
    <row r="194" spans="1:13" x14ac:dyDescent="0.3">
      <c r="A194" t="s">
        <v>11</v>
      </c>
      <c r="B194" s="1" t="s">
        <v>44</v>
      </c>
      <c r="C194" s="1" t="s">
        <v>45</v>
      </c>
      <c r="D194">
        <v>12659</v>
      </c>
      <c r="E194" t="s">
        <v>12</v>
      </c>
      <c r="F194" t="s">
        <v>48</v>
      </c>
      <c r="G194">
        <v>1</v>
      </c>
      <c r="H194">
        <v>0.5</v>
      </c>
      <c r="I194" t="s">
        <v>46</v>
      </c>
      <c r="J194" cm="1">
        <f t="array" ref="J194">IFERROR(
    _xlfn.XLOOKUP(G194, 'Wedgewood Pharm-PM-Yr2-2025'!$E$4:$L$4,
        _xlfn.XLOOKUP('Rate Load'!H194, 'Wedgewood Pharm-PM-Yr2-2025'!$D$5:$D$31,
            'Wedgewood Pharm-PM-Yr2-2025'!$E$5:$L$31, 0, 0),
        0, 0),
    _xlfn.XLOOKUP(G194, 'Wedgewood Pharm-PM-Yr2-2025'!$E$4:$L$4,
        _xlfn.XLOOKUP('Rate Load'!L194, 'Wedgewood Pharm-PM-Yr2-2025'!$D$5:$D$31,
            'Wedgewood Pharm-PM-Yr2-2025'!$E$5:$L$31, 0, 0),
        0, 0)
)</f>
        <v>6.95</v>
      </c>
      <c r="K194" t="s">
        <v>47</v>
      </c>
      <c r="L194" t="s">
        <v>14</v>
      </c>
      <c r="M194" t="str">
        <f t="shared" si="2"/>
        <v>INSERT INTO TNL_RATING.dbo.usps_rate_master VALUES ('USPS', '2/13/2025', '2/13/2026', 12659, 'US', 'Priority Mail', 1, 0.5, 'L', 6.95, 'Wedgewood_USPS_2025', 'NonCubic');</v>
      </c>
    </row>
    <row r="195" spans="1:13" x14ac:dyDescent="0.3">
      <c r="A195" t="s">
        <v>11</v>
      </c>
      <c r="B195" s="1" t="s">
        <v>44</v>
      </c>
      <c r="C195" s="1" t="s">
        <v>45</v>
      </c>
      <c r="D195">
        <v>12659</v>
      </c>
      <c r="E195" t="s">
        <v>12</v>
      </c>
      <c r="F195" t="s">
        <v>48</v>
      </c>
      <c r="G195">
        <v>1</v>
      </c>
      <c r="H195">
        <v>1</v>
      </c>
      <c r="I195" t="s">
        <v>46</v>
      </c>
      <c r="J195" cm="1">
        <f t="array" ref="J195">IFERROR(
    _xlfn.XLOOKUP(G195, 'Wedgewood Pharm-PM-Yr2-2025'!$E$4:$L$4,
        _xlfn.XLOOKUP('Rate Load'!H195, 'Wedgewood Pharm-PM-Yr2-2025'!$D$5:$D$31,
            'Wedgewood Pharm-PM-Yr2-2025'!$E$5:$L$31, 0, 0),
        0, 0),
    _xlfn.XLOOKUP(G195, 'Wedgewood Pharm-PM-Yr2-2025'!$E$4:$L$4,
        _xlfn.XLOOKUP('Rate Load'!L195, 'Wedgewood Pharm-PM-Yr2-2025'!$D$5:$D$31,
            'Wedgewood Pharm-PM-Yr2-2025'!$E$5:$L$31, 0, 0),
        0, 0)
)</f>
        <v>6.95</v>
      </c>
      <c r="K195" t="s">
        <v>47</v>
      </c>
      <c r="L195" t="s">
        <v>14</v>
      </c>
      <c r="M195" t="str">
        <f t="shared" ref="M195:M258" si="3">"INSERT INTO TNL_RATING.dbo.usps_rate_master VALUES ('" &amp; A195 &amp; "', '" &amp; B195 &amp; "', '" &amp; C195 &amp; "', " &amp; D195 &amp; ", '" &amp; E195 &amp; "', '" &amp; F195 &amp; "', " &amp; G195 &amp; ", " &amp; H195 &amp; ", '" &amp; I195 &amp; "', " &amp; J195 &amp; ", '" &amp; K195 &amp; "', '" &amp; L195 &amp; "');"</f>
        <v>INSERT INTO TNL_RATING.dbo.usps_rate_master VALUES ('USPS', '2/13/2025', '2/13/2026', 12659, 'US', 'Priority Mail', 1, 1, 'L', 6.95, 'Wedgewood_USPS_2025', 'NonCubic');</v>
      </c>
    </row>
    <row r="196" spans="1:13" x14ac:dyDescent="0.3">
      <c r="A196" t="s">
        <v>11</v>
      </c>
      <c r="B196" s="1" t="s">
        <v>44</v>
      </c>
      <c r="C196" s="1" t="s">
        <v>45</v>
      </c>
      <c r="D196">
        <v>12659</v>
      </c>
      <c r="E196" t="s">
        <v>12</v>
      </c>
      <c r="F196" t="s">
        <v>48</v>
      </c>
      <c r="G196">
        <v>1</v>
      </c>
      <c r="H196">
        <v>2</v>
      </c>
      <c r="I196" t="s">
        <v>46</v>
      </c>
      <c r="J196" cm="1">
        <f t="array" ref="J196">IFERROR(
    _xlfn.XLOOKUP(G196, 'Wedgewood Pharm-PM-Yr2-2025'!$E$4:$L$4,
        _xlfn.XLOOKUP('Rate Load'!H196, 'Wedgewood Pharm-PM-Yr2-2025'!$D$5:$D$31,
            'Wedgewood Pharm-PM-Yr2-2025'!$E$5:$L$31, 0, 0),
        0, 0),
    _xlfn.XLOOKUP(G196, 'Wedgewood Pharm-PM-Yr2-2025'!$E$4:$L$4,
        _xlfn.XLOOKUP('Rate Load'!L196, 'Wedgewood Pharm-PM-Yr2-2025'!$D$5:$D$31,
            'Wedgewood Pharm-PM-Yr2-2025'!$E$5:$L$31, 0, 0),
        0, 0)
)</f>
        <v>6.97</v>
      </c>
      <c r="K196" t="s">
        <v>47</v>
      </c>
      <c r="L196" t="s">
        <v>14</v>
      </c>
      <c r="M196" t="str">
        <f t="shared" si="3"/>
        <v>INSERT INTO TNL_RATING.dbo.usps_rate_master VALUES ('USPS', '2/13/2025', '2/13/2026', 12659, 'US', 'Priority Mail', 1, 2, 'L', 6.97, 'Wedgewood_USPS_2025', 'NonCubic');</v>
      </c>
    </row>
    <row r="197" spans="1:13" x14ac:dyDescent="0.3">
      <c r="A197" t="s">
        <v>11</v>
      </c>
      <c r="B197" s="1" t="s">
        <v>44</v>
      </c>
      <c r="C197" s="1" t="s">
        <v>45</v>
      </c>
      <c r="D197">
        <v>12659</v>
      </c>
      <c r="E197" t="s">
        <v>12</v>
      </c>
      <c r="F197" t="s">
        <v>48</v>
      </c>
      <c r="G197">
        <v>1</v>
      </c>
      <c r="H197">
        <v>3</v>
      </c>
      <c r="I197" t="s">
        <v>46</v>
      </c>
      <c r="J197" cm="1">
        <f t="array" ref="J197">IFERROR(
    _xlfn.XLOOKUP(G197, 'Wedgewood Pharm-PM-Yr2-2025'!$E$4:$L$4,
        _xlfn.XLOOKUP('Rate Load'!H197, 'Wedgewood Pharm-PM-Yr2-2025'!$D$5:$D$31,
            'Wedgewood Pharm-PM-Yr2-2025'!$E$5:$L$31, 0, 0),
        0, 0),
    _xlfn.XLOOKUP(G197, 'Wedgewood Pharm-PM-Yr2-2025'!$E$4:$L$4,
        _xlfn.XLOOKUP('Rate Load'!L197, 'Wedgewood Pharm-PM-Yr2-2025'!$D$5:$D$31,
            'Wedgewood Pharm-PM-Yr2-2025'!$E$5:$L$31, 0, 0),
        0, 0)
)</f>
        <v>7.0699999999999994</v>
      </c>
      <c r="K197" t="s">
        <v>47</v>
      </c>
      <c r="L197" t="s">
        <v>14</v>
      </c>
      <c r="M197" t="str">
        <f t="shared" si="3"/>
        <v>INSERT INTO TNL_RATING.dbo.usps_rate_master VALUES ('USPS', '2/13/2025', '2/13/2026', 12659, 'US', 'Priority Mail', 1, 3, 'L', 7.07, 'Wedgewood_USPS_2025', 'NonCubic');</v>
      </c>
    </row>
    <row r="198" spans="1:13" x14ac:dyDescent="0.3">
      <c r="A198" t="s">
        <v>11</v>
      </c>
      <c r="B198" s="1" t="s">
        <v>44</v>
      </c>
      <c r="C198" s="1" t="s">
        <v>45</v>
      </c>
      <c r="D198">
        <v>12659</v>
      </c>
      <c r="E198" t="s">
        <v>12</v>
      </c>
      <c r="F198" t="s">
        <v>48</v>
      </c>
      <c r="G198">
        <v>1</v>
      </c>
      <c r="H198">
        <v>4</v>
      </c>
      <c r="I198" t="s">
        <v>46</v>
      </c>
      <c r="J198" cm="1">
        <f t="array" ref="J198">IFERROR(
    _xlfn.XLOOKUP(G198, 'Wedgewood Pharm-PM-Yr2-2025'!$E$4:$L$4,
        _xlfn.XLOOKUP('Rate Load'!H198, 'Wedgewood Pharm-PM-Yr2-2025'!$D$5:$D$31,
            'Wedgewood Pharm-PM-Yr2-2025'!$E$5:$L$31, 0, 0),
        0, 0),
    _xlfn.XLOOKUP(G198, 'Wedgewood Pharm-PM-Yr2-2025'!$E$4:$L$4,
        _xlfn.XLOOKUP('Rate Load'!L198, 'Wedgewood Pharm-PM-Yr2-2025'!$D$5:$D$31,
            'Wedgewood Pharm-PM-Yr2-2025'!$E$5:$L$31, 0, 0),
        0, 0)
)</f>
        <v>7.2299999999999995</v>
      </c>
      <c r="K198" t="s">
        <v>47</v>
      </c>
      <c r="L198" t="s">
        <v>14</v>
      </c>
      <c r="M198" t="str">
        <f t="shared" si="3"/>
        <v>INSERT INTO TNL_RATING.dbo.usps_rate_master VALUES ('USPS', '2/13/2025', '2/13/2026', 12659, 'US', 'Priority Mail', 1, 4, 'L', 7.23, 'Wedgewood_USPS_2025', 'NonCubic');</v>
      </c>
    </row>
    <row r="199" spans="1:13" x14ac:dyDescent="0.3">
      <c r="A199" t="s">
        <v>11</v>
      </c>
      <c r="B199" s="1" t="s">
        <v>44</v>
      </c>
      <c r="C199" s="1" t="s">
        <v>45</v>
      </c>
      <c r="D199">
        <v>12659</v>
      </c>
      <c r="E199" t="s">
        <v>12</v>
      </c>
      <c r="F199" t="s">
        <v>48</v>
      </c>
      <c r="G199">
        <v>1</v>
      </c>
      <c r="H199">
        <v>5</v>
      </c>
      <c r="I199" t="s">
        <v>46</v>
      </c>
      <c r="J199" cm="1">
        <f t="array" ref="J199">IFERROR(
    _xlfn.XLOOKUP(G199, 'Wedgewood Pharm-PM-Yr2-2025'!$E$4:$L$4,
        _xlfn.XLOOKUP('Rate Load'!H199, 'Wedgewood Pharm-PM-Yr2-2025'!$D$5:$D$31,
            'Wedgewood Pharm-PM-Yr2-2025'!$E$5:$L$31, 0, 0),
        0, 0),
    _xlfn.XLOOKUP(G199, 'Wedgewood Pharm-PM-Yr2-2025'!$E$4:$L$4,
        _xlfn.XLOOKUP('Rate Load'!L199, 'Wedgewood Pharm-PM-Yr2-2025'!$D$5:$D$31,
            'Wedgewood Pharm-PM-Yr2-2025'!$E$5:$L$31, 0, 0),
        0, 0)
)</f>
        <v>7.2299999999999995</v>
      </c>
      <c r="K199" t="s">
        <v>47</v>
      </c>
      <c r="L199" t="s">
        <v>14</v>
      </c>
      <c r="M199" t="str">
        <f t="shared" si="3"/>
        <v>INSERT INTO TNL_RATING.dbo.usps_rate_master VALUES ('USPS', '2/13/2025', '2/13/2026', 12659, 'US', 'Priority Mail', 1, 5, 'L', 7.23, 'Wedgewood_USPS_2025', 'NonCubic');</v>
      </c>
    </row>
    <row r="200" spans="1:13" x14ac:dyDescent="0.3">
      <c r="A200" t="s">
        <v>11</v>
      </c>
      <c r="B200" s="1" t="s">
        <v>44</v>
      </c>
      <c r="C200" s="1" t="s">
        <v>45</v>
      </c>
      <c r="D200">
        <v>12659</v>
      </c>
      <c r="E200" t="s">
        <v>12</v>
      </c>
      <c r="F200" t="s">
        <v>48</v>
      </c>
      <c r="G200">
        <v>1</v>
      </c>
      <c r="H200">
        <v>6</v>
      </c>
      <c r="I200" t="s">
        <v>46</v>
      </c>
      <c r="J200" cm="1">
        <f t="array" ref="J200">IFERROR(
    _xlfn.XLOOKUP(G200, 'Wedgewood Pharm-PM-Yr2-2025'!$E$4:$L$4,
        _xlfn.XLOOKUP('Rate Load'!H200, 'Wedgewood Pharm-PM-Yr2-2025'!$D$5:$D$31,
            'Wedgewood Pharm-PM-Yr2-2025'!$E$5:$L$31, 0, 0),
        0, 0),
    _xlfn.XLOOKUP(G200, 'Wedgewood Pharm-PM-Yr2-2025'!$E$4:$L$4,
        _xlfn.XLOOKUP('Rate Load'!L200, 'Wedgewood Pharm-PM-Yr2-2025'!$D$5:$D$31,
            'Wedgewood Pharm-PM-Yr2-2025'!$E$5:$L$31, 0, 0),
        0, 0)
)</f>
        <v>7.33</v>
      </c>
      <c r="K200" t="s">
        <v>47</v>
      </c>
      <c r="L200" t="s">
        <v>14</v>
      </c>
      <c r="M200" t="str">
        <f t="shared" si="3"/>
        <v>INSERT INTO TNL_RATING.dbo.usps_rate_master VALUES ('USPS', '2/13/2025', '2/13/2026', 12659, 'US', 'Priority Mail', 1, 6, 'L', 7.33, 'Wedgewood_USPS_2025', 'NonCubic');</v>
      </c>
    </row>
    <row r="201" spans="1:13" x14ac:dyDescent="0.3">
      <c r="A201" t="s">
        <v>11</v>
      </c>
      <c r="B201" s="1" t="s">
        <v>44</v>
      </c>
      <c r="C201" s="1" t="s">
        <v>45</v>
      </c>
      <c r="D201">
        <v>12659</v>
      </c>
      <c r="E201" t="s">
        <v>12</v>
      </c>
      <c r="F201" t="s">
        <v>48</v>
      </c>
      <c r="G201">
        <v>1</v>
      </c>
      <c r="H201">
        <v>7</v>
      </c>
      <c r="I201" t="s">
        <v>46</v>
      </c>
      <c r="J201" cm="1">
        <f t="array" ref="J201">IFERROR(
    _xlfn.XLOOKUP(G201, 'Wedgewood Pharm-PM-Yr2-2025'!$E$4:$L$4,
        _xlfn.XLOOKUP('Rate Load'!H201, 'Wedgewood Pharm-PM-Yr2-2025'!$D$5:$D$31,
            'Wedgewood Pharm-PM-Yr2-2025'!$E$5:$L$31, 0, 0),
        0, 0),
    _xlfn.XLOOKUP(G201, 'Wedgewood Pharm-PM-Yr2-2025'!$E$4:$L$4,
        _xlfn.XLOOKUP('Rate Load'!L201, 'Wedgewood Pharm-PM-Yr2-2025'!$D$5:$D$31,
            'Wedgewood Pharm-PM-Yr2-2025'!$E$5:$L$31, 0, 0),
        0, 0)
)</f>
        <v>8.4499999999999993</v>
      </c>
      <c r="K201" t="s">
        <v>47</v>
      </c>
      <c r="L201" t="s">
        <v>14</v>
      </c>
      <c r="M201" t="str">
        <f t="shared" si="3"/>
        <v>INSERT INTO TNL_RATING.dbo.usps_rate_master VALUES ('USPS', '2/13/2025', '2/13/2026', 12659, 'US', 'Priority Mail', 1, 7, 'L', 8.45, 'Wedgewood_USPS_2025', 'NonCubic');</v>
      </c>
    </row>
    <row r="202" spans="1:13" x14ac:dyDescent="0.3">
      <c r="A202" t="s">
        <v>11</v>
      </c>
      <c r="B202" s="1" t="s">
        <v>44</v>
      </c>
      <c r="C202" s="1" t="s">
        <v>45</v>
      </c>
      <c r="D202">
        <v>12659</v>
      </c>
      <c r="E202" t="s">
        <v>12</v>
      </c>
      <c r="F202" t="s">
        <v>48</v>
      </c>
      <c r="G202">
        <v>1</v>
      </c>
      <c r="H202">
        <v>8</v>
      </c>
      <c r="I202" t="s">
        <v>46</v>
      </c>
      <c r="J202" cm="1">
        <f t="array" ref="J202">IFERROR(
    _xlfn.XLOOKUP(G202, 'Wedgewood Pharm-PM-Yr2-2025'!$E$4:$L$4,
        _xlfn.XLOOKUP('Rate Load'!H202, 'Wedgewood Pharm-PM-Yr2-2025'!$D$5:$D$31,
            'Wedgewood Pharm-PM-Yr2-2025'!$E$5:$L$31, 0, 0),
        0, 0),
    _xlfn.XLOOKUP(G202, 'Wedgewood Pharm-PM-Yr2-2025'!$E$4:$L$4,
        _xlfn.XLOOKUP('Rate Load'!L202, 'Wedgewood Pharm-PM-Yr2-2025'!$D$5:$D$31,
            'Wedgewood Pharm-PM-Yr2-2025'!$E$5:$L$31, 0, 0),
        0, 0)
)</f>
        <v>8.7200000000000006</v>
      </c>
      <c r="K202" t="s">
        <v>47</v>
      </c>
      <c r="L202" t="s">
        <v>14</v>
      </c>
      <c r="M202" t="str">
        <f t="shared" si="3"/>
        <v>INSERT INTO TNL_RATING.dbo.usps_rate_master VALUES ('USPS', '2/13/2025', '2/13/2026', 12659, 'US', 'Priority Mail', 1, 8, 'L', 8.72, 'Wedgewood_USPS_2025', 'NonCubic');</v>
      </c>
    </row>
    <row r="203" spans="1:13" x14ac:dyDescent="0.3">
      <c r="A203" t="s">
        <v>11</v>
      </c>
      <c r="B203" s="1" t="s">
        <v>44</v>
      </c>
      <c r="C203" s="1" t="s">
        <v>45</v>
      </c>
      <c r="D203">
        <v>12659</v>
      </c>
      <c r="E203" t="s">
        <v>12</v>
      </c>
      <c r="F203" t="s">
        <v>48</v>
      </c>
      <c r="G203">
        <v>1</v>
      </c>
      <c r="H203">
        <v>9</v>
      </c>
      <c r="I203" t="s">
        <v>46</v>
      </c>
      <c r="J203" cm="1">
        <f t="array" ref="J203">IFERROR(
    _xlfn.XLOOKUP(G203, 'Wedgewood Pharm-PM-Yr2-2025'!$E$4:$L$4,
        _xlfn.XLOOKUP('Rate Load'!H203, 'Wedgewood Pharm-PM-Yr2-2025'!$D$5:$D$31,
            'Wedgewood Pharm-PM-Yr2-2025'!$E$5:$L$31, 0, 0),
        0, 0),
    _xlfn.XLOOKUP(G203, 'Wedgewood Pharm-PM-Yr2-2025'!$E$4:$L$4,
        _xlfn.XLOOKUP('Rate Load'!L203, 'Wedgewood Pharm-PM-Yr2-2025'!$D$5:$D$31,
            'Wedgewood Pharm-PM-Yr2-2025'!$E$5:$L$31, 0, 0),
        0, 0)
)</f>
        <v>9.14</v>
      </c>
      <c r="K203" t="s">
        <v>47</v>
      </c>
      <c r="L203" t="s">
        <v>14</v>
      </c>
      <c r="M203" t="str">
        <f t="shared" si="3"/>
        <v>INSERT INTO TNL_RATING.dbo.usps_rate_master VALUES ('USPS', '2/13/2025', '2/13/2026', 12659, 'US', 'Priority Mail', 1, 9, 'L', 9.14, 'Wedgewood_USPS_2025', 'NonCubic');</v>
      </c>
    </row>
    <row r="204" spans="1:13" x14ac:dyDescent="0.3">
      <c r="A204" t="s">
        <v>11</v>
      </c>
      <c r="B204" s="1" t="s">
        <v>44</v>
      </c>
      <c r="C204" s="1" t="s">
        <v>45</v>
      </c>
      <c r="D204">
        <v>12659</v>
      </c>
      <c r="E204" t="s">
        <v>12</v>
      </c>
      <c r="F204" t="s">
        <v>48</v>
      </c>
      <c r="G204">
        <v>1</v>
      </c>
      <c r="H204">
        <v>10</v>
      </c>
      <c r="I204" t="s">
        <v>46</v>
      </c>
      <c r="J204" cm="1">
        <f t="array" ref="J204">IFERROR(
    _xlfn.XLOOKUP(G204, 'Wedgewood Pharm-PM-Yr2-2025'!$E$4:$L$4,
        _xlfn.XLOOKUP('Rate Load'!H204, 'Wedgewood Pharm-PM-Yr2-2025'!$D$5:$D$31,
            'Wedgewood Pharm-PM-Yr2-2025'!$E$5:$L$31, 0, 0),
        0, 0),
    _xlfn.XLOOKUP(G204, 'Wedgewood Pharm-PM-Yr2-2025'!$E$4:$L$4,
        _xlfn.XLOOKUP('Rate Load'!L204, 'Wedgewood Pharm-PM-Yr2-2025'!$D$5:$D$31,
            'Wedgewood Pharm-PM-Yr2-2025'!$E$5:$L$31, 0, 0),
        0, 0)
)</f>
        <v>9.48</v>
      </c>
      <c r="K204" t="s">
        <v>47</v>
      </c>
      <c r="L204" t="s">
        <v>14</v>
      </c>
      <c r="M204" t="str">
        <f t="shared" si="3"/>
        <v>INSERT INTO TNL_RATING.dbo.usps_rate_master VALUES ('USPS', '2/13/2025', '2/13/2026', 12659, 'US', 'Priority Mail', 1, 10, 'L', 9.48, 'Wedgewood_USPS_2025', 'NonCubic');</v>
      </c>
    </row>
    <row r="205" spans="1:13" x14ac:dyDescent="0.3">
      <c r="A205" t="s">
        <v>11</v>
      </c>
      <c r="B205" s="1" t="s">
        <v>44</v>
      </c>
      <c r="C205" s="1" t="s">
        <v>45</v>
      </c>
      <c r="D205">
        <v>12659</v>
      </c>
      <c r="E205" t="s">
        <v>12</v>
      </c>
      <c r="F205" t="s">
        <v>48</v>
      </c>
      <c r="G205">
        <v>1</v>
      </c>
      <c r="H205">
        <v>11</v>
      </c>
      <c r="I205" t="s">
        <v>46</v>
      </c>
      <c r="J205" cm="1">
        <f t="array" ref="J205">IFERROR(
    _xlfn.XLOOKUP(G205, 'Wedgewood Pharm-PM-Yr2-2025'!$E$4:$L$4,
        _xlfn.XLOOKUP('Rate Load'!H205, 'Wedgewood Pharm-PM-Yr2-2025'!$D$5:$D$31,
            'Wedgewood Pharm-PM-Yr2-2025'!$E$5:$L$31, 0, 0),
        0, 0),
    _xlfn.XLOOKUP(G205, 'Wedgewood Pharm-PM-Yr2-2025'!$E$4:$L$4,
        _xlfn.XLOOKUP('Rate Load'!L205, 'Wedgewood Pharm-PM-Yr2-2025'!$D$5:$D$31,
            'Wedgewood Pharm-PM-Yr2-2025'!$E$5:$L$31, 0, 0),
        0, 0)
)</f>
        <v>10.18</v>
      </c>
      <c r="K205" t="s">
        <v>47</v>
      </c>
      <c r="L205" t="s">
        <v>14</v>
      </c>
      <c r="M205" t="str">
        <f t="shared" si="3"/>
        <v>INSERT INTO TNL_RATING.dbo.usps_rate_master VALUES ('USPS', '2/13/2025', '2/13/2026', 12659, 'US', 'Priority Mail', 1, 11, 'L', 10.18, 'Wedgewood_USPS_2025', 'NonCubic');</v>
      </c>
    </row>
    <row r="206" spans="1:13" x14ac:dyDescent="0.3">
      <c r="A206" t="s">
        <v>11</v>
      </c>
      <c r="B206" s="1" t="s">
        <v>44</v>
      </c>
      <c r="C206" s="1" t="s">
        <v>45</v>
      </c>
      <c r="D206">
        <v>12659</v>
      </c>
      <c r="E206" t="s">
        <v>12</v>
      </c>
      <c r="F206" t="s">
        <v>48</v>
      </c>
      <c r="G206">
        <v>1</v>
      </c>
      <c r="H206">
        <v>12</v>
      </c>
      <c r="I206" t="s">
        <v>46</v>
      </c>
      <c r="J206" cm="1">
        <f t="array" ref="J206">IFERROR(
    _xlfn.XLOOKUP(G206, 'Wedgewood Pharm-PM-Yr2-2025'!$E$4:$L$4,
        _xlfn.XLOOKUP('Rate Load'!H206, 'Wedgewood Pharm-PM-Yr2-2025'!$D$5:$D$31,
            'Wedgewood Pharm-PM-Yr2-2025'!$E$5:$L$31, 0, 0),
        0, 0),
    _xlfn.XLOOKUP(G206, 'Wedgewood Pharm-PM-Yr2-2025'!$E$4:$L$4,
        _xlfn.XLOOKUP('Rate Load'!L206, 'Wedgewood Pharm-PM-Yr2-2025'!$D$5:$D$31,
            'Wedgewood Pharm-PM-Yr2-2025'!$E$5:$L$31, 0, 0),
        0, 0)
)</f>
        <v>10.53</v>
      </c>
      <c r="K206" t="s">
        <v>47</v>
      </c>
      <c r="L206" t="s">
        <v>14</v>
      </c>
      <c r="M206" t="str">
        <f t="shared" si="3"/>
        <v>INSERT INTO TNL_RATING.dbo.usps_rate_master VALUES ('USPS', '2/13/2025', '2/13/2026', 12659, 'US', 'Priority Mail', 1, 12, 'L', 10.53, 'Wedgewood_USPS_2025', 'NonCubic');</v>
      </c>
    </row>
    <row r="207" spans="1:13" x14ac:dyDescent="0.3">
      <c r="A207" t="s">
        <v>11</v>
      </c>
      <c r="B207" s="1" t="s">
        <v>44</v>
      </c>
      <c r="C207" s="1" t="s">
        <v>45</v>
      </c>
      <c r="D207">
        <v>12659</v>
      </c>
      <c r="E207" t="s">
        <v>12</v>
      </c>
      <c r="F207" t="s">
        <v>48</v>
      </c>
      <c r="G207">
        <v>1</v>
      </c>
      <c r="H207">
        <v>13</v>
      </c>
      <c r="I207" t="s">
        <v>46</v>
      </c>
      <c r="J207" cm="1">
        <f t="array" ref="J207">IFERROR(
    _xlfn.XLOOKUP(G207, 'Wedgewood Pharm-PM-Yr2-2025'!$E$4:$L$4,
        _xlfn.XLOOKUP('Rate Load'!H207, 'Wedgewood Pharm-PM-Yr2-2025'!$D$5:$D$31,
            'Wedgewood Pharm-PM-Yr2-2025'!$E$5:$L$31, 0, 0),
        0, 0),
    _xlfn.XLOOKUP(G207, 'Wedgewood Pharm-PM-Yr2-2025'!$E$4:$L$4,
        _xlfn.XLOOKUP('Rate Load'!L207, 'Wedgewood Pharm-PM-Yr2-2025'!$D$5:$D$31,
            'Wedgewood Pharm-PM-Yr2-2025'!$E$5:$L$31, 0, 0),
        0, 0)
)</f>
        <v>10.91</v>
      </c>
      <c r="K207" t="s">
        <v>47</v>
      </c>
      <c r="L207" t="s">
        <v>14</v>
      </c>
      <c r="M207" t="str">
        <f t="shared" si="3"/>
        <v>INSERT INTO TNL_RATING.dbo.usps_rate_master VALUES ('USPS', '2/13/2025', '2/13/2026', 12659, 'US', 'Priority Mail', 1, 13, 'L', 10.91, 'Wedgewood_USPS_2025', 'NonCubic');</v>
      </c>
    </row>
    <row r="208" spans="1:13" x14ac:dyDescent="0.3">
      <c r="A208" t="s">
        <v>11</v>
      </c>
      <c r="B208" s="1" t="s">
        <v>44</v>
      </c>
      <c r="C208" s="1" t="s">
        <v>45</v>
      </c>
      <c r="D208">
        <v>12659</v>
      </c>
      <c r="E208" t="s">
        <v>12</v>
      </c>
      <c r="F208" t="s">
        <v>48</v>
      </c>
      <c r="G208">
        <v>1</v>
      </c>
      <c r="H208">
        <v>14</v>
      </c>
      <c r="I208" t="s">
        <v>46</v>
      </c>
      <c r="J208" cm="1">
        <f t="array" ref="J208">IFERROR(
    _xlfn.XLOOKUP(G208, 'Wedgewood Pharm-PM-Yr2-2025'!$E$4:$L$4,
        _xlfn.XLOOKUP('Rate Load'!H208, 'Wedgewood Pharm-PM-Yr2-2025'!$D$5:$D$31,
            'Wedgewood Pharm-PM-Yr2-2025'!$E$5:$L$31, 0, 0),
        0, 0),
    _xlfn.XLOOKUP(G208, 'Wedgewood Pharm-PM-Yr2-2025'!$E$4:$L$4,
        _xlfn.XLOOKUP('Rate Load'!L208, 'Wedgewood Pharm-PM-Yr2-2025'!$D$5:$D$31,
            'Wedgewood Pharm-PM-Yr2-2025'!$E$5:$L$31, 0, 0),
        0, 0)
)</f>
        <v>11.32</v>
      </c>
      <c r="K208" t="s">
        <v>47</v>
      </c>
      <c r="L208" t="s">
        <v>14</v>
      </c>
      <c r="M208" t="str">
        <f t="shared" si="3"/>
        <v>INSERT INTO TNL_RATING.dbo.usps_rate_master VALUES ('USPS', '2/13/2025', '2/13/2026', 12659, 'US', 'Priority Mail', 1, 14, 'L', 11.32, 'Wedgewood_USPS_2025', 'NonCubic');</v>
      </c>
    </row>
    <row r="209" spans="1:13" x14ac:dyDescent="0.3">
      <c r="A209" t="s">
        <v>11</v>
      </c>
      <c r="B209" s="1" t="s">
        <v>44</v>
      </c>
      <c r="C209" s="1" t="s">
        <v>45</v>
      </c>
      <c r="D209">
        <v>12659</v>
      </c>
      <c r="E209" t="s">
        <v>12</v>
      </c>
      <c r="F209" t="s">
        <v>48</v>
      </c>
      <c r="G209">
        <v>1</v>
      </c>
      <c r="H209">
        <v>15</v>
      </c>
      <c r="I209" t="s">
        <v>46</v>
      </c>
      <c r="J209" cm="1">
        <f t="array" ref="J209">IFERROR(
    _xlfn.XLOOKUP(G209, 'Wedgewood Pharm-PM-Yr2-2025'!$E$4:$L$4,
        _xlfn.XLOOKUP('Rate Load'!H209, 'Wedgewood Pharm-PM-Yr2-2025'!$D$5:$D$31,
            'Wedgewood Pharm-PM-Yr2-2025'!$E$5:$L$31, 0, 0),
        0, 0),
    _xlfn.XLOOKUP(G209, 'Wedgewood Pharm-PM-Yr2-2025'!$E$4:$L$4,
        _xlfn.XLOOKUP('Rate Load'!L209, 'Wedgewood Pharm-PM-Yr2-2025'!$D$5:$D$31,
            'Wedgewood Pharm-PM-Yr2-2025'!$E$5:$L$31, 0, 0),
        0, 0)
)</f>
        <v>11.629999999999999</v>
      </c>
      <c r="K209" t="s">
        <v>47</v>
      </c>
      <c r="L209" t="s">
        <v>14</v>
      </c>
      <c r="M209" t="str">
        <f t="shared" si="3"/>
        <v>INSERT INTO TNL_RATING.dbo.usps_rate_master VALUES ('USPS', '2/13/2025', '2/13/2026', 12659, 'US', 'Priority Mail', 1, 15, 'L', 11.63, 'Wedgewood_USPS_2025', 'NonCubic');</v>
      </c>
    </row>
    <row r="210" spans="1:13" x14ac:dyDescent="0.3">
      <c r="A210" t="s">
        <v>11</v>
      </c>
      <c r="B210" s="1" t="s">
        <v>44</v>
      </c>
      <c r="C210" s="1" t="s">
        <v>45</v>
      </c>
      <c r="D210">
        <v>12659</v>
      </c>
      <c r="E210" t="s">
        <v>12</v>
      </c>
      <c r="F210" t="s">
        <v>48</v>
      </c>
      <c r="G210">
        <v>1</v>
      </c>
      <c r="H210">
        <v>16</v>
      </c>
      <c r="I210" t="s">
        <v>46</v>
      </c>
      <c r="J210" cm="1">
        <f t="array" ref="J210">IFERROR(
    _xlfn.XLOOKUP(G210, 'Wedgewood Pharm-PM-Yr2-2025'!$E$4:$L$4,
        _xlfn.XLOOKUP('Rate Load'!H210, 'Wedgewood Pharm-PM-Yr2-2025'!$D$5:$D$31,
            'Wedgewood Pharm-PM-Yr2-2025'!$E$5:$L$31, 0, 0),
        0, 0),
    _xlfn.XLOOKUP(G210, 'Wedgewood Pharm-PM-Yr2-2025'!$E$4:$L$4,
        _xlfn.XLOOKUP('Rate Load'!L210, 'Wedgewood Pharm-PM-Yr2-2025'!$D$5:$D$31,
            'Wedgewood Pharm-PM-Yr2-2025'!$E$5:$L$31, 0, 0),
        0, 0)
)</f>
        <v>12.09</v>
      </c>
      <c r="K210" t="s">
        <v>47</v>
      </c>
      <c r="L210" t="s">
        <v>14</v>
      </c>
      <c r="M210" t="str">
        <f t="shared" si="3"/>
        <v>INSERT INTO TNL_RATING.dbo.usps_rate_master VALUES ('USPS', '2/13/2025', '2/13/2026', 12659, 'US', 'Priority Mail', 1, 16, 'L', 12.09, 'Wedgewood_USPS_2025', 'NonCubic');</v>
      </c>
    </row>
    <row r="211" spans="1:13" x14ac:dyDescent="0.3">
      <c r="A211" t="s">
        <v>11</v>
      </c>
      <c r="B211" s="1" t="s">
        <v>44</v>
      </c>
      <c r="C211" s="1" t="s">
        <v>45</v>
      </c>
      <c r="D211">
        <v>12659</v>
      </c>
      <c r="E211" t="s">
        <v>12</v>
      </c>
      <c r="F211" t="s">
        <v>48</v>
      </c>
      <c r="G211">
        <v>1</v>
      </c>
      <c r="H211">
        <v>17</v>
      </c>
      <c r="I211" t="s">
        <v>46</v>
      </c>
      <c r="J211" cm="1">
        <f t="array" ref="J211">IFERROR(
    _xlfn.XLOOKUP(G211, 'Wedgewood Pharm-PM-Yr2-2025'!$E$4:$L$4,
        _xlfn.XLOOKUP('Rate Load'!H211, 'Wedgewood Pharm-PM-Yr2-2025'!$D$5:$D$31,
            'Wedgewood Pharm-PM-Yr2-2025'!$E$5:$L$31, 0, 0),
        0, 0),
    _xlfn.XLOOKUP(G211, 'Wedgewood Pharm-PM-Yr2-2025'!$E$4:$L$4,
        _xlfn.XLOOKUP('Rate Load'!L211, 'Wedgewood Pharm-PM-Yr2-2025'!$D$5:$D$31,
            'Wedgewood Pharm-PM-Yr2-2025'!$E$5:$L$31, 0, 0),
        0, 0)
)</f>
        <v>12.45</v>
      </c>
      <c r="K211" t="s">
        <v>47</v>
      </c>
      <c r="L211" t="s">
        <v>14</v>
      </c>
      <c r="M211" t="str">
        <f t="shared" si="3"/>
        <v>INSERT INTO TNL_RATING.dbo.usps_rate_master VALUES ('USPS', '2/13/2025', '2/13/2026', 12659, 'US', 'Priority Mail', 1, 17, 'L', 12.45, 'Wedgewood_USPS_2025', 'NonCubic');</v>
      </c>
    </row>
    <row r="212" spans="1:13" x14ac:dyDescent="0.3">
      <c r="A212" t="s">
        <v>11</v>
      </c>
      <c r="B212" s="1" t="s">
        <v>44</v>
      </c>
      <c r="C212" s="1" t="s">
        <v>45</v>
      </c>
      <c r="D212">
        <v>12659</v>
      </c>
      <c r="E212" t="s">
        <v>12</v>
      </c>
      <c r="F212" t="s">
        <v>48</v>
      </c>
      <c r="G212">
        <v>1</v>
      </c>
      <c r="H212">
        <v>18</v>
      </c>
      <c r="I212" t="s">
        <v>46</v>
      </c>
      <c r="J212" cm="1">
        <f t="array" ref="J212">IFERROR(
    _xlfn.XLOOKUP(G212, 'Wedgewood Pharm-PM-Yr2-2025'!$E$4:$L$4,
        _xlfn.XLOOKUP('Rate Load'!H212, 'Wedgewood Pharm-PM-Yr2-2025'!$D$5:$D$31,
            'Wedgewood Pharm-PM-Yr2-2025'!$E$5:$L$31, 0, 0),
        0, 0),
    _xlfn.XLOOKUP(G212, 'Wedgewood Pharm-PM-Yr2-2025'!$E$4:$L$4,
        _xlfn.XLOOKUP('Rate Load'!L212, 'Wedgewood Pharm-PM-Yr2-2025'!$D$5:$D$31,
            'Wedgewood Pharm-PM-Yr2-2025'!$E$5:$L$31, 0, 0),
        0, 0)
)</f>
        <v>12.86</v>
      </c>
      <c r="K212" t="s">
        <v>47</v>
      </c>
      <c r="L212" t="s">
        <v>14</v>
      </c>
      <c r="M212" t="str">
        <f t="shared" si="3"/>
        <v>INSERT INTO TNL_RATING.dbo.usps_rate_master VALUES ('USPS', '2/13/2025', '2/13/2026', 12659, 'US', 'Priority Mail', 1, 18, 'L', 12.86, 'Wedgewood_USPS_2025', 'NonCubic');</v>
      </c>
    </row>
    <row r="213" spans="1:13" x14ac:dyDescent="0.3">
      <c r="A213" t="s">
        <v>11</v>
      </c>
      <c r="B213" s="1" t="s">
        <v>44</v>
      </c>
      <c r="C213" s="1" t="s">
        <v>45</v>
      </c>
      <c r="D213">
        <v>12659</v>
      </c>
      <c r="E213" t="s">
        <v>12</v>
      </c>
      <c r="F213" t="s">
        <v>48</v>
      </c>
      <c r="G213">
        <v>1</v>
      </c>
      <c r="H213">
        <v>19</v>
      </c>
      <c r="I213" t="s">
        <v>46</v>
      </c>
      <c r="J213" cm="1">
        <f t="array" ref="J213">IFERROR(
    _xlfn.XLOOKUP(G213, 'Wedgewood Pharm-PM-Yr2-2025'!$E$4:$L$4,
        _xlfn.XLOOKUP('Rate Load'!H213, 'Wedgewood Pharm-PM-Yr2-2025'!$D$5:$D$31,
            'Wedgewood Pharm-PM-Yr2-2025'!$E$5:$L$31, 0, 0),
        0, 0),
    _xlfn.XLOOKUP(G213, 'Wedgewood Pharm-PM-Yr2-2025'!$E$4:$L$4,
        _xlfn.XLOOKUP('Rate Load'!L213, 'Wedgewood Pharm-PM-Yr2-2025'!$D$5:$D$31,
            'Wedgewood Pharm-PM-Yr2-2025'!$E$5:$L$31, 0, 0),
        0, 0)
)</f>
        <v>13.22</v>
      </c>
      <c r="K213" t="s">
        <v>47</v>
      </c>
      <c r="L213" t="s">
        <v>14</v>
      </c>
      <c r="M213" t="str">
        <f t="shared" si="3"/>
        <v>INSERT INTO TNL_RATING.dbo.usps_rate_master VALUES ('USPS', '2/13/2025', '2/13/2026', 12659, 'US', 'Priority Mail', 1, 19, 'L', 13.22, 'Wedgewood_USPS_2025', 'NonCubic');</v>
      </c>
    </row>
    <row r="214" spans="1:13" x14ac:dyDescent="0.3">
      <c r="A214" t="s">
        <v>11</v>
      </c>
      <c r="B214" s="1" t="s">
        <v>44</v>
      </c>
      <c r="C214" s="1" t="s">
        <v>45</v>
      </c>
      <c r="D214">
        <v>12659</v>
      </c>
      <c r="E214" t="s">
        <v>12</v>
      </c>
      <c r="F214" t="s">
        <v>48</v>
      </c>
      <c r="G214">
        <v>1</v>
      </c>
      <c r="H214">
        <v>20</v>
      </c>
      <c r="I214" t="s">
        <v>46</v>
      </c>
      <c r="J214" cm="1">
        <f t="array" ref="J214">IFERROR(
    _xlfn.XLOOKUP(G214, 'Wedgewood Pharm-PM-Yr2-2025'!$E$4:$L$4,
        _xlfn.XLOOKUP('Rate Load'!H214, 'Wedgewood Pharm-PM-Yr2-2025'!$D$5:$D$31,
            'Wedgewood Pharm-PM-Yr2-2025'!$E$5:$L$31, 0, 0),
        0, 0),
    _xlfn.XLOOKUP(G214, 'Wedgewood Pharm-PM-Yr2-2025'!$E$4:$L$4,
        _xlfn.XLOOKUP('Rate Load'!L214, 'Wedgewood Pharm-PM-Yr2-2025'!$D$5:$D$31,
            'Wedgewood Pharm-PM-Yr2-2025'!$E$5:$L$31, 0, 0),
        0, 0)
)</f>
        <v>13.56</v>
      </c>
      <c r="K214" t="s">
        <v>47</v>
      </c>
      <c r="L214" t="s">
        <v>14</v>
      </c>
      <c r="M214" t="str">
        <f t="shared" si="3"/>
        <v>INSERT INTO TNL_RATING.dbo.usps_rate_master VALUES ('USPS', '2/13/2025', '2/13/2026', 12659, 'US', 'Priority Mail', 1, 20, 'L', 13.56, 'Wedgewood_USPS_2025', 'NonCubic');</v>
      </c>
    </row>
    <row r="215" spans="1:13" x14ac:dyDescent="0.3">
      <c r="A215" t="s">
        <v>11</v>
      </c>
      <c r="B215" s="1" t="s">
        <v>44</v>
      </c>
      <c r="C215" s="1" t="s">
        <v>45</v>
      </c>
      <c r="D215">
        <v>12659</v>
      </c>
      <c r="E215" t="s">
        <v>12</v>
      </c>
      <c r="F215" t="s">
        <v>48</v>
      </c>
      <c r="G215">
        <v>2</v>
      </c>
      <c r="H215">
        <v>0.5</v>
      </c>
      <c r="I215" t="s">
        <v>46</v>
      </c>
      <c r="J215" cm="1">
        <f t="array" ref="J215">IFERROR(
    _xlfn.XLOOKUP(G215, 'Wedgewood Pharm-PM-Yr2-2025'!$E$4:$L$4,
        _xlfn.XLOOKUP('Rate Load'!H215, 'Wedgewood Pharm-PM-Yr2-2025'!$D$5:$D$31,
            'Wedgewood Pharm-PM-Yr2-2025'!$E$5:$L$31, 0, 0),
        0, 0),
    _xlfn.XLOOKUP(G215, 'Wedgewood Pharm-PM-Yr2-2025'!$E$4:$L$4,
        _xlfn.XLOOKUP('Rate Load'!L215, 'Wedgewood Pharm-PM-Yr2-2025'!$D$5:$D$31,
            'Wedgewood Pharm-PM-Yr2-2025'!$E$5:$L$31, 0, 0),
        0, 0)
)</f>
        <v>6.97</v>
      </c>
      <c r="K215" t="s">
        <v>47</v>
      </c>
      <c r="L215" t="s">
        <v>14</v>
      </c>
      <c r="M215" t="str">
        <f t="shared" si="3"/>
        <v>INSERT INTO TNL_RATING.dbo.usps_rate_master VALUES ('USPS', '2/13/2025', '2/13/2026', 12659, 'US', 'Priority Mail', 2, 0.5, 'L', 6.97, 'Wedgewood_USPS_2025', 'NonCubic');</v>
      </c>
    </row>
    <row r="216" spans="1:13" x14ac:dyDescent="0.3">
      <c r="A216" t="s">
        <v>11</v>
      </c>
      <c r="B216" s="1" t="s">
        <v>44</v>
      </c>
      <c r="C216" s="1" t="s">
        <v>45</v>
      </c>
      <c r="D216">
        <v>12659</v>
      </c>
      <c r="E216" t="s">
        <v>12</v>
      </c>
      <c r="F216" t="s">
        <v>48</v>
      </c>
      <c r="G216">
        <v>2</v>
      </c>
      <c r="H216">
        <v>1</v>
      </c>
      <c r="I216" t="s">
        <v>46</v>
      </c>
      <c r="J216" cm="1">
        <f t="array" ref="J216">IFERROR(
    _xlfn.XLOOKUP(G216, 'Wedgewood Pharm-PM-Yr2-2025'!$E$4:$L$4,
        _xlfn.XLOOKUP('Rate Load'!H216, 'Wedgewood Pharm-PM-Yr2-2025'!$D$5:$D$31,
            'Wedgewood Pharm-PM-Yr2-2025'!$E$5:$L$31, 0, 0),
        0, 0),
    _xlfn.XLOOKUP(G216, 'Wedgewood Pharm-PM-Yr2-2025'!$E$4:$L$4,
        _xlfn.XLOOKUP('Rate Load'!L216, 'Wedgewood Pharm-PM-Yr2-2025'!$D$5:$D$31,
            'Wedgewood Pharm-PM-Yr2-2025'!$E$5:$L$31, 0, 0),
        0, 0)
)</f>
        <v>6.97</v>
      </c>
      <c r="K216" t="s">
        <v>47</v>
      </c>
      <c r="L216" t="s">
        <v>14</v>
      </c>
      <c r="M216" t="str">
        <f t="shared" si="3"/>
        <v>INSERT INTO TNL_RATING.dbo.usps_rate_master VALUES ('USPS', '2/13/2025', '2/13/2026', 12659, 'US', 'Priority Mail', 2, 1, 'L', 6.97, 'Wedgewood_USPS_2025', 'NonCubic');</v>
      </c>
    </row>
    <row r="217" spans="1:13" x14ac:dyDescent="0.3">
      <c r="A217" t="s">
        <v>11</v>
      </c>
      <c r="B217" s="1" t="s">
        <v>44</v>
      </c>
      <c r="C217" s="1" t="s">
        <v>45</v>
      </c>
      <c r="D217">
        <v>12659</v>
      </c>
      <c r="E217" t="s">
        <v>12</v>
      </c>
      <c r="F217" t="s">
        <v>48</v>
      </c>
      <c r="G217">
        <v>2</v>
      </c>
      <c r="H217">
        <v>2</v>
      </c>
      <c r="I217" t="s">
        <v>46</v>
      </c>
      <c r="J217" cm="1">
        <f t="array" ref="J217">IFERROR(
    _xlfn.XLOOKUP(G217, 'Wedgewood Pharm-PM-Yr2-2025'!$E$4:$L$4,
        _xlfn.XLOOKUP('Rate Load'!H217, 'Wedgewood Pharm-PM-Yr2-2025'!$D$5:$D$31,
            'Wedgewood Pharm-PM-Yr2-2025'!$E$5:$L$31, 0, 0),
        0, 0),
    _xlfn.XLOOKUP(G217, 'Wedgewood Pharm-PM-Yr2-2025'!$E$4:$L$4,
        _xlfn.XLOOKUP('Rate Load'!L217, 'Wedgewood Pharm-PM-Yr2-2025'!$D$5:$D$31,
            'Wedgewood Pharm-PM-Yr2-2025'!$E$5:$L$31, 0, 0),
        0, 0)
)</f>
        <v>6.97</v>
      </c>
      <c r="K217" t="s">
        <v>47</v>
      </c>
      <c r="L217" t="s">
        <v>14</v>
      </c>
      <c r="M217" t="str">
        <f t="shared" si="3"/>
        <v>INSERT INTO TNL_RATING.dbo.usps_rate_master VALUES ('USPS', '2/13/2025', '2/13/2026', 12659, 'US', 'Priority Mail', 2, 2, 'L', 6.97, 'Wedgewood_USPS_2025', 'NonCubic');</v>
      </c>
    </row>
    <row r="218" spans="1:13" x14ac:dyDescent="0.3">
      <c r="A218" t="s">
        <v>11</v>
      </c>
      <c r="B218" s="1" t="s">
        <v>44</v>
      </c>
      <c r="C218" s="1" t="s">
        <v>45</v>
      </c>
      <c r="D218">
        <v>12659</v>
      </c>
      <c r="E218" t="s">
        <v>12</v>
      </c>
      <c r="F218" t="s">
        <v>48</v>
      </c>
      <c r="G218">
        <v>2</v>
      </c>
      <c r="H218">
        <v>3</v>
      </c>
      <c r="I218" t="s">
        <v>46</v>
      </c>
      <c r="J218" cm="1">
        <f t="array" ref="J218">IFERROR(
    _xlfn.XLOOKUP(G218, 'Wedgewood Pharm-PM-Yr2-2025'!$E$4:$L$4,
        _xlfn.XLOOKUP('Rate Load'!H218, 'Wedgewood Pharm-PM-Yr2-2025'!$D$5:$D$31,
            'Wedgewood Pharm-PM-Yr2-2025'!$E$5:$L$31, 0, 0),
        0, 0),
    _xlfn.XLOOKUP(G218, 'Wedgewood Pharm-PM-Yr2-2025'!$E$4:$L$4,
        _xlfn.XLOOKUP('Rate Load'!L218, 'Wedgewood Pharm-PM-Yr2-2025'!$D$5:$D$31,
            'Wedgewood Pharm-PM-Yr2-2025'!$E$5:$L$31, 0, 0),
        0, 0)
)</f>
        <v>7.1499999999999995</v>
      </c>
      <c r="K218" t="s">
        <v>47</v>
      </c>
      <c r="L218" t="s">
        <v>14</v>
      </c>
      <c r="M218" t="str">
        <f t="shared" si="3"/>
        <v>INSERT INTO TNL_RATING.dbo.usps_rate_master VALUES ('USPS', '2/13/2025', '2/13/2026', 12659, 'US', 'Priority Mail', 2, 3, 'L', 7.15, 'Wedgewood_USPS_2025', 'NonCubic');</v>
      </c>
    </row>
    <row r="219" spans="1:13" x14ac:dyDescent="0.3">
      <c r="A219" t="s">
        <v>11</v>
      </c>
      <c r="B219" s="1" t="s">
        <v>44</v>
      </c>
      <c r="C219" s="1" t="s">
        <v>45</v>
      </c>
      <c r="D219">
        <v>12659</v>
      </c>
      <c r="E219" t="s">
        <v>12</v>
      </c>
      <c r="F219" t="s">
        <v>48</v>
      </c>
      <c r="G219">
        <v>2</v>
      </c>
      <c r="H219">
        <v>4</v>
      </c>
      <c r="I219" t="s">
        <v>46</v>
      </c>
      <c r="J219" cm="1">
        <f t="array" ref="J219">IFERROR(
    _xlfn.XLOOKUP(G219, 'Wedgewood Pharm-PM-Yr2-2025'!$E$4:$L$4,
        _xlfn.XLOOKUP('Rate Load'!H219, 'Wedgewood Pharm-PM-Yr2-2025'!$D$5:$D$31,
            'Wedgewood Pharm-PM-Yr2-2025'!$E$5:$L$31, 0, 0),
        0, 0),
    _xlfn.XLOOKUP(G219, 'Wedgewood Pharm-PM-Yr2-2025'!$E$4:$L$4,
        _xlfn.XLOOKUP('Rate Load'!L219, 'Wedgewood Pharm-PM-Yr2-2025'!$D$5:$D$31,
            'Wedgewood Pharm-PM-Yr2-2025'!$E$5:$L$31, 0, 0),
        0, 0)
)</f>
        <v>7.33</v>
      </c>
      <c r="K219" t="s">
        <v>47</v>
      </c>
      <c r="L219" t="s">
        <v>14</v>
      </c>
      <c r="M219" t="str">
        <f t="shared" si="3"/>
        <v>INSERT INTO TNL_RATING.dbo.usps_rate_master VALUES ('USPS', '2/13/2025', '2/13/2026', 12659, 'US', 'Priority Mail', 2, 4, 'L', 7.33, 'Wedgewood_USPS_2025', 'NonCubic');</v>
      </c>
    </row>
    <row r="220" spans="1:13" x14ac:dyDescent="0.3">
      <c r="A220" t="s">
        <v>11</v>
      </c>
      <c r="B220" s="1" t="s">
        <v>44</v>
      </c>
      <c r="C220" s="1" t="s">
        <v>45</v>
      </c>
      <c r="D220">
        <v>12659</v>
      </c>
      <c r="E220" t="s">
        <v>12</v>
      </c>
      <c r="F220" t="s">
        <v>48</v>
      </c>
      <c r="G220">
        <v>2</v>
      </c>
      <c r="H220">
        <v>5</v>
      </c>
      <c r="I220" t="s">
        <v>46</v>
      </c>
      <c r="J220" cm="1">
        <f t="array" ref="J220">IFERROR(
    _xlfn.XLOOKUP(G220, 'Wedgewood Pharm-PM-Yr2-2025'!$E$4:$L$4,
        _xlfn.XLOOKUP('Rate Load'!H220, 'Wedgewood Pharm-PM-Yr2-2025'!$D$5:$D$31,
            'Wedgewood Pharm-PM-Yr2-2025'!$E$5:$L$31, 0, 0),
        0, 0),
    _xlfn.XLOOKUP(G220, 'Wedgewood Pharm-PM-Yr2-2025'!$E$4:$L$4,
        _xlfn.XLOOKUP('Rate Load'!L220, 'Wedgewood Pharm-PM-Yr2-2025'!$D$5:$D$31,
            'Wedgewood Pharm-PM-Yr2-2025'!$E$5:$L$31, 0, 0),
        0, 0)
)</f>
        <v>7.37</v>
      </c>
      <c r="K220" t="s">
        <v>47</v>
      </c>
      <c r="L220" t="s">
        <v>14</v>
      </c>
      <c r="M220" t="str">
        <f t="shared" si="3"/>
        <v>INSERT INTO TNL_RATING.dbo.usps_rate_master VALUES ('USPS', '2/13/2025', '2/13/2026', 12659, 'US', 'Priority Mail', 2, 5, 'L', 7.37, 'Wedgewood_USPS_2025', 'NonCubic');</v>
      </c>
    </row>
    <row r="221" spans="1:13" x14ac:dyDescent="0.3">
      <c r="A221" t="s">
        <v>11</v>
      </c>
      <c r="B221" s="1" t="s">
        <v>44</v>
      </c>
      <c r="C221" s="1" t="s">
        <v>45</v>
      </c>
      <c r="D221">
        <v>12659</v>
      </c>
      <c r="E221" t="s">
        <v>12</v>
      </c>
      <c r="F221" t="s">
        <v>48</v>
      </c>
      <c r="G221">
        <v>2</v>
      </c>
      <c r="H221">
        <v>6</v>
      </c>
      <c r="I221" t="s">
        <v>46</v>
      </c>
      <c r="J221" cm="1">
        <f t="array" ref="J221">IFERROR(
    _xlfn.XLOOKUP(G221, 'Wedgewood Pharm-PM-Yr2-2025'!$E$4:$L$4,
        _xlfn.XLOOKUP('Rate Load'!H221, 'Wedgewood Pharm-PM-Yr2-2025'!$D$5:$D$31,
            'Wedgewood Pharm-PM-Yr2-2025'!$E$5:$L$31, 0, 0),
        0, 0),
    _xlfn.XLOOKUP(G221, 'Wedgewood Pharm-PM-Yr2-2025'!$E$4:$L$4,
        _xlfn.XLOOKUP('Rate Load'!L221, 'Wedgewood Pharm-PM-Yr2-2025'!$D$5:$D$31,
            'Wedgewood Pharm-PM-Yr2-2025'!$E$5:$L$31, 0, 0),
        0, 0)
)</f>
        <v>7.84</v>
      </c>
      <c r="K221" t="s">
        <v>47</v>
      </c>
      <c r="L221" t="s">
        <v>14</v>
      </c>
      <c r="M221" t="str">
        <f t="shared" si="3"/>
        <v>INSERT INTO TNL_RATING.dbo.usps_rate_master VALUES ('USPS', '2/13/2025', '2/13/2026', 12659, 'US', 'Priority Mail', 2, 6, 'L', 7.84, 'Wedgewood_USPS_2025', 'NonCubic');</v>
      </c>
    </row>
    <row r="222" spans="1:13" x14ac:dyDescent="0.3">
      <c r="A222" t="s">
        <v>11</v>
      </c>
      <c r="B222" s="1" t="s">
        <v>44</v>
      </c>
      <c r="C222" s="1" t="s">
        <v>45</v>
      </c>
      <c r="D222">
        <v>12659</v>
      </c>
      <c r="E222" t="s">
        <v>12</v>
      </c>
      <c r="F222" t="s">
        <v>48</v>
      </c>
      <c r="G222">
        <v>2</v>
      </c>
      <c r="H222">
        <v>7</v>
      </c>
      <c r="I222" t="s">
        <v>46</v>
      </c>
      <c r="J222" cm="1">
        <f t="array" ref="J222">IFERROR(
    _xlfn.XLOOKUP(G222, 'Wedgewood Pharm-PM-Yr2-2025'!$E$4:$L$4,
        _xlfn.XLOOKUP('Rate Load'!H222, 'Wedgewood Pharm-PM-Yr2-2025'!$D$5:$D$31,
            'Wedgewood Pharm-PM-Yr2-2025'!$E$5:$L$31, 0, 0),
        0, 0),
    _xlfn.XLOOKUP(G222, 'Wedgewood Pharm-PM-Yr2-2025'!$E$4:$L$4,
        _xlfn.XLOOKUP('Rate Load'!L222, 'Wedgewood Pharm-PM-Yr2-2025'!$D$5:$D$31,
            'Wedgewood Pharm-PM-Yr2-2025'!$E$5:$L$31, 0, 0),
        0, 0)
)</f>
        <v>8.5399999999999991</v>
      </c>
      <c r="K222" t="s">
        <v>47</v>
      </c>
      <c r="L222" t="s">
        <v>14</v>
      </c>
      <c r="M222" t="str">
        <f t="shared" si="3"/>
        <v>INSERT INTO TNL_RATING.dbo.usps_rate_master VALUES ('USPS', '2/13/2025', '2/13/2026', 12659, 'US', 'Priority Mail', 2, 7, 'L', 8.54, 'Wedgewood_USPS_2025', 'NonCubic');</v>
      </c>
    </row>
    <row r="223" spans="1:13" x14ac:dyDescent="0.3">
      <c r="A223" t="s">
        <v>11</v>
      </c>
      <c r="B223" s="1" t="s">
        <v>44</v>
      </c>
      <c r="C223" s="1" t="s">
        <v>45</v>
      </c>
      <c r="D223">
        <v>12659</v>
      </c>
      <c r="E223" t="s">
        <v>12</v>
      </c>
      <c r="F223" t="s">
        <v>48</v>
      </c>
      <c r="G223">
        <v>2</v>
      </c>
      <c r="H223">
        <v>8</v>
      </c>
      <c r="I223" t="s">
        <v>46</v>
      </c>
      <c r="J223" cm="1">
        <f t="array" ref="J223">IFERROR(
    _xlfn.XLOOKUP(G223, 'Wedgewood Pharm-PM-Yr2-2025'!$E$4:$L$4,
        _xlfn.XLOOKUP('Rate Load'!H223, 'Wedgewood Pharm-PM-Yr2-2025'!$D$5:$D$31,
            'Wedgewood Pharm-PM-Yr2-2025'!$E$5:$L$31, 0, 0),
        0, 0),
    _xlfn.XLOOKUP(G223, 'Wedgewood Pharm-PM-Yr2-2025'!$E$4:$L$4,
        _xlfn.XLOOKUP('Rate Load'!L223, 'Wedgewood Pharm-PM-Yr2-2025'!$D$5:$D$31,
            'Wedgewood Pharm-PM-Yr2-2025'!$E$5:$L$31, 0, 0),
        0, 0)
)</f>
        <v>8.75</v>
      </c>
      <c r="K223" t="s">
        <v>47</v>
      </c>
      <c r="L223" t="s">
        <v>14</v>
      </c>
      <c r="M223" t="str">
        <f t="shared" si="3"/>
        <v>INSERT INTO TNL_RATING.dbo.usps_rate_master VALUES ('USPS', '2/13/2025', '2/13/2026', 12659, 'US', 'Priority Mail', 2, 8, 'L', 8.75, 'Wedgewood_USPS_2025', 'NonCubic');</v>
      </c>
    </row>
    <row r="224" spans="1:13" x14ac:dyDescent="0.3">
      <c r="A224" t="s">
        <v>11</v>
      </c>
      <c r="B224" s="1" t="s">
        <v>44</v>
      </c>
      <c r="C224" s="1" t="s">
        <v>45</v>
      </c>
      <c r="D224">
        <v>12659</v>
      </c>
      <c r="E224" t="s">
        <v>12</v>
      </c>
      <c r="F224" t="s">
        <v>48</v>
      </c>
      <c r="G224">
        <v>2</v>
      </c>
      <c r="H224">
        <v>9</v>
      </c>
      <c r="I224" t="s">
        <v>46</v>
      </c>
      <c r="J224" cm="1">
        <f t="array" ref="J224">IFERROR(
    _xlfn.XLOOKUP(G224, 'Wedgewood Pharm-PM-Yr2-2025'!$E$4:$L$4,
        _xlfn.XLOOKUP('Rate Load'!H224, 'Wedgewood Pharm-PM-Yr2-2025'!$D$5:$D$31,
            'Wedgewood Pharm-PM-Yr2-2025'!$E$5:$L$31, 0, 0),
        0, 0),
    _xlfn.XLOOKUP(G224, 'Wedgewood Pharm-PM-Yr2-2025'!$E$4:$L$4,
        _xlfn.XLOOKUP('Rate Load'!L224, 'Wedgewood Pharm-PM-Yr2-2025'!$D$5:$D$31,
            'Wedgewood Pharm-PM-Yr2-2025'!$E$5:$L$31, 0, 0),
        0, 0)
)</f>
        <v>9.32</v>
      </c>
      <c r="K224" t="s">
        <v>47</v>
      </c>
      <c r="L224" t="s">
        <v>14</v>
      </c>
      <c r="M224" t="str">
        <f t="shared" si="3"/>
        <v>INSERT INTO TNL_RATING.dbo.usps_rate_master VALUES ('USPS', '2/13/2025', '2/13/2026', 12659, 'US', 'Priority Mail', 2, 9, 'L', 9.32, 'Wedgewood_USPS_2025', 'NonCubic');</v>
      </c>
    </row>
    <row r="225" spans="1:13" x14ac:dyDescent="0.3">
      <c r="A225" t="s">
        <v>11</v>
      </c>
      <c r="B225" s="1" t="s">
        <v>44</v>
      </c>
      <c r="C225" s="1" t="s">
        <v>45</v>
      </c>
      <c r="D225">
        <v>12659</v>
      </c>
      <c r="E225" t="s">
        <v>12</v>
      </c>
      <c r="F225" t="s">
        <v>48</v>
      </c>
      <c r="G225">
        <v>2</v>
      </c>
      <c r="H225">
        <v>10</v>
      </c>
      <c r="I225" t="s">
        <v>46</v>
      </c>
      <c r="J225" cm="1">
        <f t="array" ref="J225">IFERROR(
    _xlfn.XLOOKUP(G225, 'Wedgewood Pharm-PM-Yr2-2025'!$E$4:$L$4,
        _xlfn.XLOOKUP('Rate Load'!H225, 'Wedgewood Pharm-PM-Yr2-2025'!$D$5:$D$31,
            'Wedgewood Pharm-PM-Yr2-2025'!$E$5:$L$31, 0, 0),
        0, 0),
    _xlfn.XLOOKUP(G225, 'Wedgewood Pharm-PM-Yr2-2025'!$E$4:$L$4,
        _xlfn.XLOOKUP('Rate Load'!L225, 'Wedgewood Pharm-PM-Yr2-2025'!$D$5:$D$31,
            'Wedgewood Pharm-PM-Yr2-2025'!$E$5:$L$31, 0, 0),
        0, 0)
)</f>
        <v>9.81</v>
      </c>
      <c r="K225" t="s">
        <v>47</v>
      </c>
      <c r="L225" t="s">
        <v>14</v>
      </c>
      <c r="M225" t="str">
        <f t="shared" si="3"/>
        <v>INSERT INTO TNL_RATING.dbo.usps_rate_master VALUES ('USPS', '2/13/2025', '2/13/2026', 12659, 'US', 'Priority Mail', 2, 10, 'L', 9.81, 'Wedgewood_USPS_2025', 'NonCubic');</v>
      </c>
    </row>
    <row r="226" spans="1:13" x14ac:dyDescent="0.3">
      <c r="A226" t="s">
        <v>11</v>
      </c>
      <c r="B226" s="1" t="s">
        <v>44</v>
      </c>
      <c r="C226" s="1" t="s">
        <v>45</v>
      </c>
      <c r="D226">
        <v>12659</v>
      </c>
      <c r="E226" t="s">
        <v>12</v>
      </c>
      <c r="F226" t="s">
        <v>48</v>
      </c>
      <c r="G226">
        <v>2</v>
      </c>
      <c r="H226">
        <v>11</v>
      </c>
      <c r="I226" t="s">
        <v>46</v>
      </c>
      <c r="J226" cm="1">
        <f t="array" ref="J226">IFERROR(
    _xlfn.XLOOKUP(G226, 'Wedgewood Pharm-PM-Yr2-2025'!$E$4:$L$4,
        _xlfn.XLOOKUP('Rate Load'!H226, 'Wedgewood Pharm-PM-Yr2-2025'!$D$5:$D$31,
            'Wedgewood Pharm-PM-Yr2-2025'!$E$5:$L$31, 0, 0),
        0, 0),
    _xlfn.XLOOKUP(G226, 'Wedgewood Pharm-PM-Yr2-2025'!$E$4:$L$4,
        _xlfn.XLOOKUP('Rate Load'!L226, 'Wedgewood Pharm-PM-Yr2-2025'!$D$5:$D$31,
            'Wedgewood Pharm-PM-Yr2-2025'!$E$5:$L$31, 0, 0),
        0, 0)
)</f>
        <v>10.92</v>
      </c>
      <c r="K226" t="s">
        <v>47</v>
      </c>
      <c r="L226" t="s">
        <v>14</v>
      </c>
      <c r="M226" t="str">
        <f t="shared" si="3"/>
        <v>INSERT INTO TNL_RATING.dbo.usps_rate_master VALUES ('USPS', '2/13/2025', '2/13/2026', 12659, 'US', 'Priority Mail', 2, 11, 'L', 10.92, 'Wedgewood_USPS_2025', 'NonCubic');</v>
      </c>
    </row>
    <row r="227" spans="1:13" x14ac:dyDescent="0.3">
      <c r="A227" t="s">
        <v>11</v>
      </c>
      <c r="B227" s="1" t="s">
        <v>44</v>
      </c>
      <c r="C227" s="1" t="s">
        <v>45</v>
      </c>
      <c r="D227">
        <v>12659</v>
      </c>
      <c r="E227" t="s">
        <v>12</v>
      </c>
      <c r="F227" t="s">
        <v>48</v>
      </c>
      <c r="G227">
        <v>2</v>
      </c>
      <c r="H227">
        <v>12</v>
      </c>
      <c r="I227" t="s">
        <v>46</v>
      </c>
      <c r="J227" cm="1">
        <f t="array" ref="J227">IFERROR(
    _xlfn.XLOOKUP(G227, 'Wedgewood Pharm-PM-Yr2-2025'!$E$4:$L$4,
        _xlfn.XLOOKUP('Rate Load'!H227, 'Wedgewood Pharm-PM-Yr2-2025'!$D$5:$D$31,
            'Wedgewood Pharm-PM-Yr2-2025'!$E$5:$L$31, 0, 0),
        0, 0),
    _xlfn.XLOOKUP(G227, 'Wedgewood Pharm-PM-Yr2-2025'!$E$4:$L$4,
        _xlfn.XLOOKUP('Rate Load'!L227, 'Wedgewood Pharm-PM-Yr2-2025'!$D$5:$D$31,
            'Wedgewood Pharm-PM-Yr2-2025'!$E$5:$L$31, 0, 0),
        0, 0)
)</f>
        <v>11.33</v>
      </c>
      <c r="K227" t="s">
        <v>47</v>
      </c>
      <c r="L227" t="s">
        <v>14</v>
      </c>
      <c r="M227" t="str">
        <f t="shared" si="3"/>
        <v>INSERT INTO TNL_RATING.dbo.usps_rate_master VALUES ('USPS', '2/13/2025', '2/13/2026', 12659, 'US', 'Priority Mail', 2, 12, 'L', 11.33, 'Wedgewood_USPS_2025', 'NonCubic');</v>
      </c>
    </row>
    <row r="228" spans="1:13" x14ac:dyDescent="0.3">
      <c r="A228" t="s">
        <v>11</v>
      </c>
      <c r="B228" s="1" t="s">
        <v>44</v>
      </c>
      <c r="C228" s="1" t="s">
        <v>45</v>
      </c>
      <c r="D228">
        <v>12659</v>
      </c>
      <c r="E228" t="s">
        <v>12</v>
      </c>
      <c r="F228" t="s">
        <v>48</v>
      </c>
      <c r="G228">
        <v>2</v>
      </c>
      <c r="H228">
        <v>13</v>
      </c>
      <c r="I228" t="s">
        <v>46</v>
      </c>
      <c r="J228" cm="1">
        <f t="array" ref="J228">IFERROR(
    _xlfn.XLOOKUP(G228, 'Wedgewood Pharm-PM-Yr2-2025'!$E$4:$L$4,
        _xlfn.XLOOKUP('Rate Load'!H228, 'Wedgewood Pharm-PM-Yr2-2025'!$D$5:$D$31,
            'Wedgewood Pharm-PM-Yr2-2025'!$E$5:$L$31, 0, 0),
        0, 0),
    _xlfn.XLOOKUP(G228, 'Wedgewood Pharm-PM-Yr2-2025'!$E$4:$L$4,
        _xlfn.XLOOKUP('Rate Load'!L228, 'Wedgewood Pharm-PM-Yr2-2025'!$D$5:$D$31,
            'Wedgewood Pharm-PM-Yr2-2025'!$E$5:$L$31, 0, 0),
        0, 0)
)</f>
        <v>11.77</v>
      </c>
      <c r="K228" t="s">
        <v>47</v>
      </c>
      <c r="L228" t="s">
        <v>14</v>
      </c>
      <c r="M228" t="str">
        <f t="shared" si="3"/>
        <v>INSERT INTO TNL_RATING.dbo.usps_rate_master VALUES ('USPS', '2/13/2025', '2/13/2026', 12659, 'US', 'Priority Mail', 2, 13, 'L', 11.77, 'Wedgewood_USPS_2025', 'NonCubic');</v>
      </c>
    </row>
    <row r="229" spans="1:13" x14ac:dyDescent="0.3">
      <c r="A229" t="s">
        <v>11</v>
      </c>
      <c r="B229" s="1" t="s">
        <v>44</v>
      </c>
      <c r="C229" s="1" t="s">
        <v>45</v>
      </c>
      <c r="D229">
        <v>12659</v>
      </c>
      <c r="E229" t="s">
        <v>12</v>
      </c>
      <c r="F229" t="s">
        <v>48</v>
      </c>
      <c r="G229">
        <v>2</v>
      </c>
      <c r="H229">
        <v>14</v>
      </c>
      <c r="I229" t="s">
        <v>46</v>
      </c>
      <c r="J229" cm="1">
        <f t="array" ref="J229">IFERROR(
    _xlfn.XLOOKUP(G229, 'Wedgewood Pharm-PM-Yr2-2025'!$E$4:$L$4,
        _xlfn.XLOOKUP('Rate Load'!H229, 'Wedgewood Pharm-PM-Yr2-2025'!$D$5:$D$31,
            'Wedgewood Pharm-PM-Yr2-2025'!$E$5:$L$31, 0, 0),
        0, 0),
    _xlfn.XLOOKUP(G229, 'Wedgewood Pharm-PM-Yr2-2025'!$E$4:$L$4,
        _xlfn.XLOOKUP('Rate Load'!L229, 'Wedgewood Pharm-PM-Yr2-2025'!$D$5:$D$31,
            'Wedgewood Pharm-PM-Yr2-2025'!$E$5:$L$31, 0, 0),
        0, 0)
)</f>
        <v>12.24</v>
      </c>
      <c r="K229" t="s">
        <v>47</v>
      </c>
      <c r="L229" t="s">
        <v>14</v>
      </c>
      <c r="M229" t="str">
        <f t="shared" si="3"/>
        <v>INSERT INTO TNL_RATING.dbo.usps_rate_master VALUES ('USPS', '2/13/2025', '2/13/2026', 12659, 'US', 'Priority Mail', 2, 14, 'L', 12.24, 'Wedgewood_USPS_2025', 'NonCubic');</v>
      </c>
    </row>
    <row r="230" spans="1:13" x14ac:dyDescent="0.3">
      <c r="A230" t="s">
        <v>11</v>
      </c>
      <c r="B230" s="1" t="s">
        <v>44</v>
      </c>
      <c r="C230" s="1" t="s">
        <v>45</v>
      </c>
      <c r="D230">
        <v>12659</v>
      </c>
      <c r="E230" t="s">
        <v>12</v>
      </c>
      <c r="F230" t="s">
        <v>48</v>
      </c>
      <c r="G230">
        <v>2</v>
      </c>
      <c r="H230">
        <v>15</v>
      </c>
      <c r="I230" t="s">
        <v>46</v>
      </c>
      <c r="J230" cm="1">
        <f t="array" ref="J230">IFERROR(
    _xlfn.XLOOKUP(G230, 'Wedgewood Pharm-PM-Yr2-2025'!$E$4:$L$4,
        _xlfn.XLOOKUP('Rate Load'!H230, 'Wedgewood Pharm-PM-Yr2-2025'!$D$5:$D$31,
            'Wedgewood Pharm-PM-Yr2-2025'!$E$5:$L$31, 0, 0),
        0, 0),
    _xlfn.XLOOKUP(G230, 'Wedgewood Pharm-PM-Yr2-2025'!$E$4:$L$4,
        _xlfn.XLOOKUP('Rate Load'!L230, 'Wedgewood Pharm-PM-Yr2-2025'!$D$5:$D$31,
            'Wedgewood Pharm-PM-Yr2-2025'!$E$5:$L$31, 0, 0),
        0, 0)
)</f>
        <v>12.62</v>
      </c>
      <c r="K230" t="s">
        <v>47</v>
      </c>
      <c r="L230" t="s">
        <v>14</v>
      </c>
      <c r="M230" t="str">
        <f t="shared" si="3"/>
        <v>INSERT INTO TNL_RATING.dbo.usps_rate_master VALUES ('USPS', '2/13/2025', '2/13/2026', 12659, 'US', 'Priority Mail', 2, 15, 'L', 12.62, 'Wedgewood_USPS_2025', 'NonCubic');</v>
      </c>
    </row>
    <row r="231" spans="1:13" x14ac:dyDescent="0.3">
      <c r="A231" t="s">
        <v>11</v>
      </c>
      <c r="B231" s="1" t="s">
        <v>44</v>
      </c>
      <c r="C231" s="1" t="s">
        <v>45</v>
      </c>
      <c r="D231">
        <v>12659</v>
      </c>
      <c r="E231" t="s">
        <v>12</v>
      </c>
      <c r="F231" t="s">
        <v>48</v>
      </c>
      <c r="G231">
        <v>2</v>
      </c>
      <c r="H231">
        <v>16</v>
      </c>
      <c r="I231" t="s">
        <v>46</v>
      </c>
      <c r="J231" cm="1">
        <f t="array" ref="J231">IFERROR(
    _xlfn.XLOOKUP(G231, 'Wedgewood Pharm-PM-Yr2-2025'!$E$4:$L$4,
        _xlfn.XLOOKUP('Rate Load'!H231, 'Wedgewood Pharm-PM-Yr2-2025'!$D$5:$D$31,
            'Wedgewood Pharm-PM-Yr2-2025'!$E$5:$L$31, 0, 0),
        0, 0),
    _xlfn.XLOOKUP(G231, 'Wedgewood Pharm-PM-Yr2-2025'!$E$4:$L$4,
        _xlfn.XLOOKUP('Rate Load'!L231, 'Wedgewood Pharm-PM-Yr2-2025'!$D$5:$D$31,
            'Wedgewood Pharm-PM-Yr2-2025'!$E$5:$L$31, 0, 0),
        0, 0)
)</f>
        <v>13.14</v>
      </c>
      <c r="K231" t="s">
        <v>47</v>
      </c>
      <c r="L231" t="s">
        <v>14</v>
      </c>
      <c r="M231" t="str">
        <f t="shared" si="3"/>
        <v>INSERT INTO TNL_RATING.dbo.usps_rate_master VALUES ('USPS', '2/13/2025', '2/13/2026', 12659, 'US', 'Priority Mail', 2, 16, 'L', 13.14, 'Wedgewood_USPS_2025', 'NonCubic');</v>
      </c>
    </row>
    <row r="232" spans="1:13" x14ac:dyDescent="0.3">
      <c r="A232" t="s">
        <v>11</v>
      </c>
      <c r="B232" s="1" t="s">
        <v>44</v>
      </c>
      <c r="C232" s="1" t="s">
        <v>45</v>
      </c>
      <c r="D232">
        <v>12659</v>
      </c>
      <c r="E232" t="s">
        <v>12</v>
      </c>
      <c r="F232" t="s">
        <v>48</v>
      </c>
      <c r="G232">
        <v>2</v>
      </c>
      <c r="H232">
        <v>17</v>
      </c>
      <c r="I232" t="s">
        <v>46</v>
      </c>
      <c r="J232" cm="1">
        <f t="array" ref="J232">IFERROR(
    _xlfn.XLOOKUP(G232, 'Wedgewood Pharm-PM-Yr2-2025'!$E$4:$L$4,
        _xlfn.XLOOKUP('Rate Load'!H232, 'Wedgewood Pharm-PM-Yr2-2025'!$D$5:$D$31,
            'Wedgewood Pharm-PM-Yr2-2025'!$E$5:$L$31, 0, 0),
        0, 0),
    _xlfn.XLOOKUP(G232, 'Wedgewood Pharm-PM-Yr2-2025'!$E$4:$L$4,
        _xlfn.XLOOKUP('Rate Load'!L232, 'Wedgewood Pharm-PM-Yr2-2025'!$D$5:$D$31,
            'Wedgewood Pharm-PM-Yr2-2025'!$E$5:$L$31, 0, 0),
        0, 0)
)</f>
        <v>13.57</v>
      </c>
      <c r="K232" t="s">
        <v>47</v>
      </c>
      <c r="L232" t="s">
        <v>14</v>
      </c>
      <c r="M232" t="str">
        <f t="shared" si="3"/>
        <v>INSERT INTO TNL_RATING.dbo.usps_rate_master VALUES ('USPS', '2/13/2025', '2/13/2026', 12659, 'US', 'Priority Mail', 2, 17, 'L', 13.57, 'Wedgewood_USPS_2025', 'NonCubic');</v>
      </c>
    </row>
    <row r="233" spans="1:13" x14ac:dyDescent="0.3">
      <c r="A233" t="s">
        <v>11</v>
      </c>
      <c r="B233" s="1" t="s">
        <v>44</v>
      </c>
      <c r="C233" s="1" t="s">
        <v>45</v>
      </c>
      <c r="D233">
        <v>12659</v>
      </c>
      <c r="E233" t="s">
        <v>12</v>
      </c>
      <c r="F233" t="s">
        <v>48</v>
      </c>
      <c r="G233">
        <v>2</v>
      </c>
      <c r="H233">
        <v>18</v>
      </c>
      <c r="I233" t="s">
        <v>46</v>
      </c>
      <c r="J233" cm="1">
        <f t="array" ref="J233">IFERROR(
    _xlfn.XLOOKUP(G233, 'Wedgewood Pharm-PM-Yr2-2025'!$E$4:$L$4,
        _xlfn.XLOOKUP('Rate Load'!H233, 'Wedgewood Pharm-PM-Yr2-2025'!$D$5:$D$31,
            'Wedgewood Pharm-PM-Yr2-2025'!$E$5:$L$31, 0, 0),
        0, 0),
    _xlfn.XLOOKUP(G233, 'Wedgewood Pharm-PM-Yr2-2025'!$E$4:$L$4,
        _xlfn.XLOOKUP('Rate Load'!L233, 'Wedgewood Pharm-PM-Yr2-2025'!$D$5:$D$31,
            'Wedgewood Pharm-PM-Yr2-2025'!$E$5:$L$31, 0, 0),
        0, 0)
)</f>
        <v>13.76</v>
      </c>
      <c r="K233" t="s">
        <v>47</v>
      </c>
      <c r="L233" t="s">
        <v>14</v>
      </c>
      <c r="M233" t="str">
        <f t="shared" si="3"/>
        <v>INSERT INTO TNL_RATING.dbo.usps_rate_master VALUES ('USPS', '2/13/2025', '2/13/2026', 12659, 'US', 'Priority Mail', 2, 18, 'L', 13.76, 'Wedgewood_USPS_2025', 'NonCubic');</v>
      </c>
    </row>
    <row r="234" spans="1:13" x14ac:dyDescent="0.3">
      <c r="A234" t="s">
        <v>11</v>
      </c>
      <c r="B234" s="1" t="s">
        <v>44</v>
      </c>
      <c r="C234" s="1" t="s">
        <v>45</v>
      </c>
      <c r="D234">
        <v>12659</v>
      </c>
      <c r="E234" t="s">
        <v>12</v>
      </c>
      <c r="F234" t="s">
        <v>48</v>
      </c>
      <c r="G234">
        <v>2</v>
      </c>
      <c r="H234">
        <v>19</v>
      </c>
      <c r="I234" t="s">
        <v>46</v>
      </c>
      <c r="J234" cm="1">
        <f t="array" ref="J234">IFERROR(
    _xlfn.XLOOKUP(G234, 'Wedgewood Pharm-PM-Yr2-2025'!$E$4:$L$4,
        _xlfn.XLOOKUP('Rate Load'!H234, 'Wedgewood Pharm-PM-Yr2-2025'!$D$5:$D$31,
            'Wedgewood Pharm-PM-Yr2-2025'!$E$5:$L$31, 0, 0),
        0, 0),
    _xlfn.XLOOKUP(G234, 'Wedgewood Pharm-PM-Yr2-2025'!$E$4:$L$4,
        _xlfn.XLOOKUP('Rate Load'!L234, 'Wedgewood Pharm-PM-Yr2-2025'!$D$5:$D$31,
            'Wedgewood Pharm-PM-Yr2-2025'!$E$5:$L$31, 0, 0),
        0, 0)
)</f>
        <v>14.08</v>
      </c>
      <c r="K234" t="s">
        <v>47</v>
      </c>
      <c r="L234" t="s">
        <v>14</v>
      </c>
      <c r="M234" t="str">
        <f t="shared" si="3"/>
        <v>INSERT INTO TNL_RATING.dbo.usps_rate_master VALUES ('USPS', '2/13/2025', '2/13/2026', 12659, 'US', 'Priority Mail', 2, 19, 'L', 14.08, 'Wedgewood_USPS_2025', 'NonCubic');</v>
      </c>
    </row>
    <row r="235" spans="1:13" x14ac:dyDescent="0.3">
      <c r="A235" t="s">
        <v>11</v>
      </c>
      <c r="B235" s="1" t="s">
        <v>44</v>
      </c>
      <c r="C235" s="1" t="s">
        <v>45</v>
      </c>
      <c r="D235">
        <v>12659</v>
      </c>
      <c r="E235" t="s">
        <v>12</v>
      </c>
      <c r="F235" t="s">
        <v>48</v>
      </c>
      <c r="G235">
        <v>2</v>
      </c>
      <c r="H235">
        <v>20</v>
      </c>
      <c r="I235" t="s">
        <v>46</v>
      </c>
      <c r="J235" cm="1">
        <f t="array" ref="J235">IFERROR(
    _xlfn.XLOOKUP(G235, 'Wedgewood Pharm-PM-Yr2-2025'!$E$4:$L$4,
        _xlfn.XLOOKUP('Rate Load'!H235, 'Wedgewood Pharm-PM-Yr2-2025'!$D$5:$D$31,
            'Wedgewood Pharm-PM-Yr2-2025'!$E$5:$L$31, 0, 0),
        0, 0),
    _xlfn.XLOOKUP(G235, 'Wedgewood Pharm-PM-Yr2-2025'!$E$4:$L$4,
        _xlfn.XLOOKUP('Rate Load'!L235, 'Wedgewood Pharm-PM-Yr2-2025'!$D$5:$D$31,
            'Wedgewood Pharm-PM-Yr2-2025'!$E$5:$L$31, 0, 0),
        0, 0)
)</f>
        <v>14.35</v>
      </c>
      <c r="K235" t="s">
        <v>47</v>
      </c>
      <c r="L235" t="s">
        <v>14</v>
      </c>
      <c r="M235" t="str">
        <f t="shared" si="3"/>
        <v>INSERT INTO TNL_RATING.dbo.usps_rate_master VALUES ('USPS', '2/13/2025', '2/13/2026', 12659, 'US', 'Priority Mail', 2, 20, 'L', 14.35, 'Wedgewood_USPS_2025', 'NonCubic');</v>
      </c>
    </row>
    <row r="236" spans="1:13" x14ac:dyDescent="0.3">
      <c r="A236" t="s">
        <v>11</v>
      </c>
      <c r="B236" s="1" t="s">
        <v>44</v>
      </c>
      <c r="C236" s="1" t="s">
        <v>45</v>
      </c>
      <c r="D236">
        <v>12659</v>
      </c>
      <c r="E236" t="s">
        <v>12</v>
      </c>
      <c r="F236" t="s">
        <v>48</v>
      </c>
      <c r="G236">
        <v>3</v>
      </c>
      <c r="H236">
        <v>0.5</v>
      </c>
      <c r="I236" t="s">
        <v>46</v>
      </c>
      <c r="J236" cm="1">
        <f t="array" ref="J236">IFERROR(
    _xlfn.XLOOKUP(G236, 'Wedgewood Pharm-PM-Yr2-2025'!$E$4:$L$4,
        _xlfn.XLOOKUP('Rate Load'!H236, 'Wedgewood Pharm-PM-Yr2-2025'!$D$5:$D$31,
            'Wedgewood Pharm-PM-Yr2-2025'!$E$5:$L$31, 0, 0),
        0, 0),
    _xlfn.XLOOKUP(G236, 'Wedgewood Pharm-PM-Yr2-2025'!$E$4:$L$4,
        _xlfn.XLOOKUP('Rate Load'!L236, 'Wedgewood Pharm-PM-Yr2-2025'!$D$5:$D$31,
            'Wedgewood Pharm-PM-Yr2-2025'!$E$5:$L$31, 0, 0),
        0, 0)
)</f>
        <v>6.97</v>
      </c>
      <c r="K236" t="s">
        <v>47</v>
      </c>
      <c r="L236" t="s">
        <v>14</v>
      </c>
      <c r="M236" t="str">
        <f t="shared" si="3"/>
        <v>INSERT INTO TNL_RATING.dbo.usps_rate_master VALUES ('USPS', '2/13/2025', '2/13/2026', 12659, 'US', 'Priority Mail', 3, 0.5, 'L', 6.97, 'Wedgewood_USPS_2025', 'NonCubic');</v>
      </c>
    </row>
    <row r="237" spans="1:13" x14ac:dyDescent="0.3">
      <c r="A237" t="s">
        <v>11</v>
      </c>
      <c r="B237" s="1" t="s">
        <v>44</v>
      </c>
      <c r="C237" s="1" t="s">
        <v>45</v>
      </c>
      <c r="D237">
        <v>12659</v>
      </c>
      <c r="E237" t="s">
        <v>12</v>
      </c>
      <c r="F237" t="s">
        <v>48</v>
      </c>
      <c r="G237">
        <v>3</v>
      </c>
      <c r="H237">
        <v>1</v>
      </c>
      <c r="I237" t="s">
        <v>46</v>
      </c>
      <c r="J237" cm="1">
        <f t="array" ref="J237">IFERROR(
    _xlfn.XLOOKUP(G237, 'Wedgewood Pharm-PM-Yr2-2025'!$E$4:$L$4,
        _xlfn.XLOOKUP('Rate Load'!H237, 'Wedgewood Pharm-PM-Yr2-2025'!$D$5:$D$31,
            'Wedgewood Pharm-PM-Yr2-2025'!$E$5:$L$31, 0, 0),
        0, 0),
    _xlfn.XLOOKUP(G237, 'Wedgewood Pharm-PM-Yr2-2025'!$E$4:$L$4,
        _xlfn.XLOOKUP('Rate Load'!L237, 'Wedgewood Pharm-PM-Yr2-2025'!$D$5:$D$31,
            'Wedgewood Pharm-PM-Yr2-2025'!$E$5:$L$31, 0, 0),
        0, 0)
)</f>
        <v>6.97</v>
      </c>
      <c r="K237" t="s">
        <v>47</v>
      </c>
      <c r="L237" t="s">
        <v>14</v>
      </c>
      <c r="M237" t="str">
        <f t="shared" si="3"/>
        <v>INSERT INTO TNL_RATING.dbo.usps_rate_master VALUES ('USPS', '2/13/2025', '2/13/2026', 12659, 'US', 'Priority Mail', 3, 1, 'L', 6.97, 'Wedgewood_USPS_2025', 'NonCubic');</v>
      </c>
    </row>
    <row r="238" spans="1:13" x14ac:dyDescent="0.3">
      <c r="A238" t="s">
        <v>11</v>
      </c>
      <c r="B238" s="1" t="s">
        <v>44</v>
      </c>
      <c r="C238" s="1" t="s">
        <v>45</v>
      </c>
      <c r="D238">
        <v>12659</v>
      </c>
      <c r="E238" t="s">
        <v>12</v>
      </c>
      <c r="F238" t="s">
        <v>48</v>
      </c>
      <c r="G238">
        <v>3</v>
      </c>
      <c r="H238">
        <v>2</v>
      </c>
      <c r="I238" t="s">
        <v>46</v>
      </c>
      <c r="J238" cm="1">
        <f t="array" ref="J238">IFERROR(
    _xlfn.XLOOKUP(G238, 'Wedgewood Pharm-PM-Yr2-2025'!$E$4:$L$4,
        _xlfn.XLOOKUP('Rate Load'!H238, 'Wedgewood Pharm-PM-Yr2-2025'!$D$5:$D$31,
            'Wedgewood Pharm-PM-Yr2-2025'!$E$5:$L$31, 0, 0),
        0, 0),
    _xlfn.XLOOKUP(G238, 'Wedgewood Pharm-PM-Yr2-2025'!$E$4:$L$4,
        _xlfn.XLOOKUP('Rate Load'!L238, 'Wedgewood Pharm-PM-Yr2-2025'!$D$5:$D$31,
            'Wedgewood Pharm-PM-Yr2-2025'!$E$5:$L$31, 0, 0),
        0, 0)
)</f>
        <v>6.97</v>
      </c>
      <c r="K238" t="s">
        <v>47</v>
      </c>
      <c r="L238" t="s">
        <v>14</v>
      </c>
      <c r="M238" t="str">
        <f t="shared" si="3"/>
        <v>INSERT INTO TNL_RATING.dbo.usps_rate_master VALUES ('USPS', '2/13/2025', '2/13/2026', 12659, 'US', 'Priority Mail', 3, 2, 'L', 6.97, 'Wedgewood_USPS_2025', 'NonCubic');</v>
      </c>
    </row>
    <row r="239" spans="1:13" x14ac:dyDescent="0.3">
      <c r="A239" t="s">
        <v>11</v>
      </c>
      <c r="B239" s="1" t="s">
        <v>44</v>
      </c>
      <c r="C239" s="1" t="s">
        <v>45</v>
      </c>
      <c r="D239">
        <v>12659</v>
      </c>
      <c r="E239" t="s">
        <v>12</v>
      </c>
      <c r="F239" t="s">
        <v>48</v>
      </c>
      <c r="G239">
        <v>3</v>
      </c>
      <c r="H239">
        <v>3</v>
      </c>
      <c r="I239" t="s">
        <v>46</v>
      </c>
      <c r="J239" cm="1">
        <f t="array" ref="J239">IFERROR(
    _xlfn.XLOOKUP(G239, 'Wedgewood Pharm-PM-Yr2-2025'!$E$4:$L$4,
        _xlfn.XLOOKUP('Rate Load'!H239, 'Wedgewood Pharm-PM-Yr2-2025'!$D$5:$D$31,
            'Wedgewood Pharm-PM-Yr2-2025'!$E$5:$L$31, 0, 0),
        0, 0),
    _xlfn.XLOOKUP(G239, 'Wedgewood Pharm-PM-Yr2-2025'!$E$4:$L$4,
        _xlfn.XLOOKUP('Rate Load'!L239, 'Wedgewood Pharm-PM-Yr2-2025'!$D$5:$D$31,
            'Wedgewood Pharm-PM-Yr2-2025'!$E$5:$L$31, 0, 0),
        0, 0)
)</f>
        <v>7.2799999999999994</v>
      </c>
      <c r="K239" t="s">
        <v>47</v>
      </c>
      <c r="L239" t="s">
        <v>14</v>
      </c>
      <c r="M239" t="str">
        <f t="shared" si="3"/>
        <v>INSERT INTO TNL_RATING.dbo.usps_rate_master VALUES ('USPS', '2/13/2025', '2/13/2026', 12659, 'US', 'Priority Mail', 3, 3, 'L', 7.28, 'Wedgewood_USPS_2025', 'NonCubic');</v>
      </c>
    </row>
    <row r="240" spans="1:13" x14ac:dyDescent="0.3">
      <c r="A240" t="s">
        <v>11</v>
      </c>
      <c r="B240" s="1" t="s">
        <v>44</v>
      </c>
      <c r="C240" s="1" t="s">
        <v>45</v>
      </c>
      <c r="D240">
        <v>12659</v>
      </c>
      <c r="E240" t="s">
        <v>12</v>
      </c>
      <c r="F240" t="s">
        <v>48</v>
      </c>
      <c r="G240">
        <v>3</v>
      </c>
      <c r="H240">
        <v>4</v>
      </c>
      <c r="I240" t="s">
        <v>46</v>
      </c>
      <c r="J240" cm="1">
        <f t="array" ref="J240">IFERROR(
    _xlfn.XLOOKUP(G240, 'Wedgewood Pharm-PM-Yr2-2025'!$E$4:$L$4,
        _xlfn.XLOOKUP('Rate Load'!H240, 'Wedgewood Pharm-PM-Yr2-2025'!$D$5:$D$31,
            'Wedgewood Pharm-PM-Yr2-2025'!$E$5:$L$31, 0, 0),
        0, 0),
    _xlfn.XLOOKUP(G240, 'Wedgewood Pharm-PM-Yr2-2025'!$E$4:$L$4,
        _xlfn.XLOOKUP('Rate Load'!L240, 'Wedgewood Pharm-PM-Yr2-2025'!$D$5:$D$31,
            'Wedgewood Pharm-PM-Yr2-2025'!$E$5:$L$31, 0, 0),
        0, 0)
)</f>
        <v>7.35</v>
      </c>
      <c r="K240" t="s">
        <v>47</v>
      </c>
      <c r="L240" t="s">
        <v>14</v>
      </c>
      <c r="M240" t="str">
        <f t="shared" si="3"/>
        <v>INSERT INTO TNL_RATING.dbo.usps_rate_master VALUES ('USPS', '2/13/2025', '2/13/2026', 12659, 'US', 'Priority Mail', 3, 4, 'L', 7.35, 'Wedgewood_USPS_2025', 'NonCubic');</v>
      </c>
    </row>
    <row r="241" spans="1:13" x14ac:dyDescent="0.3">
      <c r="A241" t="s">
        <v>11</v>
      </c>
      <c r="B241" s="1" t="s">
        <v>44</v>
      </c>
      <c r="C241" s="1" t="s">
        <v>45</v>
      </c>
      <c r="D241">
        <v>12659</v>
      </c>
      <c r="E241" t="s">
        <v>12</v>
      </c>
      <c r="F241" t="s">
        <v>48</v>
      </c>
      <c r="G241">
        <v>3</v>
      </c>
      <c r="H241">
        <v>5</v>
      </c>
      <c r="I241" t="s">
        <v>46</v>
      </c>
      <c r="J241" cm="1">
        <f t="array" ref="J241">IFERROR(
    _xlfn.XLOOKUP(G241, 'Wedgewood Pharm-PM-Yr2-2025'!$E$4:$L$4,
        _xlfn.XLOOKUP('Rate Load'!H241, 'Wedgewood Pharm-PM-Yr2-2025'!$D$5:$D$31,
            'Wedgewood Pharm-PM-Yr2-2025'!$E$5:$L$31, 0, 0),
        0, 0),
    _xlfn.XLOOKUP(G241, 'Wedgewood Pharm-PM-Yr2-2025'!$E$4:$L$4,
        _xlfn.XLOOKUP('Rate Load'!L241, 'Wedgewood Pharm-PM-Yr2-2025'!$D$5:$D$31,
            'Wedgewood Pharm-PM-Yr2-2025'!$E$5:$L$31, 0, 0),
        0, 0)
)</f>
        <v>7.3999999999999995</v>
      </c>
      <c r="K241" t="s">
        <v>47</v>
      </c>
      <c r="L241" t="s">
        <v>14</v>
      </c>
      <c r="M241" t="str">
        <f t="shared" si="3"/>
        <v>INSERT INTO TNL_RATING.dbo.usps_rate_master VALUES ('USPS', '2/13/2025', '2/13/2026', 12659, 'US', 'Priority Mail', 3, 5, 'L', 7.4, 'Wedgewood_USPS_2025', 'NonCubic');</v>
      </c>
    </row>
    <row r="242" spans="1:13" x14ac:dyDescent="0.3">
      <c r="A242" t="s">
        <v>11</v>
      </c>
      <c r="B242" s="1" t="s">
        <v>44</v>
      </c>
      <c r="C242" s="1" t="s">
        <v>45</v>
      </c>
      <c r="D242">
        <v>12659</v>
      </c>
      <c r="E242" t="s">
        <v>12</v>
      </c>
      <c r="F242" t="s">
        <v>48</v>
      </c>
      <c r="G242">
        <v>3</v>
      </c>
      <c r="H242">
        <v>6</v>
      </c>
      <c r="I242" t="s">
        <v>46</v>
      </c>
      <c r="J242" cm="1">
        <f t="array" ref="J242">IFERROR(
    _xlfn.XLOOKUP(G242, 'Wedgewood Pharm-PM-Yr2-2025'!$E$4:$L$4,
        _xlfn.XLOOKUP('Rate Load'!H242, 'Wedgewood Pharm-PM-Yr2-2025'!$D$5:$D$31,
            'Wedgewood Pharm-PM-Yr2-2025'!$E$5:$L$31, 0, 0),
        0, 0),
    _xlfn.XLOOKUP(G242, 'Wedgewood Pharm-PM-Yr2-2025'!$E$4:$L$4,
        _xlfn.XLOOKUP('Rate Load'!L242, 'Wedgewood Pharm-PM-Yr2-2025'!$D$5:$D$31,
            'Wedgewood Pharm-PM-Yr2-2025'!$E$5:$L$31, 0, 0),
        0, 0)
)</f>
        <v>7.9799999999999995</v>
      </c>
      <c r="K242" t="s">
        <v>47</v>
      </c>
      <c r="L242" t="s">
        <v>14</v>
      </c>
      <c r="M242" t="str">
        <f t="shared" si="3"/>
        <v>INSERT INTO TNL_RATING.dbo.usps_rate_master VALUES ('USPS', '2/13/2025', '2/13/2026', 12659, 'US', 'Priority Mail', 3, 6, 'L', 7.98, 'Wedgewood_USPS_2025', 'NonCubic');</v>
      </c>
    </row>
    <row r="243" spans="1:13" x14ac:dyDescent="0.3">
      <c r="A243" t="s">
        <v>11</v>
      </c>
      <c r="B243" s="1" t="s">
        <v>44</v>
      </c>
      <c r="C243" s="1" t="s">
        <v>45</v>
      </c>
      <c r="D243">
        <v>12659</v>
      </c>
      <c r="E243" t="s">
        <v>12</v>
      </c>
      <c r="F243" t="s">
        <v>48</v>
      </c>
      <c r="G243">
        <v>3</v>
      </c>
      <c r="H243">
        <v>7</v>
      </c>
      <c r="I243" t="s">
        <v>46</v>
      </c>
      <c r="J243" cm="1">
        <f t="array" ref="J243">IFERROR(
    _xlfn.XLOOKUP(G243, 'Wedgewood Pharm-PM-Yr2-2025'!$E$4:$L$4,
        _xlfn.XLOOKUP('Rate Load'!H243, 'Wedgewood Pharm-PM-Yr2-2025'!$D$5:$D$31,
            'Wedgewood Pharm-PM-Yr2-2025'!$E$5:$L$31, 0, 0),
        0, 0),
    _xlfn.XLOOKUP(G243, 'Wedgewood Pharm-PM-Yr2-2025'!$E$4:$L$4,
        _xlfn.XLOOKUP('Rate Load'!L243, 'Wedgewood Pharm-PM-Yr2-2025'!$D$5:$D$31,
            'Wedgewood Pharm-PM-Yr2-2025'!$E$5:$L$31, 0, 0),
        0, 0)
)</f>
        <v>9.64</v>
      </c>
      <c r="K243" t="s">
        <v>47</v>
      </c>
      <c r="L243" t="s">
        <v>14</v>
      </c>
      <c r="M243" t="str">
        <f t="shared" si="3"/>
        <v>INSERT INTO TNL_RATING.dbo.usps_rate_master VALUES ('USPS', '2/13/2025', '2/13/2026', 12659, 'US', 'Priority Mail', 3, 7, 'L', 9.64, 'Wedgewood_USPS_2025', 'NonCubic');</v>
      </c>
    </row>
    <row r="244" spans="1:13" x14ac:dyDescent="0.3">
      <c r="A244" t="s">
        <v>11</v>
      </c>
      <c r="B244" s="1" t="s">
        <v>44</v>
      </c>
      <c r="C244" s="1" t="s">
        <v>45</v>
      </c>
      <c r="D244">
        <v>12659</v>
      </c>
      <c r="E244" t="s">
        <v>12</v>
      </c>
      <c r="F244" t="s">
        <v>48</v>
      </c>
      <c r="G244">
        <v>3</v>
      </c>
      <c r="H244">
        <v>8</v>
      </c>
      <c r="I244" t="s">
        <v>46</v>
      </c>
      <c r="J244" cm="1">
        <f t="array" ref="J244">IFERROR(
    _xlfn.XLOOKUP(G244, 'Wedgewood Pharm-PM-Yr2-2025'!$E$4:$L$4,
        _xlfn.XLOOKUP('Rate Load'!H244, 'Wedgewood Pharm-PM-Yr2-2025'!$D$5:$D$31,
            'Wedgewood Pharm-PM-Yr2-2025'!$E$5:$L$31, 0, 0),
        0, 0),
    _xlfn.XLOOKUP(G244, 'Wedgewood Pharm-PM-Yr2-2025'!$E$4:$L$4,
        _xlfn.XLOOKUP('Rate Load'!L244, 'Wedgewood Pharm-PM-Yr2-2025'!$D$5:$D$31,
            'Wedgewood Pharm-PM-Yr2-2025'!$E$5:$L$31, 0, 0),
        0, 0)
)</f>
        <v>10.119999999999999</v>
      </c>
      <c r="K244" t="s">
        <v>47</v>
      </c>
      <c r="L244" t="s">
        <v>14</v>
      </c>
      <c r="M244" t="str">
        <f t="shared" si="3"/>
        <v>INSERT INTO TNL_RATING.dbo.usps_rate_master VALUES ('USPS', '2/13/2025', '2/13/2026', 12659, 'US', 'Priority Mail', 3, 8, 'L', 10.12, 'Wedgewood_USPS_2025', 'NonCubic');</v>
      </c>
    </row>
    <row r="245" spans="1:13" x14ac:dyDescent="0.3">
      <c r="A245" t="s">
        <v>11</v>
      </c>
      <c r="B245" s="1" t="s">
        <v>44</v>
      </c>
      <c r="C245" s="1" t="s">
        <v>45</v>
      </c>
      <c r="D245">
        <v>12659</v>
      </c>
      <c r="E245" t="s">
        <v>12</v>
      </c>
      <c r="F245" t="s">
        <v>48</v>
      </c>
      <c r="G245">
        <v>3</v>
      </c>
      <c r="H245">
        <v>9</v>
      </c>
      <c r="I245" t="s">
        <v>46</v>
      </c>
      <c r="J245" cm="1">
        <f t="array" ref="J245">IFERROR(
    _xlfn.XLOOKUP(G245, 'Wedgewood Pharm-PM-Yr2-2025'!$E$4:$L$4,
        _xlfn.XLOOKUP('Rate Load'!H245, 'Wedgewood Pharm-PM-Yr2-2025'!$D$5:$D$31,
            'Wedgewood Pharm-PM-Yr2-2025'!$E$5:$L$31, 0, 0),
        0, 0),
    _xlfn.XLOOKUP(G245, 'Wedgewood Pharm-PM-Yr2-2025'!$E$4:$L$4,
        _xlfn.XLOOKUP('Rate Load'!L245, 'Wedgewood Pharm-PM-Yr2-2025'!$D$5:$D$31,
            'Wedgewood Pharm-PM-Yr2-2025'!$E$5:$L$31, 0, 0),
        0, 0)
)</f>
        <v>10.56</v>
      </c>
      <c r="K245" t="s">
        <v>47</v>
      </c>
      <c r="L245" t="s">
        <v>14</v>
      </c>
      <c r="M245" t="str">
        <f t="shared" si="3"/>
        <v>INSERT INTO TNL_RATING.dbo.usps_rate_master VALUES ('USPS', '2/13/2025', '2/13/2026', 12659, 'US', 'Priority Mail', 3, 9, 'L', 10.56, 'Wedgewood_USPS_2025', 'NonCubic');</v>
      </c>
    </row>
    <row r="246" spans="1:13" x14ac:dyDescent="0.3">
      <c r="A246" t="s">
        <v>11</v>
      </c>
      <c r="B246" s="1" t="s">
        <v>44</v>
      </c>
      <c r="C246" s="1" t="s">
        <v>45</v>
      </c>
      <c r="D246">
        <v>12659</v>
      </c>
      <c r="E246" t="s">
        <v>12</v>
      </c>
      <c r="F246" t="s">
        <v>48</v>
      </c>
      <c r="G246">
        <v>3</v>
      </c>
      <c r="H246">
        <v>10</v>
      </c>
      <c r="I246" t="s">
        <v>46</v>
      </c>
      <c r="J246" cm="1">
        <f t="array" ref="J246">IFERROR(
    _xlfn.XLOOKUP(G246, 'Wedgewood Pharm-PM-Yr2-2025'!$E$4:$L$4,
        _xlfn.XLOOKUP('Rate Load'!H246, 'Wedgewood Pharm-PM-Yr2-2025'!$D$5:$D$31,
            'Wedgewood Pharm-PM-Yr2-2025'!$E$5:$L$31, 0, 0),
        0, 0),
    _xlfn.XLOOKUP(G246, 'Wedgewood Pharm-PM-Yr2-2025'!$E$4:$L$4,
        _xlfn.XLOOKUP('Rate Load'!L246, 'Wedgewood Pharm-PM-Yr2-2025'!$D$5:$D$31,
            'Wedgewood Pharm-PM-Yr2-2025'!$E$5:$L$31, 0, 0),
        0, 0)
)</f>
        <v>11.049999999999999</v>
      </c>
      <c r="K246" t="s">
        <v>47</v>
      </c>
      <c r="L246" t="s">
        <v>14</v>
      </c>
      <c r="M246" t="str">
        <f t="shared" si="3"/>
        <v>INSERT INTO TNL_RATING.dbo.usps_rate_master VALUES ('USPS', '2/13/2025', '2/13/2026', 12659, 'US', 'Priority Mail', 3, 10, 'L', 11.05, 'Wedgewood_USPS_2025', 'NonCubic');</v>
      </c>
    </row>
    <row r="247" spans="1:13" x14ac:dyDescent="0.3">
      <c r="A247" t="s">
        <v>11</v>
      </c>
      <c r="B247" s="1" t="s">
        <v>44</v>
      </c>
      <c r="C247" s="1" t="s">
        <v>45</v>
      </c>
      <c r="D247">
        <v>12659</v>
      </c>
      <c r="E247" t="s">
        <v>12</v>
      </c>
      <c r="F247" t="s">
        <v>48</v>
      </c>
      <c r="G247">
        <v>3</v>
      </c>
      <c r="H247">
        <v>11</v>
      </c>
      <c r="I247" t="s">
        <v>46</v>
      </c>
      <c r="J247" cm="1">
        <f t="array" ref="J247">IFERROR(
    _xlfn.XLOOKUP(G247, 'Wedgewood Pharm-PM-Yr2-2025'!$E$4:$L$4,
        _xlfn.XLOOKUP('Rate Load'!H247, 'Wedgewood Pharm-PM-Yr2-2025'!$D$5:$D$31,
            'Wedgewood Pharm-PM-Yr2-2025'!$E$5:$L$31, 0, 0),
        0, 0),
    _xlfn.XLOOKUP(G247, 'Wedgewood Pharm-PM-Yr2-2025'!$E$4:$L$4,
        _xlfn.XLOOKUP('Rate Load'!L247, 'Wedgewood Pharm-PM-Yr2-2025'!$D$5:$D$31,
            'Wedgewood Pharm-PM-Yr2-2025'!$E$5:$L$31, 0, 0),
        0, 0)
)</f>
        <v>11.75</v>
      </c>
      <c r="K247" t="s">
        <v>47</v>
      </c>
      <c r="L247" t="s">
        <v>14</v>
      </c>
      <c r="M247" t="str">
        <f t="shared" si="3"/>
        <v>INSERT INTO TNL_RATING.dbo.usps_rate_master VALUES ('USPS', '2/13/2025', '2/13/2026', 12659, 'US', 'Priority Mail', 3, 11, 'L', 11.75, 'Wedgewood_USPS_2025', 'NonCubic');</v>
      </c>
    </row>
    <row r="248" spans="1:13" x14ac:dyDescent="0.3">
      <c r="A248" t="s">
        <v>11</v>
      </c>
      <c r="B248" s="1" t="s">
        <v>44</v>
      </c>
      <c r="C248" s="1" t="s">
        <v>45</v>
      </c>
      <c r="D248">
        <v>12659</v>
      </c>
      <c r="E248" t="s">
        <v>12</v>
      </c>
      <c r="F248" t="s">
        <v>48</v>
      </c>
      <c r="G248">
        <v>3</v>
      </c>
      <c r="H248">
        <v>12</v>
      </c>
      <c r="I248" t="s">
        <v>46</v>
      </c>
      <c r="J248" cm="1">
        <f t="array" ref="J248">IFERROR(
    _xlfn.XLOOKUP(G248, 'Wedgewood Pharm-PM-Yr2-2025'!$E$4:$L$4,
        _xlfn.XLOOKUP('Rate Load'!H248, 'Wedgewood Pharm-PM-Yr2-2025'!$D$5:$D$31,
            'Wedgewood Pharm-PM-Yr2-2025'!$E$5:$L$31, 0, 0),
        0, 0),
    _xlfn.XLOOKUP(G248, 'Wedgewood Pharm-PM-Yr2-2025'!$E$4:$L$4,
        _xlfn.XLOOKUP('Rate Load'!L248, 'Wedgewood Pharm-PM-Yr2-2025'!$D$5:$D$31,
            'Wedgewood Pharm-PM-Yr2-2025'!$E$5:$L$31, 0, 0),
        0, 0)
)</f>
        <v>12.25</v>
      </c>
      <c r="K248" t="s">
        <v>47</v>
      </c>
      <c r="L248" t="s">
        <v>14</v>
      </c>
      <c r="M248" t="str">
        <f t="shared" si="3"/>
        <v>INSERT INTO TNL_RATING.dbo.usps_rate_master VALUES ('USPS', '2/13/2025', '2/13/2026', 12659, 'US', 'Priority Mail', 3, 12, 'L', 12.25, 'Wedgewood_USPS_2025', 'NonCubic');</v>
      </c>
    </row>
    <row r="249" spans="1:13" x14ac:dyDescent="0.3">
      <c r="A249" t="s">
        <v>11</v>
      </c>
      <c r="B249" s="1" t="s">
        <v>44</v>
      </c>
      <c r="C249" s="1" t="s">
        <v>45</v>
      </c>
      <c r="D249">
        <v>12659</v>
      </c>
      <c r="E249" t="s">
        <v>12</v>
      </c>
      <c r="F249" t="s">
        <v>48</v>
      </c>
      <c r="G249">
        <v>3</v>
      </c>
      <c r="H249">
        <v>13</v>
      </c>
      <c r="I249" t="s">
        <v>46</v>
      </c>
      <c r="J249" cm="1">
        <f t="array" ref="J249">IFERROR(
    _xlfn.XLOOKUP(G249, 'Wedgewood Pharm-PM-Yr2-2025'!$E$4:$L$4,
        _xlfn.XLOOKUP('Rate Load'!H249, 'Wedgewood Pharm-PM-Yr2-2025'!$D$5:$D$31,
            'Wedgewood Pharm-PM-Yr2-2025'!$E$5:$L$31, 0, 0),
        0, 0),
    _xlfn.XLOOKUP(G249, 'Wedgewood Pharm-PM-Yr2-2025'!$E$4:$L$4,
        _xlfn.XLOOKUP('Rate Load'!L249, 'Wedgewood Pharm-PM-Yr2-2025'!$D$5:$D$31,
            'Wedgewood Pharm-PM-Yr2-2025'!$E$5:$L$31, 0, 0),
        0, 0)
)</f>
        <v>12.77</v>
      </c>
      <c r="K249" t="s">
        <v>47</v>
      </c>
      <c r="L249" t="s">
        <v>14</v>
      </c>
      <c r="M249" t="str">
        <f t="shared" si="3"/>
        <v>INSERT INTO TNL_RATING.dbo.usps_rate_master VALUES ('USPS', '2/13/2025', '2/13/2026', 12659, 'US', 'Priority Mail', 3, 13, 'L', 12.77, 'Wedgewood_USPS_2025', 'NonCubic');</v>
      </c>
    </row>
    <row r="250" spans="1:13" x14ac:dyDescent="0.3">
      <c r="A250" t="s">
        <v>11</v>
      </c>
      <c r="B250" s="1" t="s">
        <v>44</v>
      </c>
      <c r="C250" s="1" t="s">
        <v>45</v>
      </c>
      <c r="D250">
        <v>12659</v>
      </c>
      <c r="E250" t="s">
        <v>12</v>
      </c>
      <c r="F250" t="s">
        <v>48</v>
      </c>
      <c r="G250">
        <v>3</v>
      </c>
      <c r="H250">
        <v>14</v>
      </c>
      <c r="I250" t="s">
        <v>46</v>
      </c>
      <c r="J250" cm="1">
        <f t="array" ref="J250">IFERROR(
    _xlfn.XLOOKUP(G250, 'Wedgewood Pharm-PM-Yr2-2025'!$E$4:$L$4,
        _xlfn.XLOOKUP('Rate Load'!H250, 'Wedgewood Pharm-PM-Yr2-2025'!$D$5:$D$31,
            'Wedgewood Pharm-PM-Yr2-2025'!$E$5:$L$31, 0, 0),
        0, 0),
    _xlfn.XLOOKUP(G250, 'Wedgewood Pharm-PM-Yr2-2025'!$E$4:$L$4,
        _xlfn.XLOOKUP('Rate Load'!L250, 'Wedgewood Pharm-PM-Yr2-2025'!$D$5:$D$31,
            'Wedgewood Pharm-PM-Yr2-2025'!$E$5:$L$31, 0, 0),
        0, 0)
)</f>
        <v>13.28</v>
      </c>
      <c r="K250" t="s">
        <v>47</v>
      </c>
      <c r="L250" t="s">
        <v>14</v>
      </c>
      <c r="M250" t="str">
        <f t="shared" si="3"/>
        <v>INSERT INTO TNL_RATING.dbo.usps_rate_master VALUES ('USPS', '2/13/2025', '2/13/2026', 12659, 'US', 'Priority Mail', 3, 14, 'L', 13.28, 'Wedgewood_USPS_2025', 'NonCubic');</v>
      </c>
    </row>
    <row r="251" spans="1:13" x14ac:dyDescent="0.3">
      <c r="A251" t="s">
        <v>11</v>
      </c>
      <c r="B251" s="1" t="s">
        <v>44</v>
      </c>
      <c r="C251" s="1" t="s">
        <v>45</v>
      </c>
      <c r="D251">
        <v>12659</v>
      </c>
      <c r="E251" t="s">
        <v>12</v>
      </c>
      <c r="F251" t="s">
        <v>48</v>
      </c>
      <c r="G251">
        <v>3</v>
      </c>
      <c r="H251">
        <v>15</v>
      </c>
      <c r="I251" t="s">
        <v>46</v>
      </c>
      <c r="J251" cm="1">
        <f t="array" ref="J251">IFERROR(
    _xlfn.XLOOKUP(G251, 'Wedgewood Pharm-PM-Yr2-2025'!$E$4:$L$4,
        _xlfn.XLOOKUP('Rate Load'!H251, 'Wedgewood Pharm-PM-Yr2-2025'!$D$5:$D$31,
            'Wedgewood Pharm-PM-Yr2-2025'!$E$5:$L$31, 0, 0),
        0, 0),
    _xlfn.XLOOKUP(G251, 'Wedgewood Pharm-PM-Yr2-2025'!$E$4:$L$4,
        _xlfn.XLOOKUP('Rate Load'!L251, 'Wedgewood Pharm-PM-Yr2-2025'!$D$5:$D$31,
            'Wedgewood Pharm-PM-Yr2-2025'!$E$5:$L$31, 0, 0),
        0, 0)
)</f>
        <v>13.78</v>
      </c>
      <c r="K251" t="s">
        <v>47</v>
      </c>
      <c r="L251" t="s">
        <v>14</v>
      </c>
      <c r="M251" t="str">
        <f t="shared" si="3"/>
        <v>INSERT INTO TNL_RATING.dbo.usps_rate_master VALUES ('USPS', '2/13/2025', '2/13/2026', 12659, 'US', 'Priority Mail', 3, 15, 'L', 13.78, 'Wedgewood_USPS_2025', 'NonCubic');</v>
      </c>
    </row>
    <row r="252" spans="1:13" x14ac:dyDescent="0.3">
      <c r="A252" t="s">
        <v>11</v>
      </c>
      <c r="B252" s="1" t="s">
        <v>44</v>
      </c>
      <c r="C252" s="1" t="s">
        <v>45</v>
      </c>
      <c r="D252">
        <v>12659</v>
      </c>
      <c r="E252" t="s">
        <v>12</v>
      </c>
      <c r="F252" t="s">
        <v>48</v>
      </c>
      <c r="G252">
        <v>3</v>
      </c>
      <c r="H252">
        <v>16</v>
      </c>
      <c r="I252" t="s">
        <v>46</v>
      </c>
      <c r="J252" cm="1">
        <f t="array" ref="J252">IFERROR(
    _xlfn.XLOOKUP(G252, 'Wedgewood Pharm-PM-Yr2-2025'!$E$4:$L$4,
        _xlfn.XLOOKUP('Rate Load'!H252, 'Wedgewood Pharm-PM-Yr2-2025'!$D$5:$D$31,
            'Wedgewood Pharm-PM-Yr2-2025'!$E$5:$L$31, 0, 0),
        0, 0),
    _xlfn.XLOOKUP(G252, 'Wedgewood Pharm-PM-Yr2-2025'!$E$4:$L$4,
        _xlfn.XLOOKUP('Rate Load'!L252, 'Wedgewood Pharm-PM-Yr2-2025'!$D$5:$D$31,
            'Wedgewood Pharm-PM-Yr2-2025'!$E$5:$L$31, 0, 0),
        0, 0)
)</f>
        <v>14.29</v>
      </c>
      <c r="K252" t="s">
        <v>47</v>
      </c>
      <c r="L252" t="s">
        <v>14</v>
      </c>
      <c r="M252" t="str">
        <f t="shared" si="3"/>
        <v>INSERT INTO TNL_RATING.dbo.usps_rate_master VALUES ('USPS', '2/13/2025', '2/13/2026', 12659, 'US', 'Priority Mail', 3, 16, 'L', 14.29, 'Wedgewood_USPS_2025', 'NonCubic');</v>
      </c>
    </row>
    <row r="253" spans="1:13" x14ac:dyDescent="0.3">
      <c r="A253" t="s">
        <v>11</v>
      </c>
      <c r="B253" s="1" t="s">
        <v>44</v>
      </c>
      <c r="C253" s="1" t="s">
        <v>45</v>
      </c>
      <c r="D253">
        <v>12659</v>
      </c>
      <c r="E253" t="s">
        <v>12</v>
      </c>
      <c r="F253" t="s">
        <v>48</v>
      </c>
      <c r="G253">
        <v>3</v>
      </c>
      <c r="H253">
        <v>17</v>
      </c>
      <c r="I253" t="s">
        <v>46</v>
      </c>
      <c r="J253" cm="1">
        <f t="array" ref="J253">IFERROR(
    _xlfn.XLOOKUP(G253, 'Wedgewood Pharm-PM-Yr2-2025'!$E$4:$L$4,
        _xlfn.XLOOKUP('Rate Load'!H253, 'Wedgewood Pharm-PM-Yr2-2025'!$D$5:$D$31,
            'Wedgewood Pharm-PM-Yr2-2025'!$E$5:$L$31, 0, 0),
        0, 0),
    _xlfn.XLOOKUP(G253, 'Wedgewood Pharm-PM-Yr2-2025'!$E$4:$L$4,
        _xlfn.XLOOKUP('Rate Load'!L253, 'Wedgewood Pharm-PM-Yr2-2025'!$D$5:$D$31,
            'Wedgewood Pharm-PM-Yr2-2025'!$E$5:$L$31, 0, 0),
        0, 0)
)</f>
        <v>14.7</v>
      </c>
      <c r="K253" t="s">
        <v>47</v>
      </c>
      <c r="L253" t="s">
        <v>14</v>
      </c>
      <c r="M253" t="str">
        <f t="shared" si="3"/>
        <v>INSERT INTO TNL_RATING.dbo.usps_rate_master VALUES ('USPS', '2/13/2025', '2/13/2026', 12659, 'US', 'Priority Mail', 3, 17, 'L', 14.7, 'Wedgewood_USPS_2025', 'NonCubic');</v>
      </c>
    </row>
    <row r="254" spans="1:13" x14ac:dyDescent="0.3">
      <c r="A254" t="s">
        <v>11</v>
      </c>
      <c r="B254" s="1" t="s">
        <v>44</v>
      </c>
      <c r="C254" s="1" t="s">
        <v>45</v>
      </c>
      <c r="D254">
        <v>12659</v>
      </c>
      <c r="E254" t="s">
        <v>12</v>
      </c>
      <c r="F254" t="s">
        <v>48</v>
      </c>
      <c r="G254">
        <v>3</v>
      </c>
      <c r="H254">
        <v>18</v>
      </c>
      <c r="I254" t="s">
        <v>46</v>
      </c>
      <c r="J254" cm="1">
        <f t="array" ref="J254">IFERROR(
    _xlfn.XLOOKUP(G254, 'Wedgewood Pharm-PM-Yr2-2025'!$E$4:$L$4,
        _xlfn.XLOOKUP('Rate Load'!H254, 'Wedgewood Pharm-PM-Yr2-2025'!$D$5:$D$31,
            'Wedgewood Pharm-PM-Yr2-2025'!$E$5:$L$31, 0, 0),
        0, 0),
    _xlfn.XLOOKUP(G254, 'Wedgewood Pharm-PM-Yr2-2025'!$E$4:$L$4,
        _xlfn.XLOOKUP('Rate Load'!L254, 'Wedgewood Pharm-PM-Yr2-2025'!$D$5:$D$31,
            'Wedgewood Pharm-PM-Yr2-2025'!$E$5:$L$31, 0, 0),
        0, 0)
)</f>
        <v>14.93</v>
      </c>
      <c r="K254" t="s">
        <v>47</v>
      </c>
      <c r="L254" t="s">
        <v>14</v>
      </c>
      <c r="M254" t="str">
        <f t="shared" si="3"/>
        <v>INSERT INTO TNL_RATING.dbo.usps_rate_master VALUES ('USPS', '2/13/2025', '2/13/2026', 12659, 'US', 'Priority Mail', 3, 18, 'L', 14.93, 'Wedgewood_USPS_2025', 'NonCubic');</v>
      </c>
    </row>
    <row r="255" spans="1:13" x14ac:dyDescent="0.3">
      <c r="A255" t="s">
        <v>11</v>
      </c>
      <c r="B255" s="1" t="s">
        <v>44</v>
      </c>
      <c r="C255" s="1" t="s">
        <v>45</v>
      </c>
      <c r="D255">
        <v>12659</v>
      </c>
      <c r="E255" t="s">
        <v>12</v>
      </c>
      <c r="F255" t="s">
        <v>48</v>
      </c>
      <c r="G255">
        <v>3</v>
      </c>
      <c r="H255">
        <v>19</v>
      </c>
      <c r="I255" t="s">
        <v>46</v>
      </c>
      <c r="J255" cm="1">
        <f t="array" ref="J255">IFERROR(
    _xlfn.XLOOKUP(G255, 'Wedgewood Pharm-PM-Yr2-2025'!$E$4:$L$4,
        _xlfn.XLOOKUP('Rate Load'!H255, 'Wedgewood Pharm-PM-Yr2-2025'!$D$5:$D$31,
            'Wedgewood Pharm-PM-Yr2-2025'!$E$5:$L$31, 0, 0),
        0, 0),
    _xlfn.XLOOKUP(G255, 'Wedgewood Pharm-PM-Yr2-2025'!$E$4:$L$4,
        _xlfn.XLOOKUP('Rate Load'!L255, 'Wedgewood Pharm-PM-Yr2-2025'!$D$5:$D$31,
            'Wedgewood Pharm-PM-Yr2-2025'!$E$5:$L$31, 0, 0),
        0, 0)
)</f>
        <v>15.42</v>
      </c>
      <c r="K255" t="s">
        <v>47</v>
      </c>
      <c r="L255" t="s">
        <v>14</v>
      </c>
      <c r="M255" t="str">
        <f t="shared" si="3"/>
        <v>INSERT INTO TNL_RATING.dbo.usps_rate_master VALUES ('USPS', '2/13/2025', '2/13/2026', 12659, 'US', 'Priority Mail', 3, 19, 'L', 15.42, 'Wedgewood_USPS_2025', 'NonCubic');</v>
      </c>
    </row>
    <row r="256" spans="1:13" x14ac:dyDescent="0.3">
      <c r="A256" t="s">
        <v>11</v>
      </c>
      <c r="B256" s="1" t="s">
        <v>44</v>
      </c>
      <c r="C256" s="1" t="s">
        <v>45</v>
      </c>
      <c r="D256">
        <v>12659</v>
      </c>
      <c r="E256" t="s">
        <v>12</v>
      </c>
      <c r="F256" t="s">
        <v>48</v>
      </c>
      <c r="G256">
        <v>3</v>
      </c>
      <c r="H256">
        <v>20</v>
      </c>
      <c r="I256" t="s">
        <v>46</v>
      </c>
      <c r="J256" cm="1">
        <f t="array" ref="J256">IFERROR(
    _xlfn.XLOOKUP(G256, 'Wedgewood Pharm-PM-Yr2-2025'!$E$4:$L$4,
        _xlfn.XLOOKUP('Rate Load'!H256, 'Wedgewood Pharm-PM-Yr2-2025'!$D$5:$D$31,
            'Wedgewood Pharm-PM-Yr2-2025'!$E$5:$L$31, 0, 0),
        0, 0),
    _xlfn.XLOOKUP(G256, 'Wedgewood Pharm-PM-Yr2-2025'!$E$4:$L$4,
        _xlfn.XLOOKUP('Rate Load'!L256, 'Wedgewood Pharm-PM-Yr2-2025'!$D$5:$D$31,
            'Wedgewood Pharm-PM-Yr2-2025'!$E$5:$L$31, 0, 0),
        0, 0)
)</f>
        <v>15.74</v>
      </c>
      <c r="K256" t="s">
        <v>47</v>
      </c>
      <c r="L256" t="s">
        <v>14</v>
      </c>
      <c r="M256" t="str">
        <f t="shared" si="3"/>
        <v>INSERT INTO TNL_RATING.dbo.usps_rate_master VALUES ('USPS', '2/13/2025', '2/13/2026', 12659, 'US', 'Priority Mail', 3, 20, 'L', 15.74, 'Wedgewood_USPS_2025', 'NonCubic');</v>
      </c>
    </row>
    <row r="257" spans="1:13" x14ac:dyDescent="0.3">
      <c r="A257" t="s">
        <v>11</v>
      </c>
      <c r="B257" s="1" t="s">
        <v>44</v>
      </c>
      <c r="C257" s="1" t="s">
        <v>45</v>
      </c>
      <c r="D257">
        <v>12659</v>
      </c>
      <c r="E257" t="s">
        <v>12</v>
      </c>
      <c r="F257" t="s">
        <v>48</v>
      </c>
      <c r="G257">
        <v>4</v>
      </c>
      <c r="H257">
        <v>0.5</v>
      </c>
      <c r="I257" t="s">
        <v>46</v>
      </c>
      <c r="J257" cm="1">
        <f t="array" ref="J257">IFERROR(
    _xlfn.XLOOKUP(G257, 'Wedgewood Pharm-PM-Yr2-2025'!$E$4:$L$4,
        _xlfn.XLOOKUP('Rate Load'!H257, 'Wedgewood Pharm-PM-Yr2-2025'!$D$5:$D$31,
            'Wedgewood Pharm-PM-Yr2-2025'!$E$5:$L$31, 0, 0),
        0, 0),
    _xlfn.XLOOKUP(G257, 'Wedgewood Pharm-PM-Yr2-2025'!$E$4:$L$4,
        _xlfn.XLOOKUP('Rate Load'!L257, 'Wedgewood Pharm-PM-Yr2-2025'!$D$5:$D$31,
            'Wedgewood Pharm-PM-Yr2-2025'!$E$5:$L$31, 0, 0),
        0, 0)
)</f>
        <v>6.97</v>
      </c>
      <c r="K257" t="s">
        <v>47</v>
      </c>
      <c r="L257" t="s">
        <v>14</v>
      </c>
      <c r="M257" t="str">
        <f t="shared" si="3"/>
        <v>INSERT INTO TNL_RATING.dbo.usps_rate_master VALUES ('USPS', '2/13/2025', '2/13/2026', 12659, 'US', 'Priority Mail', 4, 0.5, 'L', 6.97, 'Wedgewood_USPS_2025', 'NonCubic');</v>
      </c>
    </row>
    <row r="258" spans="1:13" x14ac:dyDescent="0.3">
      <c r="A258" t="s">
        <v>11</v>
      </c>
      <c r="B258" s="1" t="s">
        <v>44</v>
      </c>
      <c r="C258" s="1" t="s">
        <v>45</v>
      </c>
      <c r="D258">
        <v>12659</v>
      </c>
      <c r="E258" t="s">
        <v>12</v>
      </c>
      <c r="F258" t="s">
        <v>48</v>
      </c>
      <c r="G258">
        <v>4</v>
      </c>
      <c r="H258">
        <v>1</v>
      </c>
      <c r="I258" t="s">
        <v>46</v>
      </c>
      <c r="J258" cm="1">
        <f t="array" ref="J258">IFERROR(
    _xlfn.XLOOKUP(G258, 'Wedgewood Pharm-PM-Yr2-2025'!$E$4:$L$4,
        _xlfn.XLOOKUP('Rate Load'!H258, 'Wedgewood Pharm-PM-Yr2-2025'!$D$5:$D$31,
            'Wedgewood Pharm-PM-Yr2-2025'!$E$5:$L$31, 0, 0),
        0, 0),
    _xlfn.XLOOKUP(G258, 'Wedgewood Pharm-PM-Yr2-2025'!$E$4:$L$4,
        _xlfn.XLOOKUP('Rate Load'!L258, 'Wedgewood Pharm-PM-Yr2-2025'!$D$5:$D$31,
            'Wedgewood Pharm-PM-Yr2-2025'!$E$5:$L$31, 0, 0),
        0, 0)
)</f>
        <v>6.97</v>
      </c>
      <c r="K258" t="s">
        <v>47</v>
      </c>
      <c r="L258" t="s">
        <v>14</v>
      </c>
      <c r="M258" t="str">
        <f t="shared" si="3"/>
        <v>INSERT INTO TNL_RATING.dbo.usps_rate_master VALUES ('USPS', '2/13/2025', '2/13/2026', 12659, 'US', 'Priority Mail', 4, 1, 'L', 6.97, 'Wedgewood_USPS_2025', 'NonCubic');</v>
      </c>
    </row>
    <row r="259" spans="1:13" x14ac:dyDescent="0.3">
      <c r="A259" t="s">
        <v>11</v>
      </c>
      <c r="B259" s="1" t="s">
        <v>44</v>
      </c>
      <c r="C259" s="1" t="s">
        <v>45</v>
      </c>
      <c r="D259">
        <v>12659</v>
      </c>
      <c r="E259" t="s">
        <v>12</v>
      </c>
      <c r="F259" t="s">
        <v>48</v>
      </c>
      <c r="G259">
        <v>4</v>
      </c>
      <c r="H259">
        <v>2</v>
      </c>
      <c r="I259" t="s">
        <v>46</v>
      </c>
      <c r="J259" cm="1">
        <f t="array" ref="J259">IFERROR(
    _xlfn.XLOOKUP(G259, 'Wedgewood Pharm-PM-Yr2-2025'!$E$4:$L$4,
        _xlfn.XLOOKUP('Rate Load'!H259, 'Wedgewood Pharm-PM-Yr2-2025'!$D$5:$D$31,
            'Wedgewood Pharm-PM-Yr2-2025'!$E$5:$L$31, 0, 0),
        0, 0),
    _xlfn.XLOOKUP(G259, 'Wedgewood Pharm-PM-Yr2-2025'!$E$4:$L$4,
        _xlfn.XLOOKUP('Rate Load'!L259, 'Wedgewood Pharm-PM-Yr2-2025'!$D$5:$D$31,
            'Wedgewood Pharm-PM-Yr2-2025'!$E$5:$L$31, 0, 0),
        0, 0)
)</f>
        <v>7.09</v>
      </c>
      <c r="K259" t="s">
        <v>47</v>
      </c>
      <c r="L259" t="s">
        <v>14</v>
      </c>
      <c r="M259" t="str">
        <f t="shared" ref="M259:M322" si="4">"INSERT INTO TNL_RATING.dbo.usps_rate_master VALUES ('" &amp; A259 &amp; "', '" &amp; B259 &amp; "', '" &amp; C259 &amp; "', " &amp; D259 &amp; ", '" &amp; E259 &amp; "', '" &amp; F259 &amp; "', " &amp; G259 &amp; ", " &amp; H259 &amp; ", '" &amp; I259 &amp; "', " &amp; J259 &amp; ", '" &amp; K259 &amp; "', '" &amp; L259 &amp; "');"</f>
        <v>INSERT INTO TNL_RATING.dbo.usps_rate_master VALUES ('USPS', '2/13/2025', '2/13/2026', 12659, 'US', 'Priority Mail', 4, 2, 'L', 7.09, 'Wedgewood_USPS_2025', 'NonCubic');</v>
      </c>
    </row>
    <row r="260" spans="1:13" x14ac:dyDescent="0.3">
      <c r="A260" t="s">
        <v>11</v>
      </c>
      <c r="B260" s="1" t="s">
        <v>44</v>
      </c>
      <c r="C260" s="1" t="s">
        <v>45</v>
      </c>
      <c r="D260">
        <v>12659</v>
      </c>
      <c r="E260" t="s">
        <v>12</v>
      </c>
      <c r="F260" t="s">
        <v>48</v>
      </c>
      <c r="G260">
        <v>4</v>
      </c>
      <c r="H260">
        <v>3</v>
      </c>
      <c r="I260" t="s">
        <v>46</v>
      </c>
      <c r="J260" cm="1">
        <f t="array" ref="J260">IFERROR(
    _xlfn.XLOOKUP(G260, 'Wedgewood Pharm-PM-Yr2-2025'!$E$4:$L$4,
        _xlfn.XLOOKUP('Rate Load'!H260, 'Wedgewood Pharm-PM-Yr2-2025'!$D$5:$D$31,
            'Wedgewood Pharm-PM-Yr2-2025'!$E$5:$L$31, 0, 0),
        0, 0),
    _xlfn.XLOOKUP(G260, 'Wedgewood Pharm-PM-Yr2-2025'!$E$4:$L$4,
        _xlfn.XLOOKUP('Rate Load'!L260, 'Wedgewood Pharm-PM-Yr2-2025'!$D$5:$D$31,
            'Wedgewood Pharm-PM-Yr2-2025'!$E$5:$L$31, 0, 0),
        0, 0)
)</f>
        <v>7.3599999999999994</v>
      </c>
      <c r="K260" t="s">
        <v>47</v>
      </c>
      <c r="L260" t="s">
        <v>14</v>
      </c>
      <c r="M260" t="str">
        <f t="shared" si="4"/>
        <v>INSERT INTO TNL_RATING.dbo.usps_rate_master VALUES ('USPS', '2/13/2025', '2/13/2026', 12659, 'US', 'Priority Mail', 4, 3, 'L', 7.36, 'Wedgewood_USPS_2025', 'NonCubic');</v>
      </c>
    </row>
    <row r="261" spans="1:13" x14ac:dyDescent="0.3">
      <c r="A261" t="s">
        <v>11</v>
      </c>
      <c r="B261" s="1" t="s">
        <v>44</v>
      </c>
      <c r="C261" s="1" t="s">
        <v>45</v>
      </c>
      <c r="D261">
        <v>12659</v>
      </c>
      <c r="E261" t="s">
        <v>12</v>
      </c>
      <c r="F261" t="s">
        <v>48</v>
      </c>
      <c r="G261">
        <v>4</v>
      </c>
      <c r="H261">
        <v>4</v>
      </c>
      <c r="I261" t="s">
        <v>46</v>
      </c>
      <c r="J261" cm="1">
        <f t="array" ref="J261">IFERROR(
    _xlfn.XLOOKUP(G261, 'Wedgewood Pharm-PM-Yr2-2025'!$E$4:$L$4,
        _xlfn.XLOOKUP('Rate Load'!H261, 'Wedgewood Pharm-PM-Yr2-2025'!$D$5:$D$31,
            'Wedgewood Pharm-PM-Yr2-2025'!$E$5:$L$31, 0, 0),
        0, 0),
    _xlfn.XLOOKUP(G261, 'Wedgewood Pharm-PM-Yr2-2025'!$E$4:$L$4,
        _xlfn.XLOOKUP('Rate Load'!L261, 'Wedgewood Pharm-PM-Yr2-2025'!$D$5:$D$31,
            'Wedgewood Pharm-PM-Yr2-2025'!$E$5:$L$31, 0, 0),
        0, 0)
)</f>
        <v>7.3999999999999995</v>
      </c>
      <c r="K261" t="s">
        <v>47</v>
      </c>
      <c r="L261" t="s">
        <v>14</v>
      </c>
      <c r="M261" t="str">
        <f t="shared" si="4"/>
        <v>INSERT INTO TNL_RATING.dbo.usps_rate_master VALUES ('USPS', '2/13/2025', '2/13/2026', 12659, 'US', 'Priority Mail', 4, 4, 'L', 7.4, 'Wedgewood_USPS_2025', 'NonCubic');</v>
      </c>
    </row>
    <row r="262" spans="1:13" x14ac:dyDescent="0.3">
      <c r="A262" t="s">
        <v>11</v>
      </c>
      <c r="B262" s="1" t="s">
        <v>44</v>
      </c>
      <c r="C262" s="1" t="s">
        <v>45</v>
      </c>
      <c r="D262">
        <v>12659</v>
      </c>
      <c r="E262" t="s">
        <v>12</v>
      </c>
      <c r="F262" t="s">
        <v>48</v>
      </c>
      <c r="G262">
        <v>4</v>
      </c>
      <c r="H262">
        <v>5</v>
      </c>
      <c r="I262" t="s">
        <v>46</v>
      </c>
      <c r="J262" cm="1">
        <f t="array" ref="J262">IFERROR(
    _xlfn.XLOOKUP(G262, 'Wedgewood Pharm-PM-Yr2-2025'!$E$4:$L$4,
        _xlfn.XLOOKUP('Rate Load'!H262, 'Wedgewood Pharm-PM-Yr2-2025'!$D$5:$D$31,
            'Wedgewood Pharm-PM-Yr2-2025'!$E$5:$L$31, 0, 0),
        0, 0),
    _xlfn.XLOOKUP(G262, 'Wedgewood Pharm-PM-Yr2-2025'!$E$4:$L$4,
        _xlfn.XLOOKUP('Rate Load'!L262, 'Wedgewood Pharm-PM-Yr2-2025'!$D$5:$D$31,
            'Wedgewood Pharm-PM-Yr2-2025'!$E$5:$L$31, 0, 0),
        0, 0)
)</f>
        <v>7.6099999999999994</v>
      </c>
      <c r="K262" t="s">
        <v>47</v>
      </c>
      <c r="L262" t="s">
        <v>14</v>
      </c>
      <c r="M262" t="str">
        <f t="shared" si="4"/>
        <v>INSERT INTO TNL_RATING.dbo.usps_rate_master VALUES ('USPS', '2/13/2025', '2/13/2026', 12659, 'US', 'Priority Mail', 4, 5, 'L', 7.61, 'Wedgewood_USPS_2025', 'NonCubic');</v>
      </c>
    </row>
    <row r="263" spans="1:13" x14ac:dyDescent="0.3">
      <c r="A263" t="s">
        <v>11</v>
      </c>
      <c r="B263" s="1" t="s">
        <v>44</v>
      </c>
      <c r="C263" s="1" t="s">
        <v>45</v>
      </c>
      <c r="D263">
        <v>12659</v>
      </c>
      <c r="E263" t="s">
        <v>12</v>
      </c>
      <c r="F263" t="s">
        <v>48</v>
      </c>
      <c r="G263">
        <v>4</v>
      </c>
      <c r="H263">
        <v>6</v>
      </c>
      <c r="I263" t="s">
        <v>46</v>
      </c>
      <c r="J263" cm="1">
        <f t="array" ref="J263">IFERROR(
    _xlfn.XLOOKUP(G263, 'Wedgewood Pharm-PM-Yr2-2025'!$E$4:$L$4,
        _xlfn.XLOOKUP('Rate Load'!H263, 'Wedgewood Pharm-PM-Yr2-2025'!$D$5:$D$31,
            'Wedgewood Pharm-PM-Yr2-2025'!$E$5:$L$31, 0, 0),
        0, 0),
    _xlfn.XLOOKUP(G263, 'Wedgewood Pharm-PM-Yr2-2025'!$E$4:$L$4,
        _xlfn.XLOOKUP('Rate Load'!L263, 'Wedgewood Pharm-PM-Yr2-2025'!$D$5:$D$31,
            'Wedgewood Pharm-PM-Yr2-2025'!$E$5:$L$31, 0, 0),
        0, 0)
)</f>
        <v>8.06</v>
      </c>
      <c r="K263" t="s">
        <v>47</v>
      </c>
      <c r="L263" t="s">
        <v>14</v>
      </c>
      <c r="M263" t="str">
        <f t="shared" si="4"/>
        <v>INSERT INTO TNL_RATING.dbo.usps_rate_master VALUES ('USPS', '2/13/2025', '2/13/2026', 12659, 'US', 'Priority Mail', 4, 6, 'L', 8.06, 'Wedgewood_USPS_2025', 'NonCubic');</v>
      </c>
    </row>
    <row r="264" spans="1:13" x14ac:dyDescent="0.3">
      <c r="A264" t="s">
        <v>11</v>
      </c>
      <c r="B264" s="1" t="s">
        <v>44</v>
      </c>
      <c r="C264" s="1" t="s">
        <v>45</v>
      </c>
      <c r="D264">
        <v>12659</v>
      </c>
      <c r="E264" t="s">
        <v>12</v>
      </c>
      <c r="F264" t="s">
        <v>48</v>
      </c>
      <c r="G264">
        <v>4</v>
      </c>
      <c r="H264">
        <v>7</v>
      </c>
      <c r="I264" t="s">
        <v>46</v>
      </c>
      <c r="J264" cm="1">
        <f t="array" ref="J264">IFERROR(
    _xlfn.XLOOKUP(G264, 'Wedgewood Pharm-PM-Yr2-2025'!$E$4:$L$4,
        _xlfn.XLOOKUP('Rate Load'!H264, 'Wedgewood Pharm-PM-Yr2-2025'!$D$5:$D$31,
            'Wedgewood Pharm-PM-Yr2-2025'!$E$5:$L$31, 0, 0),
        0, 0),
    _xlfn.XLOOKUP(G264, 'Wedgewood Pharm-PM-Yr2-2025'!$E$4:$L$4,
        _xlfn.XLOOKUP('Rate Load'!L264, 'Wedgewood Pharm-PM-Yr2-2025'!$D$5:$D$31,
            'Wedgewood Pharm-PM-Yr2-2025'!$E$5:$L$31, 0, 0),
        0, 0)
)</f>
        <v>10.15</v>
      </c>
      <c r="K264" t="s">
        <v>47</v>
      </c>
      <c r="L264" t="s">
        <v>14</v>
      </c>
      <c r="M264" t="str">
        <f t="shared" si="4"/>
        <v>INSERT INTO TNL_RATING.dbo.usps_rate_master VALUES ('USPS', '2/13/2025', '2/13/2026', 12659, 'US', 'Priority Mail', 4, 7, 'L', 10.15, 'Wedgewood_USPS_2025', 'NonCubic');</v>
      </c>
    </row>
    <row r="265" spans="1:13" x14ac:dyDescent="0.3">
      <c r="A265" t="s">
        <v>11</v>
      </c>
      <c r="B265" s="1" t="s">
        <v>44</v>
      </c>
      <c r="C265" s="1" t="s">
        <v>45</v>
      </c>
      <c r="D265">
        <v>12659</v>
      </c>
      <c r="E265" t="s">
        <v>12</v>
      </c>
      <c r="F265" t="s">
        <v>48</v>
      </c>
      <c r="G265">
        <v>4</v>
      </c>
      <c r="H265">
        <v>8</v>
      </c>
      <c r="I265" t="s">
        <v>46</v>
      </c>
      <c r="J265" cm="1">
        <f t="array" ref="J265">IFERROR(
    _xlfn.XLOOKUP(G265, 'Wedgewood Pharm-PM-Yr2-2025'!$E$4:$L$4,
        _xlfn.XLOOKUP('Rate Load'!H265, 'Wedgewood Pharm-PM-Yr2-2025'!$D$5:$D$31,
            'Wedgewood Pharm-PM-Yr2-2025'!$E$5:$L$31, 0, 0),
        0, 0),
    _xlfn.XLOOKUP(G265, 'Wedgewood Pharm-PM-Yr2-2025'!$E$4:$L$4,
        _xlfn.XLOOKUP('Rate Load'!L265, 'Wedgewood Pharm-PM-Yr2-2025'!$D$5:$D$31,
            'Wedgewood Pharm-PM-Yr2-2025'!$E$5:$L$31, 0, 0),
        0, 0)
)</f>
        <v>11.19</v>
      </c>
      <c r="K265" t="s">
        <v>47</v>
      </c>
      <c r="L265" t="s">
        <v>14</v>
      </c>
      <c r="M265" t="str">
        <f t="shared" si="4"/>
        <v>INSERT INTO TNL_RATING.dbo.usps_rate_master VALUES ('USPS', '2/13/2025', '2/13/2026', 12659, 'US', 'Priority Mail', 4, 8, 'L', 11.19, 'Wedgewood_USPS_2025', 'NonCubic');</v>
      </c>
    </row>
    <row r="266" spans="1:13" x14ac:dyDescent="0.3">
      <c r="A266" t="s">
        <v>11</v>
      </c>
      <c r="B266" s="1" t="s">
        <v>44</v>
      </c>
      <c r="C266" s="1" t="s">
        <v>45</v>
      </c>
      <c r="D266">
        <v>12659</v>
      </c>
      <c r="E266" t="s">
        <v>12</v>
      </c>
      <c r="F266" t="s">
        <v>48</v>
      </c>
      <c r="G266">
        <v>4</v>
      </c>
      <c r="H266">
        <v>9</v>
      </c>
      <c r="I266" t="s">
        <v>46</v>
      </c>
      <c r="J266" cm="1">
        <f t="array" ref="J266">IFERROR(
    _xlfn.XLOOKUP(G266, 'Wedgewood Pharm-PM-Yr2-2025'!$E$4:$L$4,
        _xlfn.XLOOKUP('Rate Load'!H266, 'Wedgewood Pharm-PM-Yr2-2025'!$D$5:$D$31,
            'Wedgewood Pharm-PM-Yr2-2025'!$E$5:$L$31, 0, 0),
        0, 0),
    _xlfn.XLOOKUP(G266, 'Wedgewood Pharm-PM-Yr2-2025'!$E$4:$L$4,
        _xlfn.XLOOKUP('Rate Load'!L266, 'Wedgewood Pharm-PM-Yr2-2025'!$D$5:$D$31,
            'Wedgewood Pharm-PM-Yr2-2025'!$E$5:$L$31, 0, 0),
        0, 0)
)</f>
        <v>11.73</v>
      </c>
      <c r="K266" t="s">
        <v>47</v>
      </c>
      <c r="L266" t="s">
        <v>14</v>
      </c>
      <c r="M266" t="str">
        <f t="shared" si="4"/>
        <v>INSERT INTO TNL_RATING.dbo.usps_rate_master VALUES ('USPS', '2/13/2025', '2/13/2026', 12659, 'US', 'Priority Mail', 4, 9, 'L', 11.73, 'Wedgewood_USPS_2025', 'NonCubic');</v>
      </c>
    </row>
    <row r="267" spans="1:13" x14ac:dyDescent="0.3">
      <c r="A267" t="s">
        <v>11</v>
      </c>
      <c r="B267" s="1" t="s">
        <v>44</v>
      </c>
      <c r="C267" s="1" t="s">
        <v>45</v>
      </c>
      <c r="D267">
        <v>12659</v>
      </c>
      <c r="E267" t="s">
        <v>12</v>
      </c>
      <c r="F267" t="s">
        <v>48</v>
      </c>
      <c r="G267">
        <v>4</v>
      </c>
      <c r="H267">
        <v>10</v>
      </c>
      <c r="I267" t="s">
        <v>46</v>
      </c>
      <c r="J267" cm="1">
        <f t="array" ref="J267">IFERROR(
    _xlfn.XLOOKUP(G267, 'Wedgewood Pharm-PM-Yr2-2025'!$E$4:$L$4,
        _xlfn.XLOOKUP('Rate Load'!H267, 'Wedgewood Pharm-PM-Yr2-2025'!$D$5:$D$31,
            'Wedgewood Pharm-PM-Yr2-2025'!$E$5:$L$31, 0, 0),
        0, 0),
    _xlfn.XLOOKUP(G267, 'Wedgewood Pharm-PM-Yr2-2025'!$E$4:$L$4,
        _xlfn.XLOOKUP('Rate Load'!L267, 'Wedgewood Pharm-PM-Yr2-2025'!$D$5:$D$31,
            'Wedgewood Pharm-PM-Yr2-2025'!$E$5:$L$31, 0, 0),
        0, 0)
)</f>
        <v>12.08</v>
      </c>
      <c r="K267" t="s">
        <v>47</v>
      </c>
      <c r="L267" t="s">
        <v>14</v>
      </c>
      <c r="M267" t="str">
        <f t="shared" si="4"/>
        <v>INSERT INTO TNL_RATING.dbo.usps_rate_master VALUES ('USPS', '2/13/2025', '2/13/2026', 12659, 'US', 'Priority Mail', 4, 10, 'L', 12.08, 'Wedgewood_USPS_2025', 'NonCubic');</v>
      </c>
    </row>
    <row r="268" spans="1:13" x14ac:dyDescent="0.3">
      <c r="A268" t="s">
        <v>11</v>
      </c>
      <c r="B268" s="1" t="s">
        <v>44</v>
      </c>
      <c r="C268" s="1" t="s">
        <v>45</v>
      </c>
      <c r="D268">
        <v>12659</v>
      </c>
      <c r="E268" t="s">
        <v>12</v>
      </c>
      <c r="F268" t="s">
        <v>48</v>
      </c>
      <c r="G268">
        <v>4</v>
      </c>
      <c r="H268">
        <v>11</v>
      </c>
      <c r="I268" t="s">
        <v>46</v>
      </c>
      <c r="J268" cm="1">
        <f t="array" ref="J268">IFERROR(
    _xlfn.XLOOKUP(G268, 'Wedgewood Pharm-PM-Yr2-2025'!$E$4:$L$4,
        _xlfn.XLOOKUP('Rate Load'!H268, 'Wedgewood Pharm-PM-Yr2-2025'!$D$5:$D$31,
            'Wedgewood Pharm-PM-Yr2-2025'!$E$5:$L$31, 0, 0),
        0, 0),
    _xlfn.XLOOKUP(G268, 'Wedgewood Pharm-PM-Yr2-2025'!$E$4:$L$4,
        _xlfn.XLOOKUP('Rate Load'!L268, 'Wedgewood Pharm-PM-Yr2-2025'!$D$5:$D$31,
            'Wedgewood Pharm-PM-Yr2-2025'!$E$5:$L$31, 0, 0),
        0, 0)
)</f>
        <v>13.15</v>
      </c>
      <c r="K268" t="s">
        <v>47</v>
      </c>
      <c r="L268" t="s">
        <v>14</v>
      </c>
      <c r="M268" t="str">
        <f t="shared" si="4"/>
        <v>INSERT INTO TNL_RATING.dbo.usps_rate_master VALUES ('USPS', '2/13/2025', '2/13/2026', 12659, 'US', 'Priority Mail', 4, 11, 'L', 13.15, 'Wedgewood_USPS_2025', 'NonCubic');</v>
      </c>
    </row>
    <row r="269" spans="1:13" x14ac:dyDescent="0.3">
      <c r="A269" t="s">
        <v>11</v>
      </c>
      <c r="B269" s="1" t="s">
        <v>44</v>
      </c>
      <c r="C269" s="1" t="s">
        <v>45</v>
      </c>
      <c r="D269">
        <v>12659</v>
      </c>
      <c r="E269" t="s">
        <v>12</v>
      </c>
      <c r="F269" t="s">
        <v>48</v>
      </c>
      <c r="G269">
        <v>4</v>
      </c>
      <c r="H269">
        <v>12</v>
      </c>
      <c r="I269" t="s">
        <v>46</v>
      </c>
      <c r="J269" cm="1">
        <f t="array" ref="J269">IFERROR(
    _xlfn.XLOOKUP(G269, 'Wedgewood Pharm-PM-Yr2-2025'!$E$4:$L$4,
        _xlfn.XLOOKUP('Rate Load'!H269, 'Wedgewood Pharm-PM-Yr2-2025'!$D$5:$D$31,
            'Wedgewood Pharm-PM-Yr2-2025'!$E$5:$L$31, 0, 0),
        0, 0),
    _xlfn.XLOOKUP(G269, 'Wedgewood Pharm-PM-Yr2-2025'!$E$4:$L$4,
        _xlfn.XLOOKUP('Rate Load'!L269, 'Wedgewood Pharm-PM-Yr2-2025'!$D$5:$D$31,
            'Wedgewood Pharm-PM-Yr2-2025'!$E$5:$L$31, 0, 0),
        0, 0)
)</f>
        <v>13.76</v>
      </c>
      <c r="K269" t="s">
        <v>47</v>
      </c>
      <c r="L269" t="s">
        <v>14</v>
      </c>
      <c r="M269" t="str">
        <f t="shared" si="4"/>
        <v>INSERT INTO TNL_RATING.dbo.usps_rate_master VALUES ('USPS', '2/13/2025', '2/13/2026', 12659, 'US', 'Priority Mail', 4, 12, 'L', 13.76, 'Wedgewood_USPS_2025', 'NonCubic');</v>
      </c>
    </row>
    <row r="270" spans="1:13" x14ac:dyDescent="0.3">
      <c r="A270" t="s">
        <v>11</v>
      </c>
      <c r="B270" s="1" t="s">
        <v>44</v>
      </c>
      <c r="C270" s="1" t="s">
        <v>45</v>
      </c>
      <c r="D270">
        <v>12659</v>
      </c>
      <c r="E270" t="s">
        <v>12</v>
      </c>
      <c r="F270" t="s">
        <v>48</v>
      </c>
      <c r="G270">
        <v>4</v>
      </c>
      <c r="H270">
        <v>13</v>
      </c>
      <c r="I270" t="s">
        <v>46</v>
      </c>
      <c r="J270" cm="1">
        <f t="array" ref="J270">IFERROR(
    _xlfn.XLOOKUP(G270, 'Wedgewood Pharm-PM-Yr2-2025'!$E$4:$L$4,
        _xlfn.XLOOKUP('Rate Load'!H270, 'Wedgewood Pharm-PM-Yr2-2025'!$D$5:$D$31,
            'Wedgewood Pharm-PM-Yr2-2025'!$E$5:$L$31, 0, 0),
        0, 0),
    _xlfn.XLOOKUP(G270, 'Wedgewood Pharm-PM-Yr2-2025'!$E$4:$L$4,
        _xlfn.XLOOKUP('Rate Load'!L270, 'Wedgewood Pharm-PM-Yr2-2025'!$D$5:$D$31,
            'Wedgewood Pharm-PM-Yr2-2025'!$E$5:$L$31, 0, 0),
        0, 0)
)</f>
        <v>14.209999999999999</v>
      </c>
      <c r="K270" t="s">
        <v>47</v>
      </c>
      <c r="L270" t="s">
        <v>14</v>
      </c>
      <c r="M270" t="str">
        <f t="shared" si="4"/>
        <v>INSERT INTO TNL_RATING.dbo.usps_rate_master VALUES ('USPS', '2/13/2025', '2/13/2026', 12659, 'US', 'Priority Mail', 4, 13, 'L', 14.21, 'Wedgewood_USPS_2025', 'NonCubic');</v>
      </c>
    </row>
    <row r="271" spans="1:13" x14ac:dyDescent="0.3">
      <c r="A271" t="s">
        <v>11</v>
      </c>
      <c r="B271" s="1" t="s">
        <v>44</v>
      </c>
      <c r="C271" s="1" t="s">
        <v>45</v>
      </c>
      <c r="D271">
        <v>12659</v>
      </c>
      <c r="E271" t="s">
        <v>12</v>
      </c>
      <c r="F271" t="s">
        <v>48</v>
      </c>
      <c r="G271">
        <v>4</v>
      </c>
      <c r="H271">
        <v>14</v>
      </c>
      <c r="I271" t="s">
        <v>46</v>
      </c>
      <c r="J271" cm="1">
        <f t="array" ref="J271">IFERROR(
    _xlfn.XLOOKUP(G271, 'Wedgewood Pharm-PM-Yr2-2025'!$E$4:$L$4,
        _xlfn.XLOOKUP('Rate Load'!H271, 'Wedgewood Pharm-PM-Yr2-2025'!$D$5:$D$31,
            'Wedgewood Pharm-PM-Yr2-2025'!$E$5:$L$31, 0, 0),
        0, 0),
    _xlfn.XLOOKUP(G271, 'Wedgewood Pharm-PM-Yr2-2025'!$E$4:$L$4,
        _xlfn.XLOOKUP('Rate Load'!L271, 'Wedgewood Pharm-PM-Yr2-2025'!$D$5:$D$31,
            'Wedgewood Pharm-PM-Yr2-2025'!$E$5:$L$31, 0, 0),
        0, 0)
)</f>
        <v>14.459999999999999</v>
      </c>
      <c r="K271" t="s">
        <v>47</v>
      </c>
      <c r="L271" t="s">
        <v>14</v>
      </c>
      <c r="M271" t="str">
        <f t="shared" si="4"/>
        <v>INSERT INTO TNL_RATING.dbo.usps_rate_master VALUES ('USPS', '2/13/2025', '2/13/2026', 12659, 'US', 'Priority Mail', 4, 14, 'L', 14.46, 'Wedgewood_USPS_2025', 'NonCubic');</v>
      </c>
    </row>
    <row r="272" spans="1:13" x14ac:dyDescent="0.3">
      <c r="A272" t="s">
        <v>11</v>
      </c>
      <c r="B272" s="1" t="s">
        <v>44</v>
      </c>
      <c r="C272" s="1" t="s">
        <v>45</v>
      </c>
      <c r="D272">
        <v>12659</v>
      </c>
      <c r="E272" t="s">
        <v>12</v>
      </c>
      <c r="F272" t="s">
        <v>48</v>
      </c>
      <c r="G272">
        <v>4</v>
      </c>
      <c r="H272">
        <v>15</v>
      </c>
      <c r="I272" t="s">
        <v>46</v>
      </c>
      <c r="J272" cm="1">
        <f t="array" ref="J272">IFERROR(
    _xlfn.XLOOKUP(G272, 'Wedgewood Pharm-PM-Yr2-2025'!$E$4:$L$4,
        _xlfn.XLOOKUP('Rate Load'!H272, 'Wedgewood Pharm-PM-Yr2-2025'!$D$5:$D$31,
            'Wedgewood Pharm-PM-Yr2-2025'!$E$5:$L$31, 0, 0),
        0, 0),
    _xlfn.XLOOKUP(G272, 'Wedgewood Pharm-PM-Yr2-2025'!$E$4:$L$4,
        _xlfn.XLOOKUP('Rate Load'!L272, 'Wedgewood Pharm-PM-Yr2-2025'!$D$5:$D$31,
            'Wedgewood Pharm-PM-Yr2-2025'!$E$5:$L$31, 0, 0),
        0, 0)
)</f>
        <v>14.879999999999999</v>
      </c>
      <c r="K272" t="s">
        <v>47</v>
      </c>
      <c r="L272" t="s">
        <v>14</v>
      </c>
      <c r="M272" t="str">
        <f t="shared" si="4"/>
        <v>INSERT INTO TNL_RATING.dbo.usps_rate_master VALUES ('USPS', '2/13/2025', '2/13/2026', 12659, 'US', 'Priority Mail', 4, 15, 'L', 14.88, 'Wedgewood_USPS_2025', 'NonCubic');</v>
      </c>
    </row>
    <row r="273" spans="1:13" x14ac:dyDescent="0.3">
      <c r="A273" t="s">
        <v>11</v>
      </c>
      <c r="B273" s="1" t="s">
        <v>44</v>
      </c>
      <c r="C273" s="1" t="s">
        <v>45</v>
      </c>
      <c r="D273">
        <v>12659</v>
      </c>
      <c r="E273" t="s">
        <v>12</v>
      </c>
      <c r="F273" t="s">
        <v>48</v>
      </c>
      <c r="G273">
        <v>4</v>
      </c>
      <c r="H273">
        <v>16</v>
      </c>
      <c r="I273" t="s">
        <v>46</v>
      </c>
      <c r="J273" cm="1">
        <f t="array" ref="J273">IFERROR(
    _xlfn.XLOOKUP(G273, 'Wedgewood Pharm-PM-Yr2-2025'!$E$4:$L$4,
        _xlfn.XLOOKUP('Rate Load'!H273, 'Wedgewood Pharm-PM-Yr2-2025'!$D$5:$D$31,
            'Wedgewood Pharm-PM-Yr2-2025'!$E$5:$L$31, 0, 0),
        0, 0),
    _xlfn.XLOOKUP(G273, 'Wedgewood Pharm-PM-Yr2-2025'!$E$4:$L$4,
        _xlfn.XLOOKUP('Rate Load'!L273, 'Wedgewood Pharm-PM-Yr2-2025'!$D$5:$D$31,
            'Wedgewood Pharm-PM-Yr2-2025'!$E$5:$L$31, 0, 0),
        0, 0)
)</f>
        <v>15.129999999999999</v>
      </c>
      <c r="K273" t="s">
        <v>47</v>
      </c>
      <c r="L273" t="s">
        <v>14</v>
      </c>
      <c r="M273" t="str">
        <f t="shared" si="4"/>
        <v>INSERT INTO TNL_RATING.dbo.usps_rate_master VALUES ('USPS', '2/13/2025', '2/13/2026', 12659, 'US', 'Priority Mail', 4, 16, 'L', 15.13, 'Wedgewood_USPS_2025', 'NonCubic');</v>
      </c>
    </row>
    <row r="274" spans="1:13" x14ac:dyDescent="0.3">
      <c r="A274" t="s">
        <v>11</v>
      </c>
      <c r="B274" s="1" t="s">
        <v>44</v>
      </c>
      <c r="C274" s="1" t="s">
        <v>45</v>
      </c>
      <c r="D274">
        <v>12659</v>
      </c>
      <c r="E274" t="s">
        <v>12</v>
      </c>
      <c r="F274" t="s">
        <v>48</v>
      </c>
      <c r="G274">
        <v>4</v>
      </c>
      <c r="H274">
        <v>17</v>
      </c>
      <c r="I274" t="s">
        <v>46</v>
      </c>
      <c r="J274" cm="1">
        <f t="array" ref="J274">IFERROR(
    _xlfn.XLOOKUP(G274, 'Wedgewood Pharm-PM-Yr2-2025'!$E$4:$L$4,
        _xlfn.XLOOKUP('Rate Load'!H274, 'Wedgewood Pharm-PM-Yr2-2025'!$D$5:$D$31,
            'Wedgewood Pharm-PM-Yr2-2025'!$E$5:$L$31, 0, 0),
        0, 0),
    _xlfn.XLOOKUP(G274, 'Wedgewood Pharm-PM-Yr2-2025'!$E$4:$L$4,
        _xlfn.XLOOKUP('Rate Load'!L274, 'Wedgewood Pharm-PM-Yr2-2025'!$D$5:$D$31,
            'Wedgewood Pharm-PM-Yr2-2025'!$E$5:$L$31, 0, 0),
        0, 0)
)</f>
        <v>15.53</v>
      </c>
      <c r="K274" t="s">
        <v>47</v>
      </c>
      <c r="L274" t="s">
        <v>14</v>
      </c>
      <c r="M274" t="str">
        <f t="shared" si="4"/>
        <v>INSERT INTO TNL_RATING.dbo.usps_rate_master VALUES ('USPS', '2/13/2025', '2/13/2026', 12659, 'US', 'Priority Mail', 4, 17, 'L', 15.53, 'Wedgewood_USPS_2025', 'NonCubic');</v>
      </c>
    </row>
    <row r="275" spans="1:13" x14ac:dyDescent="0.3">
      <c r="A275" t="s">
        <v>11</v>
      </c>
      <c r="B275" s="1" t="s">
        <v>44</v>
      </c>
      <c r="C275" s="1" t="s">
        <v>45</v>
      </c>
      <c r="D275">
        <v>12659</v>
      </c>
      <c r="E275" t="s">
        <v>12</v>
      </c>
      <c r="F275" t="s">
        <v>48</v>
      </c>
      <c r="G275">
        <v>4</v>
      </c>
      <c r="H275">
        <v>18</v>
      </c>
      <c r="I275" t="s">
        <v>46</v>
      </c>
      <c r="J275" cm="1">
        <f t="array" ref="J275">IFERROR(
    _xlfn.XLOOKUP(G275, 'Wedgewood Pharm-PM-Yr2-2025'!$E$4:$L$4,
        _xlfn.XLOOKUP('Rate Load'!H275, 'Wedgewood Pharm-PM-Yr2-2025'!$D$5:$D$31,
            'Wedgewood Pharm-PM-Yr2-2025'!$E$5:$L$31, 0, 0),
        0, 0),
    _xlfn.XLOOKUP(G275, 'Wedgewood Pharm-PM-Yr2-2025'!$E$4:$L$4,
        _xlfn.XLOOKUP('Rate Load'!L275, 'Wedgewood Pharm-PM-Yr2-2025'!$D$5:$D$31,
            'Wedgewood Pharm-PM-Yr2-2025'!$E$5:$L$31, 0, 0),
        0, 0)
)</f>
        <v>15.799999999999999</v>
      </c>
      <c r="K275" t="s">
        <v>47</v>
      </c>
      <c r="L275" t="s">
        <v>14</v>
      </c>
      <c r="M275" t="str">
        <f t="shared" si="4"/>
        <v>INSERT INTO TNL_RATING.dbo.usps_rate_master VALUES ('USPS', '2/13/2025', '2/13/2026', 12659, 'US', 'Priority Mail', 4, 18, 'L', 15.8, 'Wedgewood_USPS_2025', 'NonCubic');</v>
      </c>
    </row>
    <row r="276" spans="1:13" x14ac:dyDescent="0.3">
      <c r="A276" t="s">
        <v>11</v>
      </c>
      <c r="B276" s="1" t="s">
        <v>44</v>
      </c>
      <c r="C276" s="1" t="s">
        <v>45</v>
      </c>
      <c r="D276">
        <v>12659</v>
      </c>
      <c r="E276" t="s">
        <v>12</v>
      </c>
      <c r="F276" t="s">
        <v>48</v>
      </c>
      <c r="G276">
        <v>4</v>
      </c>
      <c r="H276">
        <v>19</v>
      </c>
      <c r="I276" t="s">
        <v>46</v>
      </c>
      <c r="J276" cm="1">
        <f t="array" ref="J276">IFERROR(
    _xlfn.XLOOKUP(G276, 'Wedgewood Pharm-PM-Yr2-2025'!$E$4:$L$4,
        _xlfn.XLOOKUP('Rate Load'!H276, 'Wedgewood Pharm-PM-Yr2-2025'!$D$5:$D$31,
            'Wedgewood Pharm-PM-Yr2-2025'!$E$5:$L$31, 0, 0),
        0, 0),
    _xlfn.XLOOKUP(G276, 'Wedgewood Pharm-PM-Yr2-2025'!$E$4:$L$4,
        _xlfn.XLOOKUP('Rate Load'!L276, 'Wedgewood Pharm-PM-Yr2-2025'!$D$5:$D$31,
            'Wedgewood Pharm-PM-Yr2-2025'!$E$5:$L$31, 0, 0),
        0, 0)
)</f>
        <v>16.290000000000003</v>
      </c>
      <c r="K276" t="s">
        <v>47</v>
      </c>
      <c r="L276" t="s">
        <v>14</v>
      </c>
      <c r="M276" t="str">
        <f t="shared" si="4"/>
        <v>INSERT INTO TNL_RATING.dbo.usps_rate_master VALUES ('USPS', '2/13/2025', '2/13/2026', 12659, 'US', 'Priority Mail', 4, 19, 'L', 16.29, 'Wedgewood_USPS_2025', 'NonCubic');</v>
      </c>
    </row>
    <row r="277" spans="1:13" x14ac:dyDescent="0.3">
      <c r="A277" t="s">
        <v>11</v>
      </c>
      <c r="B277" s="1" t="s">
        <v>44</v>
      </c>
      <c r="C277" s="1" t="s">
        <v>45</v>
      </c>
      <c r="D277">
        <v>12659</v>
      </c>
      <c r="E277" t="s">
        <v>12</v>
      </c>
      <c r="F277" t="s">
        <v>48</v>
      </c>
      <c r="G277">
        <v>4</v>
      </c>
      <c r="H277">
        <v>20</v>
      </c>
      <c r="I277" t="s">
        <v>46</v>
      </c>
      <c r="J277" cm="1">
        <f t="array" ref="J277">IFERROR(
    _xlfn.XLOOKUP(G277, 'Wedgewood Pharm-PM-Yr2-2025'!$E$4:$L$4,
        _xlfn.XLOOKUP('Rate Load'!H277, 'Wedgewood Pharm-PM-Yr2-2025'!$D$5:$D$31,
            'Wedgewood Pharm-PM-Yr2-2025'!$E$5:$L$31, 0, 0),
        0, 0),
    _xlfn.XLOOKUP(G277, 'Wedgewood Pharm-PM-Yr2-2025'!$E$4:$L$4,
        _xlfn.XLOOKUP('Rate Load'!L277, 'Wedgewood Pharm-PM-Yr2-2025'!$D$5:$D$31,
            'Wedgewood Pharm-PM-Yr2-2025'!$E$5:$L$31, 0, 0),
        0, 0)
)</f>
        <v>16.690000000000001</v>
      </c>
      <c r="K277" t="s">
        <v>47</v>
      </c>
      <c r="L277" t="s">
        <v>14</v>
      </c>
      <c r="M277" t="str">
        <f t="shared" si="4"/>
        <v>INSERT INTO TNL_RATING.dbo.usps_rate_master VALUES ('USPS', '2/13/2025', '2/13/2026', 12659, 'US', 'Priority Mail', 4, 20, 'L', 16.69, 'Wedgewood_USPS_2025', 'NonCubic');</v>
      </c>
    </row>
    <row r="278" spans="1:13" x14ac:dyDescent="0.3">
      <c r="A278" t="s">
        <v>11</v>
      </c>
      <c r="B278" s="1" t="s">
        <v>44</v>
      </c>
      <c r="C278" s="1" t="s">
        <v>45</v>
      </c>
      <c r="D278">
        <v>12659</v>
      </c>
      <c r="E278" t="s">
        <v>12</v>
      </c>
      <c r="F278" t="s">
        <v>48</v>
      </c>
      <c r="G278">
        <v>5</v>
      </c>
      <c r="H278">
        <v>0.5</v>
      </c>
      <c r="I278" t="s">
        <v>46</v>
      </c>
      <c r="J278" cm="1">
        <f t="array" ref="J278">IFERROR(
    _xlfn.XLOOKUP(G278, 'Wedgewood Pharm-PM-Yr2-2025'!$E$4:$L$4,
        _xlfn.XLOOKUP('Rate Load'!H278, 'Wedgewood Pharm-PM-Yr2-2025'!$D$5:$D$31,
            'Wedgewood Pharm-PM-Yr2-2025'!$E$5:$L$31, 0, 0),
        0, 0),
    _xlfn.XLOOKUP(G278, 'Wedgewood Pharm-PM-Yr2-2025'!$E$4:$L$4,
        _xlfn.XLOOKUP('Rate Load'!L278, 'Wedgewood Pharm-PM-Yr2-2025'!$D$5:$D$31,
            'Wedgewood Pharm-PM-Yr2-2025'!$E$5:$L$31, 0, 0),
        0, 0)
)</f>
        <v>6.97</v>
      </c>
      <c r="K278" t="s">
        <v>47</v>
      </c>
      <c r="L278" t="s">
        <v>14</v>
      </c>
      <c r="M278" t="str">
        <f t="shared" si="4"/>
        <v>INSERT INTO TNL_RATING.dbo.usps_rate_master VALUES ('USPS', '2/13/2025', '2/13/2026', 12659, 'US', 'Priority Mail', 5, 0.5, 'L', 6.97, 'Wedgewood_USPS_2025', 'NonCubic');</v>
      </c>
    </row>
    <row r="279" spans="1:13" x14ac:dyDescent="0.3">
      <c r="A279" t="s">
        <v>11</v>
      </c>
      <c r="B279" s="1" t="s">
        <v>44</v>
      </c>
      <c r="C279" s="1" t="s">
        <v>45</v>
      </c>
      <c r="D279">
        <v>12659</v>
      </c>
      <c r="E279" t="s">
        <v>12</v>
      </c>
      <c r="F279" t="s">
        <v>48</v>
      </c>
      <c r="G279">
        <v>5</v>
      </c>
      <c r="H279">
        <v>1</v>
      </c>
      <c r="I279" t="s">
        <v>46</v>
      </c>
      <c r="J279" cm="1">
        <f t="array" ref="J279">IFERROR(
    _xlfn.XLOOKUP(G279, 'Wedgewood Pharm-PM-Yr2-2025'!$E$4:$L$4,
        _xlfn.XLOOKUP('Rate Load'!H279, 'Wedgewood Pharm-PM-Yr2-2025'!$D$5:$D$31,
            'Wedgewood Pharm-PM-Yr2-2025'!$E$5:$L$31, 0, 0),
        0, 0),
    _xlfn.XLOOKUP(G279, 'Wedgewood Pharm-PM-Yr2-2025'!$E$4:$L$4,
        _xlfn.XLOOKUP('Rate Load'!L279, 'Wedgewood Pharm-PM-Yr2-2025'!$D$5:$D$31,
            'Wedgewood Pharm-PM-Yr2-2025'!$E$5:$L$31, 0, 0),
        0, 0)
)</f>
        <v>7.1099999999999994</v>
      </c>
      <c r="K279" t="s">
        <v>47</v>
      </c>
      <c r="L279" t="s">
        <v>14</v>
      </c>
      <c r="M279" t="str">
        <f t="shared" si="4"/>
        <v>INSERT INTO TNL_RATING.dbo.usps_rate_master VALUES ('USPS', '2/13/2025', '2/13/2026', 12659, 'US', 'Priority Mail', 5, 1, 'L', 7.11, 'Wedgewood_USPS_2025', 'NonCubic');</v>
      </c>
    </row>
    <row r="280" spans="1:13" x14ac:dyDescent="0.3">
      <c r="A280" t="s">
        <v>11</v>
      </c>
      <c r="B280" s="1" t="s">
        <v>44</v>
      </c>
      <c r="C280" s="1" t="s">
        <v>45</v>
      </c>
      <c r="D280">
        <v>12659</v>
      </c>
      <c r="E280" t="s">
        <v>12</v>
      </c>
      <c r="F280" t="s">
        <v>48</v>
      </c>
      <c r="G280">
        <v>5</v>
      </c>
      <c r="H280">
        <v>2</v>
      </c>
      <c r="I280" t="s">
        <v>46</v>
      </c>
      <c r="J280" cm="1">
        <f t="array" ref="J280">IFERROR(
    _xlfn.XLOOKUP(G280, 'Wedgewood Pharm-PM-Yr2-2025'!$E$4:$L$4,
        _xlfn.XLOOKUP('Rate Load'!H280, 'Wedgewood Pharm-PM-Yr2-2025'!$D$5:$D$31,
            'Wedgewood Pharm-PM-Yr2-2025'!$E$5:$L$31, 0, 0),
        0, 0),
    _xlfn.XLOOKUP(G280, 'Wedgewood Pharm-PM-Yr2-2025'!$E$4:$L$4,
        _xlfn.XLOOKUP('Rate Load'!L280, 'Wedgewood Pharm-PM-Yr2-2025'!$D$5:$D$31,
            'Wedgewood Pharm-PM-Yr2-2025'!$E$5:$L$31, 0, 0),
        0, 0)
)</f>
        <v>8.1199999999999992</v>
      </c>
      <c r="K280" t="s">
        <v>47</v>
      </c>
      <c r="L280" t="s">
        <v>14</v>
      </c>
      <c r="M280" t="str">
        <f t="shared" si="4"/>
        <v>INSERT INTO TNL_RATING.dbo.usps_rate_master VALUES ('USPS', '2/13/2025', '2/13/2026', 12659, 'US', 'Priority Mail', 5, 2, 'L', 8.12, 'Wedgewood_USPS_2025', 'NonCubic');</v>
      </c>
    </row>
    <row r="281" spans="1:13" x14ac:dyDescent="0.3">
      <c r="A281" t="s">
        <v>11</v>
      </c>
      <c r="B281" s="1" t="s">
        <v>44</v>
      </c>
      <c r="C281" s="1" t="s">
        <v>45</v>
      </c>
      <c r="D281">
        <v>12659</v>
      </c>
      <c r="E281" t="s">
        <v>12</v>
      </c>
      <c r="F281" t="s">
        <v>48</v>
      </c>
      <c r="G281">
        <v>5</v>
      </c>
      <c r="H281">
        <v>3</v>
      </c>
      <c r="I281" t="s">
        <v>46</v>
      </c>
      <c r="J281" cm="1">
        <f t="array" ref="J281">IFERROR(
    _xlfn.XLOOKUP(G281, 'Wedgewood Pharm-PM-Yr2-2025'!$E$4:$L$4,
        _xlfn.XLOOKUP('Rate Load'!H281, 'Wedgewood Pharm-PM-Yr2-2025'!$D$5:$D$31,
            'Wedgewood Pharm-PM-Yr2-2025'!$E$5:$L$31, 0, 0),
        0, 0),
    _xlfn.XLOOKUP(G281, 'Wedgewood Pharm-PM-Yr2-2025'!$E$4:$L$4,
        _xlfn.XLOOKUP('Rate Load'!L281, 'Wedgewood Pharm-PM-Yr2-2025'!$D$5:$D$31,
            'Wedgewood Pharm-PM-Yr2-2025'!$E$5:$L$31, 0, 0),
        0, 0)
)</f>
        <v>9.82</v>
      </c>
      <c r="K281" t="s">
        <v>47</v>
      </c>
      <c r="L281" t="s">
        <v>14</v>
      </c>
      <c r="M281" t="str">
        <f t="shared" si="4"/>
        <v>INSERT INTO TNL_RATING.dbo.usps_rate_master VALUES ('USPS', '2/13/2025', '2/13/2026', 12659, 'US', 'Priority Mail', 5, 3, 'L', 9.82, 'Wedgewood_USPS_2025', 'NonCubic');</v>
      </c>
    </row>
    <row r="282" spans="1:13" x14ac:dyDescent="0.3">
      <c r="A282" t="s">
        <v>11</v>
      </c>
      <c r="B282" s="1" t="s">
        <v>44</v>
      </c>
      <c r="C282" s="1" t="s">
        <v>45</v>
      </c>
      <c r="D282">
        <v>12659</v>
      </c>
      <c r="E282" t="s">
        <v>12</v>
      </c>
      <c r="F282" t="s">
        <v>48</v>
      </c>
      <c r="G282">
        <v>5</v>
      </c>
      <c r="H282">
        <v>4</v>
      </c>
      <c r="I282" t="s">
        <v>46</v>
      </c>
      <c r="J282" cm="1">
        <f t="array" ref="J282">IFERROR(
    _xlfn.XLOOKUP(G282, 'Wedgewood Pharm-PM-Yr2-2025'!$E$4:$L$4,
        _xlfn.XLOOKUP('Rate Load'!H282, 'Wedgewood Pharm-PM-Yr2-2025'!$D$5:$D$31,
            'Wedgewood Pharm-PM-Yr2-2025'!$E$5:$L$31, 0, 0),
        0, 0),
    _xlfn.XLOOKUP(G282, 'Wedgewood Pharm-PM-Yr2-2025'!$E$4:$L$4,
        _xlfn.XLOOKUP('Rate Load'!L282, 'Wedgewood Pharm-PM-Yr2-2025'!$D$5:$D$31,
            'Wedgewood Pharm-PM-Yr2-2025'!$E$5:$L$31, 0, 0),
        0, 0)
)</f>
        <v>11.51</v>
      </c>
      <c r="K282" t="s">
        <v>47</v>
      </c>
      <c r="L282" t="s">
        <v>14</v>
      </c>
      <c r="M282" t="str">
        <f t="shared" si="4"/>
        <v>INSERT INTO TNL_RATING.dbo.usps_rate_master VALUES ('USPS', '2/13/2025', '2/13/2026', 12659, 'US', 'Priority Mail', 5, 4, 'L', 11.51, 'Wedgewood_USPS_2025', 'NonCubic');</v>
      </c>
    </row>
    <row r="283" spans="1:13" x14ac:dyDescent="0.3">
      <c r="A283" t="s">
        <v>11</v>
      </c>
      <c r="B283" s="1" t="s">
        <v>44</v>
      </c>
      <c r="C283" s="1" t="s">
        <v>45</v>
      </c>
      <c r="D283">
        <v>12659</v>
      </c>
      <c r="E283" t="s">
        <v>12</v>
      </c>
      <c r="F283" t="s">
        <v>48</v>
      </c>
      <c r="G283">
        <v>5</v>
      </c>
      <c r="H283">
        <v>5</v>
      </c>
      <c r="I283" t="s">
        <v>46</v>
      </c>
      <c r="J283" cm="1">
        <f t="array" ref="J283">IFERROR(
    _xlfn.XLOOKUP(G283, 'Wedgewood Pharm-PM-Yr2-2025'!$E$4:$L$4,
        _xlfn.XLOOKUP('Rate Load'!H283, 'Wedgewood Pharm-PM-Yr2-2025'!$D$5:$D$31,
            'Wedgewood Pharm-PM-Yr2-2025'!$E$5:$L$31, 0, 0),
        0, 0),
    _xlfn.XLOOKUP(G283, 'Wedgewood Pharm-PM-Yr2-2025'!$E$4:$L$4,
        _xlfn.XLOOKUP('Rate Load'!L283, 'Wedgewood Pharm-PM-Yr2-2025'!$D$5:$D$31,
            'Wedgewood Pharm-PM-Yr2-2025'!$E$5:$L$31, 0, 0),
        0, 0)
)</f>
        <v>12.709999999999999</v>
      </c>
      <c r="K283" t="s">
        <v>47</v>
      </c>
      <c r="L283" t="s">
        <v>14</v>
      </c>
      <c r="M283" t="str">
        <f t="shared" si="4"/>
        <v>INSERT INTO TNL_RATING.dbo.usps_rate_master VALUES ('USPS', '2/13/2025', '2/13/2026', 12659, 'US', 'Priority Mail', 5, 5, 'L', 12.71, 'Wedgewood_USPS_2025', 'NonCubic');</v>
      </c>
    </row>
    <row r="284" spans="1:13" x14ac:dyDescent="0.3">
      <c r="A284" t="s">
        <v>11</v>
      </c>
      <c r="B284" s="1" t="s">
        <v>44</v>
      </c>
      <c r="C284" s="1" t="s">
        <v>45</v>
      </c>
      <c r="D284">
        <v>12659</v>
      </c>
      <c r="E284" t="s">
        <v>12</v>
      </c>
      <c r="F284" t="s">
        <v>48</v>
      </c>
      <c r="G284">
        <v>5</v>
      </c>
      <c r="H284">
        <v>6</v>
      </c>
      <c r="I284" t="s">
        <v>46</v>
      </c>
      <c r="J284" cm="1">
        <f t="array" ref="J284">IFERROR(
    _xlfn.XLOOKUP(G284, 'Wedgewood Pharm-PM-Yr2-2025'!$E$4:$L$4,
        _xlfn.XLOOKUP('Rate Load'!H284, 'Wedgewood Pharm-PM-Yr2-2025'!$D$5:$D$31,
            'Wedgewood Pharm-PM-Yr2-2025'!$E$5:$L$31, 0, 0),
        0, 0),
    _xlfn.XLOOKUP(G284, 'Wedgewood Pharm-PM-Yr2-2025'!$E$4:$L$4,
        _xlfn.XLOOKUP('Rate Load'!L284, 'Wedgewood Pharm-PM-Yr2-2025'!$D$5:$D$31,
            'Wedgewood Pharm-PM-Yr2-2025'!$E$5:$L$31, 0, 0),
        0, 0)
)</f>
        <v>14.18</v>
      </c>
      <c r="K284" t="s">
        <v>47</v>
      </c>
      <c r="L284" t="s">
        <v>14</v>
      </c>
      <c r="M284" t="str">
        <f t="shared" si="4"/>
        <v>INSERT INTO TNL_RATING.dbo.usps_rate_master VALUES ('USPS', '2/13/2025', '2/13/2026', 12659, 'US', 'Priority Mail', 5, 6, 'L', 14.18, 'Wedgewood_USPS_2025', 'NonCubic');</v>
      </c>
    </row>
    <row r="285" spans="1:13" x14ac:dyDescent="0.3">
      <c r="A285" t="s">
        <v>11</v>
      </c>
      <c r="B285" s="1" t="s">
        <v>44</v>
      </c>
      <c r="C285" s="1" t="s">
        <v>45</v>
      </c>
      <c r="D285">
        <v>12659</v>
      </c>
      <c r="E285" t="s">
        <v>12</v>
      </c>
      <c r="F285" t="s">
        <v>48</v>
      </c>
      <c r="G285">
        <v>5</v>
      </c>
      <c r="H285">
        <v>7</v>
      </c>
      <c r="I285" t="s">
        <v>46</v>
      </c>
      <c r="J285" cm="1">
        <f t="array" ref="J285">IFERROR(
    _xlfn.XLOOKUP(G285, 'Wedgewood Pharm-PM-Yr2-2025'!$E$4:$L$4,
        _xlfn.XLOOKUP('Rate Load'!H285, 'Wedgewood Pharm-PM-Yr2-2025'!$D$5:$D$31,
            'Wedgewood Pharm-PM-Yr2-2025'!$E$5:$L$31, 0, 0),
        0, 0),
    _xlfn.XLOOKUP(G285, 'Wedgewood Pharm-PM-Yr2-2025'!$E$4:$L$4,
        _xlfn.XLOOKUP('Rate Load'!L285, 'Wedgewood Pharm-PM-Yr2-2025'!$D$5:$D$31,
            'Wedgewood Pharm-PM-Yr2-2025'!$E$5:$L$31, 0, 0),
        0, 0)
)</f>
        <v>15.129999999999999</v>
      </c>
      <c r="K285" t="s">
        <v>47</v>
      </c>
      <c r="L285" t="s">
        <v>14</v>
      </c>
      <c r="M285" t="str">
        <f t="shared" si="4"/>
        <v>INSERT INTO TNL_RATING.dbo.usps_rate_master VALUES ('USPS', '2/13/2025', '2/13/2026', 12659, 'US', 'Priority Mail', 5, 7, 'L', 15.13, 'Wedgewood_USPS_2025', 'NonCubic');</v>
      </c>
    </row>
    <row r="286" spans="1:13" x14ac:dyDescent="0.3">
      <c r="A286" t="s">
        <v>11</v>
      </c>
      <c r="B286" s="1" t="s">
        <v>44</v>
      </c>
      <c r="C286" s="1" t="s">
        <v>45</v>
      </c>
      <c r="D286">
        <v>12659</v>
      </c>
      <c r="E286" t="s">
        <v>12</v>
      </c>
      <c r="F286" t="s">
        <v>48</v>
      </c>
      <c r="G286">
        <v>5</v>
      </c>
      <c r="H286">
        <v>8</v>
      </c>
      <c r="I286" t="s">
        <v>46</v>
      </c>
      <c r="J286" cm="1">
        <f t="array" ref="J286">IFERROR(
    _xlfn.XLOOKUP(G286, 'Wedgewood Pharm-PM-Yr2-2025'!$E$4:$L$4,
        _xlfn.XLOOKUP('Rate Load'!H286, 'Wedgewood Pharm-PM-Yr2-2025'!$D$5:$D$31,
            'Wedgewood Pharm-PM-Yr2-2025'!$E$5:$L$31, 0, 0),
        0, 0),
    _xlfn.XLOOKUP(G286, 'Wedgewood Pharm-PM-Yr2-2025'!$E$4:$L$4,
        _xlfn.XLOOKUP('Rate Load'!L286, 'Wedgewood Pharm-PM-Yr2-2025'!$D$5:$D$31,
            'Wedgewood Pharm-PM-Yr2-2025'!$E$5:$L$31, 0, 0),
        0, 0)
)</f>
        <v>16.05</v>
      </c>
      <c r="K286" t="s">
        <v>47</v>
      </c>
      <c r="L286" t="s">
        <v>14</v>
      </c>
      <c r="M286" t="str">
        <f t="shared" si="4"/>
        <v>INSERT INTO TNL_RATING.dbo.usps_rate_master VALUES ('USPS', '2/13/2025', '2/13/2026', 12659, 'US', 'Priority Mail', 5, 8, 'L', 16.05, 'Wedgewood_USPS_2025', 'NonCubic');</v>
      </c>
    </row>
    <row r="287" spans="1:13" x14ac:dyDescent="0.3">
      <c r="A287" t="s">
        <v>11</v>
      </c>
      <c r="B287" s="1" t="s">
        <v>44</v>
      </c>
      <c r="C287" s="1" t="s">
        <v>45</v>
      </c>
      <c r="D287">
        <v>12659</v>
      </c>
      <c r="E287" t="s">
        <v>12</v>
      </c>
      <c r="F287" t="s">
        <v>48</v>
      </c>
      <c r="G287">
        <v>5</v>
      </c>
      <c r="H287">
        <v>9</v>
      </c>
      <c r="I287" t="s">
        <v>46</v>
      </c>
      <c r="J287" cm="1">
        <f t="array" ref="J287">IFERROR(
    _xlfn.XLOOKUP(G287, 'Wedgewood Pharm-PM-Yr2-2025'!$E$4:$L$4,
        _xlfn.XLOOKUP('Rate Load'!H287, 'Wedgewood Pharm-PM-Yr2-2025'!$D$5:$D$31,
            'Wedgewood Pharm-PM-Yr2-2025'!$E$5:$L$31, 0, 0),
        0, 0),
    _xlfn.XLOOKUP(G287, 'Wedgewood Pharm-PM-Yr2-2025'!$E$4:$L$4,
        _xlfn.XLOOKUP('Rate Load'!L287, 'Wedgewood Pharm-PM-Yr2-2025'!$D$5:$D$31,
            'Wedgewood Pharm-PM-Yr2-2025'!$E$5:$L$31, 0, 0),
        0, 0)
)</f>
        <v>16.96</v>
      </c>
      <c r="K287" t="s">
        <v>47</v>
      </c>
      <c r="L287" t="s">
        <v>14</v>
      </c>
      <c r="M287" t="str">
        <f t="shared" si="4"/>
        <v>INSERT INTO TNL_RATING.dbo.usps_rate_master VALUES ('USPS', '2/13/2025', '2/13/2026', 12659, 'US', 'Priority Mail', 5, 9, 'L', 16.96, 'Wedgewood_USPS_2025', 'NonCubic');</v>
      </c>
    </row>
    <row r="288" spans="1:13" x14ac:dyDescent="0.3">
      <c r="A288" t="s">
        <v>11</v>
      </c>
      <c r="B288" s="1" t="s">
        <v>44</v>
      </c>
      <c r="C288" s="1" t="s">
        <v>45</v>
      </c>
      <c r="D288">
        <v>12659</v>
      </c>
      <c r="E288" t="s">
        <v>12</v>
      </c>
      <c r="F288" t="s">
        <v>48</v>
      </c>
      <c r="G288">
        <v>5</v>
      </c>
      <c r="H288">
        <v>10</v>
      </c>
      <c r="I288" t="s">
        <v>46</v>
      </c>
      <c r="J288" cm="1">
        <f t="array" ref="J288">IFERROR(
    _xlfn.XLOOKUP(G288, 'Wedgewood Pharm-PM-Yr2-2025'!$E$4:$L$4,
        _xlfn.XLOOKUP('Rate Load'!H288, 'Wedgewood Pharm-PM-Yr2-2025'!$D$5:$D$31,
            'Wedgewood Pharm-PM-Yr2-2025'!$E$5:$L$31, 0, 0),
        0, 0),
    _xlfn.XLOOKUP(G288, 'Wedgewood Pharm-PM-Yr2-2025'!$E$4:$L$4,
        _xlfn.XLOOKUP('Rate Load'!L288, 'Wedgewood Pharm-PM-Yr2-2025'!$D$5:$D$31,
            'Wedgewood Pharm-PM-Yr2-2025'!$E$5:$L$31, 0, 0),
        0, 0)
)</f>
        <v>17.84</v>
      </c>
      <c r="K288" t="s">
        <v>47</v>
      </c>
      <c r="L288" t="s">
        <v>14</v>
      </c>
      <c r="M288" t="str">
        <f t="shared" si="4"/>
        <v>INSERT INTO TNL_RATING.dbo.usps_rate_master VALUES ('USPS', '2/13/2025', '2/13/2026', 12659, 'US', 'Priority Mail', 5, 10, 'L', 17.84, 'Wedgewood_USPS_2025', 'NonCubic');</v>
      </c>
    </row>
    <row r="289" spans="1:13" x14ac:dyDescent="0.3">
      <c r="A289" t="s">
        <v>11</v>
      </c>
      <c r="B289" s="1" t="s">
        <v>44</v>
      </c>
      <c r="C289" s="1" t="s">
        <v>45</v>
      </c>
      <c r="D289">
        <v>12659</v>
      </c>
      <c r="E289" t="s">
        <v>12</v>
      </c>
      <c r="F289" t="s">
        <v>48</v>
      </c>
      <c r="G289">
        <v>5</v>
      </c>
      <c r="H289">
        <v>11</v>
      </c>
      <c r="I289" t="s">
        <v>46</v>
      </c>
      <c r="J289" cm="1">
        <f t="array" ref="J289">IFERROR(
    _xlfn.XLOOKUP(G289, 'Wedgewood Pharm-PM-Yr2-2025'!$E$4:$L$4,
        _xlfn.XLOOKUP('Rate Load'!H289, 'Wedgewood Pharm-PM-Yr2-2025'!$D$5:$D$31,
            'Wedgewood Pharm-PM-Yr2-2025'!$E$5:$L$31, 0, 0),
        0, 0),
    _xlfn.XLOOKUP(G289, 'Wedgewood Pharm-PM-Yr2-2025'!$E$4:$L$4,
        _xlfn.XLOOKUP('Rate Load'!L289, 'Wedgewood Pharm-PM-Yr2-2025'!$D$5:$D$31,
            'Wedgewood Pharm-PM-Yr2-2025'!$E$5:$L$31, 0, 0),
        0, 0)
)</f>
        <v>18.990000000000002</v>
      </c>
      <c r="K289" t="s">
        <v>47</v>
      </c>
      <c r="L289" t="s">
        <v>14</v>
      </c>
      <c r="M289" t="str">
        <f t="shared" si="4"/>
        <v>INSERT INTO TNL_RATING.dbo.usps_rate_master VALUES ('USPS', '2/13/2025', '2/13/2026', 12659, 'US', 'Priority Mail', 5, 11, 'L', 18.99, 'Wedgewood_USPS_2025', 'NonCubic');</v>
      </c>
    </row>
    <row r="290" spans="1:13" x14ac:dyDescent="0.3">
      <c r="A290" t="s">
        <v>11</v>
      </c>
      <c r="B290" s="1" t="s">
        <v>44</v>
      </c>
      <c r="C290" s="1" t="s">
        <v>45</v>
      </c>
      <c r="D290">
        <v>12659</v>
      </c>
      <c r="E290" t="s">
        <v>12</v>
      </c>
      <c r="F290" t="s">
        <v>48</v>
      </c>
      <c r="G290">
        <v>5</v>
      </c>
      <c r="H290">
        <v>12</v>
      </c>
      <c r="I290" t="s">
        <v>46</v>
      </c>
      <c r="J290" cm="1">
        <f t="array" ref="J290">IFERROR(
    _xlfn.XLOOKUP(G290, 'Wedgewood Pharm-PM-Yr2-2025'!$E$4:$L$4,
        _xlfn.XLOOKUP('Rate Load'!H290, 'Wedgewood Pharm-PM-Yr2-2025'!$D$5:$D$31,
            'Wedgewood Pharm-PM-Yr2-2025'!$E$5:$L$31, 0, 0),
        0, 0),
    _xlfn.XLOOKUP(G290, 'Wedgewood Pharm-PM-Yr2-2025'!$E$4:$L$4,
        _xlfn.XLOOKUP('Rate Load'!L290, 'Wedgewood Pharm-PM-Yr2-2025'!$D$5:$D$31,
            'Wedgewood Pharm-PM-Yr2-2025'!$E$5:$L$31, 0, 0),
        0, 0)
)</f>
        <v>20.09</v>
      </c>
      <c r="K290" t="s">
        <v>47</v>
      </c>
      <c r="L290" t="s">
        <v>14</v>
      </c>
      <c r="M290" t="str">
        <f t="shared" si="4"/>
        <v>INSERT INTO TNL_RATING.dbo.usps_rate_master VALUES ('USPS', '2/13/2025', '2/13/2026', 12659, 'US', 'Priority Mail', 5, 12, 'L', 20.09, 'Wedgewood_USPS_2025', 'NonCubic');</v>
      </c>
    </row>
    <row r="291" spans="1:13" x14ac:dyDescent="0.3">
      <c r="A291" t="s">
        <v>11</v>
      </c>
      <c r="B291" s="1" t="s">
        <v>44</v>
      </c>
      <c r="C291" s="1" t="s">
        <v>45</v>
      </c>
      <c r="D291">
        <v>12659</v>
      </c>
      <c r="E291" t="s">
        <v>12</v>
      </c>
      <c r="F291" t="s">
        <v>48</v>
      </c>
      <c r="G291">
        <v>5</v>
      </c>
      <c r="H291">
        <v>13</v>
      </c>
      <c r="I291" t="s">
        <v>46</v>
      </c>
      <c r="J291" cm="1">
        <f t="array" ref="J291">IFERROR(
    _xlfn.XLOOKUP(G291, 'Wedgewood Pharm-PM-Yr2-2025'!$E$4:$L$4,
        _xlfn.XLOOKUP('Rate Load'!H291, 'Wedgewood Pharm-PM-Yr2-2025'!$D$5:$D$31,
            'Wedgewood Pharm-PM-Yr2-2025'!$E$5:$L$31, 0, 0),
        0, 0),
    _xlfn.XLOOKUP(G291, 'Wedgewood Pharm-PM-Yr2-2025'!$E$4:$L$4,
        _xlfn.XLOOKUP('Rate Load'!L291, 'Wedgewood Pharm-PM-Yr2-2025'!$D$5:$D$31,
            'Wedgewood Pharm-PM-Yr2-2025'!$E$5:$L$31, 0, 0),
        0, 0)
)</f>
        <v>21.19</v>
      </c>
      <c r="K291" t="s">
        <v>47</v>
      </c>
      <c r="L291" t="s">
        <v>14</v>
      </c>
      <c r="M291" t="str">
        <f t="shared" si="4"/>
        <v>INSERT INTO TNL_RATING.dbo.usps_rate_master VALUES ('USPS', '2/13/2025', '2/13/2026', 12659, 'US', 'Priority Mail', 5, 13, 'L', 21.19, 'Wedgewood_USPS_2025', 'NonCubic');</v>
      </c>
    </row>
    <row r="292" spans="1:13" x14ac:dyDescent="0.3">
      <c r="A292" t="s">
        <v>11</v>
      </c>
      <c r="B292" s="1" t="s">
        <v>44</v>
      </c>
      <c r="C292" s="1" t="s">
        <v>45</v>
      </c>
      <c r="D292">
        <v>12659</v>
      </c>
      <c r="E292" t="s">
        <v>12</v>
      </c>
      <c r="F292" t="s">
        <v>48</v>
      </c>
      <c r="G292">
        <v>5</v>
      </c>
      <c r="H292">
        <v>14</v>
      </c>
      <c r="I292" t="s">
        <v>46</v>
      </c>
      <c r="J292" cm="1">
        <f t="array" ref="J292">IFERROR(
    _xlfn.XLOOKUP(G292, 'Wedgewood Pharm-PM-Yr2-2025'!$E$4:$L$4,
        _xlfn.XLOOKUP('Rate Load'!H292, 'Wedgewood Pharm-PM-Yr2-2025'!$D$5:$D$31,
            'Wedgewood Pharm-PM-Yr2-2025'!$E$5:$L$31, 0, 0),
        0, 0),
    _xlfn.XLOOKUP(G292, 'Wedgewood Pharm-PM-Yr2-2025'!$E$4:$L$4,
        _xlfn.XLOOKUP('Rate Load'!L292, 'Wedgewood Pharm-PM-Yr2-2025'!$D$5:$D$31,
            'Wedgewood Pharm-PM-Yr2-2025'!$E$5:$L$31, 0, 0),
        0, 0)
)</f>
        <v>22.3</v>
      </c>
      <c r="K292" t="s">
        <v>47</v>
      </c>
      <c r="L292" t="s">
        <v>14</v>
      </c>
      <c r="M292" t="str">
        <f t="shared" si="4"/>
        <v>INSERT INTO TNL_RATING.dbo.usps_rate_master VALUES ('USPS', '2/13/2025', '2/13/2026', 12659, 'US', 'Priority Mail', 5, 14, 'L', 22.3, 'Wedgewood_USPS_2025', 'NonCubic');</v>
      </c>
    </row>
    <row r="293" spans="1:13" x14ac:dyDescent="0.3">
      <c r="A293" t="s">
        <v>11</v>
      </c>
      <c r="B293" s="1" t="s">
        <v>44</v>
      </c>
      <c r="C293" s="1" t="s">
        <v>45</v>
      </c>
      <c r="D293">
        <v>12659</v>
      </c>
      <c r="E293" t="s">
        <v>12</v>
      </c>
      <c r="F293" t="s">
        <v>48</v>
      </c>
      <c r="G293">
        <v>5</v>
      </c>
      <c r="H293">
        <v>15</v>
      </c>
      <c r="I293" t="s">
        <v>46</v>
      </c>
      <c r="J293" cm="1">
        <f t="array" ref="J293">IFERROR(
    _xlfn.XLOOKUP(G293, 'Wedgewood Pharm-PM-Yr2-2025'!$E$4:$L$4,
        _xlfn.XLOOKUP('Rate Load'!H293, 'Wedgewood Pharm-PM-Yr2-2025'!$D$5:$D$31,
            'Wedgewood Pharm-PM-Yr2-2025'!$E$5:$L$31, 0, 0),
        0, 0),
    _xlfn.XLOOKUP(G293, 'Wedgewood Pharm-PM-Yr2-2025'!$E$4:$L$4,
        _xlfn.XLOOKUP('Rate Load'!L293, 'Wedgewood Pharm-PM-Yr2-2025'!$D$5:$D$31,
            'Wedgewood Pharm-PM-Yr2-2025'!$E$5:$L$31, 0, 0),
        0, 0)
)</f>
        <v>23.400000000000002</v>
      </c>
      <c r="K293" t="s">
        <v>47</v>
      </c>
      <c r="L293" t="s">
        <v>14</v>
      </c>
      <c r="M293" t="str">
        <f t="shared" si="4"/>
        <v>INSERT INTO TNL_RATING.dbo.usps_rate_master VALUES ('USPS', '2/13/2025', '2/13/2026', 12659, 'US', 'Priority Mail', 5, 15, 'L', 23.4, 'Wedgewood_USPS_2025', 'NonCubic');</v>
      </c>
    </row>
    <row r="294" spans="1:13" x14ac:dyDescent="0.3">
      <c r="A294" t="s">
        <v>11</v>
      </c>
      <c r="B294" s="1" t="s">
        <v>44</v>
      </c>
      <c r="C294" s="1" t="s">
        <v>45</v>
      </c>
      <c r="D294">
        <v>12659</v>
      </c>
      <c r="E294" t="s">
        <v>12</v>
      </c>
      <c r="F294" t="s">
        <v>48</v>
      </c>
      <c r="G294">
        <v>5</v>
      </c>
      <c r="H294">
        <v>16</v>
      </c>
      <c r="I294" t="s">
        <v>46</v>
      </c>
      <c r="J294" cm="1">
        <f t="array" ref="J294">IFERROR(
    _xlfn.XLOOKUP(G294, 'Wedgewood Pharm-PM-Yr2-2025'!$E$4:$L$4,
        _xlfn.XLOOKUP('Rate Load'!H294, 'Wedgewood Pharm-PM-Yr2-2025'!$D$5:$D$31,
            'Wedgewood Pharm-PM-Yr2-2025'!$E$5:$L$31, 0, 0),
        0, 0),
    _xlfn.XLOOKUP(G294, 'Wedgewood Pharm-PM-Yr2-2025'!$E$4:$L$4,
        _xlfn.XLOOKUP('Rate Load'!L294, 'Wedgewood Pharm-PM-Yr2-2025'!$D$5:$D$31,
            'Wedgewood Pharm-PM-Yr2-2025'!$E$5:$L$31, 0, 0),
        0, 0)
)</f>
        <v>24.490000000000002</v>
      </c>
      <c r="K294" t="s">
        <v>47</v>
      </c>
      <c r="L294" t="s">
        <v>14</v>
      </c>
      <c r="M294" t="str">
        <f t="shared" si="4"/>
        <v>INSERT INTO TNL_RATING.dbo.usps_rate_master VALUES ('USPS', '2/13/2025', '2/13/2026', 12659, 'US', 'Priority Mail', 5, 16, 'L', 24.49, 'Wedgewood_USPS_2025', 'NonCubic');</v>
      </c>
    </row>
    <row r="295" spans="1:13" x14ac:dyDescent="0.3">
      <c r="A295" t="s">
        <v>11</v>
      </c>
      <c r="B295" s="1" t="s">
        <v>44</v>
      </c>
      <c r="C295" s="1" t="s">
        <v>45</v>
      </c>
      <c r="D295">
        <v>12659</v>
      </c>
      <c r="E295" t="s">
        <v>12</v>
      </c>
      <c r="F295" t="s">
        <v>48</v>
      </c>
      <c r="G295">
        <v>5</v>
      </c>
      <c r="H295">
        <v>17</v>
      </c>
      <c r="I295" t="s">
        <v>46</v>
      </c>
      <c r="J295" cm="1">
        <f t="array" ref="J295">IFERROR(
    _xlfn.XLOOKUP(G295, 'Wedgewood Pharm-PM-Yr2-2025'!$E$4:$L$4,
        _xlfn.XLOOKUP('Rate Load'!H295, 'Wedgewood Pharm-PM-Yr2-2025'!$D$5:$D$31,
            'Wedgewood Pharm-PM-Yr2-2025'!$E$5:$L$31, 0, 0),
        0, 0),
    _xlfn.XLOOKUP(G295, 'Wedgewood Pharm-PM-Yr2-2025'!$E$4:$L$4,
        _xlfn.XLOOKUP('Rate Load'!L295, 'Wedgewood Pharm-PM-Yr2-2025'!$D$5:$D$31,
            'Wedgewood Pharm-PM-Yr2-2025'!$E$5:$L$31, 0, 0),
        0, 0)
)</f>
        <v>25.59</v>
      </c>
      <c r="K295" t="s">
        <v>47</v>
      </c>
      <c r="L295" t="s">
        <v>14</v>
      </c>
      <c r="M295" t="str">
        <f t="shared" si="4"/>
        <v>INSERT INTO TNL_RATING.dbo.usps_rate_master VALUES ('USPS', '2/13/2025', '2/13/2026', 12659, 'US', 'Priority Mail', 5, 17, 'L', 25.59, 'Wedgewood_USPS_2025', 'NonCubic');</v>
      </c>
    </row>
    <row r="296" spans="1:13" x14ac:dyDescent="0.3">
      <c r="A296" t="s">
        <v>11</v>
      </c>
      <c r="B296" s="1" t="s">
        <v>44</v>
      </c>
      <c r="C296" s="1" t="s">
        <v>45</v>
      </c>
      <c r="D296">
        <v>12659</v>
      </c>
      <c r="E296" t="s">
        <v>12</v>
      </c>
      <c r="F296" t="s">
        <v>48</v>
      </c>
      <c r="G296">
        <v>5</v>
      </c>
      <c r="H296">
        <v>18</v>
      </c>
      <c r="I296" t="s">
        <v>46</v>
      </c>
      <c r="J296" cm="1">
        <f t="array" ref="J296">IFERROR(
    _xlfn.XLOOKUP(G296, 'Wedgewood Pharm-PM-Yr2-2025'!$E$4:$L$4,
        _xlfn.XLOOKUP('Rate Load'!H296, 'Wedgewood Pharm-PM-Yr2-2025'!$D$5:$D$31,
            'Wedgewood Pharm-PM-Yr2-2025'!$E$5:$L$31, 0, 0),
        0, 0),
    _xlfn.XLOOKUP(G296, 'Wedgewood Pharm-PM-Yr2-2025'!$E$4:$L$4,
        _xlfn.XLOOKUP('Rate Load'!L296, 'Wedgewood Pharm-PM-Yr2-2025'!$D$5:$D$31,
            'Wedgewood Pharm-PM-Yr2-2025'!$E$5:$L$31, 0, 0),
        0, 0)
)</f>
        <v>26.680000000000003</v>
      </c>
      <c r="K296" t="s">
        <v>47</v>
      </c>
      <c r="L296" t="s">
        <v>14</v>
      </c>
      <c r="M296" t="str">
        <f t="shared" si="4"/>
        <v>INSERT INTO TNL_RATING.dbo.usps_rate_master VALUES ('USPS', '2/13/2025', '2/13/2026', 12659, 'US', 'Priority Mail', 5, 18, 'L', 26.68, 'Wedgewood_USPS_2025', 'NonCubic');</v>
      </c>
    </row>
    <row r="297" spans="1:13" x14ac:dyDescent="0.3">
      <c r="A297" t="s">
        <v>11</v>
      </c>
      <c r="B297" s="1" t="s">
        <v>44</v>
      </c>
      <c r="C297" s="1" t="s">
        <v>45</v>
      </c>
      <c r="D297">
        <v>12659</v>
      </c>
      <c r="E297" t="s">
        <v>12</v>
      </c>
      <c r="F297" t="s">
        <v>48</v>
      </c>
      <c r="G297">
        <v>5</v>
      </c>
      <c r="H297">
        <v>19</v>
      </c>
      <c r="I297" t="s">
        <v>46</v>
      </c>
      <c r="J297" cm="1">
        <f t="array" ref="J297">IFERROR(
    _xlfn.XLOOKUP(G297, 'Wedgewood Pharm-PM-Yr2-2025'!$E$4:$L$4,
        _xlfn.XLOOKUP('Rate Load'!H297, 'Wedgewood Pharm-PM-Yr2-2025'!$D$5:$D$31,
            'Wedgewood Pharm-PM-Yr2-2025'!$E$5:$L$31, 0, 0),
        0, 0),
    _xlfn.XLOOKUP(G297, 'Wedgewood Pharm-PM-Yr2-2025'!$E$4:$L$4,
        _xlfn.XLOOKUP('Rate Load'!L297, 'Wedgewood Pharm-PM-Yr2-2025'!$D$5:$D$31,
            'Wedgewood Pharm-PM-Yr2-2025'!$E$5:$L$31, 0, 0),
        0, 0)
)</f>
        <v>27.790000000000003</v>
      </c>
      <c r="K297" t="s">
        <v>47</v>
      </c>
      <c r="L297" t="s">
        <v>14</v>
      </c>
      <c r="M297" t="str">
        <f t="shared" si="4"/>
        <v>INSERT INTO TNL_RATING.dbo.usps_rate_master VALUES ('USPS', '2/13/2025', '2/13/2026', 12659, 'US', 'Priority Mail', 5, 19, 'L', 27.79, 'Wedgewood_USPS_2025', 'NonCubic');</v>
      </c>
    </row>
    <row r="298" spans="1:13" x14ac:dyDescent="0.3">
      <c r="A298" t="s">
        <v>11</v>
      </c>
      <c r="B298" s="1" t="s">
        <v>44</v>
      </c>
      <c r="C298" s="1" t="s">
        <v>45</v>
      </c>
      <c r="D298">
        <v>12659</v>
      </c>
      <c r="E298" t="s">
        <v>12</v>
      </c>
      <c r="F298" t="s">
        <v>48</v>
      </c>
      <c r="G298">
        <v>5</v>
      </c>
      <c r="H298">
        <v>20</v>
      </c>
      <c r="I298" t="s">
        <v>46</v>
      </c>
      <c r="J298" cm="1">
        <f t="array" ref="J298">IFERROR(
    _xlfn.XLOOKUP(G298, 'Wedgewood Pharm-PM-Yr2-2025'!$E$4:$L$4,
        _xlfn.XLOOKUP('Rate Load'!H298, 'Wedgewood Pharm-PM-Yr2-2025'!$D$5:$D$31,
            'Wedgewood Pharm-PM-Yr2-2025'!$E$5:$L$31, 0, 0),
        0, 0),
    _xlfn.XLOOKUP(G298, 'Wedgewood Pharm-PM-Yr2-2025'!$E$4:$L$4,
        _xlfn.XLOOKUP('Rate Load'!L298, 'Wedgewood Pharm-PM-Yr2-2025'!$D$5:$D$31,
            'Wedgewood Pharm-PM-Yr2-2025'!$E$5:$L$31, 0, 0),
        0, 0)
)</f>
        <v>28.87</v>
      </c>
      <c r="K298" t="s">
        <v>47</v>
      </c>
      <c r="L298" t="s">
        <v>14</v>
      </c>
      <c r="M298" t="str">
        <f t="shared" si="4"/>
        <v>INSERT INTO TNL_RATING.dbo.usps_rate_master VALUES ('USPS', '2/13/2025', '2/13/2026', 12659, 'US', 'Priority Mail', 5, 20, 'L', 28.87, 'Wedgewood_USPS_2025', 'NonCubic');</v>
      </c>
    </row>
    <row r="299" spans="1:13" x14ac:dyDescent="0.3">
      <c r="A299" t="s">
        <v>11</v>
      </c>
      <c r="B299" s="1" t="s">
        <v>44</v>
      </c>
      <c r="C299" s="1" t="s">
        <v>45</v>
      </c>
      <c r="D299">
        <v>12659</v>
      </c>
      <c r="E299" t="s">
        <v>12</v>
      </c>
      <c r="F299" t="s">
        <v>48</v>
      </c>
      <c r="G299">
        <v>6</v>
      </c>
      <c r="H299">
        <v>0.5</v>
      </c>
      <c r="I299" t="s">
        <v>46</v>
      </c>
      <c r="J299" cm="1">
        <f t="array" ref="J299">IFERROR(
    _xlfn.XLOOKUP(G299, 'Wedgewood Pharm-PM-Yr2-2025'!$E$4:$L$4,
        _xlfn.XLOOKUP('Rate Load'!H299, 'Wedgewood Pharm-PM-Yr2-2025'!$D$5:$D$31,
            'Wedgewood Pharm-PM-Yr2-2025'!$E$5:$L$31, 0, 0),
        0, 0),
    _xlfn.XLOOKUP(G299, 'Wedgewood Pharm-PM-Yr2-2025'!$E$4:$L$4,
        _xlfn.XLOOKUP('Rate Load'!L299, 'Wedgewood Pharm-PM-Yr2-2025'!$D$5:$D$31,
            'Wedgewood Pharm-PM-Yr2-2025'!$E$5:$L$31, 0, 0),
        0, 0)
)</f>
        <v>6.97</v>
      </c>
      <c r="K299" t="s">
        <v>47</v>
      </c>
      <c r="L299" t="s">
        <v>14</v>
      </c>
      <c r="M299" t="str">
        <f t="shared" si="4"/>
        <v>INSERT INTO TNL_RATING.dbo.usps_rate_master VALUES ('USPS', '2/13/2025', '2/13/2026', 12659, 'US', 'Priority Mail', 6, 0.5, 'L', 6.97, 'Wedgewood_USPS_2025', 'NonCubic');</v>
      </c>
    </row>
    <row r="300" spans="1:13" x14ac:dyDescent="0.3">
      <c r="A300" t="s">
        <v>11</v>
      </c>
      <c r="B300" s="1" t="s">
        <v>44</v>
      </c>
      <c r="C300" s="1" t="s">
        <v>45</v>
      </c>
      <c r="D300">
        <v>12659</v>
      </c>
      <c r="E300" t="s">
        <v>12</v>
      </c>
      <c r="F300" t="s">
        <v>48</v>
      </c>
      <c r="G300">
        <v>6</v>
      </c>
      <c r="H300">
        <v>1</v>
      </c>
      <c r="I300" t="s">
        <v>46</v>
      </c>
      <c r="J300" cm="1">
        <f t="array" ref="J300">IFERROR(
    _xlfn.XLOOKUP(G300, 'Wedgewood Pharm-PM-Yr2-2025'!$E$4:$L$4,
        _xlfn.XLOOKUP('Rate Load'!H300, 'Wedgewood Pharm-PM-Yr2-2025'!$D$5:$D$31,
            'Wedgewood Pharm-PM-Yr2-2025'!$E$5:$L$31, 0, 0),
        0, 0),
    _xlfn.XLOOKUP(G300, 'Wedgewood Pharm-PM-Yr2-2025'!$E$4:$L$4,
        _xlfn.XLOOKUP('Rate Load'!L300, 'Wedgewood Pharm-PM-Yr2-2025'!$D$5:$D$31,
            'Wedgewood Pharm-PM-Yr2-2025'!$E$5:$L$31, 0, 0),
        0, 0)
)</f>
        <v>7.3599999999999994</v>
      </c>
      <c r="K300" t="s">
        <v>47</v>
      </c>
      <c r="L300" t="s">
        <v>14</v>
      </c>
      <c r="M300" t="str">
        <f t="shared" si="4"/>
        <v>INSERT INTO TNL_RATING.dbo.usps_rate_master VALUES ('USPS', '2/13/2025', '2/13/2026', 12659, 'US', 'Priority Mail', 6, 1, 'L', 7.36, 'Wedgewood_USPS_2025', 'NonCubic');</v>
      </c>
    </row>
    <row r="301" spans="1:13" x14ac:dyDescent="0.3">
      <c r="A301" t="s">
        <v>11</v>
      </c>
      <c r="B301" s="1" t="s">
        <v>44</v>
      </c>
      <c r="C301" s="1" t="s">
        <v>45</v>
      </c>
      <c r="D301">
        <v>12659</v>
      </c>
      <c r="E301" t="s">
        <v>12</v>
      </c>
      <c r="F301" t="s">
        <v>48</v>
      </c>
      <c r="G301">
        <v>6</v>
      </c>
      <c r="H301">
        <v>2</v>
      </c>
      <c r="I301" t="s">
        <v>46</v>
      </c>
      <c r="J301" cm="1">
        <f t="array" ref="J301">IFERROR(
    _xlfn.XLOOKUP(G301, 'Wedgewood Pharm-PM-Yr2-2025'!$E$4:$L$4,
        _xlfn.XLOOKUP('Rate Load'!H301, 'Wedgewood Pharm-PM-Yr2-2025'!$D$5:$D$31,
            'Wedgewood Pharm-PM-Yr2-2025'!$E$5:$L$31, 0, 0),
        0, 0),
    _xlfn.XLOOKUP(G301, 'Wedgewood Pharm-PM-Yr2-2025'!$E$4:$L$4,
        _xlfn.XLOOKUP('Rate Load'!L301, 'Wedgewood Pharm-PM-Yr2-2025'!$D$5:$D$31,
            'Wedgewood Pharm-PM-Yr2-2025'!$E$5:$L$31, 0, 0),
        0, 0)
)</f>
        <v>9.17</v>
      </c>
      <c r="K301" t="s">
        <v>47</v>
      </c>
      <c r="L301" t="s">
        <v>14</v>
      </c>
      <c r="M301" t="str">
        <f t="shared" si="4"/>
        <v>INSERT INTO TNL_RATING.dbo.usps_rate_master VALUES ('USPS', '2/13/2025', '2/13/2026', 12659, 'US', 'Priority Mail', 6, 2, 'L', 9.17, 'Wedgewood_USPS_2025', 'NonCubic');</v>
      </c>
    </row>
    <row r="302" spans="1:13" x14ac:dyDescent="0.3">
      <c r="A302" t="s">
        <v>11</v>
      </c>
      <c r="B302" s="1" t="s">
        <v>44</v>
      </c>
      <c r="C302" s="1" t="s">
        <v>45</v>
      </c>
      <c r="D302">
        <v>12659</v>
      </c>
      <c r="E302" t="s">
        <v>12</v>
      </c>
      <c r="F302" t="s">
        <v>48</v>
      </c>
      <c r="G302">
        <v>6</v>
      </c>
      <c r="H302">
        <v>3</v>
      </c>
      <c r="I302" t="s">
        <v>46</v>
      </c>
      <c r="J302" cm="1">
        <f t="array" ref="J302">IFERROR(
    _xlfn.XLOOKUP(G302, 'Wedgewood Pharm-PM-Yr2-2025'!$E$4:$L$4,
        _xlfn.XLOOKUP('Rate Load'!H302, 'Wedgewood Pharm-PM-Yr2-2025'!$D$5:$D$31,
            'Wedgewood Pharm-PM-Yr2-2025'!$E$5:$L$31, 0, 0),
        0, 0),
    _xlfn.XLOOKUP(G302, 'Wedgewood Pharm-PM-Yr2-2025'!$E$4:$L$4,
        _xlfn.XLOOKUP('Rate Load'!L302, 'Wedgewood Pharm-PM-Yr2-2025'!$D$5:$D$31,
            'Wedgewood Pharm-PM-Yr2-2025'!$E$5:$L$31, 0, 0),
        0, 0)
)</f>
        <v>12.66</v>
      </c>
      <c r="K302" t="s">
        <v>47</v>
      </c>
      <c r="L302" t="s">
        <v>14</v>
      </c>
      <c r="M302" t="str">
        <f t="shared" si="4"/>
        <v>INSERT INTO TNL_RATING.dbo.usps_rate_master VALUES ('USPS', '2/13/2025', '2/13/2026', 12659, 'US', 'Priority Mail', 6, 3, 'L', 12.66, 'Wedgewood_USPS_2025', 'NonCubic');</v>
      </c>
    </row>
    <row r="303" spans="1:13" x14ac:dyDescent="0.3">
      <c r="A303" t="s">
        <v>11</v>
      </c>
      <c r="B303" s="1" t="s">
        <v>44</v>
      </c>
      <c r="C303" s="1" t="s">
        <v>45</v>
      </c>
      <c r="D303">
        <v>12659</v>
      </c>
      <c r="E303" t="s">
        <v>12</v>
      </c>
      <c r="F303" t="s">
        <v>48</v>
      </c>
      <c r="G303">
        <v>6</v>
      </c>
      <c r="H303">
        <v>4</v>
      </c>
      <c r="I303" t="s">
        <v>46</v>
      </c>
      <c r="J303" cm="1">
        <f t="array" ref="J303">IFERROR(
    _xlfn.XLOOKUP(G303, 'Wedgewood Pharm-PM-Yr2-2025'!$E$4:$L$4,
        _xlfn.XLOOKUP('Rate Load'!H303, 'Wedgewood Pharm-PM-Yr2-2025'!$D$5:$D$31,
            'Wedgewood Pharm-PM-Yr2-2025'!$E$5:$L$31, 0, 0),
        0, 0),
    _xlfn.XLOOKUP(G303, 'Wedgewood Pharm-PM-Yr2-2025'!$E$4:$L$4,
        _xlfn.XLOOKUP('Rate Load'!L303, 'Wedgewood Pharm-PM-Yr2-2025'!$D$5:$D$31,
            'Wedgewood Pharm-PM-Yr2-2025'!$E$5:$L$31, 0, 0),
        0, 0)
)</f>
        <v>14.65</v>
      </c>
      <c r="K303" t="s">
        <v>47</v>
      </c>
      <c r="L303" t="s">
        <v>14</v>
      </c>
      <c r="M303" t="str">
        <f t="shared" si="4"/>
        <v>INSERT INTO TNL_RATING.dbo.usps_rate_master VALUES ('USPS', '2/13/2025', '2/13/2026', 12659, 'US', 'Priority Mail', 6, 4, 'L', 14.65, 'Wedgewood_USPS_2025', 'NonCubic');</v>
      </c>
    </row>
    <row r="304" spans="1:13" x14ac:dyDescent="0.3">
      <c r="A304" t="s">
        <v>11</v>
      </c>
      <c r="B304" s="1" t="s">
        <v>44</v>
      </c>
      <c r="C304" s="1" t="s">
        <v>45</v>
      </c>
      <c r="D304">
        <v>12659</v>
      </c>
      <c r="E304" t="s">
        <v>12</v>
      </c>
      <c r="F304" t="s">
        <v>48</v>
      </c>
      <c r="G304">
        <v>6</v>
      </c>
      <c r="H304">
        <v>5</v>
      </c>
      <c r="I304" t="s">
        <v>46</v>
      </c>
      <c r="J304" cm="1">
        <f t="array" ref="J304">IFERROR(
    _xlfn.XLOOKUP(G304, 'Wedgewood Pharm-PM-Yr2-2025'!$E$4:$L$4,
        _xlfn.XLOOKUP('Rate Load'!H304, 'Wedgewood Pharm-PM-Yr2-2025'!$D$5:$D$31,
            'Wedgewood Pharm-PM-Yr2-2025'!$E$5:$L$31, 0, 0),
        0, 0),
    _xlfn.XLOOKUP(G304, 'Wedgewood Pharm-PM-Yr2-2025'!$E$4:$L$4,
        _xlfn.XLOOKUP('Rate Load'!L304, 'Wedgewood Pharm-PM-Yr2-2025'!$D$5:$D$31,
            'Wedgewood Pharm-PM-Yr2-2025'!$E$5:$L$31, 0, 0),
        0, 0)
)</f>
        <v>16.05</v>
      </c>
      <c r="K304" t="s">
        <v>47</v>
      </c>
      <c r="L304" t="s">
        <v>14</v>
      </c>
      <c r="M304" t="str">
        <f t="shared" si="4"/>
        <v>INSERT INTO TNL_RATING.dbo.usps_rate_master VALUES ('USPS', '2/13/2025', '2/13/2026', 12659, 'US', 'Priority Mail', 6, 5, 'L', 16.05, 'Wedgewood_USPS_2025', 'NonCubic');</v>
      </c>
    </row>
    <row r="305" spans="1:13" x14ac:dyDescent="0.3">
      <c r="A305" t="s">
        <v>11</v>
      </c>
      <c r="B305" s="1" t="s">
        <v>44</v>
      </c>
      <c r="C305" s="1" t="s">
        <v>45</v>
      </c>
      <c r="D305">
        <v>12659</v>
      </c>
      <c r="E305" t="s">
        <v>12</v>
      </c>
      <c r="F305" t="s">
        <v>48</v>
      </c>
      <c r="G305">
        <v>6</v>
      </c>
      <c r="H305">
        <v>6</v>
      </c>
      <c r="I305" t="s">
        <v>46</v>
      </c>
      <c r="J305" cm="1">
        <f t="array" ref="J305">IFERROR(
    _xlfn.XLOOKUP(G305, 'Wedgewood Pharm-PM-Yr2-2025'!$E$4:$L$4,
        _xlfn.XLOOKUP('Rate Load'!H305, 'Wedgewood Pharm-PM-Yr2-2025'!$D$5:$D$31,
            'Wedgewood Pharm-PM-Yr2-2025'!$E$5:$L$31, 0, 0),
        0, 0),
    _xlfn.XLOOKUP(G305, 'Wedgewood Pharm-PM-Yr2-2025'!$E$4:$L$4,
        _xlfn.XLOOKUP('Rate Load'!L305, 'Wedgewood Pharm-PM-Yr2-2025'!$D$5:$D$31,
            'Wedgewood Pharm-PM-Yr2-2025'!$E$5:$L$31, 0, 0),
        0, 0)
)</f>
        <v>18.040000000000003</v>
      </c>
      <c r="K305" t="s">
        <v>47</v>
      </c>
      <c r="L305" t="s">
        <v>14</v>
      </c>
      <c r="M305" t="str">
        <f t="shared" si="4"/>
        <v>INSERT INTO TNL_RATING.dbo.usps_rate_master VALUES ('USPS', '2/13/2025', '2/13/2026', 12659, 'US', 'Priority Mail', 6, 6, 'L', 18.04, 'Wedgewood_USPS_2025', 'NonCubic');</v>
      </c>
    </row>
    <row r="306" spans="1:13" x14ac:dyDescent="0.3">
      <c r="A306" t="s">
        <v>11</v>
      </c>
      <c r="B306" s="1" t="s">
        <v>44</v>
      </c>
      <c r="C306" s="1" t="s">
        <v>45</v>
      </c>
      <c r="D306">
        <v>12659</v>
      </c>
      <c r="E306" t="s">
        <v>12</v>
      </c>
      <c r="F306" t="s">
        <v>48</v>
      </c>
      <c r="G306">
        <v>6</v>
      </c>
      <c r="H306">
        <v>7</v>
      </c>
      <c r="I306" t="s">
        <v>46</v>
      </c>
      <c r="J306" cm="1">
        <f t="array" ref="J306">IFERROR(
    _xlfn.XLOOKUP(G306, 'Wedgewood Pharm-PM-Yr2-2025'!$E$4:$L$4,
        _xlfn.XLOOKUP('Rate Load'!H306, 'Wedgewood Pharm-PM-Yr2-2025'!$D$5:$D$31,
            'Wedgewood Pharm-PM-Yr2-2025'!$E$5:$L$31, 0, 0),
        0, 0),
    _xlfn.XLOOKUP(G306, 'Wedgewood Pharm-PM-Yr2-2025'!$E$4:$L$4,
        _xlfn.XLOOKUP('Rate Load'!L306, 'Wedgewood Pharm-PM-Yr2-2025'!$D$5:$D$31,
            'Wedgewood Pharm-PM-Yr2-2025'!$E$5:$L$31, 0, 0),
        0, 0)
)</f>
        <v>19.430000000000003</v>
      </c>
      <c r="K306" t="s">
        <v>47</v>
      </c>
      <c r="L306" t="s">
        <v>14</v>
      </c>
      <c r="M306" t="str">
        <f t="shared" si="4"/>
        <v>INSERT INTO TNL_RATING.dbo.usps_rate_master VALUES ('USPS', '2/13/2025', '2/13/2026', 12659, 'US', 'Priority Mail', 6, 7, 'L', 19.43, 'Wedgewood_USPS_2025', 'NonCubic');</v>
      </c>
    </row>
    <row r="307" spans="1:13" x14ac:dyDescent="0.3">
      <c r="A307" t="s">
        <v>11</v>
      </c>
      <c r="B307" s="1" t="s">
        <v>44</v>
      </c>
      <c r="C307" s="1" t="s">
        <v>45</v>
      </c>
      <c r="D307">
        <v>12659</v>
      </c>
      <c r="E307" t="s">
        <v>12</v>
      </c>
      <c r="F307" t="s">
        <v>48</v>
      </c>
      <c r="G307">
        <v>6</v>
      </c>
      <c r="H307">
        <v>8</v>
      </c>
      <c r="I307" t="s">
        <v>46</v>
      </c>
      <c r="J307" cm="1">
        <f t="array" ref="J307">IFERROR(
    _xlfn.XLOOKUP(G307, 'Wedgewood Pharm-PM-Yr2-2025'!$E$4:$L$4,
        _xlfn.XLOOKUP('Rate Load'!H307, 'Wedgewood Pharm-PM-Yr2-2025'!$D$5:$D$31,
            'Wedgewood Pharm-PM-Yr2-2025'!$E$5:$L$31, 0, 0),
        0, 0),
    _xlfn.XLOOKUP(G307, 'Wedgewood Pharm-PM-Yr2-2025'!$E$4:$L$4,
        _xlfn.XLOOKUP('Rate Load'!L307, 'Wedgewood Pharm-PM-Yr2-2025'!$D$5:$D$31,
            'Wedgewood Pharm-PM-Yr2-2025'!$E$5:$L$31, 0, 0),
        0, 0)
)</f>
        <v>20.76</v>
      </c>
      <c r="K307" t="s">
        <v>47</v>
      </c>
      <c r="L307" t="s">
        <v>14</v>
      </c>
      <c r="M307" t="str">
        <f t="shared" si="4"/>
        <v>INSERT INTO TNL_RATING.dbo.usps_rate_master VALUES ('USPS', '2/13/2025', '2/13/2026', 12659, 'US', 'Priority Mail', 6, 8, 'L', 20.76, 'Wedgewood_USPS_2025', 'NonCubic');</v>
      </c>
    </row>
    <row r="308" spans="1:13" x14ac:dyDescent="0.3">
      <c r="A308" t="s">
        <v>11</v>
      </c>
      <c r="B308" s="1" t="s">
        <v>44</v>
      </c>
      <c r="C308" s="1" t="s">
        <v>45</v>
      </c>
      <c r="D308">
        <v>12659</v>
      </c>
      <c r="E308" t="s">
        <v>12</v>
      </c>
      <c r="F308" t="s">
        <v>48</v>
      </c>
      <c r="G308">
        <v>6</v>
      </c>
      <c r="H308">
        <v>9</v>
      </c>
      <c r="I308" t="s">
        <v>46</v>
      </c>
      <c r="J308" cm="1">
        <f t="array" ref="J308">IFERROR(
    _xlfn.XLOOKUP(G308, 'Wedgewood Pharm-PM-Yr2-2025'!$E$4:$L$4,
        _xlfn.XLOOKUP('Rate Load'!H308, 'Wedgewood Pharm-PM-Yr2-2025'!$D$5:$D$31,
            'Wedgewood Pharm-PM-Yr2-2025'!$E$5:$L$31, 0, 0),
        0, 0),
    _xlfn.XLOOKUP(G308, 'Wedgewood Pharm-PM-Yr2-2025'!$E$4:$L$4,
        _xlfn.XLOOKUP('Rate Load'!L308, 'Wedgewood Pharm-PM-Yr2-2025'!$D$5:$D$31,
            'Wedgewood Pharm-PM-Yr2-2025'!$E$5:$L$31, 0, 0),
        0, 0)
)</f>
        <v>22.03</v>
      </c>
      <c r="K308" t="s">
        <v>47</v>
      </c>
      <c r="L308" t="s">
        <v>14</v>
      </c>
      <c r="M308" t="str">
        <f t="shared" si="4"/>
        <v>INSERT INTO TNL_RATING.dbo.usps_rate_master VALUES ('USPS', '2/13/2025', '2/13/2026', 12659, 'US', 'Priority Mail', 6, 9, 'L', 22.03, 'Wedgewood_USPS_2025', 'NonCubic');</v>
      </c>
    </row>
    <row r="309" spans="1:13" x14ac:dyDescent="0.3">
      <c r="A309" t="s">
        <v>11</v>
      </c>
      <c r="B309" s="1" t="s">
        <v>44</v>
      </c>
      <c r="C309" s="1" t="s">
        <v>45</v>
      </c>
      <c r="D309">
        <v>12659</v>
      </c>
      <c r="E309" t="s">
        <v>12</v>
      </c>
      <c r="F309" t="s">
        <v>48</v>
      </c>
      <c r="G309">
        <v>6</v>
      </c>
      <c r="H309">
        <v>10</v>
      </c>
      <c r="I309" t="s">
        <v>46</v>
      </c>
      <c r="J309" cm="1">
        <f t="array" ref="J309">IFERROR(
    _xlfn.XLOOKUP(G309, 'Wedgewood Pharm-PM-Yr2-2025'!$E$4:$L$4,
        _xlfn.XLOOKUP('Rate Load'!H309, 'Wedgewood Pharm-PM-Yr2-2025'!$D$5:$D$31,
            'Wedgewood Pharm-PM-Yr2-2025'!$E$5:$L$31, 0, 0),
        0, 0),
    _xlfn.XLOOKUP(G309, 'Wedgewood Pharm-PM-Yr2-2025'!$E$4:$L$4,
        _xlfn.XLOOKUP('Rate Load'!L309, 'Wedgewood Pharm-PM-Yr2-2025'!$D$5:$D$31,
            'Wedgewood Pharm-PM-Yr2-2025'!$E$5:$L$31, 0, 0),
        0, 0)
)</f>
        <v>23.3</v>
      </c>
      <c r="K309" t="s">
        <v>47</v>
      </c>
      <c r="L309" t="s">
        <v>14</v>
      </c>
      <c r="M309" t="str">
        <f t="shared" si="4"/>
        <v>INSERT INTO TNL_RATING.dbo.usps_rate_master VALUES ('USPS', '2/13/2025', '2/13/2026', 12659, 'US', 'Priority Mail', 6, 10, 'L', 23.3, 'Wedgewood_USPS_2025', 'NonCubic');</v>
      </c>
    </row>
    <row r="310" spans="1:13" x14ac:dyDescent="0.3">
      <c r="A310" t="s">
        <v>11</v>
      </c>
      <c r="B310" s="1" t="s">
        <v>44</v>
      </c>
      <c r="C310" s="1" t="s">
        <v>45</v>
      </c>
      <c r="D310">
        <v>12659</v>
      </c>
      <c r="E310" t="s">
        <v>12</v>
      </c>
      <c r="F310" t="s">
        <v>48</v>
      </c>
      <c r="G310">
        <v>6</v>
      </c>
      <c r="H310">
        <v>11</v>
      </c>
      <c r="I310" t="s">
        <v>46</v>
      </c>
      <c r="J310" cm="1">
        <f t="array" ref="J310">IFERROR(
    _xlfn.XLOOKUP(G310, 'Wedgewood Pharm-PM-Yr2-2025'!$E$4:$L$4,
        _xlfn.XLOOKUP('Rate Load'!H310, 'Wedgewood Pharm-PM-Yr2-2025'!$D$5:$D$31,
            'Wedgewood Pharm-PM-Yr2-2025'!$E$5:$L$31, 0, 0),
        0, 0),
    _xlfn.XLOOKUP(G310, 'Wedgewood Pharm-PM-Yr2-2025'!$E$4:$L$4,
        _xlfn.XLOOKUP('Rate Load'!L310, 'Wedgewood Pharm-PM-Yr2-2025'!$D$5:$D$31,
            'Wedgewood Pharm-PM-Yr2-2025'!$E$5:$L$31, 0, 0),
        0, 0)
)</f>
        <v>23.35</v>
      </c>
      <c r="K310" t="s">
        <v>47</v>
      </c>
      <c r="L310" t="s">
        <v>14</v>
      </c>
      <c r="M310" t="str">
        <f t="shared" si="4"/>
        <v>INSERT INTO TNL_RATING.dbo.usps_rate_master VALUES ('USPS', '2/13/2025', '2/13/2026', 12659, 'US', 'Priority Mail', 6, 11, 'L', 23.35, 'Wedgewood_USPS_2025', 'NonCubic');</v>
      </c>
    </row>
    <row r="311" spans="1:13" x14ac:dyDescent="0.3">
      <c r="A311" t="s">
        <v>11</v>
      </c>
      <c r="B311" s="1" t="s">
        <v>44</v>
      </c>
      <c r="C311" s="1" t="s">
        <v>45</v>
      </c>
      <c r="D311">
        <v>12659</v>
      </c>
      <c r="E311" t="s">
        <v>12</v>
      </c>
      <c r="F311" t="s">
        <v>48</v>
      </c>
      <c r="G311">
        <v>6</v>
      </c>
      <c r="H311">
        <v>12</v>
      </c>
      <c r="I311" t="s">
        <v>46</v>
      </c>
      <c r="J311" cm="1">
        <f t="array" ref="J311">IFERROR(
    _xlfn.XLOOKUP(G311, 'Wedgewood Pharm-PM-Yr2-2025'!$E$4:$L$4,
        _xlfn.XLOOKUP('Rate Load'!H311, 'Wedgewood Pharm-PM-Yr2-2025'!$D$5:$D$31,
            'Wedgewood Pharm-PM-Yr2-2025'!$E$5:$L$31, 0, 0),
        0, 0),
    _xlfn.XLOOKUP(G311, 'Wedgewood Pharm-PM-Yr2-2025'!$E$4:$L$4,
        _xlfn.XLOOKUP('Rate Load'!L311, 'Wedgewood Pharm-PM-Yr2-2025'!$D$5:$D$31,
            'Wedgewood Pharm-PM-Yr2-2025'!$E$5:$L$31, 0, 0),
        0, 0)
)</f>
        <v>24.700000000000003</v>
      </c>
      <c r="K311" t="s">
        <v>47</v>
      </c>
      <c r="L311" t="s">
        <v>14</v>
      </c>
      <c r="M311" t="str">
        <f t="shared" si="4"/>
        <v>INSERT INTO TNL_RATING.dbo.usps_rate_master VALUES ('USPS', '2/13/2025', '2/13/2026', 12659, 'US', 'Priority Mail', 6, 12, 'L', 24.7, 'Wedgewood_USPS_2025', 'NonCubic');</v>
      </c>
    </row>
    <row r="312" spans="1:13" x14ac:dyDescent="0.3">
      <c r="A312" t="s">
        <v>11</v>
      </c>
      <c r="B312" s="1" t="s">
        <v>44</v>
      </c>
      <c r="C312" s="1" t="s">
        <v>45</v>
      </c>
      <c r="D312">
        <v>12659</v>
      </c>
      <c r="E312" t="s">
        <v>12</v>
      </c>
      <c r="F312" t="s">
        <v>48</v>
      </c>
      <c r="G312">
        <v>6</v>
      </c>
      <c r="H312">
        <v>13</v>
      </c>
      <c r="I312" t="s">
        <v>46</v>
      </c>
      <c r="J312" cm="1">
        <f t="array" ref="J312">IFERROR(
    _xlfn.XLOOKUP(G312, 'Wedgewood Pharm-PM-Yr2-2025'!$E$4:$L$4,
        _xlfn.XLOOKUP('Rate Load'!H312, 'Wedgewood Pharm-PM-Yr2-2025'!$D$5:$D$31,
            'Wedgewood Pharm-PM-Yr2-2025'!$E$5:$L$31, 0, 0),
        0, 0),
    _xlfn.XLOOKUP(G312, 'Wedgewood Pharm-PM-Yr2-2025'!$E$4:$L$4,
        _xlfn.XLOOKUP('Rate Load'!L312, 'Wedgewood Pharm-PM-Yr2-2025'!$D$5:$D$31,
            'Wedgewood Pharm-PM-Yr2-2025'!$E$5:$L$31, 0, 0),
        0, 0)
)</f>
        <v>26.05</v>
      </c>
      <c r="K312" t="s">
        <v>47</v>
      </c>
      <c r="L312" t="s">
        <v>14</v>
      </c>
      <c r="M312" t="str">
        <f t="shared" si="4"/>
        <v>INSERT INTO TNL_RATING.dbo.usps_rate_master VALUES ('USPS', '2/13/2025', '2/13/2026', 12659, 'US', 'Priority Mail', 6, 13, 'L', 26.05, 'Wedgewood_USPS_2025', 'NonCubic');</v>
      </c>
    </row>
    <row r="313" spans="1:13" x14ac:dyDescent="0.3">
      <c r="A313" t="s">
        <v>11</v>
      </c>
      <c r="B313" s="1" t="s">
        <v>44</v>
      </c>
      <c r="C313" s="1" t="s">
        <v>45</v>
      </c>
      <c r="D313">
        <v>12659</v>
      </c>
      <c r="E313" t="s">
        <v>12</v>
      </c>
      <c r="F313" t="s">
        <v>48</v>
      </c>
      <c r="G313">
        <v>6</v>
      </c>
      <c r="H313">
        <v>14</v>
      </c>
      <c r="I313" t="s">
        <v>46</v>
      </c>
      <c r="J313" cm="1">
        <f t="array" ref="J313">IFERROR(
    _xlfn.XLOOKUP(G313, 'Wedgewood Pharm-PM-Yr2-2025'!$E$4:$L$4,
        _xlfn.XLOOKUP('Rate Load'!H313, 'Wedgewood Pharm-PM-Yr2-2025'!$D$5:$D$31,
            'Wedgewood Pharm-PM-Yr2-2025'!$E$5:$L$31, 0, 0),
        0, 0),
    _xlfn.XLOOKUP(G313, 'Wedgewood Pharm-PM-Yr2-2025'!$E$4:$L$4,
        _xlfn.XLOOKUP('Rate Load'!L313, 'Wedgewood Pharm-PM-Yr2-2025'!$D$5:$D$31,
            'Wedgewood Pharm-PM-Yr2-2025'!$E$5:$L$31, 0, 0),
        0, 0)
)</f>
        <v>27.360000000000003</v>
      </c>
      <c r="K313" t="s">
        <v>47</v>
      </c>
      <c r="L313" t="s">
        <v>14</v>
      </c>
      <c r="M313" t="str">
        <f t="shared" si="4"/>
        <v>INSERT INTO TNL_RATING.dbo.usps_rate_master VALUES ('USPS', '2/13/2025', '2/13/2026', 12659, 'US', 'Priority Mail', 6, 14, 'L', 27.36, 'Wedgewood_USPS_2025', 'NonCubic');</v>
      </c>
    </row>
    <row r="314" spans="1:13" x14ac:dyDescent="0.3">
      <c r="A314" t="s">
        <v>11</v>
      </c>
      <c r="B314" s="1" t="s">
        <v>44</v>
      </c>
      <c r="C314" s="1" t="s">
        <v>45</v>
      </c>
      <c r="D314">
        <v>12659</v>
      </c>
      <c r="E314" t="s">
        <v>12</v>
      </c>
      <c r="F314" t="s">
        <v>48</v>
      </c>
      <c r="G314">
        <v>6</v>
      </c>
      <c r="H314">
        <v>15</v>
      </c>
      <c r="I314" t="s">
        <v>46</v>
      </c>
      <c r="J314" cm="1">
        <f t="array" ref="J314">IFERROR(
    _xlfn.XLOOKUP(G314, 'Wedgewood Pharm-PM-Yr2-2025'!$E$4:$L$4,
        _xlfn.XLOOKUP('Rate Load'!H314, 'Wedgewood Pharm-PM-Yr2-2025'!$D$5:$D$31,
            'Wedgewood Pharm-PM-Yr2-2025'!$E$5:$L$31, 0, 0),
        0, 0),
    _xlfn.XLOOKUP(G314, 'Wedgewood Pharm-PM-Yr2-2025'!$E$4:$L$4,
        _xlfn.XLOOKUP('Rate Load'!L314, 'Wedgewood Pharm-PM-Yr2-2025'!$D$5:$D$31,
            'Wedgewood Pharm-PM-Yr2-2025'!$E$5:$L$31, 0, 0),
        0, 0)
)</f>
        <v>28.64</v>
      </c>
      <c r="K314" t="s">
        <v>47</v>
      </c>
      <c r="L314" t="s">
        <v>14</v>
      </c>
      <c r="M314" t="str">
        <f t="shared" si="4"/>
        <v>INSERT INTO TNL_RATING.dbo.usps_rate_master VALUES ('USPS', '2/13/2025', '2/13/2026', 12659, 'US', 'Priority Mail', 6, 15, 'L', 28.64, 'Wedgewood_USPS_2025', 'NonCubic');</v>
      </c>
    </row>
    <row r="315" spans="1:13" x14ac:dyDescent="0.3">
      <c r="A315" t="s">
        <v>11</v>
      </c>
      <c r="B315" s="1" t="s">
        <v>44</v>
      </c>
      <c r="C315" s="1" t="s">
        <v>45</v>
      </c>
      <c r="D315">
        <v>12659</v>
      </c>
      <c r="E315" t="s">
        <v>12</v>
      </c>
      <c r="F315" t="s">
        <v>48</v>
      </c>
      <c r="G315">
        <v>6</v>
      </c>
      <c r="H315">
        <v>16</v>
      </c>
      <c r="I315" t="s">
        <v>46</v>
      </c>
      <c r="J315" cm="1">
        <f t="array" ref="J315">IFERROR(
    _xlfn.XLOOKUP(G315, 'Wedgewood Pharm-PM-Yr2-2025'!$E$4:$L$4,
        _xlfn.XLOOKUP('Rate Load'!H315, 'Wedgewood Pharm-PM-Yr2-2025'!$D$5:$D$31,
            'Wedgewood Pharm-PM-Yr2-2025'!$E$5:$L$31, 0, 0),
        0, 0),
    _xlfn.XLOOKUP(G315, 'Wedgewood Pharm-PM-Yr2-2025'!$E$4:$L$4,
        _xlfn.XLOOKUP('Rate Load'!L315, 'Wedgewood Pharm-PM-Yr2-2025'!$D$5:$D$31,
            'Wedgewood Pharm-PM-Yr2-2025'!$E$5:$L$31, 0, 0),
        0, 0)
)</f>
        <v>29.94</v>
      </c>
      <c r="K315" t="s">
        <v>47</v>
      </c>
      <c r="L315" t="s">
        <v>14</v>
      </c>
      <c r="M315" t="str">
        <f t="shared" si="4"/>
        <v>INSERT INTO TNL_RATING.dbo.usps_rate_master VALUES ('USPS', '2/13/2025', '2/13/2026', 12659, 'US', 'Priority Mail', 6, 16, 'L', 29.94, 'Wedgewood_USPS_2025', 'NonCubic');</v>
      </c>
    </row>
    <row r="316" spans="1:13" x14ac:dyDescent="0.3">
      <c r="A316" t="s">
        <v>11</v>
      </c>
      <c r="B316" s="1" t="s">
        <v>44</v>
      </c>
      <c r="C316" s="1" t="s">
        <v>45</v>
      </c>
      <c r="D316">
        <v>12659</v>
      </c>
      <c r="E316" t="s">
        <v>12</v>
      </c>
      <c r="F316" t="s">
        <v>48</v>
      </c>
      <c r="G316">
        <v>6</v>
      </c>
      <c r="H316">
        <v>17</v>
      </c>
      <c r="I316" t="s">
        <v>46</v>
      </c>
      <c r="J316" cm="1">
        <f t="array" ref="J316">IFERROR(
    _xlfn.XLOOKUP(G316, 'Wedgewood Pharm-PM-Yr2-2025'!$E$4:$L$4,
        _xlfn.XLOOKUP('Rate Load'!H316, 'Wedgewood Pharm-PM-Yr2-2025'!$D$5:$D$31,
            'Wedgewood Pharm-PM-Yr2-2025'!$E$5:$L$31, 0, 0),
        0, 0),
    _xlfn.XLOOKUP(G316, 'Wedgewood Pharm-PM-Yr2-2025'!$E$4:$L$4,
        _xlfn.XLOOKUP('Rate Load'!L316, 'Wedgewood Pharm-PM-Yr2-2025'!$D$5:$D$31,
            'Wedgewood Pharm-PM-Yr2-2025'!$E$5:$L$31, 0, 0),
        0, 0)
)</f>
        <v>31.220000000000002</v>
      </c>
      <c r="K316" t="s">
        <v>47</v>
      </c>
      <c r="L316" t="s">
        <v>14</v>
      </c>
      <c r="M316" t="str">
        <f t="shared" si="4"/>
        <v>INSERT INTO TNL_RATING.dbo.usps_rate_master VALUES ('USPS', '2/13/2025', '2/13/2026', 12659, 'US', 'Priority Mail', 6, 17, 'L', 31.22, 'Wedgewood_USPS_2025', 'NonCubic');</v>
      </c>
    </row>
    <row r="317" spans="1:13" x14ac:dyDescent="0.3">
      <c r="A317" t="s">
        <v>11</v>
      </c>
      <c r="B317" s="1" t="s">
        <v>44</v>
      </c>
      <c r="C317" s="1" t="s">
        <v>45</v>
      </c>
      <c r="D317">
        <v>12659</v>
      </c>
      <c r="E317" t="s">
        <v>12</v>
      </c>
      <c r="F317" t="s">
        <v>48</v>
      </c>
      <c r="G317">
        <v>6</v>
      </c>
      <c r="H317">
        <v>18</v>
      </c>
      <c r="I317" t="s">
        <v>46</v>
      </c>
      <c r="J317" cm="1">
        <f t="array" ref="J317">IFERROR(
    _xlfn.XLOOKUP(G317, 'Wedgewood Pharm-PM-Yr2-2025'!$E$4:$L$4,
        _xlfn.XLOOKUP('Rate Load'!H317, 'Wedgewood Pharm-PM-Yr2-2025'!$D$5:$D$31,
            'Wedgewood Pharm-PM-Yr2-2025'!$E$5:$L$31, 0, 0),
        0, 0),
    _xlfn.XLOOKUP(G317, 'Wedgewood Pharm-PM-Yr2-2025'!$E$4:$L$4,
        _xlfn.XLOOKUP('Rate Load'!L317, 'Wedgewood Pharm-PM-Yr2-2025'!$D$5:$D$31,
            'Wedgewood Pharm-PM-Yr2-2025'!$E$5:$L$31, 0, 0),
        0, 0)
)</f>
        <v>32.519999999999996</v>
      </c>
      <c r="K317" t="s">
        <v>47</v>
      </c>
      <c r="L317" t="s">
        <v>14</v>
      </c>
      <c r="M317" t="str">
        <f t="shared" si="4"/>
        <v>INSERT INTO TNL_RATING.dbo.usps_rate_master VALUES ('USPS', '2/13/2025', '2/13/2026', 12659, 'US', 'Priority Mail', 6, 18, 'L', 32.52, 'Wedgewood_USPS_2025', 'NonCubic');</v>
      </c>
    </row>
    <row r="318" spans="1:13" x14ac:dyDescent="0.3">
      <c r="A318" t="s">
        <v>11</v>
      </c>
      <c r="B318" s="1" t="s">
        <v>44</v>
      </c>
      <c r="C318" s="1" t="s">
        <v>45</v>
      </c>
      <c r="D318">
        <v>12659</v>
      </c>
      <c r="E318" t="s">
        <v>12</v>
      </c>
      <c r="F318" t="s">
        <v>48</v>
      </c>
      <c r="G318">
        <v>6</v>
      </c>
      <c r="H318">
        <v>19</v>
      </c>
      <c r="I318" t="s">
        <v>46</v>
      </c>
      <c r="J318" cm="1">
        <f t="array" ref="J318">IFERROR(
    _xlfn.XLOOKUP(G318, 'Wedgewood Pharm-PM-Yr2-2025'!$E$4:$L$4,
        _xlfn.XLOOKUP('Rate Load'!H318, 'Wedgewood Pharm-PM-Yr2-2025'!$D$5:$D$31,
            'Wedgewood Pharm-PM-Yr2-2025'!$E$5:$L$31, 0, 0),
        0, 0),
    _xlfn.XLOOKUP(G318, 'Wedgewood Pharm-PM-Yr2-2025'!$E$4:$L$4,
        _xlfn.XLOOKUP('Rate Load'!L318, 'Wedgewood Pharm-PM-Yr2-2025'!$D$5:$D$31,
            'Wedgewood Pharm-PM-Yr2-2025'!$E$5:$L$31, 0, 0),
        0, 0)
)</f>
        <v>33.82</v>
      </c>
      <c r="K318" t="s">
        <v>47</v>
      </c>
      <c r="L318" t="s">
        <v>14</v>
      </c>
      <c r="M318" t="str">
        <f t="shared" si="4"/>
        <v>INSERT INTO TNL_RATING.dbo.usps_rate_master VALUES ('USPS', '2/13/2025', '2/13/2026', 12659, 'US', 'Priority Mail', 6, 19, 'L', 33.82, 'Wedgewood_USPS_2025', 'NonCubic');</v>
      </c>
    </row>
    <row r="319" spans="1:13" x14ac:dyDescent="0.3">
      <c r="A319" t="s">
        <v>11</v>
      </c>
      <c r="B319" s="1" t="s">
        <v>44</v>
      </c>
      <c r="C319" s="1" t="s">
        <v>45</v>
      </c>
      <c r="D319">
        <v>12659</v>
      </c>
      <c r="E319" t="s">
        <v>12</v>
      </c>
      <c r="F319" t="s">
        <v>48</v>
      </c>
      <c r="G319">
        <v>6</v>
      </c>
      <c r="H319">
        <v>20</v>
      </c>
      <c r="I319" t="s">
        <v>46</v>
      </c>
      <c r="J319" cm="1">
        <f t="array" ref="J319">IFERROR(
    _xlfn.XLOOKUP(G319, 'Wedgewood Pharm-PM-Yr2-2025'!$E$4:$L$4,
        _xlfn.XLOOKUP('Rate Load'!H319, 'Wedgewood Pharm-PM-Yr2-2025'!$D$5:$D$31,
            'Wedgewood Pharm-PM-Yr2-2025'!$E$5:$L$31, 0, 0),
        0, 0),
    _xlfn.XLOOKUP(G319, 'Wedgewood Pharm-PM-Yr2-2025'!$E$4:$L$4,
        _xlfn.XLOOKUP('Rate Load'!L319, 'Wedgewood Pharm-PM-Yr2-2025'!$D$5:$D$31,
            'Wedgewood Pharm-PM-Yr2-2025'!$E$5:$L$31, 0, 0),
        0, 0)
)</f>
        <v>35.11</v>
      </c>
      <c r="K319" t="s">
        <v>47</v>
      </c>
      <c r="L319" t="s">
        <v>14</v>
      </c>
      <c r="M319" t="str">
        <f t="shared" si="4"/>
        <v>INSERT INTO TNL_RATING.dbo.usps_rate_master VALUES ('USPS', '2/13/2025', '2/13/2026', 12659, 'US', 'Priority Mail', 6, 20, 'L', 35.11, 'Wedgewood_USPS_2025', 'NonCubic');</v>
      </c>
    </row>
    <row r="320" spans="1:13" x14ac:dyDescent="0.3">
      <c r="A320" t="s">
        <v>11</v>
      </c>
      <c r="B320" s="1" t="s">
        <v>44</v>
      </c>
      <c r="C320" s="1" t="s">
        <v>45</v>
      </c>
      <c r="D320">
        <v>12659</v>
      </c>
      <c r="E320" t="s">
        <v>12</v>
      </c>
      <c r="F320" t="s">
        <v>48</v>
      </c>
      <c r="G320">
        <v>7</v>
      </c>
      <c r="H320">
        <v>0.5</v>
      </c>
      <c r="I320" t="s">
        <v>46</v>
      </c>
      <c r="J320" cm="1">
        <f t="array" ref="J320">IFERROR(
    _xlfn.XLOOKUP(G320, 'Wedgewood Pharm-PM-Yr2-2025'!$E$4:$L$4,
        _xlfn.XLOOKUP('Rate Load'!H320, 'Wedgewood Pharm-PM-Yr2-2025'!$D$5:$D$31,
            'Wedgewood Pharm-PM-Yr2-2025'!$E$5:$L$31, 0, 0),
        0, 0),
    _xlfn.XLOOKUP(G320, 'Wedgewood Pharm-PM-Yr2-2025'!$E$4:$L$4,
        _xlfn.XLOOKUP('Rate Load'!L320, 'Wedgewood Pharm-PM-Yr2-2025'!$D$5:$D$31,
            'Wedgewood Pharm-PM-Yr2-2025'!$E$5:$L$31, 0, 0),
        0, 0)
)</f>
        <v>7.8999999999999995</v>
      </c>
      <c r="K320" t="s">
        <v>47</v>
      </c>
      <c r="L320" t="s">
        <v>14</v>
      </c>
      <c r="M320" t="str">
        <f t="shared" si="4"/>
        <v>INSERT INTO TNL_RATING.dbo.usps_rate_master VALUES ('USPS', '2/13/2025', '2/13/2026', 12659, 'US', 'Priority Mail', 7, 0.5, 'L', 7.9, 'Wedgewood_USPS_2025', 'NonCubic');</v>
      </c>
    </row>
    <row r="321" spans="1:13" x14ac:dyDescent="0.3">
      <c r="A321" t="s">
        <v>11</v>
      </c>
      <c r="B321" s="1" t="s">
        <v>44</v>
      </c>
      <c r="C321" s="1" t="s">
        <v>45</v>
      </c>
      <c r="D321">
        <v>12659</v>
      </c>
      <c r="E321" t="s">
        <v>12</v>
      </c>
      <c r="F321" t="s">
        <v>48</v>
      </c>
      <c r="G321">
        <v>7</v>
      </c>
      <c r="H321">
        <v>1</v>
      </c>
      <c r="I321" t="s">
        <v>46</v>
      </c>
      <c r="J321" cm="1">
        <f t="array" ref="J321">IFERROR(
    _xlfn.XLOOKUP(G321, 'Wedgewood Pharm-PM-Yr2-2025'!$E$4:$L$4,
        _xlfn.XLOOKUP('Rate Load'!H321, 'Wedgewood Pharm-PM-Yr2-2025'!$D$5:$D$31,
            'Wedgewood Pharm-PM-Yr2-2025'!$E$5:$L$31, 0, 0),
        0, 0),
    _xlfn.XLOOKUP(G321, 'Wedgewood Pharm-PM-Yr2-2025'!$E$4:$L$4,
        _xlfn.XLOOKUP('Rate Load'!L321, 'Wedgewood Pharm-PM-Yr2-2025'!$D$5:$D$31,
            'Wedgewood Pharm-PM-Yr2-2025'!$E$5:$L$31, 0, 0),
        0, 0)
)</f>
        <v>8.51</v>
      </c>
      <c r="K321" t="s">
        <v>47</v>
      </c>
      <c r="L321" t="s">
        <v>14</v>
      </c>
      <c r="M321" t="str">
        <f t="shared" si="4"/>
        <v>INSERT INTO TNL_RATING.dbo.usps_rate_master VALUES ('USPS', '2/13/2025', '2/13/2026', 12659, 'US', 'Priority Mail', 7, 1, 'L', 8.51, 'Wedgewood_USPS_2025', 'NonCubic');</v>
      </c>
    </row>
    <row r="322" spans="1:13" x14ac:dyDescent="0.3">
      <c r="A322" t="s">
        <v>11</v>
      </c>
      <c r="B322" s="1" t="s">
        <v>44</v>
      </c>
      <c r="C322" s="1" t="s">
        <v>45</v>
      </c>
      <c r="D322">
        <v>12659</v>
      </c>
      <c r="E322" t="s">
        <v>12</v>
      </c>
      <c r="F322" t="s">
        <v>48</v>
      </c>
      <c r="G322">
        <v>7</v>
      </c>
      <c r="H322">
        <v>2</v>
      </c>
      <c r="I322" t="s">
        <v>46</v>
      </c>
      <c r="J322" cm="1">
        <f t="array" ref="J322">IFERROR(
    _xlfn.XLOOKUP(G322, 'Wedgewood Pharm-PM-Yr2-2025'!$E$4:$L$4,
        _xlfn.XLOOKUP('Rate Load'!H322, 'Wedgewood Pharm-PM-Yr2-2025'!$D$5:$D$31,
            'Wedgewood Pharm-PM-Yr2-2025'!$E$5:$L$31, 0, 0),
        0, 0),
    _xlfn.XLOOKUP(G322, 'Wedgewood Pharm-PM-Yr2-2025'!$E$4:$L$4,
        _xlfn.XLOOKUP('Rate Load'!L322, 'Wedgewood Pharm-PM-Yr2-2025'!$D$5:$D$31,
            'Wedgewood Pharm-PM-Yr2-2025'!$E$5:$L$31, 0, 0),
        0, 0)
)</f>
        <v>10.76</v>
      </c>
      <c r="K322" t="s">
        <v>47</v>
      </c>
      <c r="L322" t="s">
        <v>14</v>
      </c>
      <c r="M322" t="str">
        <f t="shared" si="4"/>
        <v>INSERT INTO TNL_RATING.dbo.usps_rate_master VALUES ('USPS', '2/13/2025', '2/13/2026', 12659, 'US', 'Priority Mail', 7, 2, 'L', 10.76, 'Wedgewood_USPS_2025', 'NonCubic');</v>
      </c>
    </row>
    <row r="323" spans="1:13" x14ac:dyDescent="0.3">
      <c r="A323" t="s">
        <v>11</v>
      </c>
      <c r="B323" s="1" t="s">
        <v>44</v>
      </c>
      <c r="C323" s="1" t="s">
        <v>45</v>
      </c>
      <c r="D323">
        <v>12659</v>
      </c>
      <c r="E323" t="s">
        <v>12</v>
      </c>
      <c r="F323" t="s">
        <v>48</v>
      </c>
      <c r="G323">
        <v>7</v>
      </c>
      <c r="H323">
        <v>3</v>
      </c>
      <c r="I323" t="s">
        <v>46</v>
      </c>
      <c r="J323" cm="1">
        <f t="array" ref="J323">IFERROR(
    _xlfn.XLOOKUP(G323, 'Wedgewood Pharm-PM-Yr2-2025'!$E$4:$L$4,
        _xlfn.XLOOKUP('Rate Load'!H323, 'Wedgewood Pharm-PM-Yr2-2025'!$D$5:$D$31,
            'Wedgewood Pharm-PM-Yr2-2025'!$E$5:$L$31, 0, 0),
        0, 0),
    _xlfn.XLOOKUP(G323, 'Wedgewood Pharm-PM-Yr2-2025'!$E$4:$L$4,
        _xlfn.XLOOKUP('Rate Load'!L323, 'Wedgewood Pharm-PM-Yr2-2025'!$D$5:$D$31,
            'Wedgewood Pharm-PM-Yr2-2025'!$E$5:$L$31, 0, 0),
        0, 0)
)</f>
        <v>14.47</v>
      </c>
      <c r="K323" t="s">
        <v>47</v>
      </c>
      <c r="L323" t="s">
        <v>14</v>
      </c>
      <c r="M323" t="str">
        <f t="shared" ref="M323:M386" si="5">"INSERT INTO TNL_RATING.dbo.usps_rate_master VALUES ('" &amp; A323 &amp; "', '" &amp; B323 &amp; "', '" &amp; C323 &amp; "', " &amp; D323 &amp; ", '" &amp; E323 &amp; "', '" &amp; F323 &amp; "', " &amp; G323 &amp; ", " &amp; H323 &amp; ", '" &amp; I323 &amp; "', " &amp; J323 &amp; ", '" &amp; K323 &amp; "', '" &amp; L323 &amp; "');"</f>
        <v>INSERT INTO TNL_RATING.dbo.usps_rate_master VALUES ('USPS', '2/13/2025', '2/13/2026', 12659, 'US', 'Priority Mail', 7, 3, 'L', 14.47, 'Wedgewood_USPS_2025', 'NonCubic');</v>
      </c>
    </row>
    <row r="324" spans="1:13" x14ac:dyDescent="0.3">
      <c r="A324" t="s">
        <v>11</v>
      </c>
      <c r="B324" s="1" t="s">
        <v>44</v>
      </c>
      <c r="C324" s="1" t="s">
        <v>45</v>
      </c>
      <c r="D324">
        <v>12659</v>
      </c>
      <c r="E324" t="s">
        <v>12</v>
      </c>
      <c r="F324" t="s">
        <v>48</v>
      </c>
      <c r="G324">
        <v>7</v>
      </c>
      <c r="H324">
        <v>4</v>
      </c>
      <c r="I324" t="s">
        <v>46</v>
      </c>
      <c r="J324" cm="1">
        <f t="array" ref="J324">IFERROR(
    _xlfn.XLOOKUP(G324, 'Wedgewood Pharm-PM-Yr2-2025'!$E$4:$L$4,
        _xlfn.XLOOKUP('Rate Load'!H324, 'Wedgewood Pharm-PM-Yr2-2025'!$D$5:$D$31,
            'Wedgewood Pharm-PM-Yr2-2025'!$E$5:$L$31, 0, 0),
        0, 0),
    _xlfn.XLOOKUP(G324, 'Wedgewood Pharm-PM-Yr2-2025'!$E$4:$L$4,
        _xlfn.XLOOKUP('Rate Load'!L324, 'Wedgewood Pharm-PM-Yr2-2025'!$D$5:$D$31,
            'Wedgewood Pharm-PM-Yr2-2025'!$E$5:$L$31, 0, 0),
        0, 0)
)</f>
        <v>17.180000000000003</v>
      </c>
      <c r="K324" t="s">
        <v>47</v>
      </c>
      <c r="L324" t="s">
        <v>14</v>
      </c>
      <c r="M324" t="str">
        <f t="shared" si="5"/>
        <v>INSERT INTO TNL_RATING.dbo.usps_rate_master VALUES ('USPS', '2/13/2025', '2/13/2026', 12659, 'US', 'Priority Mail', 7, 4, 'L', 17.18, 'Wedgewood_USPS_2025', 'NonCubic');</v>
      </c>
    </row>
    <row r="325" spans="1:13" x14ac:dyDescent="0.3">
      <c r="A325" t="s">
        <v>11</v>
      </c>
      <c r="B325" s="1" t="s">
        <v>44</v>
      </c>
      <c r="C325" s="1" t="s">
        <v>45</v>
      </c>
      <c r="D325">
        <v>12659</v>
      </c>
      <c r="E325" t="s">
        <v>12</v>
      </c>
      <c r="F325" t="s">
        <v>48</v>
      </c>
      <c r="G325">
        <v>7</v>
      </c>
      <c r="H325">
        <v>5</v>
      </c>
      <c r="I325" t="s">
        <v>46</v>
      </c>
      <c r="J325" cm="1">
        <f t="array" ref="J325">IFERROR(
    _xlfn.XLOOKUP(G325, 'Wedgewood Pharm-PM-Yr2-2025'!$E$4:$L$4,
        _xlfn.XLOOKUP('Rate Load'!H325, 'Wedgewood Pharm-PM-Yr2-2025'!$D$5:$D$31,
            'Wedgewood Pharm-PM-Yr2-2025'!$E$5:$L$31, 0, 0),
        0, 0),
    _xlfn.XLOOKUP(G325, 'Wedgewood Pharm-PM-Yr2-2025'!$E$4:$L$4,
        _xlfn.XLOOKUP('Rate Load'!L325, 'Wedgewood Pharm-PM-Yr2-2025'!$D$5:$D$31,
            'Wedgewood Pharm-PM-Yr2-2025'!$E$5:$L$31, 0, 0),
        0, 0)
)</f>
        <v>19.53</v>
      </c>
      <c r="K325" t="s">
        <v>47</v>
      </c>
      <c r="L325" t="s">
        <v>14</v>
      </c>
      <c r="M325" t="str">
        <f t="shared" si="5"/>
        <v>INSERT INTO TNL_RATING.dbo.usps_rate_master VALUES ('USPS', '2/13/2025', '2/13/2026', 12659, 'US', 'Priority Mail', 7, 5, 'L', 19.53, 'Wedgewood_USPS_2025', 'NonCubic');</v>
      </c>
    </row>
    <row r="326" spans="1:13" x14ac:dyDescent="0.3">
      <c r="A326" t="s">
        <v>11</v>
      </c>
      <c r="B326" s="1" t="s">
        <v>44</v>
      </c>
      <c r="C326" s="1" t="s">
        <v>45</v>
      </c>
      <c r="D326">
        <v>12659</v>
      </c>
      <c r="E326" t="s">
        <v>12</v>
      </c>
      <c r="F326" t="s">
        <v>48</v>
      </c>
      <c r="G326">
        <v>7</v>
      </c>
      <c r="H326">
        <v>6</v>
      </c>
      <c r="I326" t="s">
        <v>46</v>
      </c>
      <c r="J326" cm="1">
        <f t="array" ref="J326">IFERROR(
    _xlfn.XLOOKUP(G326, 'Wedgewood Pharm-PM-Yr2-2025'!$E$4:$L$4,
        _xlfn.XLOOKUP('Rate Load'!H326, 'Wedgewood Pharm-PM-Yr2-2025'!$D$5:$D$31,
            'Wedgewood Pharm-PM-Yr2-2025'!$E$5:$L$31, 0, 0),
        0, 0),
    _xlfn.XLOOKUP(G326, 'Wedgewood Pharm-PM-Yr2-2025'!$E$4:$L$4,
        _xlfn.XLOOKUP('Rate Load'!L326, 'Wedgewood Pharm-PM-Yr2-2025'!$D$5:$D$31,
            'Wedgewood Pharm-PM-Yr2-2025'!$E$5:$L$31, 0, 0),
        0, 0)
)</f>
        <v>22.560000000000002</v>
      </c>
      <c r="K326" t="s">
        <v>47</v>
      </c>
      <c r="L326" t="s">
        <v>14</v>
      </c>
      <c r="M326" t="str">
        <f t="shared" si="5"/>
        <v>INSERT INTO TNL_RATING.dbo.usps_rate_master VALUES ('USPS', '2/13/2025', '2/13/2026', 12659, 'US', 'Priority Mail', 7, 6, 'L', 22.56, 'Wedgewood_USPS_2025', 'NonCubic');</v>
      </c>
    </row>
    <row r="327" spans="1:13" x14ac:dyDescent="0.3">
      <c r="A327" t="s">
        <v>11</v>
      </c>
      <c r="B327" s="1" t="s">
        <v>44</v>
      </c>
      <c r="C327" s="1" t="s">
        <v>45</v>
      </c>
      <c r="D327">
        <v>12659</v>
      </c>
      <c r="E327" t="s">
        <v>12</v>
      </c>
      <c r="F327" t="s">
        <v>48</v>
      </c>
      <c r="G327">
        <v>7</v>
      </c>
      <c r="H327">
        <v>7</v>
      </c>
      <c r="I327" t="s">
        <v>46</v>
      </c>
      <c r="J327" cm="1">
        <f t="array" ref="J327">IFERROR(
    _xlfn.XLOOKUP(G327, 'Wedgewood Pharm-PM-Yr2-2025'!$E$4:$L$4,
        _xlfn.XLOOKUP('Rate Load'!H327, 'Wedgewood Pharm-PM-Yr2-2025'!$D$5:$D$31,
            'Wedgewood Pharm-PM-Yr2-2025'!$E$5:$L$31, 0, 0),
        0, 0),
    _xlfn.XLOOKUP(G327, 'Wedgewood Pharm-PM-Yr2-2025'!$E$4:$L$4,
        _xlfn.XLOOKUP('Rate Load'!L327, 'Wedgewood Pharm-PM-Yr2-2025'!$D$5:$D$31,
            'Wedgewood Pharm-PM-Yr2-2025'!$E$5:$L$31, 0, 0),
        0, 0)
)</f>
        <v>24.430000000000003</v>
      </c>
      <c r="K327" t="s">
        <v>47</v>
      </c>
      <c r="L327" t="s">
        <v>14</v>
      </c>
      <c r="M327" t="str">
        <f t="shared" si="5"/>
        <v>INSERT INTO TNL_RATING.dbo.usps_rate_master VALUES ('USPS', '2/13/2025', '2/13/2026', 12659, 'US', 'Priority Mail', 7, 7, 'L', 24.43, 'Wedgewood_USPS_2025', 'NonCubic');</v>
      </c>
    </row>
    <row r="328" spans="1:13" x14ac:dyDescent="0.3">
      <c r="A328" t="s">
        <v>11</v>
      </c>
      <c r="B328" s="1" t="s">
        <v>44</v>
      </c>
      <c r="C328" s="1" t="s">
        <v>45</v>
      </c>
      <c r="D328">
        <v>12659</v>
      </c>
      <c r="E328" t="s">
        <v>12</v>
      </c>
      <c r="F328" t="s">
        <v>48</v>
      </c>
      <c r="G328">
        <v>7</v>
      </c>
      <c r="H328">
        <v>8</v>
      </c>
      <c r="I328" t="s">
        <v>46</v>
      </c>
      <c r="J328" cm="1">
        <f t="array" ref="J328">IFERROR(
    _xlfn.XLOOKUP(G328, 'Wedgewood Pharm-PM-Yr2-2025'!$E$4:$L$4,
        _xlfn.XLOOKUP('Rate Load'!H328, 'Wedgewood Pharm-PM-Yr2-2025'!$D$5:$D$31,
            'Wedgewood Pharm-PM-Yr2-2025'!$E$5:$L$31, 0, 0),
        0, 0),
    _xlfn.XLOOKUP(G328, 'Wedgewood Pharm-PM-Yr2-2025'!$E$4:$L$4,
        _xlfn.XLOOKUP('Rate Load'!L328, 'Wedgewood Pharm-PM-Yr2-2025'!$D$5:$D$31,
            'Wedgewood Pharm-PM-Yr2-2025'!$E$5:$L$31, 0, 0),
        0, 0)
)</f>
        <v>26.21</v>
      </c>
      <c r="K328" t="s">
        <v>47</v>
      </c>
      <c r="L328" t="s">
        <v>14</v>
      </c>
      <c r="M328" t="str">
        <f t="shared" si="5"/>
        <v>INSERT INTO TNL_RATING.dbo.usps_rate_master VALUES ('USPS', '2/13/2025', '2/13/2026', 12659, 'US', 'Priority Mail', 7, 8, 'L', 26.21, 'Wedgewood_USPS_2025', 'NonCubic');</v>
      </c>
    </row>
    <row r="329" spans="1:13" x14ac:dyDescent="0.3">
      <c r="A329" t="s">
        <v>11</v>
      </c>
      <c r="B329" s="1" t="s">
        <v>44</v>
      </c>
      <c r="C329" s="1" t="s">
        <v>45</v>
      </c>
      <c r="D329">
        <v>12659</v>
      </c>
      <c r="E329" t="s">
        <v>12</v>
      </c>
      <c r="F329" t="s">
        <v>48</v>
      </c>
      <c r="G329">
        <v>7</v>
      </c>
      <c r="H329">
        <v>9</v>
      </c>
      <c r="I329" t="s">
        <v>46</v>
      </c>
      <c r="J329" cm="1">
        <f t="array" ref="J329">IFERROR(
    _xlfn.XLOOKUP(G329, 'Wedgewood Pharm-PM-Yr2-2025'!$E$4:$L$4,
        _xlfn.XLOOKUP('Rate Load'!H329, 'Wedgewood Pharm-PM-Yr2-2025'!$D$5:$D$31,
            'Wedgewood Pharm-PM-Yr2-2025'!$E$5:$L$31, 0, 0),
        0, 0),
    _xlfn.XLOOKUP(G329, 'Wedgewood Pharm-PM-Yr2-2025'!$E$4:$L$4,
        _xlfn.XLOOKUP('Rate Load'!L329, 'Wedgewood Pharm-PM-Yr2-2025'!$D$5:$D$31,
            'Wedgewood Pharm-PM-Yr2-2025'!$E$5:$L$31, 0, 0),
        0, 0)
)</f>
        <v>27.930000000000003</v>
      </c>
      <c r="K329" t="s">
        <v>47</v>
      </c>
      <c r="L329" t="s">
        <v>14</v>
      </c>
      <c r="M329" t="str">
        <f t="shared" si="5"/>
        <v>INSERT INTO TNL_RATING.dbo.usps_rate_master VALUES ('USPS', '2/13/2025', '2/13/2026', 12659, 'US', 'Priority Mail', 7, 9, 'L', 27.93, 'Wedgewood_USPS_2025', 'NonCubic');</v>
      </c>
    </row>
    <row r="330" spans="1:13" x14ac:dyDescent="0.3">
      <c r="A330" t="s">
        <v>11</v>
      </c>
      <c r="B330" s="1" t="s">
        <v>44</v>
      </c>
      <c r="C330" s="1" t="s">
        <v>45</v>
      </c>
      <c r="D330">
        <v>12659</v>
      </c>
      <c r="E330" t="s">
        <v>12</v>
      </c>
      <c r="F330" t="s">
        <v>48</v>
      </c>
      <c r="G330">
        <v>7</v>
      </c>
      <c r="H330">
        <v>10</v>
      </c>
      <c r="I330" t="s">
        <v>46</v>
      </c>
      <c r="J330" cm="1">
        <f t="array" ref="J330">IFERROR(
    _xlfn.XLOOKUP(G330, 'Wedgewood Pharm-PM-Yr2-2025'!$E$4:$L$4,
        _xlfn.XLOOKUP('Rate Load'!H330, 'Wedgewood Pharm-PM-Yr2-2025'!$D$5:$D$31,
            'Wedgewood Pharm-PM-Yr2-2025'!$E$5:$L$31, 0, 0),
        0, 0),
    _xlfn.XLOOKUP(G330, 'Wedgewood Pharm-PM-Yr2-2025'!$E$4:$L$4,
        _xlfn.XLOOKUP('Rate Load'!L330, 'Wedgewood Pharm-PM-Yr2-2025'!$D$5:$D$31,
            'Wedgewood Pharm-PM-Yr2-2025'!$E$5:$L$31, 0, 0),
        0, 0)
)</f>
        <v>29.630000000000003</v>
      </c>
      <c r="K330" t="s">
        <v>47</v>
      </c>
      <c r="L330" t="s">
        <v>14</v>
      </c>
      <c r="M330" t="str">
        <f t="shared" si="5"/>
        <v>INSERT INTO TNL_RATING.dbo.usps_rate_master VALUES ('USPS', '2/13/2025', '2/13/2026', 12659, 'US', 'Priority Mail', 7, 10, 'L', 29.63, 'Wedgewood_USPS_2025', 'NonCubic');</v>
      </c>
    </row>
    <row r="331" spans="1:13" x14ac:dyDescent="0.3">
      <c r="A331" t="s">
        <v>11</v>
      </c>
      <c r="B331" s="1" t="s">
        <v>44</v>
      </c>
      <c r="C331" s="1" t="s">
        <v>45</v>
      </c>
      <c r="D331">
        <v>12659</v>
      </c>
      <c r="E331" t="s">
        <v>12</v>
      </c>
      <c r="F331" t="s">
        <v>48</v>
      </c>
      <c r="G331">
        <v>7</v>
      </c>
      <c r="H331">
        <v>11</v>
      </c>
      <c r="I331" t="s">
        <v>46</v>
      </c>
      <c r="J331" cm="1">
        <f t="array" ref="J331">IFERROR(
    _xlfn.XLOOKUP(G331, 'Wedgewood Pharm-PM-Yr2-2025'!$E$4:$L$4,
        _xlfn.XLOOKUP('Rate Load'!H331, 'Wedgewood Pharm-PM-Yr2-2025'!$D$5:$D$31,
            'Wedgewood Pharm-PM-Yr2-2025'!$E$5:$L$31, 0, 0),
        0, 0),
    _xlfn.XLOOKUP(G331, 'Wedgewood Pharm-PM-Yr2-2025'!$E$4:$L$4,
        _xlfn.XLOOKUP('Rate Load'!L331, 'Wedgewood Pharm-PM-Yr2-2025'!$D$5:$D$31,
            'Wedgewood Pharm-PM-Yr2-2025'!$E$5:$L$31, 0, 0),
        0, 0)
)</f>
        <v>29.69</v>
      </c>
      <c r="K331" t="s">
        <v>47</v>
      </c>
      <c r="L331" t="s">
        <v>14</v>
      </c>
      <c r="M331" t="str">
        <f t="shared" si="5"/>
        <v>INSERT INTO TNL_RATING.dbo.usps_rate_master VALUES ('USPS', '2/13/2025', '2/13/2026', 12659, 'US', 'Priority Mail', 7, 11, 'L', 29.69, 'Wedgewood_USPS_2025', 'NonCubic');</v>
      </c>
    </row>
    <row r="332" spans="1:13" x14ac:dyDescent="0.3">
      <c r="A332" t="s">
        <v>11</v>
      </c>
      <c r="B332" s="1" t="s">
        <v>44</v>
      </c>
      <c r="C332" s="1" t="s">
        <v>45</v>
      </c>
      <c r="D332">
        <v>12659</v>
      </c>
      <c r="E332" t="s">
        <v>12</v>
      </c>
      <c r="F332" t="s">
        <v>48</v>
      </c>
      <c r="G332">
        <v>7</v>
      </c>
      <c r="H332">
        <v>12</v>
      </c>
      <c r="I332" t="s">
        <v>46</v>
      </c>
      <c r="J332" cm="1">
        <f t="array" ref="J332">IFERROR(
    _xlfn.XLOOKUP(G332, 'Wedgewood Pharm-PM-Yr2-2025'!$E$4:$L$4,
        _xlfn.XLOOKUP('Rate Load'!H332, 'Wedgewood Pharm-PM-Yr2-2025'!$D$5:$D$31,
            'Wedgewood Pharm-PM-Yr2-2025'!$E$5:$L$31, 0, 0),
        0, 0),
    _xlfn.XLOOKUP(G332, 'Wedgewood Pharm-PM-Yr2-2025'!$E$4:$L$4,
        _xlfn.XLOOKUP('Rate Load'!L332, 'Wedgewood Pharm-PM-Yr2-2025'!$D$5:$D$31,
            'Wedgewood Pharm-PM-Yr2-2025'!$E$5:$L$31, 0, 0),
        0, 0)
)</f>
        <v>31.400000000000002</v>
      </c>
      <c r="K332" t="s">
        <v>47</v>
      </c>
      <c r="L332" t="s">
        <v>14</v>
      </c>
      <c r="M332" t="str">
        <f t="shared" si="5"/>
        <v>INSERT INTO TNL_RATING.dbo.usps_rate_master VALUES ('USPS', '2/13/2025', '2/13/2026', 12659, 'US', 'Priority Mail', 7, 12, 'L', 31.4, 'Wedgewood_USPS_2025', 'NonCubic');</v>
      </c>
    </row>
    <row r="333" spans="1:13" x14ac:dyDescent="0.3">
      <c r="A333" t="s">
        <v>11</v>
      </c>
      <c r="B333" s="1" t="s">
        <v>44</v>
      </c>
      <c r="C333" s="1" t="s">
        <v>45</v>
      </c>
      <c r="D333">
        <v>12659</v>
      </c>
      <c r="E333" t="s">
        <v>12</v>
      </c>
      <c r="F333" t="s">
        <v>48</v>
      </c>
      <c r="G333">
        <v>7</v>
      </c>
      <c r="H333">
        <v>13</v>
      </c>
      <c r="I333" t="s">
        <v>46</v>
      </c>
      <c r="J333" cm="1">
        <f t="array" ref="J333">IFERROR(
    _xlfn.XLOOKUP(G333, 'Wedgewood Pharm-PM-Yr2-2025'!$E$4:$L$4,
        _xlfn.XLOOKUP('Rate Load'!H333, 'Wedgewood Pharm-PM-Yr2-2025'!$D$5:$D$31,
            'Wedgewood Pharm-PM-Yr2-2025'!$E$5:$L$31, 0, 0),
        0, 0),
    _xlfn.XLOOKUP(G333, 'Wedgewood Pharm-PM-Yr2-2025'!$E$4:$L$4,
        _xlfn.XLOOKUP('Rate Load'!L333, 'Wedgewood Pharm-PM-Yr2-2025'!$D$5:$D$31,
            'Wedgewood Pharm-PM-Yr2-2025'!$E$5:$L$31, 0, 0),
        0, 0)
)</f>
        <v>33.129999999999995</v>
      </c>
      <c r="K333" t="s">
        <v>47</v>
      </c>
      <c r="L333" t="s">
        <v>14</v>
      </c>
      <c r="M333" t="str">
        <f t="shared" si="5"/>
        <v>INSERT INTO TNL_RATING.dbo.usps_rate_master VALUES ('USPS', '2/13/2025', '2/13/2026', 12659, 'US', 'Priority Mail', 7, 13, 'L', 33.13, 'Wedgewood_USPS_2025', 'NonCubic');</v>
      </c>
    </row>
    <row r="334" spans="1:13" x14ac:dyDescent="0.3">
      <c r="A334" t="s">
        <v>11</v>
      </c>
      <c r="B334" s="1" t="s">
        <v>44</v>
      </c>
      <c r="C334" s="1" t="s">
        <v>45</v>
      </c>
      <c r="D334">
        <v>12659</v>
      </c>
      <c r="E334" t="s">
        <v>12</v>
      </c>
      <c r="F334" t="s">
        <v>48</v>
      </c>
      <c r="G334">
        <v>7</v>
      </c>
      <c r="H334">
        <v>14</v>
      </c>
      <c r="I334" t="s">
        <v>46</v>
      </c>
      <c r="J334" cm="1">
        <f t="array" ref="J334">IFERROR(
    _xlfn.XLOOKUP(G334, 'Wedgewood Pharm-PM-Yr2-2025'!$E$4:$L$4,
        _xlfn.XLOOKUP('Rate Load'!H334, 'Wedgewood Pharm-PM-Yr2-2025'!$D$5:$D$31,
            'Wedgewood Pharm-PM-Yr2-2025'!$E$5:$L$31, 0, 0),
        0, 0),
    _xlfn.XLOOKUP(G334, 'Wedgewood Pharm-PM-Yr2-2025'!$E$4:$L$4,
        _xlfn.XLOOKUP('Rate Load'!L334, 'Wedgewood Pharm-PM-Yr2-2025'!$D$5:$D$31,
            'Wedgewood Pharm-PM-Yr2-2025'!$E$5:$L$31, 0, 0),
        0, 0)
)</f>
        <v>34.879999999999995</v>
      </c>
      <c r="K334" t="s">
        <v>47</v>
      </c>
      <c r="L334" t="s">
        <v>14</v>
      </c>
      <c r="M334" t="str">
        <f t="shared" si="5"/>
        <v>INSERT INTO TNL_RATING.dbo.usps_rate_master VALUES ('USPS', '2/13/2025', '2/13/2026', 12659, 'US', 'Priority Mail', 7, 14, 'L', 34.88, 'Wedgewood_USPS_2025', 'NonCubic');</v>
      </c>
    </row>
    <row r="335" spans="1:13" x14ac:dyDescent="0.3">
      <c r="A335" t="s">
        <v>11</v>
      </c>
      <c r="B335" s="1" t="s">
        <v>44</v>
      </c>
      <c r="C335" s="1" t="s">
        <v>45</v>
      </c>
      <c r="D335">
        <v>12659</v>
      </c>
      <c r="E335" t="s">
        <v>12</v>
      </c>
      <c r="F335" t="s">
        <v>48</v>
      </c>
      <c r="G335">
        <v>7</v>
      </c>
      <c r="H335">
        <v>15</v>
      </c>
      <c r="I335" t="s">
        <v>46</v>
      </c>
      <c r="J335" cm="1">
        <f t="array" ref="J335">IFERROR(
    _xlfn.XLOOKUP(G335, 'Wedgewood Pharm-PM-Yr2-2025'!$E$4:$L$4,
        _xlfn.XLOOKUP('Rate Load'!H335, 'Wedgewood Pharm-PM-Yr2-2025'!$D$5:$D$31,
            'Wedgewood Pharm-PM-Yr2-2025'!$E$5:$L$31, 0, 0),
        0, 0),
    _xlfn.XLOOKUP(G335, 'Wedgewood Pharm-PM-Yr2-2025'!$E$4:$L$4,
        _xlfn.XLOOKUP('Rate Load'!L335, 'Wedgewood Pharm-PM-Yr2-2025'!$D$5:$D$31,
            'Wedgewood Pharm-PM-Yr2-2025'!$E$5:$L$31, 0, 0),
        0, 0)
)</f>
        <v>36.619999999999997</v>
      </c>
      <c r="K335" t="s">
        <v>47</v>
      </c>
      <c r="L335" t="s">
        <v>14</v>
      </c>
      <c r="M335" t="str">
        <f t="shared" si="5"/>
        <v>INSERT INTO TNL_RATING.dbo.usps_rate_master VALUES ('USPS', '2/13/2025', '2/13/2026', 12659, 'US', 'Priority Mail', 7, 15, 'L', 36.62, 'Wedgewood_USPS_2025', 'NonCubic');</v>
      </c>
    </row>
    <row r="336" spans="1:13" x14ac:dyDescent="0.3">
      <c r="A336" t="s">
        <v>11</v>
      </c>
      <c r="B336" s="1" t="s">
        <v>44</v>
      </c>
      <c r="C336" s="1" t="s">
        <v>45</v>
      </c>
      <c r="D336">
        <v>12659</v>
      </c>
      <c r="E336" t="s">
        <v>12</v>
      </c>
      <c r="F336" t="s">
        <v>48</v>
      </c>
      <c r="G336">
        <v>7</v>
      </c>
      <c r="H336">
        <v>16</v>
      </c>
      <c r="I336" t="s">
        <v>46</v>
      </c>
      <c r="J336" cm="1">
        <f t="array" ref="J336">IFERROR(
    _xlfn.XLOOKUP(G336, 'Wedgewood Pharm-PM-Yr2-2025'!$E$4:$L$4,
        _xlfn.XLOOKUP('Rate Load'!H336, 'Wedgewood Pharm-PM-Yr2-2025'!$D$5:$D$31,
            'Wedgewood Pharm-PM-Yr2-2025'!$E$5:$L$31, 0, 0),
        0, 0),
    _xlfn.XLOOKUP(G336, 'Wedgewood Pharm-PM-Yr2-2025'!$E$4:$L$4,
        _xlfn.XLOOKUP('Rate Load'!L336, 'Wedgewood Pharm-PM-Yr2-2025'!$D$5:$D$31,
            'Wedgewood Pharm-PM-Yr2-2025'!$E$5:$L$31, 0, 0),
        0, 0)
)</f>
        <v>38.35</v>
      </c>
      <c r="K336" t="s">
        <v>47</v>
      </c>
      <c r="L336" t="s">
        <v>14</v>
      </c>
      <c r="M336" t="str">
        <f t="shared" si="5"/>
        <v>INSERT INTO TNL_RATING.dbo.usps_rate_master VALUES ('USPS', '2/13/2025', '2/13/2026', 12659, 'US', 'Priority Mail', 7, 16, 'L', 38.35, 'Wedgewood_USPS_2025', 'NonCubic');</v>
      </c>
    </row>
    <row r="337" spans="1:13" x14ac:dyDescent="0.3">
      <c r="A337" t="s">
        <v>11</v>
      </c>
      <c r="B337" s="1" t="s">
        <v>44</v>
      </c>
      <c r="C337" s="1" t="s">
        <v>45</v>
      </c>
      <c r="D337">
        <v>12659</v>
      </c>
      <c r="E337" t="s">
        <v>12</v>
      </c>
      <c r="F337" t="s">
        <v>48</v>
      </c>
      <c r="G337">
        <v>7</v>
      </c>
      <c r="H337">
        <v>17</v>
      </c>
      <c r="I337" t="s">
        <v>46</v>
      </c>
      <c r="J337" cm="1">
        <f t="array" ref="J337">IFERROR(
    _xlfn.XLOOKUP(G337, 'Wedgewood Pharm-PM-Yr2-2025'!$E$4:$L$4,
        _xlfn.XLOOKUP('Rate Load'!H337, 'Wedgewood Pharm-PM-Yr2-2025'!$D$5:$D$31,
            'Wedgewood Pharm-PM-Yr2-2025'!$E$5:$L$31, 0, 0),
        0, 0),
    _xlfn.XLOOKUP(G337, 'Wedgewood Pharm-PM-Yr2-2025'!$E$4:$L$4,
        _xlfn.XLOOKUP('Rate Load'!L337, 'Wedgewood Pharm-PM-Yr2-2025'!$D$5:$D$31,
            'Wedgewood Pharm-PM-Yr2-2025'!$E$5:$L$31, 0, 0),
        0, 0)
)</f>
        <v>40.1</v>
      </c>
      <c r="K337" t="s">
        <v>47</v>
      </c>
      <c r="L337" t="s">
        <v>14</v>
      </c>
      <c r="M337" t="str">
        <f t="shared" si="5"/>
        <v>INSERT INTO TNL_RATING.dbo.usps_rate_master VALUES ('USPS', '2/13/2025', '2/13/2026', 12659, 'US', 'Priority Mail', 7, 17, 'L', 40.1, 'Wedgewood_USPS_2025', 'NonCubic');</v>
      </c>
    </row>
    <row r="338" spans="1:13" x14ac:dyDescent="0.3">
      <c r="A338" t="s">
        <v>11</v>
      </c>
      <c r="B338" s="1" t="s">
        <v>44</v>
      </c>
      <c r="C338" s="1" t="s">
        <v>45</v>
      </c>
      <c r="D338">
        <v>12659</v>
      </c>
      <c r="E338" t="s">
        <v>12</v>
      </c>
      <c r="F338" t="s">
        <v>48</v>
      </c>
      <c r="G338">
        <v>7</v>
      </c>
      <c r="H338">
        <v>18</v>
      </c>
      <c r="I338" t="s">
        <v>46</v>
      </c>
      <c r="J338" cm="1">
        <f t="array" ref="J338">IFERROR(
    _xlfn.XLOOKUP(G338, 'Wedgewood Pharm-PM-Yr2-2025'!$E$4:$L$4,
        _xlfn.XLOOKUP('Rate Load'!H338, 'Wedgewood Pharm-PM-Yr2-2025'!$D$5:$D$31,
            'Wedgewood Pharm-PM-Yr2-2025'!$E$5:$L$31, 0, 0),
        0, 0),
    _xlfn.XLOOKUP(G338, 'Wedgewood Pharm-PM-Yr2-2025'!$E$4:$L$4,
        _xlfn.XLOOKUP('Rate Load'!L338, 'Wedgewood Pharm-PM-Yr2-2025'!$D$5:$D$31,
            'Wedgewood Pharm-PM-Yr2-2025'!$E$5:$L$31, 0, 0),
        0, 0)
)</f>
        <v>41.839999999999996</v>
      </c>
      <c r="K338" t="s">
        <v>47</v>
      </c>
      <c r="L338" t="s">
        <v>14</v>
      </c>
      <c r="M338" t="str">
        <f t="shared" si="5"/>
        <v>INSERT INTO TNL_RATING.dbo.usps_rate_master VALUES ('USPS', '2/13/2025', '2/13/2026', 12659, 'US', 'Priority Mail', 7, 18, 'L', 41.84, 'Wedgewood_USPS_2025', 'NonCubic');</v>
      </c>
    </row>
    <row r="339" spans="1:13" x14ac:dyDescent="0.3">
      <c r="A339" t="s">
        <v>11</v>
      </c>
      <c r="B339" s="1" t="s">
        <v>44</v>
      </c>
      <c r="C339" s="1" t="s">
        <v>45</v>
      </c>
      <c r="D339">
        <v>12659</v>
      </c>
      <c r="E339" t="s">
        <v>12</v>
      </c>
      <c r="F339" t="s">
        <v>48</v>
      </c>
      <c r="G339">
        <v>7</v>
      </c>
      <c r="H339">
        <v>19</v>
      </c>
      <c r="I339" t="s">
        <v>46</v>
      </c>
      <c r="J339" cm="1">
        <f t="array" ref="J339">IFERROR(
    _xlfn.XLOOKUP(G339, 'Wedgewood Pharm-PM-Yr2-2025'!$E$4:$L$4,
        _xlfn.XLOOKUP('Rate Load'!H339, 'Wedgewood Pharm-PM-Yr2-2025'!$D$5:$D$31,
            'Wedgewood Pharm-PM-Yr2-2025'!$E$5:$L$31, 0, 0),
        0, 0),
    _xlfn.XLOOKUP(G339, 'Wedgewood Pharm-PM-Yr2-2025'!$E$4:$L$4,
        _xlfn.XLOOKUP('Rate Load'!L339, 'Wedgewood Pharm-PM-Yr2-2025'!$D$5:$D$31,
            'Wedgewood Pharm-PM-Yr2-2025'!$E$5:$L$31, 0, 0),
        0, 0)
)</f>
        <v>43.58</v>
      </c>
      <c r="K339" t="s">
        <v>47</v>
      </c>
      <c r="L339" t="s">
        <v>14</v>
      </c>
      <c r="M339" t="str">
        <f t="shared" si="5"/>
        <v>INSERT INTO TNL_RATING.dbo.usps_rate_master VALUES ('USPS', '2/13/2025', '2/13/2026', 12659, 'US', 'Priority Mail', 7, 19, 'L', 43.58, 'Wedgewood_USPS_2025', 'NonCubic');</v>
      </c>
    </row>
    <row r="340" spans="1:13" x14ac:dyDescent="0.3">
      <c r="A340" t="s">
        <v>11</v>
      </c>
      <c r="B340" s="1" t="s">
        <v>44</v>
      </c>
      <c r="C340" s="1" t="s">
        <v>45</v>
      </c>
      <c r="D340">
        <v>12659</v>
      </c>
      <c r="E340" t="s">
        <v>12</v>
      </c>
      <c r="F340" t="s">
        <v>48</v>
      </c>
      <c r="G340">
        <v>7</v>
      </c>
      <c r="H340">
        <v>20</v>
      </c>
      <c r="I340" t="s">
        <v>46</v>
      </c>
      <c r="J340" cm="1">
        <f t="array" ref="J340">IFERROR(
    _xlfn.XLOOKUP(G340, 'Wedgewood Pharm-PM-Yr2-2025'!$E$4:$L$4,
        _xlfn.XLOOKUP('Rate Load'!H340, 'Wedgewood Pharm-PM-Yr2-2025'!$D$5:$D$31,
            'Wedgewood Pharm-PM-Yr2-2025'!$E$5:$L$31, 0, 0),
        0, 0),
    _xlfn.XLOOKUP(G340, 'Wedgewood Pharm-PM-Yr2-2025'!$E$4:$L$4,
        _xlfn.XLOOKUP('Rate Load'!L340, 'Wedgewood Pharm-PM-Yr2-2025'!$D$5:$D$31,
            'Wedgewood Pharm-PM-Yr2-2025'!$E$5:$L$31, 0, 0),
        0, 0)
)</f>
        <v>45.32</v>
      </c>
      <c r="K340" t="s">
        <v>47</v>
      </c>
      <c r="L340" t="s">
        <v>14</v>
      </c>
      <c r="M340" t="str">
        <f t="shared" si="5"/>
        <v>INSERT INTO TNL_RATING.dbo.usps_rate_master VALUES ('USPS', '2/13/2025', '2/13/2026', 12659, 'US', 'Priority Mail', 7, 20, 'L', 45.32, 'Wedgewood_USPS_2025', 'NonCubic');</v>
      </c>
    </row>
    <row r="341" spans="1:13" x14ac:dyDescent="0.3">
      <c r="A341" t="s">
        <v>11</v>
      </c>
      <c r="B341" s="1" t="s">
        <v>44</v>
      </c>
      <c r="C341" s="1" t="s">
        <v>45</v>
      </c>
      <c r="D341">
        <v>12659</v>
      </c>
      <c r="E341" t="s">
        <v>12</v>
      </c>
      <c r="F341" t="s">
        <v>48</v>
      </c>
      <c r="G341">
        <v>8</v>
      </c>
      <c r="H341">
        <v>0.5</v>
      </c>
      <c r="I341" t="s">
        <v>46</v>
      </c>
      <c r="J341" cm="1">
        <f t="array" ref="J341">IFERROR(
    _xlfn.XLOOKUP(G341, 'Wedgewood Pharm-PM-Yr2-2025'!$E$4:$L$4,
        _xlfn.XLOOKUP('Rate Load'!H341, 'Wedgewood Pharm-PM-Yr2-2025'!$D$5:$D$31,
            'Wedgewood Pharm-PM-Yr2-2025'!$E$5:$L$31, 0, 0),
        0, 0),
    _xlfn.XLOOKUP(G341, 'Wedgewood Pharm-PM-Yr2-2025'!$E$4:$L$4,
        _xlfn.XLOOKUP('Rate Load'!L341, 'Wedgewood Pharm-PM-Yr2-2025'!$D$5:$D$31,
            'Wedgewood Pharm-PM-Yr2-2025'!$E$5:$L$31, 0, 0),
        0, 0)
)</f>
        <v>8.32</v>
      </c>
      <c r="K341" t="s">
        <v>47</v>
      </c>
      <c r="L341" t="s">
        <v>14</v>
      </c>
      <c r="M341" t="str">
        <f t="shared" si="5"/>
        <v>INSERT INTO TNL_RATING.dbo.usps_rate_master VALUES ('USPS', '2/13/2025', '2/13/2026', 12659, 'US', 'Priority Mail', 8, 0.5, 'L', 8.32, 'Wedgewood_USPS_2025', 'NonCubic');</v>
      </c>
    </row>
    <row r="342" spans="1:13" x14ac:dyDescent="0.3">
      <c r="A342" t="s">
        <v>11</v>
      </c>
      <c r="B342" s="1" t="s">
        <v>44</v>
      </c>
      <c r="C342" s="1" t="s">
        <v>45</v>
      </c>
      <c r="D342">
        <v>12659</v>
      </c>
      <c r="E342" t="s">
        <v>12</v>
      </c>
      <c r="F342" t="s">
        <v>48</v>
      </c>
      <c r="G342">
        <v>8</v>
      </c>
      <c r="H342">
        <v>1</v>
      </c>
      <c r="I342" t="s">
        <v>46</v>
      </c>
      <c r="J342" cm="1">
        <f t="array" ref="J342">IFERROR(
    _xlfn.XLOOKUP(G342, 'Wedgewood Pharm-PM-Yr2-2025'!$E$4:$L$4,
        _xlfn.XLOOKUP('Rate Load'!H342, 'Wedgewood Pharm-PM-Yr2-2025'!$D$5:$D$31,
            'Wedgewood Pharm-PM-Yr2-2025'!$E$5:$L$31, 0, 0),
        0, 0),
    _xlfn.XLOOKUP(G342, 'Wedgewood Pharm-PM-Yr2-2025'!$E$4:$L$4,
        _xlfn.XLOOKUP('Rate Load'!L342, 'Wedgewood Pharm-PM-Yr2-2025'!$D$5:$D$31,
            'Wedgewood Pharm-PM-Yr2-2025'!$E$5:$L$31, 0, 0),
        0, 0)
)</f>
        <v>8.9700000000000006</v>
      </c>
      <c r="K342" t="s">
        <v>47</v>
      </c>
      <c r="L342" t="s">
        <v>14</v>
      </c>
      <c r="M342" t="str">
        <f t="shared" si="5"/>
        <v>INSERT INTO TNL_RATING.dbo.usps_rate_master VALUES ('USPS', '2/13/2025', '2/13/2026', 12659, 'US', 'Priority Mail', 8, 1, 'L', 8.97, 'Wedgewood_USPS_2025', 'NonCubic');</v>
      </c>
    </row>
    <row r="343" spans="1:13" x14ac:dyDescent="0.3">
      <c r="A343" t="s">
        <v>11</v>
      </c>
      <c r="B343" s="1" t="s">
        <v>44</v>
      </c>
      <c r="C343" s="1" t="s">
        <v>45</v>
      </c>
      <c r="D343">
        <v>12659</v>
      </c>
      <c r="E343" t="s">
        <v>12</v>
      </c>
      <c r="F343" t="s">
        <v>48</v>
      </c>
      <c r="G343">
        <v>8</v>
      </c>
      <c r="H343">
        <v>2</v>
      </c>
      <c r="I343" t="s">
        <v>46</v>
      </c>
      <c r="J343" cm="1">
        <f t="array" ref="J343">IFERROR(
    _xlfn.XLOOKUP(G343, 'Wedgewood Pharm-PM-Yr2-2025'!$E$4:$L$4,
        _xlfn.XLOOKUP('Rate Load'!H343, 'Wedgewood Pharm-PM-Yr2-2025'!$D$5:$D$31,
            'Wedgewood Pharm-PM-Yr2-2025'!$E$5:$L$31, 0, 0),
        0, 0),
    _xlfn.XLOOKUP(G343, 'Wedgewood Pharm-PM-Yr2-2025'!$E$4:$L$4,
        _xlfn.XLOOKUP('Rate Load'!L343, 'Wedgewood Pharm-PM-Yr2-2025'!$D$5:$D$31,
            'Wedgewood Pharm-PM-Yr2-2025'!$E$5:$L$31, 0, 0),
        0, 0)
)</f>
        <v>11.61</v>
      </c>
      <c r="K343" t="s">
        <v>47</v>
      </c>
      <c r="L343" t="s">
        <v>14</v>
      </c>
      <c r="M343" t="str">
        <f t="shared" si="5"/>
        <v>INSERT INTO TNL_RATING.dbo.usps_rate_master VALUES ('USPS', '2/13/2025', '2/13/2026', 12659, 'US', 'Priority Mail', 8, 2, 'L', 11.61, 'Wedgewood_USPS_2025', 'NonCubic');</v>
      </c>
    </row>
    <row r="344" spans="1:13" x14ac:dyDescent="0.3">
      <c r="A344" t="s">
        <v>11</v>
      </c>
      <c r="B344" s="1" t="s">
        <v>44</v>
      </c>
      <c r="C344" s="1" t="s">
        <v>45</v>
      </c>
      <c r="D344">
        <v>12659</v>
      </c>
      <c r="E344" t="s">
        <v>12</v>
      </c>
      <c r="F344" t="s">
        <v>48</v>
      </c>
      <c r="G344">
        <v>8</v>
      </c>
      <c r="H344">
        <v>3</v>
      </c>
      <c r="I344" t="s">
        <v>46</v>
      </c>
      <c r="J344" cm="1">
        <f t="array" ref="J344">IFERROR(
    _xlfn.XLOOKUP(G344, 'Wedgewood Pharm-PM-Yr2-2025'!$E$4:$L$4,
        _xlfn.XLOOKUP('Rate Load'!H344, 'Wedgewood Pharm-PM-Yr2-2025'!$D$5:$D$31,
            'Wedgewood Pharm-PM-Yr2-2025'!$E$5:$L$31, 0, 0),
        0, 0),
    _xlfn.XLOOKUP(G344, 'Wedgewood Pharm-PM-Yr2-2025'!$E$4:$L$4,
        _xlfn.XLOOKUP('Rate Load'!L344, 'Wedgewood Pharm-PM-Yr2-2025'!$D$5:$D$31,
            'Wedgewood Pharm-PM-Yr2-2025'!$E$5:$L$31, 0, 0),
        0, 0)
)</f>
        <v>16.46</v>
      </c>
      <c r="K344" t="s">
        <v>47</v>
      </c>
      <c r="L344" t="s">
        <v>14</v>
      </c>
      <c r="M344" t="str">
        <f t="shared" si="5"/>
        <v>INSERT INTO TNL_RATING.dbo.usps_rate_master VALUES ('USPS', '2/13/2025', '2/13/2026', 12659, 'US', 'Priority Mail', 8, 3, 'L', 16.46, 'Wedgewood_USPS_2025', 'NonCubic');</v>
      </c>
    </row>
    <row r="345" spans="1:13" x14ac:dyDescent="0.3">
      <c r="A345" t="s">
        <v>11</v>
      </c>
      <c r="B345" s="1" t="s">
        <v>44</v>
      </c>
      <c r="C345" s="1" t="s">
        <v>45</v>
      </c>
      <c r="D345">
        <v>12659</v>
      </c>
      <c r="E345" t="s">
        <v>12</v>
      </c>
      <c r="F345" t="s">
        <v>48</v>
      </c>
      <c r="G345">
        <v>8</v>
      </c>
      <c r="H345">
        <v>4</v>
      </c>
      <c r="I345" t="s">
        <v>46</v>
      </c>
      <c r="J345" cm="1">
        <f t="array" ref="J345">IFERROR(
    _xlfn.XLOOKUP(G345, 'Wedgewood Pharm-PM-Yr2-2025'!$E$4:$L$4,
        _xlfn.XLOOKUP('Rate Load'!H345, 'Wedgewood Pharm-PM-Yr2-2025'!$D$5:$D$31,
            'Wedgewood Pharm-PM-Yr2-2025'!$E$5:$L$31, 0, 0),
        0, 0),
    _xlfn.XLOOKUP(G345, 'Wedgewood Pharm-PM-Yr2-2025'!$E$4:$L$4,
        _xlfn.XLOOKUP('Rate Load'!L345, 'Wedgewood Pharm-PM-Yr2-2025'!$D$5:$D$31,
            'Wedgewood Pharm-PM-Yr2-2025'!$E$5:$L$31, 0, 0),
        0, 0)
)</f>
        <v>19.260000000000002</v>
      </c>
      <c r="K345" t="s">
        <v>47</v>
      </c>
      <c r="L345" t="s">
        <v>14</v>
      </c>
      <c r="M345" t="str">
        <f t="shared" si="5"/>
        <v>INSERT INTO TNL_RATING.dbo.usps_rate_master VALUES ('USPS', '2/13/2025', '2/13/2026', 12659, 'US', 'Priority Mail', 8, 4, 'L', 19.26, 'Wedgewood_USPS_2025', 'NonCubic');</v>
      </c>
    </row>
    <row r="346" spans="1:13" x14ac:dyDescent="0.3">
      <c r="A346" t="s">
        <v>11</v>
      </c>
      <c r="B346" s="1" t="s">
        <v>44</v>
      </c>
      <c r="C346" s="1" t="s">
        <v>45</v>
      </c>
      <c r="D346">
        <v>12659</v>
      </c>
      <c r="E346" t="s">
        <v>12</v>
      </c>
      <c r="F346" t="s">
        <v>48</v>
      </c>
      <c r="G346">
        <v>8</v>
      </c>
      <c r="H346">
        <v>5</v>
      </c>
      <c r="I346" t="s">
        <v>46</v>
      </c>
      <c r="J346" cm="1">
        <f t="array" ref="J346">IFERROR(
    _xlfn.XLOOKUP(G346, 'Wedgewood Pharm-PM-Yr2-2025'!$E$4:$L$4,
        _xlfn.XLOOKUP('Rate Load'!H346, 'Wedgewood Pharm-PM-Yr2-2025'!$D$5:$D$31,
            'Wedgewood Pharm-PM-Yr2-2025'!$E$5:$L$31, 0, 0),
        0, 0),
    _xlfn.XLOOKUP(G346, 'Wedgewood Pharm-PM-Yr2-2025'!$E$4:$L$4,
        _xlfn.XLOOKUP('Rate Load'!L346, 'Wedgewood Pharm-PM-Yr2-2025'!$D$5:$D$31,
            'Wedgewood Pharm-PM-Yr2-2025'!$E$5:$L$31, 0, 0),
        0, 0)
)</f>
        <v>21.970000000000002</v>
      </c>
      <c r="K346" t="s">
        <v>47</v>
      </c>
      <c r="L346" t="s">
        <v>14</v>
      </c>
      <c r="M346" t="str">
        <f t="shared" si="5"/>
        <v>INSERT INTO TNL_RATING.dbo.usps_rate_master VALUES ('USPS', '2/13/2025', '2/13/2026', 12659, 'US', 'Priority Mail', 8, 5, 'L', 21.97, 'Wedgewood_USPS_2025', 'NonCubic');</v>
      </c>
    </row>
    <row r="347" spans="1:13" x14ac:dyDescent="0.3">
      <c r="A347" t="s">
        <v>11</v>
      </c>
      <c r="B347" s="1" t="s">
        <v>44</v>
      </c>
      <c r="C347" s="1" t="s">
        <v>45</v>
      </c>
      <c r="D347">
        <v>12659</v>
      </c>
      <c r="E347" t="s">
        <v>12</v>
      </c>
      <c r="F347" t="s">
        <v>48</v>
      </c>
      <c r="G347">
        <v>8</v>
      </c>
      <c r="H347">
        <v>6</v>
      </c>
      <c r="I347" t="s">
        <v>46</v>
      </c>
      <c r="J347" cm="1">
        <f t="array" ref="J347">IFERROR(
    _xlfn.XLOOKUP(G347, 'Wedgewood Pharm-PM-Yr2-2025'!$E$4:$L$4,
        _xlfn.XLOOKUP('Rate Load'!H347, 'Wedgewood Pharm-PM-Yr2-2025'!$D$5:$D$31,
            'Wedgewood Pharm-PM-Yr2-2025'!$E$5:$L$31, 0, 0),
        0, 0),
    _xlfn.XLOOKUP(G347, 'Wedgewood Pharm-PM-Yr2-2025'!$E$4:$L$4,
        _xlfn.XLOOKUP('Rate Load'!L347, 'Wedgewood Pharm-PM-Yr2-2025'!$D$5:$D$31,
            'Wedgewood Pharm-PM-Yr2-2025'!$E$5:$L$31, 0, 0),
        0, 0)
)</f>
        <v>25.330000000000002</v>
      </c>
      <c r="K347" t="s">
        <v>47</v>
      </c>
      <c r="L347" t="s">
        <v>14</v>
      </c>
      <c r="M347" t="str">
        <f t="shared" si="5"/>
        <v>INSERT INTO TNL_RATING.dbo.usps_rate_master VALUES ('USPS', '2/13/2025', '2/13/2026', 12659, 'US', 'Priority Mail', 8, 6, 'L', 25.33, 'Wedgewood_USPS_2025', 'NonCubic');</v>
      </c>
    </row>
    <row r="348" spans="1:13" x14ac:dyDescent="0.3">
      <c r="A348" t="s">
        <v>11</v>
      </c>
      <c r="B348" s="1" t="s">
        <v>44</v>
      </c>
      <c r="C348" s="1" t="s">
        <v>45</v>
      </c>
      <c r="D348">
        <v>12659</v>
      </c>
      <c r="E348" t="s">
        <v>12</v>
      </c>
      <c r="F348" t="s">
        <v>48</v>
      </c>
      <c r="G348">
        <v>8</v>
      </c>
      <c r="H348">
        <v>7</v>
      </c>
      <c r="I348" t="s">
        <v>46</v>
      </c>
      <c r="J348" cm="1">
        <f t="array" ref="J348">IFERROR(
    _xlfn.XLOOKUP(G348, 'Wedgewood Pharm-PM-Yr2-2025'!$E$4:$L$4,
        _xlfn.XLOOKUP('Rate Load'!H348, 'Wedgewood Pharm-PM-Yr2-2025'!$D$5:$D$31,
            'Wedgewood Pharm-PM-Yr2-2025'!$E$5:$L$31, 0, 0),
        0, 0),
    _xlfn.XLOOKUP(G348, 'Wedgewood Pharm-PM-Yr2-2025'!$E$4:$L$4,
        _xlfn.XLOOKUP('Rate Load'!L348, 'Wedgewood Pharm-PM-Yr2-2025'!$D$5:$D$31,
            'Wedgewood Pharm-PM-Yr2-2025'!$E$5:$L$31, 0, 0),
        0, 0)
)</f>
        <v>27.48</v>
      </c>
      <c r="K348" t="s">
        <v>47</v>
      </c>
      <c r="L348" t="s">
        <v>14</v>
      </c>
      <c r="M348" t="str">
        <f t="shared" si="5"/>
        <v>INSERT INTO TNL_RATING.dbo.usps_rate_master VALUES ('USPS', '2/13/2025', '2/13/2026', 12659, 'US', 'Priority Mail', 8, 7, 'L', 27.48, 'Wedgewood_USPS_2025', 'NonCubic');</v>
      </c>
    </row>
    <row r="349" spans="1:13" x14ac:dyDescent="0.3">
      <c r="A349" t="s">
        <v>11</v>
      </c>
      <c r="B349" s="1" t="s">
        <v>44</v>
      </c>
      <c r="C349" s="1" t="s">
        <v>45</v>
      </c>
      <c r="D349">
        <v>12659</v>
      </c>
      <c r="E349" t="s">
        <v>12</v>
      </c>
      <c r="F349" t="s">
        <v>48</v>
      </c>
      <c r="G349">
        <v>8</v>
      </c>
      <c r="H349">
        <v>8</v>
      </c>
      <c r="I349" t="s">
        <v>46</v>
      </c>
      <c r="J349" cm="1">
        <f t="array" ref="J349">IFERROR(
    _xlfn.XLOOKUP(G349, 'Wedgewood Pharm-PM-Yr2-2025'!$E$4:$L$4,
        _xlfn.XLOOKUP('Rate Load'!H349, 'Wedgewood Pharm-PM-Yr2-2025'!$D$5:$D$31,
            'Wedgewood Pharm-PM-Yr2-2025'!$E$5:$L$31, 0, 0),
        0, 0),
    _xlfn.XLOOKUP(G349, 'Wedgewood Pharm-PM-Yr2-2025'!$E$4:$L$4,
        _xlfn.XLOOKUP('Rate Load'!L349, 'Wedgewood Pharm-PM-Yr2-2025'!$D$5:$D$31,
            'Wedgewood Pharm-PM-Yr2-2025'!$E$5:$L$31, 0, 0),
        0, 0)
)</f>
        <v>29.53</v>
      </c>
      <c r="K349" t="s">
        <v>47</v>
      </c>
      <c r="L349" t="s">
        <v>14</v>
      </c>
      <c r="M349" t="str">
        <f t="shared" si="5"/>
        <v>INSERT INTO TNL_RATING.dbo.usps_rate_master VALUES ('USPS', '2/13/2025', '2/13/2026', 12659, 'US', 'Priority Mail', 8, 8, 'L', 29.53, 'Wedgewood_USPS_2025', 'NonCubic');</v>
      </c>
    </row>
    <row r="350" spans="1:13" x14ac:dyDescent="0.3">
      <c r="A350" t="s">
        <v>11</v>
      </c>
      <c r="B350" s="1" t="s">
        <v>44</v>
      </c>
      <c r="C350" s="1" t="s">
        <v>45</v>
      </c>
      <c r="D350">
        <v>12659</v>
      </c>
      <c r="E350" t="s">
        <v>12</v>
      </c>
      <c r="F350" t="s">
        <v>48</v>
      </c>
      <c r="G350">
        <v>8</v>
      </c>
      <c r="H350">
        <v>9</v>
      </c>
      <c r="I350" t="s">
        <v>46</v>
      </c>
      <c r="J350" cm="1">
        <f t="array" ref="J350">IFERROR(
    _xlfn.XLOOKUP(G350, 'Wedgewood Pharm-PM-Yr2-2025'!$E$4:$L$4,
        _xlfn.XLOOKUP('Rate Load'!H350, 'Wedgewood Pharm-PM-Yr2-2025'!$D$5:$D$31,
            'Wedgewood Pharm-PM-Yr2-2025'!$E$5:$L$31, 0, 0),
        0, 0),
    _xlfn.XLOOKUP(G350, 'Wedgewood Pharm-PM-Yr2-2025'!$E$4:$L$4,
        _xlfn.XLOOKUP('Rate Load'!L350, 'Wedgewood Pharm-PM-Yr2-2025'!$D$5:$D$31,
            'Wedgewood Pharm-PM-Yr2-2025'!$E$5:$L$31, 0, 0),
        0, 0)
)</f>
        <v>31.540000000000003</v>
      </c>
      <c r="K350" t="s">
        <v>47</v>
      </c>
      <c r="L350" t="s">
        <v>14</v>
      </c>
      <c r="M350" t="str">
        <f t="shared" si="5"/>
        <v>INSERT INTO TNL_RATING.dbo.usps_rate_master VALUES ('USPS', '2/13/2025', '2/13/2026', 12659, 'US', 'Priority Mail', 8, 9, 'L', 31.54, 'Wedgewood_USPS_2025', 'NonCubic');</v>
      </c>
    </row>
    <row r="351" spans="1:13" x14ac:dyDescent="0.3">
      <c r="A351" t="s">
        <v>11</v>
      </c>
      <c r="B351" s="1" t="s">
        <v>44</v>
      </c>
      <c r="C351" s="1" t="s">
        <v>45</v>
      </c>
      <c r="D351">
        <v>12659</v>
      </c>
      <c r="E351" t="s">
        <v>12</v>
      </c>
      <c r="F351" t="s">
        <v>48</v>
      </c>
      <c r="G351">
        <v>8</v>
      </c>
      <c r="H351">
        <v>10</v>
      </c>
      <c r="I351" t="s">
        <v>46</v>
      </c>
      <c r="J351" cm="1">
        <f t="array" ref="J351">IFERROR(
    _xlfn.XLOOKUP(G351, 'Wedgewood Pharm-PM-Yr2-2025'!$E$4:$L$4,
        _xlfn.XLOOKUP('Rate Load'!H351, 'Wedgewood Pharm-PM-Yr2-2025'!$D$5:$D$31,
            'Wedgewood Pharm-PM-Yr2-2025'!$E$5:$L$31, 0, 0),
        0, 0),
    _xlfn.XLOOKUP(G351, 'Wedgewood Pharm-PM-Yr2-2025'!$E$4:$L$4,
        _xlfn.XLOOKUP('Rate Load'!L351, 'Wedgewood Pharm-PM-Yr2-2025'!$D$5:$D$31,
            'Wedgewood Pharm-PM-Yr2-2025'!$E$5:$L$31, 0, 0),
        0, 0)
)</f>
        <v>33.379999999999995</v>
      </c>
      <c r="K351" t="s">
        <v>47</v>
      </c>
      <c r="L351" t="s">
        <v>14</v>
      </c>
      <c r="M351" t="str">
        <f t="shared" si="5"/>
        <v>INSERT INTO TNL_RATING.dbo.usps_rate_master VALUES ('USPS', '2/13/2025', '2/13/2026', 12659, 'US', 'Priority Mail', 8, 10, 'L', 33.38, 'Wedgewood_USPS_2025', 'NonCubic');</v>
      </c>
    </row>
    <row r="352" spans="1:13" x14ac:dyDescent="0.3">
      <c r="A352" t="s">
        <v>11</v>
      </c>
      <c r="B352" s="1" t="s">
        <v>44</v>
      </c>
      <c r="C352" s="1" t="s">
        <v>45</v>
      </c>
      <c r="D352">
        <v>12659</v>
      </c>
      <c r="E352" t="s">
        <v>12</v>
      </c>
      <c r="F352" t="s">
        <v>48</v>
      </c>
      <c r="G352">
        <v>8</v>
      </c>
      <c r="H352">
        <v>11</v>
      </c>
      <c r="I352" t="s">
        <v>46</v>
      </c>
      <c r="J352" cm="1">
        <f t="array" ref="J352">IFERROR(
    _xlfn.XLOOKUP(G352, 'Wedgewood Pharm-PM-Yr2-2025'!$E$4:$L$4,
        _xlfn.XLOOKUP('Rate Load'!H352, 'Wedgewood Pharm-PM-Yr2-2025'!$D$5:$D$31,
            'Wedgewood Pharm-PM-Yr2-2025'!$E$5:$L$31, 0, 0),
        0, 0),
    _xlfn.XLOOKUP(G352, 'Wedgewood Pharm-PM-Yr2-2025'!$E$4:$L$4,
        _xlfn.XLOOKUP('Rate Load'!L352, 'Wedgewood Pharm-PM-Yr2-2025'!$D$5:$D$31,
            'Wedgewood Pharm-PM-Yr2-2025'!$E$5:$L$31, 0, 0),
        0, 0)
)</f>
        <v>33.379999999999995</v>
      </c>
      <c r="K352" t="s">
        <v>47</v>
      </c>
      <c r="L352" t="s">
        <v>14</v>
      </c>
      <c r="M352" t="str">
        <f t="shared" si="5"/>
        <v>INSERT INTO TNL_RATING.dbo.usps_rate_master VALUES ('USPS', '2/13/2025', '2/13/2026', 12659, 'US', 'Priority Mail', 8, 11, 'L', 33.38, 'Wedgewood_USPS_2025', 'NonCubic');</v>
      </c>
    </row>
    <row r="353" spans="1:13" x14ac:dyDescent="0.3">
      <c r="A353" t="s">
        <v>11</v>
      </c>
      <c r="B353" s="1" t="s">
        <v>44</v>
      </c>
      <c r="C353" s="1" t="s">
        <v>45</v>
      </c>
      <c r="D353">
        <v>12659</v>
      </c>
      <c r="E353" t="s">
        <v>12</v>
      </c>
      <c r="F353" t="s">
        <v>48</v>
      </c>
      <c r="G353">
        <v>8</v>
      </c>
      <c r="H353">
        <v>12</v>
      </c>
      <c r="I353" t="s">
        <v>46</v>
      </c>
      <c r="J353" cm="1">
        <f t="array" ref="J353">IFERROR(
    _xlfn.XLOOKUP(G353, 'Wedgewood Pharm-PM-Yr2-2025'!$E$4:$L$4,
        _xlfn.XLOOKUP('Rate Load'!H353, 'Wedgewood Pharm-PM-Yr2-2025'!$D$5:$D$31,
            'Wedgewood Pharm-PM-Yr2-2025'!$E$5:$L$31, 0, 0),
        0, 0),
    _xlfn.XLOOKUP(G353, 'Wedgewood Pharm-PM-Yr2-2025'!$E$4:$L$4,
        _xlfn.XLOOKUP('Rate Load'!L353, 'Wedgewood Pharm-PM-Yr2-2025'!$D$5:$D$31,
            'Wedgewood Pharm-PM-Yr2-2025'!$E$5:$L$31, 0, 0),
        0, 0)
)</f>
        <v>35.33</v>
      </c>
      <c r="K353" t="s">
        <v>47</v>
      </c>
      <c r="L353" t="s">
        <v>14</v>
      </c>
      <c r="M353" t="str">
        <f t="shared" si="5"/>
        <v>INSERT INTO TNL_RATING.dbo.usps_rate_master VALUES ('USPS', '2/13/2025', '2/13/2026', 12659, 'US', 'Priority Mail', 8, 12, 'L', 35.33, 'Wedgewood_USPS_2025', 'NonCubic');</v>
      </c>
    </row>
    <row r="354" spans="1:13" x14ac:dyDescent="0.3">
      <c r="A354" t="s">
        <v>11</v>
      </c>
      <c r="B354" s="1" t="s">
        <v>44</v>
      </c>
      <c r="C354" s="1" t="s">
        <v>45</v>
      </c>
      <c r="D354">
        <v>12659</v>
      </c>
      <c r="E354" t="s">
        <v>12</v>
      </c>
      <c r="F354" t="s">
        <v>48</v>
      </c>
      <c r="G354">
        <v>8</v>
      </c>
      <c r="H354">
        <v>13</v>
      </c>
      <c r="I354" t="s">
        <v>46</v>
      </c>
      <c r="J354" cm="1">
        <f t="array" ref="J354">IFERROR(
    _xlfn.XLOOKUP(G354, 'Wedgewood Pharm-PM-Yr2-2025'!$E$4:$L$4,
        _xlfn.XLOOKUP('Rate Load'!H354, 'Wedgewood Pharm-PM-Yr2-2025'!$D$5:$D$31,
            'Wedgewood Pharm-PM-Yr2-2025'!$E$5:$L$31, 0, 0),
        0, 0),
    _xlfn.XLOOKUP(G354, 'Wedgewood Pharm-PM-Yr2-2025'!$E$4:$L$4,
        _xlfn.XLOOKUP('Rate Load'!L354, 'Wedgewood Pharm-PM-Yr2-2025'!$D$5:$D$31,
            'Wedgewood Pharm-PM-Yr2-2025'!$E$5:$L$31, 0, 0),
        0, 0)
)</f>
        <v>37.32</v>
      </c>
      <c r="K354" t="s">
        <v>47</v>
      </c>
      <c r="L354" t="s">
        <v>14</v>
      </c>
      <c r="M354" t="str">
        <f t="shared" si="5"/>
        <v>INSERT INTO TNL_RATING.dbo.usps_rate_master VALUES ('USPS', '2/13/2025', '2/13/2026', 12659, 'US', 'Priority Mail', 8, 13, 'L', 37.32, 'Wedgewood_USPS_2025', 'NonCubic');</v>
      </c>
    </row>
    <row r="355" spans="1:13" x14ac:dyDescent="0.3">
      <c r="A355" t="s">
        <v>11</v>
      </c>
      <c r="B355" s="1" t="s">
        <v>44</v>
      </c>
      <c r="C355" s="1" t="s">
        <v>45</v>
      </c>
      <c r="D355">
        <v>12659</v>
      </c>
      <c r="E355" t="s">
        <v>12</v>
      </c>
      <c r="F355" t="s">
        <v>48</v>
      </c>
      <c r="G355">
        <v>8</v>
      </c>
      <c r="H355">
        <v>14</v>
      </c>
      <c r="I355" t="s">
        <v>46</v>
      </c>
      <c r="J355" cm="1">
        <f t="array" ref="J355">IFERROR(
    _xlfn.XLOOKUP(G355, 'Wedgewood Pharm-PM-Yr2-2025'!$E$4:$L$4,
        _xlfn.XLOOKUP('Rate Load'!H355, 'Wedgewood Pharm-PM-Yr2-2025'!$D$5:$D$31,
            'Wedgewood Pharm-PM-Yr2-2025'!$E$5:$L$31, 0, 0),
        0, 0),
    _xlfn.XLOOKUP(G355, 'Wedgewood Pharm-PM-Yr2-2025'!$E$4:$L$4,
        _xlfn.XLOOKUP('Rate Load'!L355, 'Wedgewood Pharm-PM-Yr2-2025'!$D$5:$D$31,
            'Wedgewood Pharm-PM-Yr2-2025'!$E$5:$L$31, 0, 0),
        0, 0)
)</f>
        <v>39.32</v>
      </c>
      <c r="K355" t="s">
        <v>47</v>
      </c>
      <c r="L355" t="s">
        <v>14</v>
      </c>
      <c r="M355" t="str">
        <f t="shared" si="5"/>
        <v>INSERT INTO TNL_RATING.dbo.usps_rate_master VALUES ('USPS', '2/13/2025', '2/13/2026', 12659, 'US', 'Priority Mail', 8, 14, 'L', 39.32, 'Wedgewood_USPS_2025', 'NonCubic');</v>
      </c>
    </row>
    <row r="356" spans="1:13" x14ac:dyDescent="0.3">
      <c r="A356" t="s">
        <v>11</v>
      </c>
      <c r="B356" s="1" t="s">
        <v>44</v>
      </c>
      <c r="C356" s="1" t="s">
        <v>45</v>
      </c>
      <c r="D356">
        <v>12659</v>
      </c>
      <c r="E356" t="s">
        <v>12</v>
      </c>
      <c r="F356" t="s">
        <v>48</v>
      </c>
      <c r="G356">
        <v>8</v>
      </c>
      <c r="H356">
        <v>15</v>
      </c>
      <c r="I356" t="s">
        <v>46</v>
      </c>
      <c r="J356" cm="1">
        <f t="array" ref="J356">IFERROR(
    _xlfn.XLOOKUP(G356, 'Wedgewood Pharm-PM-Yr2-2025'!$E$4:$L$4,
        _xlfn.XLOOKUP('Rate Load'!H356, 'Wedgewood Pharm-PM-Yr2-2025'!$D$5:$D$31,
            'Wedgewood Pharm-PM-Yr2-2025'!$E$5:$L$31, 0, 0),
        0, 0),
    _xlfn.XLOOKUP(G356, 'Wedgewood Pharm-PM-Yr2-2025'!$E$4:$L$4,
        _xlfn.XLOOKUP('Rate Load'!L356, 'Wedgewood Pharm-PM-Yr2-2025'!$D$5:$D$31,
            'Wedgewood Pharm-PM-Yr2-2025'!$E$5:$L$31, 0, 0),
        0, 0)
)</f>
        <v>41.33</v>
      </c>
      <c r="K356" t="s">
        <v>47</v>
      </c>
      <c r="L356" t="s">
        <v>14</v>
      </c>
      <c r="M356" t="str">
        <f t="shared" si="5"/>
        <v>INSERT INTO TNL_RATING.dbo.usps_rate_master VALUES ('USPS', '2/13/2025', '2/13/2026', 12659, 'US', 'Priority Mail', 8, 15, 'L', 41.33, 'Wedgewood_USPS_2025', 'NonCubic');</v>
      </c>
    </row>
    <row r="357" spans="1:13" x14ac:dyDescent="0.3">
      <c r="A357" t="s">
        <v>11</v>
      </c>
      <c r="B357" s="1" t="s">
        <v>44</v>
      </c>
      <c r="C357" s="1" t="s">
        <v>45</v>
      </c>
      <c r="D357">
        <v>12659</v>
      </c>
      <c r="E357" t="s">
        <v>12</v>
      </c>
      <c r="F357" t="s">
        <v>48</v>
      </c>
      <c r="G357">
        <v>8</v>
      </c>
      <c r="H357">
        <v>16</v>
      </c>
      <c r="I357" t="s">
        <v>46</v>
      </c>
      <c r="J357" cm="1">
        <f t="array" ref="J357">IFERROR(
    _xlfn.XLOOKUP(G357, 'Wedgewood Pharm-PM-Yr2-2025'!$E$4:$L$4,
        _xlfn.XLOOKUP('Rate Load'!H357, 'Wedgewood Pharm-PM-Yr2-2025'!$D$5:$D$31,
            'Wedgewood Pharm-PM-Yr2-2025'!$E$5:$L$31, 0, 0),
        0, 0),
    _xlfn.XLOOKUP(G357, 'Wedgewood Pharm-PM-Yr2-2025'!$E$4:$L$4,
        _xlfn.XLOOKUP('Rate Load'!L357, 'Wedgewood Pharm-PM-Yr2-2025'!$D$5:$D$31,
            'Wedgewood Pharm-PM-Yr2-2025'!$E$5:$L$31, 0, 0),
        0, 0)
)</f>
        <v>43.32</v>
      </c>
      <c r="K357" t="s">
        <v>47</v>
      </c>
      <c r="L357" t="s">
        <v>14</v>
      </c>
      <c r="M357" t="str">
        <f t="shared" si="5"/>
        <v>INSERT INTO TNL_RATING.dbo.usps_rate_master VALUES ('USPS', '2/13/2025', '2/13/2026', 12659, 'US', 'Priority Mail', 8, 16, 'L', 43.32, 'Wedgewood_USPS_2025', 'NonCubic');</v>
      </c>
    </row>
    <row r="358" spans="1:13" x14ac:dyDescent="0.3">
      <c r="A358" t="s">
        <v>11</v>
      </c>
      <c r="B358" s="1" t="s">
        <v>44</v>
      </c>
      <c r="C358" s="1" t="s">
        <v>45</v>
      </c>
      <c r="D358">
        <v>12659</v>
      </c>
      <c r="E358" t="s">
        <v>12</v>
      </c>
      <c r="F358" t="s">
        <v>48</v>
      </c>
      <c r="G358">
        <v>8</v>
      </c>
      <c r="H358">
        <v>17</v>
      </c>
      <c r="I358" t="s">
        <v>46</v>
      </c>
      <c r="J358" cm="1">
        <f t="array" ref="J358">IFERROR(
    _xlfn.XLOOKUP(G358, 'Wedgewood Pharm-PM-Yr2-2025'!$E$4:$L$4,
        _xlfn.XLOOKUP('Rate Load'!H358, 'Wedgewood Pharm-PM-Yr2-2025'!$D$5:$D$31,
            'Wedgewood Pharm-PM-Yr2-2025'!$E$5:$L$31, 0, 0),
        0, 0),
    _xlfn.XLOOKUP(G358, 'Wedgewood Pharm-PM-Yr2-2025'!$E$4:$L$4,
        _xlfn.XLOOKUP('Rate Load'!L358, 'Wedgewood Pharm-PM-Yr2-2025'!$D$5:$D$31,
            'Wedgewood Pharm-PM-Yr2-2025'!$E$5:$L$31, 0, 0),
        0, 0)
)</f>
        <v>45.309999999999995</v>
      </c>
      <c r="K358" t="s">
        <v>47</v>
      </c>
      <c r="L358" t="s">
        <v>14</v>
      </c>
      <c r="M358" t="str">
        <f t="shared" si="5"/>
        <v>INSERT INTO TNL_RATING.dbo.usps_rate_master VALUES ('USPS', '2/13/2025', '2/13/2026', 12659, 'US', 'Priority Mail', 8, 17, 'L', 45.31, 'Wedgewood_USPS_2025', 'NonCubic');</v>
      </c>
    </row>
    <row r="359" spans="1:13" x14ac:dyDescent="0.3">
      <c r="A359" t="s">
        <v>11</v>
      </c>
      <c r="B359" s="1" t="s">
        <v>44</v>
      </c>
      <c r="C359" s="1" t="s">
        <v>45</v>
      </c>
      <c r="D359">
        <v>12659</v>
      </c>
      <c r="E359" t="s">
        <v>12</v>
      </c>
      <c r="F359" t="s">
        <v>48</v>
      </c>
      <c r="G359">
        <v>8</v>
      </c>
      <c r="H359">
        <v>18</v>
      </c>
      <c r="I359" t="s">
        <v>46</v>
      </c>
      <c r="J359" cm="1">
        <f t="array" ref="J359">IFERROR(
    _xlfn.XLOOKUP(G359, 'Wedgewood Pharm-PM-Yr2-2025'!$E$4:$L$4,
        _xlfn.XLOOKUP('Rate Load'!H359, 'Wedgewood Pharm-PM-Yr2-2025'!$D$5:$D$31,
            'Wedgewood Pharm-PM-Yr2-2025'!$E$5:$L$31, 0, 0),
        0, 0),
    _xlfn.XLOOKUP(G359, 'Wedgewood Pharm-PM-Yr2-2025'!$E$4:$L$4,
        _xlfn.XLOOKUP('Rate Load'!L359, 'Wedgewood Pharm-PM-Yr2-2025'!$D$5:$D$31,
            'Wedgewood Pharm-PM-Yr2-2025'!$E$5:$L$31, 0, 0),
        0, 0)
)</f>
        <v>47.3</v>
      </c>
      <c r="K359" t="s">
        <v>47</v>
      </c>
      <c r="L359" t="s">
        <v>14</v>
      </c>
      <c r="M359" t="str">
        <f t="shared" si="5"/>
        <v>INSERT INTO TNL_RATING.dbo.usps_rate_master VALUES ('USPS', '2/13/2025', '2/13/2026', 12659, 'US', 'Priority Mail', 8, 18, 'L', 47.3, 'Wedgewood_USPS_2025', 'NonCubic');</v>
      </c>
    </row>
    <row r="360" spans="1:13" x14ac:dyDescent="0.3">
      <c r="A360" t="s">
        <v>11</v>
      </c>
      <c r="B360" s="1" t="s">
        <v>44</v>
      </c>
      <c r="C360" s="1" t="s">
        <v>45</v>
      </c>
      <c r="D360">
        <v>12659</v>
      </c>
      <c r="E360" t="s">
        <v>12</v>
      </c>
      <c r="F360" t="s">
        <v>48</v>
      </c>
      <c r="G360">
        <v>8</v>
      </c>
      <c r="H360">
        <v>19</v>
      </c>
      <c r="I360" t="s">
        <v>46</v>
      </c>
      <c r="J360" cm="1">
        <f t="array" ref="J360">IFERROR(
    _xlfn.XLOOKUP(G360, 'Wedgewood Pharm-PM-Yr2-2025'!$E$4:$L$4,
        _xlfn.XLOOKUP('Rate Load'!H360, 'Wedgewood Pharm-PM-Yr2-2025'!$D$5:$D$31,
            'Wedgewood Pharm-PM-Yr2-2025'!$E$5:$L$31, 0, 0),
        0, 0),
    _xlfn.XLOOKUP(G360, 'Wedgewood Pharm-PM-Yr2-2025'!$E$4:$L$4,
        _xlfn.XLOOKUP('Rate Load'!L360, 'Wedgewood Pharm-PM-Yr2-2025'!$D$5:$D$31,
            'Wedgewood Pharm-PM-Yr2-2025'!$E$5:$L$31, 0, 0),
        0, 0)
)</f>
        <v>49.29</v>
      </c>
      <c r="K360" t="s">
        <v>47</v>
      </c>
      <c r="L360" t="s">
        <v>14</v>
      </c>
      <c r="M360" t="str">
        <f t="shared" si="5"/>
        <v>INSERT INTO TNL_RATING.dbo.usps_rate_master VALUES ('USPS', '2/13/2025', '2/13/2026', 12659, 'US', 'Priority Mail', 8, 19, 'L', 49.29, 'Wedgewood_USPS_2025', 'NonCubic');</v>
      </c>
    </row>
    <row r="361" spans="1:13" x14ac:dyDescent="0.3">
      <c r="A361" t="s">
        <v>11</v>
      </c>
      <c r="B361" s="1" t="s">
        <v>44</v>
      </c>
      <c r="C361" s="1" t="s">
        <v>45</v>
      </c>
      <c r="D361">
        <v>12659</v>
      </c>
      <c r="E361" t="s">
        <v>12</v>
      </c>
      <c r="F361" t="s">
        <v>48</v>
      </c>
      <c r="G361">
        <v>8</v>
      </c>
      <c r="H361">
        <v>20</v>
      </c>
      <c r="I361" t="s">
        <v>46</v>
      </c>
      <c r="J361" cm="1">
        <f t="array" ref="J361">IFERROR(
    _xlfn.XLOOKUP(G361, 'Wedgewood Pharm-PM-Yr2-2025'!$E$4:$L$4,
        _xlfn.XLOOKUP('Rate Load'!H361, 'Wedgewood Pharm-PM-Yr2-2025'!$D$5:$D$31,
            'Wedgewood Pharm-PM-Yr2-2025'!$E$5:$L$31, 0, 0),
        0, 0),
    _xlfn.XLOOKUP(G361, 'Wedgewood Pharm-PM-Yr2-2025'!$E$4:$L$4,
        _xlfn.XLOOKUP('Rate Load'!L361, 'Wedgewood Pharm-PM-Yr2-2025'!$D$5:$D$31,
            'Wedgewood Pharm-PM-Yr2-2025'!$E$5:$L$31, 0, 0),
        0, 0)
)</f>
        <v>51.3</v>
      </c>
      <c r="K361" t="s">
        <v>47</v>
      </c>
      <c r="L361" t="s">
        <v>14</v>
      </c>
      <c r="M361" t="str">
        <f t="shared" si="5"/>
        <v>INSERT INTO TNL_RATING.dbo.usps_rate_master VALUES ('USPS', '2/13/2025', '2/13/2026', 12659, 'US', 'Priority Mail', 8, 20, 'L', 51.3, 'Wedgewood_USPS_2025', 'NonCubic');</v>
      </c>
    </row>
    <row r="362" spans="1:13" x14ac:dyDescent="0.3">
      <c r="A362" t="s">
        <v>11</v>
      </c>
      <c r="B362" s="1" t="s">
        <v>44</v>
      </c>
      <c r="C362" s="1" t="s">
        <v>45</v>
      </c>
      <c r="D362">
        <v>12659</v>
      </c>
      <c r="E362" t="s">
        <v>12</v>
      </c>
      <c r="F362" t="s">
        <v>48</v>
      </c>
      <c r="G362">
        <v>1</v>
      </c>
      <c r="H362">
        <v>0</v>
      </c>
      <c r="I362" t="s">
        <v>46</v>
      </c>
      <c r="J362" cm="1">
        <f t="array" ref="J362">IFERROR(
    _xlfn.XLOOKUP(G362, 'Wedgewood Pharm-PM-Yr2-2025'!$E$4:$L$4,
        _xlfn.XLOOKUP('Rate Load'!H362, 'Wedgewood Pharm-PM-Yr2-2025'!$D$5:$D$31,
            'Wedgewood Pharm-PM-Yr2-2025'!$E$5:$L$31, 0, 0),
        0, 0),
    _xlfn.XLOOKUP(G362, 'Wedgewood Pharm-PM-Yr2-2025'!$E$4:$L$4,
        _xlfn.XLOOKUP('Rate Load'!L362, 'Wedgewood Pharm-PM-Yr2-2025'!$D$5:$D$31,
            'Wedgewood Pharm-PM-Yr2-2025'!$E$5:$L$31, 0, 0),
        0, 0)
)</f>
        <v>7.6499999999999995</v>
      </c>
      <c r="K362" t="s">
        <v>47</v>
      </c>
      <c r="L362" t="s">
        <v>23</v>
      </c>
      <c r="M362" t="str">
        <f t="shared" si="5"/>
        <v>INSERT INTO TNL_RATING.dbo.usps_rate_master VALUES ('USPS', '2/13/2025', '2/13/2026', 12659, 'US', 'Priority Mail', 1, 0, 'L', 7.65, 'Wedgewood_USPS_2025', 'Flat-Rate Envelope');</v>
      </c>
    </row>
    <row r="363" spans="1:13" x14ac:dyDescent="0.3">
      <c r="A363" t="s">
        <v>11</v>
      </c>
      <c r="B363" s="1" t="s">
        <v>44</v>
      </c>
      <c r="C363" s="1" t="s">
        <v>45</v>
      </c>
      <c r="D363">
        <v>12659</v>
      </c>
      <c r="E363" t="s">
        <v>12</v>
      </c>
      <c r="F363" t="s">
        <v>48</v>
      </c>
      <c r="G363">
        <v>2</v>
      </c>
      <c r="H363">
        <v>0</v>
      </c>
      <c r="I363" t="s">
        <v>46</v>
      </c>
      <c r="J363" cm="1">
        <f t="array" ref="J363">IFERROR(
    _xlfn.XLOOKUP(G363, 'Wedgewood Pharm-PM-Yr2-2025'!$E$4:$L$4,
        _xlfn.XLOOKUP('Rate Load'!H363, 'Wedgewood Pharm-PM-Yr2-2025'!$D$5:$D$31,
            'Wedgewood Pharm-PM-Yr2-2025'!$E$5:$L$31, 0, 0),
        0, 0),
    _xlfn.XLOOKUP(G363, 'Wedgewood Pharm-PM-Yr2-2025'!$E$4:$L$4,
        _xlfn.XLOOKUP('Rate Load'!L363, 'Wedgewood Pharm-PM-Yr2-2025'!$D$5:$D$31,
            'Wedgewood Pharm-PM-Yr2-2025'!$E$5:$L$31, 0, 0),
        0, 0)
)</f>
        <v>7.6499999999999995</v>
      </c>
      <c r="K363" t="s">
        <v>47</v>
      </c>
      <c r="L363" t="s">
        <v>23</v>
      </c>
      <c r="M363" t="str">
        <f t="shared" si="5"/>
        <v>INSERT INTO TNL_RATING.dbo.usps_rate_master VALUES ('USPS', '2/13/2025', '2/13/2026', 12659, 'US', 'Priority Mail', 2, 0, 'L', 7.65, 'Wedgewood_USPS_2025', 'Flat-Rate Envelope');</v>
      </c>
    </row>
    <row r="364" spans="1:13" x14ac:dyDescent="0.3">
      <c r="A364" t="s">
        <v>11</v>
      </c>
      <c r="B364" s="1" t="s">
        <v>44</v>
      </c>
      <c r="C364" s="1" t="s">
        <v>45</v>
      </c>
      <c r="D364">
        <v>12659</v>
      </c>
      <c r="E364" t="s">
        <v>12</v>
      </c>
      <c r="F364" t="s">
        <v>48</v>
      </c>
      <c r="G364">
        <v>3</v>
      </c>
      <c r="H364">
        <v>0</v>
      </c>
      <c r="I364" t="s">
        <v>46</v>
      </c>
      <c r="J364" cm="1">
        <f t="array" ref="J364">IFERROR(
    _xlfn.XLOOKUP(G364, 'Wedgewood Pharm-PM-Yr2-2025'!$E$4:$L$4,
        _xlfn.XLOOKUP('Rate Load'!H364, 'Wedgewood Pharm-PM-Yr2-2025'!$D$5:$D$31,
            'Wedgewood Pharm-PM-Yr2-2025'!$E$5:$L$31, 0, 0),
        0, 0),
    _xlfn.XLOOKUP(G364, 'Wedgewood Pharm-PM-Yr2-2025'!$E$4:$L$4,
        _xlfn.XLOOKUP('Rate Load'!L364, 'Wedgewood Pharm-PM-Yr2-2025'!$D$5:$D$31,
            'Wedgewood Pharm-PM-Yr2-2025'!$E$5:$L$31, 0, 0),
        0, 0)
)</f>
        <v>7.6499999999999995</v>
      </c>
      <c r="K364" t="s">
        <v>47</v>
      </c>
      <c r="L364" t="s">
        <v>23</v>
      </c>
      <c r="M364" t="str">
        <f t="shared" si="5"/>
        <v>INSERT INTO TNL_RATING.dbo.usps_rate_master VALUES ('USPS', '2/13/2025', '2/13/2026', 12659, 'US', 'Priority Mail', 3, 0, 'L', 7.65, 'Wedgewood_USPS_2025', 'Flat-Rate Envelope');</v>
      </c>
    </row>
    <row r="365" spans="1:13" x14ac:dyDescent="0.3">
      <c r="A365" t="s">
        <v>11</v>
      </c>
      <c r="B365" s="1" t="s">
        <v>44</v>
      </c>
      <c r="C365" s="1" t="s">
        <v>45</v>
      </c>
      <c r="D365">
        <v>12659</v>
      </c>
      <c r="E365" t="s">
        <v>12</v>
      </c>
      <c r="F365" t="s">
        <v>48</v>
      </c>
      <c r="G365">
        <v>4</v>
      </c>
      <c r="H365">
        <v>0</v>
      </c>
      <c r="I365" t="s">
        <v>46</v>
      </c>
      <c r="J365" cm="1">
        <f t="array" ref="J365">IFERROR(
    _xlfn.XLOOKUP(G365, 'Wedgewood Pharm-PM-Yr2-2025'!$E$4:$L$4,
        _xlfn.XLOOKUP('Rate Load'!H365, 'Wedgewood Pharm-PM-Yr2-2025'!$D$5:$D$31,
            'Wedgewood Pharm-PM-Yr2-2025'!$E$5:$L$31, 0, 0),
        0, 0),
    _xlfn.XLOOKUP(G365, 'Wedgewood Pharm-PM-Yr2-2025'!$E$4:$L$4,
        _xlfn.XLOOKUP('Rate Load'!L365, 'Wedgewood Pharm-PM-Yr2-2025'!$D$5:$D$31,
            'Wedgewood Pharm-PM-Yr2-2025'!$E$5:$L$31, 0, 0),
        0, 0)
)</f>
        <v>7.6499999999999995</v>
      </c>
      <c r="K365" t="s">
        <v>47</v>
      </c>
      <c r="L365" t="s">
        <v>23</v>
      </c>
      <c r="M365" t="str">
        <f t="shared" si="5"/>
        <v>INSERT INTO TNL_RATING.dbo.usps_rate_master VALUES ('USPS', '2/13/2025', '2/13/2026', 12659, 'US', 'Priority Mail', 4, 0, 'L', 7.65, 'Wedgewood_USPS_2025', 'Flat-Rate Envelope');</v>
      </c>
    </row>
    <row r="366" spans="1:13" x14ac:dyDescent="0.3">
      <c r="A366" t="s">
        <v>11</v>
      </c>
      <c r="B366" s="1" t="s">
        <v>44</v>
      </c>
      <c r="C366" s="1" t="s">
        <v>45</v>
      </c>
      <c r="D366">
        <v>12659</v>
      </c>
      <c r="E366" t="s">
        <v>12</v>
      </c>
      <c r="F366" t="s">
        <v>48</v>
      </c>
      <c r="G366">
        <v>5</v>
      </c>
      <c r="H366">
        <v>0</v>
      </c>
      <c r="I366" t="s">
        <v>46</v>
      </c>
      <c r="J366" cm="1">
        <f t="array" ref="J366">IFERROR(
    _xlfn.XLOOKUP(G366, 'Wedgewood Pharm-PM-Yr2-2025'!$E$4:$L$4,
        _xlfn.XLOOKUP('Rate Load'!H366, 'Wedgewood Pharm-PM-Yr2-2025'!$D$5:$D$31,
            'Wedgewood Pharm-PM-Yr2-2025'!$E$5:$L$31, 0, 0),
        0, 0),
    _xlfn.XLOOKUP(G366, 'Wedgewood Pharm-PM-Yr2-2025'!$E$4:$L$4,
        _xlfn.XLOOKUP('Rate Load'!L366, 'Wedgewood Pharm-PM-Yr2-2025'!$D$5:$D$31,
            'Wedgewood Pharm-PM-Yr2-2025'!$E$5:$L$31, 0, 0),
        0, 0)
)</f>
        <v>7.6499999999999995</v>
      </c>
      <c r="K366" t="s">
        <v>47</v>
      </c>
      <c r="L366" t="s">
        <v>23</v>
      </c>
      <c r="M366" t="str">
        <f t="shared" si="5"/>
        <v>INSERT INTO TNL_RATING.dbo.usps_rate_master VALUES ('USPS', '2/13/2025', '2/13/2026', 12659, 'US', 'Priority Mail', 5, 0, 'L', 7.65, 'Wedgewood_USPS_2025', 'Flat-Rate Envelope');</v>
      </c>
    </row>
    <row r="367" spans="1:13" x14ac:dyDescent="0.3">
      <c r="A367" t="s">
        <v>11</v>
      </c>
      <c r="B367" s="1" t="s">
        <v>44</v>
      </c>
      <c r="C367" s="1" t="s">
        <v>45</v>
      </c>
      <c r="D367">
        <v>12659</v>
      </c>
      <c r="E367" t="s">
        <v>12</v>
      </c>
      <c r="F367" t="s">
        <v>48</v>
      </c>
      <c r="G367">
        <v>6</v>
      </c>
      <c r="H367">
        <v>0</v>
      </c>
      <c r="I367" t="s">
        <v>46</v>
      </c>
      <c r="J367" cm="1">
        <f t="array" ref="J367">IFERROR(
    _xlfn.XLOOKUP(G367, 'Wedgewood Pharm-PM-Yr2-2025'!$E$4:$L$4,
        _xlfn.XLOOKUP('Rate Load'!H367, 'Wedgewood Pharm-PM-Yr2-2025'!$D$5:$D$31,
            'Wedgewood Pharm-PM-Yr2-2025'!$E$5:$L$31, 0, 0),
        0, 0),
    _xlfn.XLOOKUP(G367, 'Wedgewood Pharm-PM-Yr2-2025'!$E$4:$L$4,
        _xlfn.XLOOKUP('Rate Load'!L367, 'Wedgewood Pharm-PM-Yr2-2025'!$D$5:$D$31,
            'Wedgewood Pharm-PM-Yr2-2025'!$E$5:$L$31, 0, 0),
        0, 0)
)</f>
        <v>7.6499999999999995</v>
      </c>
      <c r="K367" t="s">
        <v>47</v>
      </c>
      <c r="L367" t="s">
        <v>23</v>
      </c>
      <c r="M367" t="str">
        <f t="shared" si="5"/>
        <v>INSERT INTO TNL_RATING.dbo.usps_rate_master VALUES ('USPS', '2/13/2025', '2/13/2026', 12659, 'US', 'Priority Mail', 6, 0, 'L', 7.65, 'Wedgewood_USPS_2025', 'Flat-Rate Envelope');</v>
      </c>
    </row>
    <row r="368" spans="1:13" x14ac:dyDescent="0.3">
      <c r="A368" t="s">
        <v>11</v>
      </c>
      <c r="B368" s="1" t="s">
        <v>44</v>
      </c>
      <c r="C368" s="1" t="s">
        <v>45</v>
      </c>
      <c r="D368">
        <v>12659</v>
      </c>
      <c r="E368" t="s">
        <v>12</v>
      </c>
      <c r="F368" t="s">
        <v>48</v>
      </c>
      <c r="G368">
        <v>7</v>
      </c>
      <c r="H368">
        <v>0</v>
      </c>
      <c r="I368" t="s">
        <v>46</v>
      </c>
      <c r="J368" cm="1">
        <f t="array" ref="J368">IFERROR(
    _xlfn.XLOOKUP(G368, 'Wedgewood Pharm-PM-Yr2-2025'!$E$4:$L$4,
        _xlfn.XLOOKUP('Rate Load'!H368, 'Wedgewood Pharm-PM-Yr2-2025'!$D$5:$D$31,
            'Wedgewood Pharm-PM-Yr2-2025'!$E$5:$L$31, 0, 0),
        0, 0),
    _xlfn.XLOOKUP(G368, 'Wedgewood Pharm-PM-Yr2-2025'!$E$4:$L$4,
        _xlfn.XLOOKUP('Rate Load'!L368, 'Wedgewood Pharm-PM-Yr2-2025'!$D$5:$D$31,
            'Wedgewood Pharm-PM-Yr2-2025'!$E$5:$L$31, 0, 0),
        0, 0)
)</f>
        <v>7.6499999999999995</v>
      </c>
      <c r="K368" t="s">
        <v>47</v>
      </c>
      <c r="L368" t="s">
        <v>23</v>
      </c>
      <c r="M368" t="str">
        <f t="shared" si="5"/>
        <v>INSERT INTO TNL_RATING.dbo.usps_rate_master VALUES ('USPS', '2/13/2025', '2/13/2026', 12659, 'US', 'Priority Mail', 7, 0, 'L', 7.65, 'Wedgewood_USPS_2025', 'Flat-Rate Envelope');</v>
      </c>
    </row>
    <row r="369" spans="1:13" x14ac:dyDescent="0.3">
      <c r="A369" t="s">
        <v>11</v>
      </c>
      <c r="B369" s="1" t="s">
        <v>44</v>
      </c>
      <c r="C369" s="1" t="s">
        <v>45</v>
      </c>
      <c r="D369">
        <v>12659</v>
      </c>
      <c r="E369" t="s">
        <v>12</v>
      </c>
      <c r="F369" t="s">
        <v>48</v>
      </c>
      <c r="G369">
        <v>8</v>
      </c>
      <c r="H369">
        <v>0</v>
      </c>
      <c r="I369" t="s">
        <v>46</v>
      </c>
      <c r="J369" cm="1">
        <f t="array" ref="J369">IFERROR(
    _xlfn.XLOOKUP(G369, 'Wedgewood Pharm-PM-Yr2-2025'!$E$4:$L$4,
        _xlfn.XLOOKUP('Rate Load'!H369, 'Wedgewood Pharm-PM-Yr2-2025'!$D$5:$D$31,
            'Wedgewood Pharm-PM-Yr2-2025'!$E$5:$L$31, 0, 0),
        0, 0),
    _xlfn.XLOOKUP(G369, 'Wedgewood Pharm-PM-Yr2-2025'!$E$4:$L$4,
        _xlfn.XLOOKUP('Rate Load'!L369, 'Wedgewood Pharm-PM-Yr2-2025'!$D$5:$D$31,
            'Wedgewood Pharm-PM-Yr2-2025'!$E$5:$L$31, 0, 0),
        0, 0)
)</f>
        <v>7.6499999999999995</v>
      </c>
      <c r="K369" t="s">
        <v>47</v>
      </c>
      <c r="L369" t="s">
        <v>23</v>
      </c>
      <c r="M369" t="str">
        <f t="shared" si="5"/>
        <v>INSERT INTO TNL_RATING.dbo.usps_rate_master VALUES ('USPS', '2/13/2025', '2/13/2026', 12659, 'US', 'Priority Mail', 8, 0, 'L', 7.65, 'Wedgewood_USPS_2025', 'Flat-Rate Envelope');</v>
      </c>
    </row>
    <row r="370" spans="1:13" x14ac:dyDescent="0.3">
      <c r="A370" t="s">
        <v>11</v>
      </c>
      <c r="B370" s="1" t="s">
        <v>44</v>
      </c>
      <c r="C370" s="1" t="s">
        <v>45</v>
      </c>
      <c r="D370">
        <v>12659</v>
      </c>
      <c r="E370" t="s">
        <v>12</v>
      </c>
      <c r="F370" t="s">
        <v>48</v>
      </c>
      <c r="G370">
        <v>1</v>
      </c>
      <c r="H370">
        <v>0</v>
      </c>
      <c r="I370" t="s">
        <v>46</v>
      </c>
      <c r="J370" cm="1">
        <f t="array" ref="J370">IFERROR(
    _xlfn.XLOOKUP(G370, 'Wedgewood Pharm-PM-Yr2-2025'!$E$4:$L$4,
        _xlfn.XLOOKUP('Rate Load'!H370, 'Wedgewood Pharm-PM-Yr2-2025'!$D$5:$D$31,
            'Wedgewood Pharm-PM-Yr2-2025'!$E$5:$L$31, 0, 0),
        0, 0),
    _xlfn.XLOOKUP(G370, 'Wedgewood Pharm-PM-Yr2-2025'!$E$4:$L$4,
        _xlfn.XLOOKUP('Rate Load'!L370, 'Wedgewood Pharm-PM-Yr2-2025'!$D$5:$D$31,
            'Wedgewood Pharm-PM-Yr2-2025'!$E$5:$L$31, 0, 0),
        0, 0)
)</f>
        <v>7.95</v>
      </c>
      <c r="K370" t="s">
        <v>47</v>
      </c>
      <c r="L370" t="s">
        <v>24</v>
      </c>
      <c r="M370" t="str">
        <f t="shared" si="5"/>
        <v>INSERT INTO TNL_RATING.dbo.usps_rate_master VALUES ('USPS', '2/13/2025', '2/13/2026', 12659, 'US', 'Priority Mail', 1, 0, 'L', 7.95, 'Wedgewood_USPS_2025', 'Legal Flat-Rate Envelope');</v>
      </c>
    </row>
    <row r="371" spans="1:13" x14ac:dyDescent="0.3">
      <c r="A371" t="s">
        <v>11</v>
      </c>
      <c r="B371" s="1" t="s">
        <v>44</v>
      </c>
      <c r="C371" s="1" t="s">
        <v>45</v>
      </c>
      <c r="D371">
        <v>12659</v>
      </c>
      <c r="E371" t="s">
        <v>12</v>
      </c>
      <c r="F371" t="s">
        <v>48</v>
      </c>
      <c r="G371">
        <v>2</v>
      </c>
      <c r="H371">
        <v>0</v>
      </c>
      <c r="I371" t="s">
        <v>46</v>
      </c>
      <c r="J371" cm="1">
        <f t="array" ref="J371">IFERROR(
    _xlfn.XLOOKUP(G371, 'Wedgewood Pharm-PM-Yr2-2025'!$E$4:$L$4,
        _xlfn.XLOOKUP('Rate Load'!H371, 'Wedgewood Pharm-PM-Yr2-2025'!$D$5:$D$31,
            'Wedgewood Pharm-PM-Yr2-2025'!$E$5:$L$31, 0, 0),
        0, 0),
    _xlfn.XLOOKUP(G371, 'Wedgewood Pharm-PM-Yr2-2025'!$E$4:$L$4,
        _xlfn.XLOOKUP('Rate Load'!L371, 'Wedgewood Pharm-PM-Yr2-2025'!$D$5:$D$31,
            'Wedgewood Pharm-PM-Yr2-2025'!$E$5:$L$31, 0, 0),
        0, 0)
)</f>
        <v>7.95</v>
      </c>
      <c r="K371" t="s">
        <v>47</v>
      </c>
      <c r="L371" t="s">
        <v>24</v>
      </c>
      <c r="M371" t="str">
        <f t="shared" si="5"/>
        <v>INSERT INTO TNL_RATING.dbo.usps_rate_master VALUES ('USPS', '2/13/2025', '2/13/2026', 12659, 'US', 'Priority Mail', 2, 0, 'L', 7.95, 'Wedgewood_USPS_2025', 'Legal Flat-Rate Envelope');</v>
      </c>
    </row>
    <row r="372" spans="1:13" x14ac:dyDescent="0.3">
      <c r="A372" t="s">
        <v>11</v>
      </c>
      <c r="B372" s="1" t="s">
        <v>44</v>
      </c>
      <c r="C372" s="1" t="s">
        <v>45</v>
      </c>
      <c r="D372">
        <v>12659</v>
      </c>
      <c r="E372" t="s">
        <v>12</v>
      </c>
      <c r="F372" t="s">
        <v>48</v>
      </c>
      <c r="G372">
        <v>3</v>
      </c>
      <c r="H372">
        <v>0</v>
      </c>
      <c r="I372" t="s">
        <v>46</v>
      </c>
      <c r="J372" cm="1">
        <f t="array" ref="J372">IFERROR(
    _xlfn.XLOOKUP(G372, 'Wedgewood Pharm-PM-Yr2-2025'!$E$4:$L$4,
        _xlfn.XLOOKUP('Rate Load'!H372, 'Wedgewood Pharm-PM-Yr2-2025'!$D$5:$D$31,
            'Wedgewood Pharm-PM-Yr2-2025'!$E$5:$L$31, 0, 0),
        0, 0),
    _xlfn.XLOOKUP(G372, 'Wedgewood Pharm-PM-Yr2-2025'!$E$4:$L$4,
        _xlfn.XLOOKUP('Rate Load'!L372, 'Wedgewood Pharm-PM-Yr2-2025'!$D$5:$D$31,
            'Wedgewood Pharm-PM-Yr2-2025'!$E$5:$L$31, 0, 0),
        0, 0)
)</f>
        <v>7.95</v>
      </c>
      <c r="K372" t="s">
        <v>47</v>
      </c>
      <c r="L372" t="s">
        <v>24</v>
      </c>
      <c r="M372" t="str">
        <f t="shared" si="5"/>
        <v>INSERT INTO TNL_RATING.dbo.usps_rate_master VALUES ('USPS', '2/13/2025', '2/13/2026', 12659, 'US', 'Priority Mail', 3, 0, 'L', 7.95, 'Wedgewood_USPS_2025', 'Legal Flat-Rate Envelope');</v>
      </c>
    </row>
    <row r="373" spans="1:13" x14ac:dyDescent="0.3">
      <c r="A373" t="s">
        <v>11</v>
      </c>
      <c r="B373" s="1" t="s">
        <v>44</v>
      </c>
      <c r="C373" s="1" t="s">
        <v>45</v>
      </c>
      <c r="D373">
        <v>12659</v>
      </c>
      <c r="E373" t="s">
        <v>12</v>
      </c>
      <c r="F373" t="s">
        <v>48</v>
      </c>
      <c r="G373">
        <v>4</v>
      </c>
      <c r="H373">
        <v>0</v>
      </c>
      <c r="I373" t="s">
        <v>46</v>
      </c>
      <c r="J373" cm="1">
        <f t="array" ref="J373">IFERROR(
    _xlfn.XLOOKUP(G373, 'Wedgewood Pharm-PM-Yr2-2025'!$E$4:$L$4,
        _xlfn.XLOOKUP('Rate Load'!H373, 'Wedgewood Pharm-PM-Yr2-2025'!$D$5:$D$31,
            'Wedgewood Pharm-PM-Yr2-2025'!$E$5:$L$31, 0, 0),
        0, 0),
    _xlfn.XLOOKUP(G373, 'Wedgewood Pharm-PM-Yr2-2025'!$E$4:$L$4,
        _xlfn.XLOOKUP('Rate Load'!L373, 'Wedgewood Pharm-PM-Yr2-2025'!$D$5:$D$31,
            'Wedgewood Pharm-PM-Yr2-2025'!$E$5:$L$31, 0, 0),
        0, 0)
)</f>
        <v>7.95</v>
      </c>
      <c r="K373" t="s">
        <v>47</v>
      </c>
      <c r="L373" t="s">
        <v>24</v>
      </c>
      <c r="M373" t="str">
        <f t="shared" si="5"/>
        <v>INSERT INTO TNL_RATING.dbo.usps_rate_master VALUES ('USPS', '2/13/2025', '2/13/2026', 12659, 'US', 'Priority Mail', 4, 0, 'L', 7.95, 'Wedgewood_USPS_2025', 'Legal Flat-Rate Envelope');</v>
      </c>
    </row>
    <row r="374" spans="1:13" x14ac:dyDescent="0.3">
      <c r="A374" t="s">
        <v>11</v>
      </c>
      <c r="B374" s="1" t="s">
        <v>44</v>
      </c>
      <c r="C374" s="1" t="s">
        <v>45</v>
      </c>
      <c r="D374">
        <v>12659</v>
      </c>
      <c r="E374" t="s">
        <v>12</v>
      </c>
      <c r="F374" t="s">
        <v>48</v>
      </c>
      <c r="G374">
        <v>5</v>
      </c>
      <c r="H374">
        <v>0</v>
      </c>
      <c r="I374" t="s">
        <v>46</v>
      </c>
      <c r="J374" cm="1">
        <f t="array" ref="J374">IFERROR(
    _xlfn.XLOOKUP(G374, 'Wedgewood Pharm-PM-Yr2-2025'!$E$4:$L$4,
        _xlfn.XLOOKUP('Rate Load'!H374, 'Wedgewood Pharm-PM-Yr2-2025'!$D$5:$D$31,
            'Wedgewood Pharm-PM-Yr2-2025'!$E$5:$L$31, 0, 0),
        0, 0),
    _xlfn.XLOOKUP(G374, 'Wedgewood Pharm-PM-Yr2-2025'!$E$4:$L$4,
        _xlfn.XLOOKUP('Rate Load'!L374, 'Wedgewood Pharm-PM-Yr2-2025'!$D$5:$D$31,
            'Wedgewood Pharm-PM-Yr2-2025'!$E$5:$L$31, 0, 0),
        0, 0)
)</f>
        <v>7.95</v>
      </c>
      <c r="K374" t="s">
        <v>47</v>
      </c>
      <c r="L374" t="s">
        <v>24</v>
      </c>
      <c r="M374" t="str">
        <f t="shared" si="5"/>
        <v>INSERT INTO TNL_RATING.dbo.usps_rate_master VALUES ('USPS', '2/13/2025', '2/13/2026', 12659, 'US', 'Priority Mail', 5, 0, 'L', 7.95, 'Wedgewood_USPS_2025', 'Legal Flat-Rate Envelope');</v>
      </c>
    </row>
    <row r="375" spans="1:13" x14ac:dyDescent="0.3">
      <c r="A375" t="s">
        <v>11</v>
      </c>
      <c r="B375" s="1" t="s">
        <v>44</v>
      </c>
      <c r="C375" s="1" t="s">
        <v>45</v>
      </c>
      <c r="D375">
        <v>12659</v>
      </c>
      <c r="E375" t="s">
        <v>12</v>
      </c>
      <c r="F375" t="s">
        <v>48</v>
      </c>
      <c r="G375">
        <v>6</v>
      </c>
      <c r="H375">
        <v>0</v>
      </c>
      <c r="I375" t="s">
        <v>46</v>
      </c>
      <c r="J375" cm="1">
        <f t="array" ref="J375">IFERROR(
    _xlfn.XLOOKUP(G375, 'Wedgewood Pharm-PM-Yr2-2025'!$E$4:$L$4,
        _xlfn.XLOOKUP('Rate Load'!H375, 'Wedgewood Pharm-PM-Yr2-2025'!$D$5:$D$31,
            'Wedgewood Pharm-PM-Yr2-2025'!$E$5:$L$31, 0, 0),
        0, 0),
    _xlfn.XLOOKUP(G375, 'Wedgewood Pharm-PM-Yr2-2025'!$E$4:$L$4,
        _xlfn.XLOOKUP('Rate Load'!L375, 'Wedgewood Pharm-PM-Yr2-2025'!$D$5:$D$31,
            'Wedgewood Pharm-PM-Yr2-2025'!$E$5:$L$31, 0, 0),
        0, 0)
)</f>
        <v>7.95</v>
      </c>
      <c r="K375" t="s">
        <v>47</v>
      </c>
      <c r="L375" t="s">
        <v>24</v>
      </c>
      <c r="M375" t="str">
        <f t="shared" si="5"/>
        <v>INSERT INTO TNL_RATING.dbo.usps_rate_master VALUES ('USPS', '2/13/2025', '2/13/2026', 12659, 'US', 'Priority Mail', 6, 0, 'L', 7.95, 'Wedgewood_USPS_2025', 'Legal Flat-Rate Envelope');</v>
      </c>
    </row>
    <row r="376" spans="1:13" x14ac:dyDescent="0.3">
      <c r="A376" t="s">
        <v>11</v>
      </c>
      <c r="B376" s="1" t="s">
        <v>44</v>
      </c>
      <c r="C376" s="1" t="s">
        <v>45</v>
      </c>
      <c r="D376">
        <v>12659</v>
      </c>
      <c r="E376" t="s">
        <v>12</v>
      </c>
      <c r="F376" t="s">
        <v>48</v>
      </c>
      <c r="G376">
        <v>7</v>
      </c>
      <c r="H376">
        <v>0</v>
      </c>
      <c r="I376" t="s">
        <v>46</v>
      </c>
      <c r="J376" cm="1">
        <f t="array" ref="J376">IFERROR(
    _xlfn.XLOOKUP(G376, 'Wedgewood Pharm-PM-Yr2-2025'!$E$4:$L$4,
        _xlfn.XLOOKUP('Rate Load'!H376, 'Wedgewood Pharm-PM-Yr2-2025'!$D$5:$D$31,
            'Wedgewood Pharm-PM-Yr2-2025'!$E$5:$L$31, 0, 0),
        0, 0),
    _xlfn.XLOOKUP(G376, 'Wedgewood Pharm-PM-Yr2-2025'!$E$4:$L$4,
        _xlfn.XLOOKUP('Rate Load'!L376, 'Wedgewood Pharm-PM-Yr2-2025'!$D$5:$D$31,
            'Wedgewood Pharm-PM-Yr2-2025'!$E$5:$L$31, 0, 0),
        0, 0)
)</f>
        <v>7.95</v>
      </c>
      <c r="K376" t="s">
        <v>47</v>
      </c>
      <c r="L376" t="s">
        <v>24</v>
      </c>
      <c r="M376" t="str">
        <f t="shared" si="5"/>
        <v>INSERT INTO TNL_RATING.dbo.usps_rate_master VALUES ('USPS', '2/13/2025', '2/13/2026', 12659, 'US', 'Priority Mail', 7, 0, 'L', 7.95, 'Wedgewood_USPS_2025', 'Legal Flat-Rate Envelope');</v>
      </c>
    </row>
    <row r="377" spans="1:13" x14ac:dyDescent="0.3">
      <c r="A377" t="s">
        <v>11</v>
      </c>
      <c r="B377" s="1" t="s">
        <v>44</v>
      </c>
      <c r="C377" s="1" t="s">
        <v>45</v>
      </c>
      <c r="D377">
        <v>12659</v>
      </c>
      <c r="E377" t="s">
        <v>12</v>
      </c>
      <c r="F377" t="s">
        <v>48</v>
      </c>
      <c r="G377">
        <v>8</v>
      </c>
      <c r="H377">
        <v>0</v>
      </c>
      <c r="I377" t="s">
        <v>46</v>
      </c>
      <c r="J377" cm="1">
        <f t="array" ref="J377">IFERROR(
    _xlfn.XLOOKUP(G377, 'Wedgewood Pharm-PM-Yr2-2025'!$E$4:$L$4,
        _xlfn.XLOOKUP('Rate Load'!H377, 'Wedgewood Pharm-PM-Yr2-2025'!$D$5:$D$31,
            'Wedgewood Pharm-PM-Yr2-2025'!$E$5:$L$31, 0, 0),
        0, 0),
    _xlfn.XLOOKUP(G377, 'Wedgewood Pharm-PM-Yr2-2025'!$E$4:$L$4,
        _xlfn.XLOOKUP('Rate Load'!L377, 'Wedgewood Pharm-PM-Yr2-2025'!$D$5:$D$31,
            'Wedgewood Pharm-PM-Yr2-2025'!$E$5:$L$31, 0, 0),
        0, 0)
)</f>
        <v>7.95</v>
      </c>
      <c r="K377" t="s">
        <v>47</v>
      </c>
      <c r="L377" t="s">
        <v>24</v>
      </c>
      <c r="M377" t="str">
        <f t="shared" si="5"/>
        <v>INSERT INTO TNL_RATING.dbo.usps_rate_master VALUES ('USPS', '2/13/2025', '2/13/2026', 12659, 'US', 'Priority Mail', 8, 0, 'L', 7.95, 'Wedgewood_USPS_2025', 'Legal Flat-Rate Envelope');</v>
      </c>
    </row>
    <row r="378" spans="1:13" x14ac:dyDescent="0.3">
      <c r="A378" t="s">
        <v>11</v>
      </c>
      <c r="B378" s="1" t="s">
        <v>44</v>
      </c>
      <c r="C378" s="1" t="s">
        <v>45</v>
      </c>
      <c r="D378">
        <v>12659</v>
      </c>
      <c r="E378" t="s">
        <v>12</v>
      </c>
      <c r="F378" t="s">
        <v>48</v>
      </c>
      <c r="G378">
        <v>1</v>
      </c>
      <c r="H378">
        <v>0</v>
      </c>
      <c r="I378" t="s">
        <v>46</v>
      </c>
      <c r="J378" cm="1">
        <f t="array" ref="J378">IFERROR(
    _xlfn.XLOOKUP(G378, 'Wedgewood Pharm-PM-Yr2-2025'!$E$4:$L$4,
        _xlfn.XLOOKUP('Rate Load'!H378, 'Wedgewood Pharm-PM-Yr2-2025'!$D$5:$D$31,
            'Wedgewood Pharm-PM-Yr2-2025'!$E$5:$L$31, 0, 0),
        0, 0),
    _xlfn.XLOOKUP(G378, 'Wedgewood Pharm-PM-Yr2-2025'!$E$4:$L$4,
        _xlfn.XLOOKUP('Rate Load'!L378, 'Wedgewood Pharm-PM-Yr2-2025'!$D$5:$D$31,
            'Wedgewood Pharm-PM-Yr2-2025'!$E$5:$L$31, 0, 0),
        0, 0)
)</f>
        <v>8.36</v>
      </c>
      <c r="K378" t="s">
        <v>47</v>
      </c>
      <c r="L378" t="s">
        <v>25</v>
      </c>
      <c r="M378" t="str">
        <f t="shared" si="5"/>
        <v>INSERT INTO TNL_RATING.dbo.usps_rate_master VALUES ('USPS', '2/13/2025', '2/13/2026', 12659, 'US', 'Priority Mail', 1, 0, 'L', 8.36, 'Wedgewood_USPS_2025', 'Padded Flat-Rate Envelope');</v>
      </c>
    </row>
    <row r="379" spans="1:13" x14ac:dyDescent="0.3">
      <c r="A379" t="s">
        <v>11</v>
      </c>
      <c r="B379" s="1" t="s">
        <v>44</v>
      </c>
      <c r="C379" s="1" t="s">
        <v>45</v>
      </c>
      <c r="D379">
        <v>12659</v>
      </c>
      <c r="E379" t="s">
        <v>12</v>
      </c>
      <c r="F379" t="s">
        <v>48</v>
      </c>
      <c r="G379">
        <v>2</v>
      </c>
      <c r="H379">
        <v>0</v>
      </c>
      <c r="I379" t="s">
        <v>46</v>
      </c>
      <c r="J379" cm="1">
        <f t="array" ref="J379">IFERROR(
    _xlfn.XLOOKUP(G379, 'Wedgewood Pharm-PM-Yr2-2025'!$E$4:$L$4,
        _xlfn.XLOOKUP('Rate Load'!H379, 'Wedgewood Pharm-PM-Yr2-2025'!$D$5:$D$31,
            'Wedgewood Pharm-PM-Yr2-2025'!$E$5:$L$31, 0, 0),
        0, 0),
    _xlfn.XLOOKUP(G379, 'Wedgewood Pharm-PM-Yr2-2025'!$E$4:$L$4,
        _xlfn.XLOOKUP('Rate Load'!L379, 'Wedgewood Pharm-PM-Yr2-2025'!$D$5:$D$31,
            'Wedgewood Pharm-PM-Yr2-2025'!$E$5:$L$31, 0, 0),
        0, 0)
)</f>
        <v>8.36</v>
      </c>
      <c r="K379" t="s">
        <v>47</v>
      </c>
      <c r="L379" t="s">
        <v>25</v>
      </c>
      <c r="M379" t="str">
        <f t="shared" si="5"/>
        <v>INSERT INTO TNL_RATING.dbo.usps_rate_master VALUES ('USPS', '2/13/2025', '2/13/2026', 12659, 'US', 'Priority Mail', 2, 0, 'L', 8.36, 'Wedgewood_USPS_2025', 'Padded Flat-Rate Envelope');</v>
      </c>
    </row>
    <row r="380" spans="1:13" x14ac:dyDescent="0.3">
      <c r="A380" t="s">
        <v>11</v>
      </c>
      <c r="B380" s="1" t="s">
        <v>44</v>
      </c>
      <c r="C380" s="1" t="s">
        <v>45</v>
      </c>
      <c r="D380">
        <v>12659</v>
      </c>
      <c r="E380" t="s">
        <v>12</v>
      </c>
      <c r="F380" t="s">
        <v>48</v>
      </c>
      <c r="G380">
        <v>3</v>
      </c>
      <c r="H380">
        <v>0</v>
      </c>
      <c r="I380" t="s">
        <v>46</v>
      </c>
      <c r="J380" cm="1">
        <f t="array" ref="J380">IFERROR(
    _xlfn.XLOOKUP(G380, 'Wedgewood Pharm-PM-Yr2-2025'!$E$4:$L$4,
        _xlfn.XLOOKUP('Rate Load'!H380, 'Wedgewood Pharm-PM-Yr2-2025'!$D$5:$D$31,
            'Wedgewood Pharm-PM-Yr2-2025'!$E$5:$L$31, 0, 0),
        0, 0),
    _xlfn.XLOOKUP(G380, 'Wedgewood Pharm-PM-Yr2-2025'!$E$4:$L$4,
        _xlfn.XLOOKUP('Rate Load'!L380, 'Wedgewood Pharm-PM-Yr2-2025'!$D$5:$D$31,
            'Wedgewood Pharm-PM-Yr2-2025'!$E$5:$L$31, 0, 0),
        0, 0)
)</f>
        <v>8.36</v>
      </c>
      <c r="K380" t="s">
        <v>47</v>
      </c>
      <c r="L380" t="s">
        <v>25</v>
      </c>
      <c r="M380" t="str">
        <f t="shared" si="5"/>
        <v>INSERT INTO TNL_RATING.dbo.usps_rate_master VALUES ('USPS', '2/13/2025', '2/13/2026', 12659, 'US', 'Priority Mail', 3, 0, 'L', 8.36, 'Wedgewood_USPS_2025', 'Padded Flat-Rate Envelope');</v>
      </c>
    </row>
    <row r="381" spans="1:13" x14ac:dyDescent="0.3">
      <c r="A381" t="s">
        <v>11</v>
      </c>
      <c r="B381" s="1" t="s">
        <v>44</v>
      </c>
      <c r="C381" s="1" t="s">
        <v>45</v>
      </c>
      <c r="D381">
        <v>12659</v>
      </c>
      <c r="E381" t="s">
        <v>12</v>
      </c>
      <c r="F381" t="s">
        <v>48</v>
      </c>
      <c r="G381">
        <v>4</v>
      </c>
      <c r="H381">
        <v>0</v>
      </c>
      <c r="I381" t="s">
        <v>46</v>
      </c>
      <c r="J381" cm="1">
        <f t="array" ref="J381">IFERROR(
    _xlfn.XLOOKUP(G381, 'Wedgewood Pharm-PM-Yr2-2025'!$E$4:$L$4,
        _xlfn.XLOOKUP('Rate Load'!H381, 'Wedgewood Pharm-PM-Yr2-2025'!$D$5:$D$31,
            'Wedgewood Pharm-PM-Yr2-2025'!$E$5:$L$31, 0, 0),
        0, 0),
    _xlfn.XLOOKUP(G381, 'Wedgewood Pharm-PM-Yr2-2025'!$E$4:$L$4,
        _xlfn.XLOOKUP('Rate Load'!L381, 'Wedgewood Pharm-PM-Yr2-2025'!$D$5:$D$31,
            'Wedgewood Pharm-PM-Yr2-2025'!$E$5:$L$31, 0, 0),
        0, 0)
)</f>
        <v>8.36</v>
      </c>
      <c r="K381" t="s">
        <v>47</v>
      </c>
      <c r="L381" t="s">
        <v>25</v>
      </c>
      <c r="M381" t="str">
        <f t="shared" si="5"/>
        <v>INSERT INTO TNL_RATING.dbo.usps_rate_master VALUES ('USPS', '2/13/2025', '2/13/2026', 12659, 'US', 'Priority Mail', 4, 0, 'L', 8.36, 'Wedgewood_USPS_2025', 'Padded Flat-Rate Envelope');</v>
      </c>
    </row>
    <row r="382" spans="1:13" x14ac:dyDescent="0.3">
      <c r="A382" t="s">
        <v>11</v>
      </c>
      <c r="B382" s="1" t="s">
        <v>44</v>
      </c>
      <c r="C382" s="1" t="s">
        <v>45</v>
      </c>
      <c r="D382">
        <v>12659</v>
      </c>
      <c r="E382" t="s">
        <v>12</v>
      </c>
      <c r="F382" t="s">
        <v>48</v>
      </c>
      <c r="G382">
        <v>5</v>
      </c>
      <c r="H382">
        <v>0</v>
      </c>
      <c r="I382" t="s">
        <v>46</v>
      </c>
      <c r="J382" cm="1">
        <f t="array" ref="J382">IFERROR(
    _xlfn.XLOOKUP(G382, 'Wedgewood Pharm-PM-Yr2-2025'!$E$4:$L$4,
        _xlfn.XLOOKUP('Rate Load'!H382, 'Wedgewood Pharm-PM-Yr2-2025'!$D$5:$D$31,
            'Wedgewood Pharm-PM-Yr2-2025'!$E$5:$L$31, 0, 0),
        0, 0),
    _xlfn.XLOOKUP(G382, 'Wedgewood Pharm-PM-Yr2-2025'!$E$4:$L$4,
        _xlfn.XLOOKUP('Rate Load'!L382, 'Wedgewood Pharm-PM-Yr2-2025'!$D$5:$D$31,
            'Wedgewood Pharm-PM-Yr2-2025'!$E$5:$L$31, 0, 0),
        0, 0)
)</f>
        <v>8.36</v>
      </c>
      <c r="K382" t="s">
        <v>47</v>
      </c>
      <c r="L382" t="s">
        <v>25</v>
      </c>
      <c r="M382" t="str">
        <f t="shared" si="5"/>
        <v>INSERT INTO TNL_RATING.dbo.usps_rate_master VALUES ('USPS', '2/13/2025', '2/13/2026', 12659, 'US', 'Priority Mail', 5, 0, 'L', 8.36, 'Wedgewood_USPS_2025', 'Padded Flat-Rate Envelope');</v>
      </c>
    </row>
    <row r="383" spans="1:13" x14ac:dyDescent="0.3">
      <c r="A383" t="s">
        <v>11</v>
      </c>
      <c r="B383" s="1" t="s">
        <v>44</v>
      </c>
      <c r="C383" s="1" t="s">
        <v>45</v>
      </c>
      <c r="D383">
        <v>12659</v>
      </c>
      <c r="E383" t="s">
        <v>12</v>
      </c>
      <c r="F383" t="s">
        <v>48</v>
      </c>
      <c r="G383">
        <v>6</v>
      </c>
      <c r="H383">
        <v>0</v>
      </c>
      <c r="I383" t="s">
        <v>46</v>
      </c>
      <c r="J383" cm="1">
        <f t="array" ref="J383">IFERROR(
    _xlfn.XLOOKUP(G383, 'Wedgewood Pharm-PM-Yr2-2025'!$E$4:$L$4,
        _xlfn.XLOOKUP('Rate Load'!H383, 'Wedgewood Pharm-PM-Yr2-2025'!$D$5:$D$31,
            'Wedgewood Pharm-PM-Yr2-2025'!$E$5:$L$31, 0, 0),
        0, 0),
    _xlfn.XLOOKUP(G383, 'Wedgewood Pharm-PM-Yr2-2025'!$E$4:$L$4,
        _xlfn.XLOOKUP('Rate Load'!L383, 'Wedgewood Pharm-PM-Yr2-2025'!$D$5:$D$31,
            'Wedgewood Pharm-PM-Yr2-2025'!$E$5:$L$31, 0, 0),
        0, 0)
)</f>
        <v>8.36</v>
      </c>
      <c r="K383" t="s">
        <v>47</v>
      </c>
      <c r="L383" t="s">
        <v>25</v>
      </c>
      <c r="M383" t="str">
        <f t="shared" si="5"/>
        <v>INSERT INTO TNL_RATING.dbo.usps_rate_master VALUES ('USPS', '2/13/2025', '2/13/2026', 12659, 'US', 'Priority Mail', 6, 0, 'L', 8.36, 'Wedgewood_USPS_2025', 'Padded Flat-Rate Envelope');</v>
      </c>
    </row>
    <row r="384" spans="1:13" x14ac:dyDescent="0.3">
      <c r="A384" t="s">
        <v>11</v>
      </c>
      <c r="B384" s="1" t="s">
        <v>44</v>
      </c>
      <c r="C384" s="1" t="s">
        <v>45</v>
      </c>
      <c r="D384">
        <v>12659</v>
      </c>
      <c r="E384" t="s">
        <v>12</v>
      </c>
      <c r="F384" t="s">
        <v>48</v>
      </c>
      <c r="G384">
        <v>7</v>
      </c>
      <c r="H384">
        <v>0</v>
      </c>
      <c r="I384" t="s">
        <v>46</v>
      </c>
      <c r="J384" cm="1">
        <f t="array" ref="J384">IFERROR(
    _xlfn.XLOOKUP(G384, 'Wedgewood Pharm-PM-Yr2-2025'!$E$4:$L$4,
        _xlfn.XLOOKUP('Rate Load'!H384, 'Wedgewood Pharm-PM-Yr2-2025'!$D$5:$D$31,
            'Wedgewood Pharm-PM-Yr2-2025'!$E$5:$L$31, 0, 0),
        0, 0),
    _xlfn.XLOOKUP(G384, 'Wedgewood Pharm-PM-Yr2-2025'!$E$4:$L$4,
        _xlfn.XLOOKUP('Rate Load'!L384, 'Wedgewood Pharm-PM-Yr2-2025'!$D$5:$D$31,
            'Wedgewood Pharm-PM-Yr2-2025'!$E$5:$L$31, 0, 0),
        0, 0)
)</f>
        <v>8.36</v>
      </c>
      <c r="K384" t="s">
        <v>47</v>
      </c>
      <c r="L384" t="s">
        <v>25</v>
      </c>
      <c r="M384" t="str">
        <f t="shared" si="5"/>
        <v>INSERT INTO TNL_RATING.dbo.usps_rate_master VALUES ('USPS', '2/13/2025', '2/13/2026', 12659, 'US', 'Priority Mail', 7, 0, 'L', 8.36, 'Wedgewood_USPS_2025', 'Padded Flat-Rate Envelope');</v>
      </c>
    </row>
    <row r="385" spans="1:13" x14ac:dyDescent="0.3">
      <c r="A385" t="s">
        <v>11</v>
      </c>
      <c r="B385" s="1" t="s">
        <v>44</v>
      </c>
      <c r="C385" s="1" t="s">
        <v>45</v>
      </c>
      <c r="D385">
        <v>12659</v>
      </c>
      <c r="E385" t="s">
        <v>12</v>
      </c>
      <c r="F385" t="s">
        <v>48</v>
      </c>
      <c r="G385">
        <v>8</v>
      </c>
      <c r="H385">
        <v>0</v>
      </c>
      <c r="I385" t="s">
        <v>46</v>
      </c>
      <c r="J385" cm="1">
        <f t="array" ref="J385">IFERROR(
    _xlfn.XLOOKUP(G385, 'Wedgewood Pharm-PM-Yr2-2025'!$E$4:$L$4,
        _xlfn.XLOOKUP('Rate Load'!H385, 'Wedgewood Pharm-PM-Yr2-2025'!$D$5:$D$31,
            'Wedgewood Pharm-PM-Yr2-2025'!$E$5:$L$31, 0, 0),
        0, 0),
    _xlfn.XLOOKUP(G385, 'Wedgewood Pharm-PM-Yr2-2025'!$E$4:$L$4,
        _xlfn.XLOOKUP('Rate Load'!L385, 'Wedgewood Pharm-PM-Yr2-2025'!$D$5:$D$31,
            'Wedgewood Pharm-PM-Yr2-2025'!$E$5:$L$31, 0, 0),
        0, 0)
)</f>
        <v>8.36</v>
      </c>
      <c r="K385" t="s">
        <v>47</v>
      </c>
      <c r="L385" t="s">
        <v>25</v>
      </c>
      <c r="M385" t="str">
        <f t="shared" si="5"/>
        <v>INSERT INTO TNL_RATING.dbo.usps_rate_master VALUES ('USPS', '2/13/2025', '2/13/2026', 12659, 'US', 'Priority Mail', 8, 0, 'L', 8.36, 'Wedgewood_USPS_2025', 'Padded Flat-Rate Envelope');</v>
      </c>
    </row>
    <row r="386" spans="1:13" x14ac:dyDescent="0.3">
      <c r="A386" t="s">
        <v>11</v>
      </c>
      <c r="B386" s="1" t="s">
        <v>44</v>
      </c>
      <c r="C386" s="1" t="s">
        <v>45</v>
      </c>
      <c r="D386">
        <v>12659</v>
      </c>
      <c r="E386" t="s">
        <v>12</v>
      </c>
      <c r="F386" t="s">
        <v>48</v>
      </c>
      <c r="G386">
        <v>1</v>
      </c>
      <c r="H386">
        <v>0</v>
      </c>
      <c r="I386" t="s">
        <v>46</v>
      </c>
      <c r="J386" cm="1">
        <f t="array" ref="J386">IFERROR(
    _xlfn.XLOOKUP(G386, 'Wedgewood Pharm-PM-Yr2-2025'!$E$4:$L$4,
        _xlfn.XLOOKUP('Rate Load'!H386, 'Wedgewood Pharm-PM-Yr2-2025'!$D$5:$D$31,
            'Wedgewood Pharm-PM-Yr2-2025'!$E$5:$L$31, 0, 0),
        0, 0),
    _xlfn.XLOOKUP(G386, 'Wedgewood Pharm-PM-Yr2-2025'!$E$4:$L$4,
        _xlfn.XLOOKUP('Rate Load'!L386, 'Wedgewood Pharm-PM-Yr2-2025'!$D$5:$D$31,
            'Wedgewood Pharm-PM-Yr2-2025'!$E$5:$L$31, 0, 0),
        0, 0)
)</f>
        <v>8.16</v>
      </c>
      <c r="K386" t="s">
        <v>47</v>
      </c>
      <c r="L386" t="s">
        <v>29</v>
      </c>
      <c r="M386" t="str">
        <f t="shared" si="5"/>
        <v>INSERT INTO TNL_RATING.dbo.usps_rate_master VALUES ('USPS', '2/13/2025', '2/13/2026', 12659, 'US', 'Priority Mail', 1, 0, 'L', 8.16, 'Wedgewood_USPS_2025', 'Small Flat-Rate Box');</v>
      </c>
    </row>
    <row r="387" spans="1:13" x14ac:dyDescent="0.3">
      <c r="A387" t="s">
        <v>11</v>
      </c>
      <c r="B387" s="1" t="s">
        <v>44</v>
      </c>
      <c r="C387" s="1" t="s">
        <v>45</v>
      </c>
      <c r="D387">
        <v>12659</v>
      </c>
      <c r="E387" t="s">
        <v>12</v>
      </c>
      <c r="F387" t="s">
        <v>48</v>
      </c>
      <c r="G387">
        <v>2</v>
      </c>
      <c r="H387">
        <v>0</v>
      </c>
      <c r="I387" t="s">
        <v>46</v>
      </c>
      <c r="J387" cm="1">
        <f t="array" ref="J387">IFERROR(
    _xlfn.XLOOKUP(G387, 'Wedgewood Pharm-PM-Yr2-2025'!$E$4:$L$4,
        _xlfn.XLOOKUP('Rate Load'!H387, 'Wedgewood Pharm-PM-Yr2-2025'!$D$5:$D$31,
            'Wedgewood Pharm-PM-Yr2-2025'!$E$5:$L$31, 0, 0),
        0, 0),
    _xlfn.XLOOKUP(G387, 'Wedgewood Pharm-PM-Yr2-2025'!$E$4:$L$4,
        _xlfn.XLOOKUP('Rate Load'!L387, 'Wedgewood Pharm-PM-Yr2-2025'!$D$5:$D$31,
            'Wedgewood Pharm-PM-Yr2-2025'!$E$5:$L$31, 0, 0),
        0, 0)
)</f>
        <v>8.16</v>
      </c>
      <c r="K387" t="s">
        <v>47</v>
      </c>
      <c r="L387" t="s">
        <v>29</v>
      </c>
      <c r="M387" t="str">
        <f t="shared" ref="M387:M450" si="6">"INSERT INTO TNL_RATING.dbo.usps_rate_master VALUES ('" &amp; A387 &amp; "', '" &amp; B387 &amp; "', '" &amp; C387 &amp; "', " &amp; D387 &amp; ", '" &amp; E387 &amp; "', '" &amp; F387 &amp; "', " &amp; G387 &amp; ", " &amp; H387 &amp; ", '" &amp; I387 &amp; "', " &amp; J387 &amp; ", '" &amp; K387 &amp; "', '" &amp; L387 &amp; "');"</f>
        <v>INSERT INTO TNL_RATING.dbo.usps_rate_master VALUES ('USPS', '2/13/2025', '2/13/2026', 12659, 'US', 'Priority Mail', 2, 0, 'L', 8.16, 'Wedgewood_USPS_2025', 'Small Flat-Rate Box');</v>
      </c>
    </row>
    <row r="388" spans="1:13" x14ac:dyDescent="0.3">
      <c r="A388" t="s">
        <v>11</v>
      </c>
      <c r="B388" s="1" t="s">
        <v>44</v>
      </c>
      <c r="C388" s="1" t="s">
        <v>45</v>
      </c>
      <c r="D388">
        <v>12659</v>
      </c>
      <c r="E388" t="s">
        <v>12</v>
      </c>
      <c r="F388" t="s">
        <v>48</v>
      </c>
      <c r="G388">
        <v>3</v>
      </c>
      <c r="H388">
        <v>0</v>
      </c>
      <c r="I388" t="s">
        <v>46</v>
      </c>
      <c r="J388" cm="1">
        <f t="array" ref="J388">IFERROR(
    _xlfn.XLOOKUP(G388, 'Wedgewood Pharm-PM-Yr2-2025'!$E$4:$L$4,
        _xlfn.XLOOKUP('Rate Load'!H388, 'Wedgewood Pharm-PM-Yr2-2025'!$D$5:$D$31,
            'Wedgewood Pharm-PM-Yr2-2025'!$E$5:$L$31, 0, 0),
        0, 0),
    _xlfn.XLOOKUP(G388, 'Wedgewood Pharm-PM-Yr2-2025'!$E$4:$L$4,
        _xlfn.XLOOKUP('Rate Load'!L388, 'Wedgewood Pharm-PM-Yr2-2025'!$D$5:$D$31,
            'Wedgewood Pharm-PM-Yr2-2025'!$E$5:$L$31, 0, 0),
        0, 0)
)</f>
        <v>8.16</v>
      </c>
      <c r="K388" t="s">
        <v>47</v>
      </c>
      <c r="L388" t="s">
        <v>29</v>
      </c>
      <c r="M388" t="str">
        <f t="shared" si="6"/>
        <v>INSERT INTO TNL_RATING.dbo.usps_rate_master VALUES ('USPS', '2/13/2025', '2/13/2026', 12659, 'US', 'Priority Mail', 3, 0, 'L', 8.16, 'Wedgewood_USPS_2025', 'Small Flat-Rate Box');</v>
      </c>
    </row>
    <row r="389" spans="1:13" x14ac:dyDescent="0.3">
      <c r="A389" t="s">
        <v>11</v>
      </c>
      <c r="B389" s="1" t="s">
        <v>44</v>
      </c>
      <c r="C389" s="1" t="s">
        <v>45</v>
      </c>
      <c r="D389">
        <v>12659</v>
      </c>
      <c r="E389" t="s">
        <v>12</v>
      </c>
      <c r="F389" t="s">
        <v>48</v>
      </c>
      <c r="G389">
        <v>4</v>
      </c>
      <c r="H389">
        <v>0</v>
      </c>
      <c r="I389" t="s">
        <v>46</v>
      </c>
      <c r="J389" cm="1">
        <f t="array" ref="J389">IFERROR(
    _xlfn.XLOOKUP(G389, 'Wedgewood Pharm-PM-Yr2-2025'!$E$4:$L$4,
        _xlfn.XLOOKUP('Rate Load'!H389, 'Wedgewood Pharm-PM-Yr2-2025'!$D$5:$D$31,
            'Wedgewood Pharm-PM-Yr2-2025'!$E$5:$L$31, 0, 0),
        0, 0),
    _xlfn.XLOOKUP(G389, 'Wedgewood Pharm-PM-Yr2-2025'!$E$4:$L$4,
        _xlfn.XLOOKUP('Rate Load'!L389, 'Wedgewood Pharm-PM-Yr2-2025'!$D$5:$D$31,
            'Wedgewood Pharm-PM-Yr2-2025'!$E$5:$L$31, 0, 0),
        0, 0)
)</f>
        <v>8.16</v>
      </c>
      <c r="K389" t="s">
        <v>47</v>
      </c>
      <c r="L389" t="s">
        <v>29</v>
      </c>
      <c r="M389" t="str">
        <f t="shared" si="6"/>
        <v>INSERT INTO TNL_RATING.dbo.usps_rate_master VALUES ('USPS', '2/13/2025', '2/13/2026', 12659, 'US', 'Priority Mail', 4, 0, 'L', 8.16, 'Wedgewood_USPS_2025', 'Small Flat-Rate Box');</v>
      </c>
    </row>
    <row r="390" spans="1:13" x14ac:dyDescent="0.3">
      <c r="A390" t="s">
        <v>11</v>
      </c>
      <c r="B390" s="1" t="s">
        <v>44</v>
      </c>
      <c r="C390" s="1" t="s">
        <v>45</v>
      </c>
      <c r="D390">
        <v>12659</v>
      </c>
      <c r="E390" t="s">
        <v>12</v>
      </c>
      <c r="F390" t="s">
        <v>48</v>
      </c>
      <c r="G390">
        <v>5</v>
      </c>
      <c r="H390">
        <v>0</v>
      </c>
      <c r="I390" t="s">
        <v>46</v>
      </c>
      <c r="J390" cm="1">
        <f t="array" ref="J390">IFERROR(
    _xlfn.XLOOKUP(G390, 'Wedgewood Pharm-PM-Yr2-2025'!$E$4:$L$4,
        _xlfn.XLOOKUP('Rate Load'!H390, 'Wedgewood Pharm-PM-Yr2-2025'!$D$5:$D$31,
            'Wedgewood Pharm-PM-Yr2-2025'!$E$5:$L$31, 0, 0),
        0, 0),
    _xlfn.XLOOKUP(G390, 'Wedgewood Pharm-PM-Yr2-2025'!$E$4:$L$4,
        _xlfn.XLOOKUP('Rate Load'!L390, 'Wedgewood Pharm-PM-Yr2-2025'!$D$5:$D$31,
            'Wedgewood Pharm-PM-Yr2-2025'!$E$5:$L$31, 0, 0),
        0, 0)
)</f>
        <v>8.16</v>
      </c>
      <c r="K390" t="s">
        <v>47</v>
      </c>
      <c r="L390" t="s">
        <v>29</v>
      </c>
      <c r="M390" t="str">
        <f t="shared" si="6"/>
        <v>INSERT INTO TNL_RATING.dbo.usps_rate_master VALUES ('USPS', '2/13/2025', '2/13/2026', 12659, 'US', 'Priority Mail', 5, 0, 'L', 8.16, 'Wedgewood_USPS_2025', 'Small Flat-Rate Box');</v>
      </c>
    </row>
    <row r="391" spans="1:13" x14ac:dyDescent="0.3">
      <c r="A391" t="s">
        <v>11</v>
      </c>
      <c r="B391" s="1" t="s">
        <v>44</v>
      </c>
      <c r="C391" s="1" t="s">
        <v>45</v>
      </c>
      <c r="D391">
        <v>12659</v>
      </c>
      <c r="E391" t="s">
        <v>12</v>
      </c>
      <c r="F391" t="s">
        <v>48</v>
      </c>
      <c r="G391">
        <v>6</v>
      </c>
      <c r="H391">
        <v>0</v>
      </c>
      <c r="I391" t="s">
        <v>46</v>
      </c>
      <c r="J391" cm="1">
        <f t="array" ref="J391">IFERROR(
    _xlfn.XLOOKUP(G391, 'Wedgewood Pharm-PM-Yr2-2025'!$E$4:$L$4,
        _xlfn.XLOOKUP('Rate Load'!H391, 'Wedgewood Pharm-PM-Yr2-2025'!$D$5:$D$31,
            'Wedgewood Pharm-PM-Yr2-2025'!$E$5:$L$31, 0, 0),
        0, 0),
    _xlfn.XLOOKUP(G391, 'Wedgewood Pharm-PM-Yr2-2025'!$E$4:$L$4,
        _xlfn.XLOOKUP('Rate Load'!L391, 'Wedgewood Pharm-PM-Yr2-2025'!$D$5:$D$31,
            'Wedgewood Pharm-PM-Yr2-2025'!$E$5:$L$31, 0, 0),
        0, 0)
)</f>
        <v>8.16</v>
      </c>
      <c r="K391" t="s">
        <v>47</v>
      </c>
      <c r="L391" t="s">
        <v>29</v>
      </c>
      <c r="M391" t="str">
        <f t="shared" si="6"/>
        <v>INSERT INTO TNL_RATING.dbo.usps_rate_master VALUES ('USPS', '2/13/2025', '2/13/2026', 12659, 'US', 'Priority Mail', 6, 0, 'L', 8.16, 'Wedgewood_USPS_2025', 'Small Flat-Rate Box');</v>
      </c>
    </row>
    <row r="392" spans="1:13" x14ac:dyDescent="0.3">
      <c r="A392" t="s">
        <v>11</v>
      </c>
      <c r="B392" s="1" t="s">
        <v>44</v>
      </c>
      <c r="C392" s="1" t="s">
        <v>45</v>
      </c>
      <c r="D392">
        <v>12659</v>
      </c>
      <c r="E392" t="s">
        <v>12</v>
      </c>
      <c r="F392" t="s">
        <v>48</v>
      </c>
      <c r="G392">
        <v>7</v>
      </c>
      <c r="H392">
        <v>0</v>
      </c>
      <c r="I392" t="s">
        <v>46</v>
      </c>
      <c r="J392" cm="1">
        <f t="array" ref="J392">IFERROR(
    _xlfn.XLOOKUP(G392, 'Wedgewood Pharm-PM-Yr2-2025'!$E$4:$L$4,
        _xlfn.XLOOKUP('Rate Load'!H392, 'Wedgewood Pharm-PM-Yr2-2025'!$D$5:$D$31,
            'Wedgewood Pharm-PM-Yr2-2025'!$E$5:$L$31, 0, 0),
        0, 0),
    _xlfn.XLOOKUP(G392, 'Wedgewood Pharm-PM-Yr2-2025'!$E$4:$L$4,
        _xlfn.XLOOKUP('Rate Load'!L392, 'Wedgewood Pharm-PM-Yr2-2025'!$D$5:$D$31,
            'Wedgewood Pharm-PM-Yr2-2025'!$E$5:$L$31, 0, 0),
        0, 0)
)</f>
        <v>8.16</v>
      </c>
      <c r="K392" t="s">
        <v>47</v>
      </c>
      <c r="L392" t="s">
        <v>29</v>
      </c>
      <c r="M392" t="str">
        <f t="shared" si="6"/>
        <v>INSERT INTO TNL_RATING.dbo.usps_rate_master VALUES ('USPS', '2/13/2025', '2/13/2026', 12659, 'US', 'Priority Mail', 7, 0, 'L', 8.16, 'Wedgewood_USPS_2025', 'Small Flat-Rate Box');</v>
      </c>
    </row>
    <row r="393" spans="1:13" x14ac:dyDescent="0.3">
      <c r="A393" t="s">
        <v>11</v>
      </c>
      <c r="B393" s="1" t="s">
        <v>44</v>
      </c>
      <c r="C393" s="1" t="s">
        <v>45</v>
      </c>
      <c r="D393">
        <v>12659</v>
      </c>
      <c r="E393" t="s">
        <v>12</v>
      </c>
      <c r="F393" t="s">
        <v>48</v>
      </c>
      <c r="G393">
        <v>8</v>
      </c>
      <c r="H393">
        <v>0</v>
      </c>
      <c r="I393" t="s">
        <v>46</v>
      </c>
      <c r="J393" cm="1">
        <f t="array" ref="J393">IFERROR(
    _xlfn.XLOOKUP(G393, 'Wedgewood Pharm-PM-Yr2-2025'!$E$4:$L$4,
        _xlfn.XLOOKUP('Rate Load'!H393, 'Wedgewood Pharm-PM-Yr2-2025'!$D$5:$D$31,
            'Wedgewood Pharm-PM-Yr2-2025'!$E$5:$L$31, 0, 0),
        0, 0),
    _xlfn.XLOOKUP(G393, 'Wedgewood Pharm-PM-Yr2-2025'!$E$4:$L$4,
        _xlfn.XLOOKUP('Rate Load'!L393, 'Wedgewood Pharm-PM-Yr2-2025'!$D$5:$D$31,
            'Wedgewood Pharm-PM-Yr2-2025'!$E$5:$L$31, 0, 0),
        0, 0)
)</f>
        <v>8.16</v>
      </c>
      <c r="K393" t="s">
        <v>47</v>
      </c>
      <c r="L393" t="s">
        <v>29</v>
      </c>
      <c r="M393" t="str">
        <f t="shared" si="6"/>
        <v>INSERT INTO TNL_RATING.dbo.usps_rate_master VALUES ('USPS', '2/13/2025', '2/13/2026', 12659, 'US', 'Priority Mail', 8, 0, 'L', 8.16, 'Wedgewood_USPS_2025', 'Small Flat-Rate Box');</v>
      </c>
    </row>
    <row r="394" spans="1:13" x14ac:dyDescent="0.3">
      <c r="A394" t="s">
        <v>11</v>
      </c>
      <c r="B394" s="1" t="s">
        <v>44</v>
      </c>
      <c r="C394" s="1" t="s">
        <v>45</v>
      </c>
      <c r="D394">
        <v>12659</v>
      </c>
      <c r="E394" t="s">
        <v>12</v>
      </c>
      <c r="F394" t="s">
        <v>48</v>
      </c>
      <c r="G394">
        <v>1</v>
      </c>
      <c r="H394">
        <v>0</v>
      </c>
      <c r="I394" t="s">
        <v>46</v>
      </c>
      <c r="J394" cm="1">
        <f t="array" ref="J394">IFERROR(
    _xlfn.XLOOKUP(G394, 'Wedgewood Pharm-PM-Yr2-2025'!$E$4:$L$4,
        _xlfn.XLOOKUP('Rate Load'!H394, 'Wedgewood Pharm-PM-Yr2-2025'!$D$5:$D$31,
            'Wedgewood Pharm-PM-Yr2-2025'!$E$5:$L$31, 0, 0),
        0, 0),
    _xlfn.XLOOKUP(G394, 'Wedgewood Pharm-PM-Yr2-2025'!$E$4:$L$4,
        _xlfn.XLOOKUP('Rate Load'!L394, 'Wedgewood Pharm-PM-Yr2-2025'!$D$5:$D$31,
            'Wedgewood Pharm-PM-Yr2-2025'!$E$5:$L$31, 0, 0),
        0, 0)
)</f>
        <v>14.09</v>
      </c>
      <c r="K394" t="s">
        <v>47</v>
      </c>
      <c r="L394" t="s">
        <v>30</v>
      </c>
      <c r="M394" t="str">
        <f t="shared" si="6"/>
        <v>INSERT INTO TNL_RATING.dbo.usps_rate_master VALUES ('USPS', '2/13/2025', '2/13/2026', 12659, 'US', 'Priority Mail', 1, 0, 'L', 14.09, 'Wedgewood_USPS_2025', 'Medium Flat-Rate Box');</v>
      </c>
    </row>
    <row r="395" spans="1:13" x14ac:dyDescent="0.3">
      <c r="A395" t="s">
        <v>11</v>
      </c>
      <c r="B395" s="1" t="s">
        <v>44</v>
      </c>
      <c r="C395" s="1" t="s">
        <v>45</v>
      </c>
      <c r="D395">
        <v>12659</v>
      </c>
      <c r="E395" t="s">
        <v>12</v>
      </c>
      <c r="F395" t="s">
        <v>48</v>
      </c>
      <c r="G395">
        <v>2</v>
      </c>
      <c r="H395">
        <v>0</v>
      </c>
      <c r="I395" t="s">
        <v>46</v>
      </c>
      <c r="J395" cm="1">
        <f t="array" ref="J395">IFERROR(
    _xlfn.XLOOKUP(G395, 'Wedgewood Pharm-PM-Yr2-2025'!$E$4:$L$4,
        _xlfn.XLOOKUP('Rate Load'!H395, 'Wedgewood Pharm-PM-Yr2-2025'!$D$5:$D$31,
            'Wedgewood Pharm-PM-Yr2-2025'!$E$5:$L$31, 0, 0),
        0, 0),
    _xlfn.XLOOKUP(G395, 'Wedgewood Pharm-PM-Yr2-2025'!$E$4:$L$4,
        _xlfn.XLOOKUP('Rate Load'!L395, 'Wedgewood Pharm-PM-Yr2-2025'!$D$5:$D$31,
            'Wedgewood Pharm-PM-Yr2-2025'!$E$5:$L$31, 0, 0),
        0, 0)
)</f>
        <v>14.09</v>
      </c>
      <c r="K395" t="s">
        <v>47</v>
      </c>
      <c r="L395" t="s">
        <v>30</v>
      </c>
      <c r="M395" t="str">
        <f t="shared" si="6"/>
        <v>INSERT INTO TNL_RATING.dbo.usps_rate_master VALUES ('USPS', '2/13/2025', '2/13/2026', 12659, 'US', 'Priority Mail', 2, 0, 'L', 14.09, 'Wedgewood_USPS_2025', 'Medium Flat-Rate Box');</v>
      </c>
    </row>
    <row r="396" spans="1:13" x14ac:dyDescent="0.3">
      <c r="A396" t="s">
        <v>11</v>
      </c>
      <c r="B396" s="1" t="s">
        <v>44</v>
      </c>
      <c r="C396" s="1" t="s">
        <v>45</v>
      </c>
      <c r="D396">
        <v>12659</v>
      </c>
      <c r="E396" t="s">
        <v>12</v>
      </c>
      <c r="F396" t="s">
        <v>48</v>
      </c>
      <c r="G396">
        <v>3</v>
      </c>
      <c r="H396">
        <v>0</v>
      </c>
      <c r="I396" t="s">
        <v>46</v>
      </c>
      <c r="J396" cm="1">
        <f t="array" ref="J396">IFERROR(
    _xlfn.XLOOKUP(G396, 'Wedgewood Pharm-PM-Yr2-2025'!$E$4:$L$4,
        _xlfn.XLOOKUP('Rate Load'!H396, 'Wedgewood Pharm-PM-Yr2-2025'!$D$5:$D$31,
            'Wedgewood Pharm-PM-Yr2-2025'!$E$5:$L$31, 0, 0),
        0, 0),
    _xlfn.XLOOKUP(G396, 'Wedgewood Pharm-PM-Yr2-2025'!$E$4:$L$4,
        _xlfn.XLOOKUP('Rate Load'!L396, 'Wedgewood Pharm-PM-Yr2-2025'!$D$5:$D$31,
            'Wedgewood Pharm-PM-Yr2-2025'!$E$5:$L$31, 0, 0),
        0, 0)
)</f>
        <v>14.09</v>
      </c>
      <c r="K396" t="s">
        <v>47</v>
      </c>
      <c r="L396" t="s">
        <v>30</v>
      </c>
      <c r="M396" t="str">
        <f t="shared" si="6"/>
        <v>INSERT INTO TNL_RATING.dbo.usps_rate_master VALUES ('USPS', '2/13/2025', '2/13/2026', 12659, 'US', 'Priority Mail', 3, 0, 'L', 14.09, 'Wedgewood_USPS_2025', 'Medium Flat-Rate Box');</v>
      </c>
    </row>
    <row r="397" spans="1:13" x14ac:dyDescent="0.3">
      <c r="A397" t="s">
        <v>11</v>
      </c>
      <c r="B397" s="1" t="s">
        <v>44</v>
      </c>
      <c r="C397" s="1" t="s">
        <v>45</v>
      </c>
      <c r="D397">
        <v>12659</v>
      </c>
      <c r="E397" t="s">
        <v>12</v>
      </c>
      <c r="F397" t="s">
        <v>48</v>
      </c>
      <c r="G397">
        <v>4</v>
      </c>
      <c r="H397">
        <v>0</v>
      </c>
      <c r="I397" t="s">
        <v>46</v>
      </c>
      <c r="J397" cm="1">
        <f t="array" ref="J397">IFERROR(
    _xlfn.XLOOKUP(G397, 'Wedgewood Pharm-PM-Yr2-2025'!$E$4:$L$4,
        _xlfn.XLOOKUP('Rate Load'!H397, 'Wedgewood Pharm-PM-Yr2-2025'!$D$5:$D$31,
            'Wedgewood Pharm-PM-Yr2-2025'!$E$5:$L$31, 0, 0),
        0, 0),
    _xlfn.XLOOKUP(G397, 'Wedgewood Pharm-PM-Yr2-2025'!$E$4:$L$4,
        _xlfn.XLOOKUP('Rate Load'!L397, 'Wedgewood Pharm-PM-Yr2-2025'!$D$5:$D$31,
            'Wedgewood Pharm-PM-Yr2-2025'!$E$5:$L$31, 0, 0),
        0, 0)
)</f>
        <v>14.09</v>
      </c>
      <c r="K397" t="s">
        <v>47</v>
      </c>
      <c r="L397" t="s">
        <v>30</v>
      </c>
      <c r="M397" t="str">
        <f t="shared" si="6"/>
        <v>INSERT INTO TNL_RATING.dbo.usps_rate_master VALUES ('USPS', '2/13/2025', '2/13/2026', 12659, 'US', 'Priority Mail', 4, 0, 'L', 14.09, 'Wedgewood_USPS_2025', 'Medium Flat-Rate Box');</v>
      </c>
    </row>
    <row r="398" spans="1:13" x14ac:dyDescent="0.3">
      <c r="A398" t="s">
        <v>11</v>
      </c>
      <c r="B398" s="1" t="s">
        <v>44</v>
      </c>
      <c r="C398" s="1" t="s">
        <v>45</v>
      </c>
      <c r="D398">
        <v>12659</v>
      </c>
      <c r="E398" t="s">
        <v>12</v>
      </c>
      <c r="F398" t="s">
        <v>48</v>
      </c>
      <c r="G398">
        <v>5</v>
      </c>
      <c r="H398">
        <v>0</v>
      </c>
      <c r="I398" t="s">
        <v>46</v>
      </c>
      <c r="J398" cm="1">
        <f t="array" ref="J398">IFERROR(
    _xlfn.XLOOKUP(G398, 'Wedgewood Pharm-PM-Yr2-2025'!$E$4:$L$4,
        _xlfn.XLOOKUP('Rate Load'!H398, 'Wedgewood Pharm-PM-Yr2-2025'!$D$5:$D$31,
            'Wedgewood Pharm-PM-Yr2-2025'!$E$5:$L$31, 0, 0),
        0, 0),
    _xlfn.XLOOKUP(G398, 'Wedgewood Pharm-PM-Yr2-2025'!$E$4:$L$4,
        _xlfn.XLOOKUP('Rate Load'!L398, 'Wedgewood Pharm-PM-Yr2-2025'!$D$5:$D$31,
            'Wedgewood Pharm-PM-Yr2-2025'!$E$5:$L$31, 0, 0),
        0, 0)
)</f>
        <v>14.09</v>
      </c>
      <c r="K398" t="s">
        <v>47</v>
      </c>
      <c r="L398" t="s">
        <v>30</v>
      </c>
      <c r="M398" t="str">
        <f t="shared" si="6"/>
        <v>INSERT INTO TNL_RATING.dbo.usps_rate_master VALUES ('USPS', '2/13/2025', '2/13/2026', 12659, 'US', 'Priority Mail', 5, 0, 'L', 14.09, 'Wedgewood_USPS_2025', 'Medium Flat-Rate Box');</v>
      </c>
    </row>
    <row r="399" spans="1:13" x14ac:dyDescent="0.3">
      <c r="A399" t="s">
        <v>11</v>
      </c>
      <c r="B399" s="1" t="s">
        <v>44</v>
      </c>
      <c r="C399" s="1" t="s">
        <v>45</v>
      </c>
      <c r="D399">
        <v>12659</v>
      </c>
      <c r="E399" t="s">
        <v>12</v>
      </c>
      <c r="F399" t="s">
        <v>48</v>
      </c>
      <c r="G399">
        <v>6</v>
      </c>
      <c r="H399">
        <v>0</v>
      </c>
      <c r="I399" t="s">
        <v>46</v>
      </c>
      <c r="J399" cm="1">
        <f t="array" ref="J399">IFERROR(
    _xlfn.XLOOKUP(G399, 'Wedgewood Pharm-PM-Yr2-2025'!$E$4:$L$4,
        _xlfn.XLOOKUP('Rate Load'!H399, 'Wedgewood Pharm-PM-Yr2-2025'!$D$5:$D$31,
            'Wedgewood Pharm-PM-Yr2-2025'!$E$5:$L$31, 0, 0),
        0, 0),
    _xlfn.XLOOKUP(G399, 'Wedgewood Pharm-PM-Yr2-2025'!$E$4:$L$4,
        _xlfn.XLOOKUP('Rate Load'!L399, 'Wedgewood Pharm-PM-Yr2-2025'!$D$5:$D$31,
            'Wedgewood Pharm-PM-Yr2-2025'!$E$5:$L$31, 0, 0),
        0, 0)
)</f>
        <v>14.09</v>
      </c>
      <c r="K399" t="s">
        <v>47</v>
      </c>
      <c r="L399" t="s">
        <v>30</v>
      </c>
      <c r="M399" t="str">
        <f t="shared" si="6"/>
        <v>INSERT INTO TNL_RATING.dbo.usps_rate_master VALUES ('USPS', '2/13/2025', '2/13/2026', 12659, 'US', 'Priority Mail', 6, 0, 'L', 14.09, 'Wedgewood_USPS_2025', 'Medium Flat-Rate Box');</v>
      </c>
    </row>
    <row r="400" spans="1:13" x14ac:dyDescent="0.3">
      <c r="A400" t="s">
        <v>11</v>
      </c>
      <c r="B400" s="1" t="s">
        <v>44</v>
      </c>
      <c r="C400" s="1" t="s">
        <v>45</v>
      </c>
      <c r="D400">
        <v>12659</v>
      </c>
      <c r="E400" t="s">
        <v>12</v>
      </c>
      <c r="F400" t="s">
        <v>48</v>
      </c>
      <c r="G400">
        <v>7</v>
      </c>
      <c r="H400">
        <v>0</v>
      </c>
      <c r="I400" t="s">
        <v>46</v>
      </c>
      <c r="J400" cm="1">
        <f t="array" ref="J400">IFERROR(
    _xlfn.XLOOKUP(G400, 'Wedgewood Pharm-PM-Yr2-2025'!$E$4:$L$4,
        _xlfn.XLOOKUP('Rate Load'!H400, 'Wedgewood Pharm-PM-Yr2-2025'!$D$5:$D$31,
            'Wedgewood Pharm-PM-Yr2-2025'!$E$5:$L$31, 0, 0),
        0, 0),
    _xlfn.XLOOKUP(G400, 'Wedgewood Pharm-PM-Yr2-2025'!$E$4:$L$4,
        _xlfn.XLOOKUP('Rate Load'!L400, 'Wedgewood Pharm-PM-Yr2-2025'!$D$5:$D$31,
            'Wedgewood Pharm-PM-Yr2-2025'!$E$5:$L$31, 0, 0),
        0, 0)
)</f>
        <v>14.09</v>
      </c>
      <c r="K400" t="s">
        <v>47</v>
      </c>
      <c r="L400" t="s">
        <v>30</v>
      </c>
      <c r="M400" t="str">
        <f t="shared" si="6"/>
        <v>INSERT INTO TNL_RATING.dbo.usps_rate_master VALUES ('USPS', '2/13/2025', '2/13/2026', 12659, 'US', 'Priority Mail', 7, 0, 'L', 14.09, 'Wedgewood_USPS_2025', 'Medium Flat-Rate Box');</v>
      </c>
    </row>
    <row r="401" spans="1:13" x14ac:dyDescent="0.3">
      <c r="A401" t="s">
        <v>11</v>
      </c>
      <c r="B401" s="1" t="s">
        <v>44</v>
      </c>
      <c r="C401" s="1" t="s">
        <v>45</v>
      </c>
      <c r="D401">
        <v>12659</v>
      </c>
      <c r="E401" t="s">
        <v>12</v>
      </c>
      <c r="F401" t="s">
        <v>48</v>
      </c>
      <c r="G401">
        <v>8</v>
      </c>
      <c r="H401">
        <v>0</v>
      </c>
      <c r="I401" t="s">
        <v>46</v>
      </c>
      <c r="J401" cm="1">
        <f t="array" ref="J401">IFERROR(
    _xlfn.XLOOKUP(G401, 'Wedgewood Pharm-PM-Yr2-2025'!$E$4:$L$4,
        _xlfn.XLOOKUP('Rate Load'!H401, 'Wedgewood Pharm-PM-Yr2-2025'!$D$5:$D$31,
            'Wedgewood Pharm-PM-Yr2-2025'!$E$5:$L$31, 0, 0),
        0, 0),
    _xlfn.XLOOKUP(G401, 'Wedgewood Pharm-PM-Yr2-2025'!$E$4:$L$4,
        _xlfn.XLOOKUP('Rate Load'!L401, 'Wedgewood Pharm-PM-Yr2-2025'!$D$5:$D$31,
            'Wedgewood Pharm-PM-Yr2-2025'!$E$5:$L$31, 0, 0),
        0, 0)
)</f>
        <v>14.09</v>
      </c>
      <c r="K401" t="s">
        <v>47</v>
      </c>
      <c r="L401" t="s">
        <v>30</v>
      </c>
      <c r="M401" t="str">
        <f t="shared" si="6"/>
        <v>INSERT INTO TNL_RATING.dbo.usps_rate_master VALUES ('USPS', '2/13/2025', '2/13/2026', 12659, 'US', 'Priority Mail', 8, 0, 'L', 14.09, 'Wedgewood_USPS_2025', 'Medium Flat-Rate Box');</v>
      </c>
    </row>
    <row r="402" spans="1:13" x14ac:dyDescent="0.3">
      <c r="A402" t="s">
        <v>11</v>
      </c>
      <c r="B402" s="1" t="s">
        <v>44</v>
      </c>
      <c r="C402" s="1" t="s">
        <v>45</v>
      </c>
      <c r="D402">
        <v>12659</v>
      </c>
      <c r="E402" t="s">
        <v>12</v>
      </c>
      <c r="F402" t="s">
        <v>48</v>
      </c>
      <c r="G402">
        <v>1</v>
      </c>
      <c r="H402">
        <v>0</v>
      </c>
      <c r="I402" t="s">
        <v>46</v>
      </c>
      <c r="J402" cm="1">
        <f t="array" ref="J402">IFERROR(
    _xlfn.XLOOKUP(G402, 'Wedgewood Pharm-PM-Yr2-2025'!$E$4:$L$4,
        _xlfn.XLOOKUP('Rate Load'!H402, 'Wedgewood Pharm-PM-Yr2-2025'!$D$5:$D$31,
            'Wedgewood Pharm-PM-Yr2-2025'!$E$5:$L$31, 0, 0),
        0, 0),
    _xlfn.XLOOKUP(G402, 'Wedgewood Pharm-PM-Yr2-2025'!$E$4:$L$4,
        _xlfn.XLOOKUP('Rate Load'!L402, 'Wedgewood Pharm-PM-Yr2-2025'!$D$5:$D$31,
            'Wedgewood Pharm-PM-Yr2-2025'!$E$5:$L$31, 0, 0),
        0, 0)
)</f>
        <v>19.07</v>
      </c>
      <c r="K402" t="s">
        <v>47</v>
      </c>
      <c r="L402" t="s">
        <v>31</v>
      </c>
      <c r="M402" t="str">
        <f t="shared" si="6"/>
        <v>INSERT INTO TNL_RATING.dbo.usps_rate_master VALUES ('USPS', '2/13/2025', '2/13/2026', 12659, 'US', 'Priority Mail', 1, 0, 'L', 19.07, 'Wedgewood_USPS_2025', 'Large Flat-Rate Box');</v>
      </c>
    </row>
    <row r="403" spans="1:13" x14ac:dyDescent="0.3">
      <c r="A403" t="s">
        <v>11</v>
      </c>
      <c r="B403" s="1" t="s">
        <v>44</v>
      </c>
      <c r="C403" s="1" t="s">
        <v>45</v>
      </c>
      <c r="D403">
        <v>12659</v>
      </c>
      <c r="E403" t="s">
        <v>12</v>
      </c>
      <c r="F403" t="s">
        <v>48</v>
      </c>
      <c r="G403">
        <v>2</v>
      </c>
      <c r="H403">
        <v>0</v>
      </c>
      <c r="I403" t="s">
        <v>46</v>
      </c>
      <c r="J403" cm="1">
        <f t="array" ref="J403">IFERROR(
    _xlfn.XLOOKUP(G403, 'Wedgewood Pharm-PM-Yr2-2025'!$E$4:$L$4,
        _xlfn.XLOOKUP('Rate Load'!H403, 'Wedgewood Pharm-PM-Yr2-2025'!$D$5:$D$31,
            'Wedgewood Pharm-PM-Yr2-2025'!$E$5:$L$31, 0, 0),
        0, 0),
    _xlfn.XLOOKUP(G403, 'Wedgewood Pharm-PM-Yr2-2025'!$E$4:$L$4,
        _xlfn.XLOOKUP('Rate Load'!L403, 'Wedgewood Pharm-PM-Yr2-2025'!$D$5:$D$31,
            'Wedgewood Pharm-PM-Yr2-2025'!$E$5:$L$31, 0, 0),
        0, 0)
)</f>
        <v>19.07</v>
      </c>
      <c r="K403" t="s">
        <v>47</v>
      </c>
      <c r="L403" t="s">
        <v>31</v>
      </c>
      <c r="M403" t="str">
        <f t="shared" si="6"/>
        <v>INSERT INTO TNL_RATING.dbo.usps_rate_master VALUES ('USPS', '2/13/2025', '2/13/2026', 12659, 'US', 'Priority Mail', 2, 0, 'L', 19.07, 'Wedgewood_USPS_2025', 'Large Flat-Rate Box');</v>
      </c>
    </row>
    <row r="404" spans="1:13" x14ac:dyDescent="0.3">
      <c r="A404" t="s">
        <v>11</v>
      </c>
      <c r="B404" s="1" t="s">
        <v>44</v>
      </c>
      <c r="C404" s="1" t="s">
        <v>45</v>
      </c>
      <c r="D404">
        <v>12659</v>
      </c>
      <c r="E404" t="s">
        <v>12</v>
      </c>
      <c r="F404" t="s">
        <v>48</v>
      </c>
      <c r="G404">
        <v>3</v>
      </c>
      <c r="H404">
        <v>0</v>
      </c>
      <c r="I404" t="s">
        <v>46</v>
      </c>
      <c r="J404" cm="1">
        <f t="array" ref="J404">IFERROR(
    _xlfn.XLOOKUP(G404, 'Wedgewood Pharm-PM-Yr2-2025'!$E$4:$L$4,
        _xlfn.XLOOKUP('Rate Load'!H404, 'Wedgewood Pharm-PM-Yr2-2025'!$D$5:$D$31,
            'Wedgewood Pharm-PM-Yr2-2025'!$E$5:$L$31, 0, 0),
        0, 0),
    _xlfn.XLOOKUP(G404, 'Wedgewood Pharm-PM-Yr2-2025'!$E$4:$L$4,
        _xlfn.XLOOKUP('Rate Load'!L404, 'Wedgewood Pharm-PM-Yr2-2025'!$D$5:$D$31,
            'Wedgewood Pharm-PM-Yr2-2025'!$E$5:$L$31, 0, 0),
        0, 0)
)</f>
        <v>19.07</v>
      </c>
      <c r="K404" t="s">
        <v>47</v>
      </c>
      <c r="L404" t="s">
        <v>31</v>
      </c>
      <c r="M404" t="str">
        <f t="shared" si="6"/>
        <v>INSERT INTO TNL_RATING.dbo.usps_rate_master VALUES ('USPS', '2/13/2025', '2/13/2026', 12659, 'US', 'Priority Mail', 3, 0, 'L', 19.07, 'Wedgewood_USPS_2025', 'Large Flat-Rate Box');</v>
      </c>
    </row>
    <row r="405" spans="1:13" x14ac:dyDescent="0.3">
      <c r="A405" t="s">
        <v>11</v>
      </c>
      <c r="B405" s="1" t="s">
        <v>44</v>
      </c>
      <c r="C405" s="1" t="s">
        <v>45</v>
      </c>
      <c r="D405">
        <v>12659</v>
      </c>
      <c r="E405" t="s">
        <v>12</v>
      </c>
      <c r="F405" t="s">
        <v>48</v>
      </c>
      <c r="G405">
        <v>4</v>
      </c>
      <c r="H405">
        <v>0</v>
      </c>
      <c r="I405" t="s">
        <v>46</v>
      </c>
      <c r="J405" cm="1">
        <f t="array" ref="J405">IFERROR(
    _xlfn.XLOOKUP(G405, 'Wedgewood Pharm-PM-Yr2-2025'!$E$4:$L$4,
        _xlfn.XLOOKUP('Rate Load'!H405, 'Wedgewood Pharm-PM-Yr2-2025'!$D$5:$D$31,
            'Wedgewood Pharm-PM-Yr2-2025'!$E$5:$L$31, 0, 0),
        0, 0),
    _xlfn.XLOOKUP(G405, 'Wedgewood Pharm-PM-Yr2-2025'!$E$4:$L$4,
        _xlfn.XLOOKUP('Rate Load'!L405, 'Wedgewood Pharm-PM-Yr2-2025'!$D$5:$D$31,
            'Wedgewood Pharm-PM-Yr2-2025'!$E$5:$L$31, 0, 0),
        0, 0)
)</f>
        <v>19.07</v>
      </c>
      <c r="K405" t="s">
        <v>47</v>
      </c>
      <c r="L405" t="s">
        <v>31</v>
      </c>
      <c r="M405" t="str">
        <f t="shared" si="6"/>
        <v>INSERT INTO TNL_RATING.dbo.usps_rate_master VALUES ('USPS', '2/13/2025', '2/13/2026', 12659, 'US', 'Priority Mail', 4, 0, 'L', 19.07, 'Wedgewood_USPS_2025', 'Large Flat-Rate Box');</v>
      </c>
    </row>
    <row r="406" spans="1:13" x14ac:dyDescent="0.3">
      <c r="A406" t="s">
        <v>11</v>
      </c>
      <c r="B406" s="1" t="s">
        <v>44</v>
      </c>
      <c r="C406" s="1" t="s">
        <v>45</v>
      </c>
      <c r="D406">
        <v>12659</v>
      </c>
      <c r="E406" t="s">
        <v>12</v>
      </c>
      <c r="F406" t="s">
        <v>48</v>
      </c>
      <c r="G406">
        <v>5</v>
      </c>
      <c r="H406">
        <v>0</v>
      </c>
      <c r="I406" t="s">
        <v>46</v>
      </c>
      <c r="J406" cm="1">
        <f t="array" ref="J406">IFERROR(
    _xlfn.XLOOKUP(G406, 'Wedgewood Pharm-PM-Yr2-2025'!$E$4:$L$4,
        _xlfn.XLOOKUP('Rate Load'!H406, 'Wedgewood Pharm-PM-Yr2-2025'!$D$5:$D$31,
            'Wedgewood Pharm-PM-Yr2-2025'!$E$5:$L$31, 0, 0),
        0, 0),
    _xlfn.XLOOKUP(G406, 'Wedgewood Pharm-PM-Yr2-2025'!$E$4:$L$4,
        _xlfn.XLOOKUP('Rate Load'!L406, 'Wedgewood Pharm-PM-Yr2-2025'!$D$5:$D$31,
            'Wedgewood Pharm-PM-Yr2-2025'!$E$5:$L$31, 0, 0),
        0, 0)
)</f>
        <v>19.07</v>
      </c>
      <c r="K406" t="s">
        <v>47</v>
      </c>
      <c r="L406" t="s">
        <v>31</v>
      </c>
      <c r="M406" t="str">
        <f t="shared" si="6"/>
        <v>INSERT INTO TNL_RATING.dbo.usps_rate_master VALUES ('USPS', '2/13/2025', '2/13/2026', 12659, 'US', 'Priority Mail', 5, 0, 'L', 19.07, 'Wedgewood_USPS_2025', 'Large Flat-Rate Box');</v>
      </c>
    </row>
    <row r="407" spans="1:13" x14ac:dyDescent="0.3">
      <c r="A407" t="s">
        <v>11</v>
      </c>
      <c r="B407" s="1" t="s">
        <v>44</v>
      </c>
      <c r="C407" s="1" t="s">
        <v>45</v>
      </c>
      <c r="D407">
        <v>12659</v>
      </c>
      <c r="E407" t="s">
        <v>12</v>
      </c>
      <c r="F407" t="s">
        <v>48</v>
      </c>
      <c r="G407">
        <v>6</v>
      </c>
      <c r="H407">
        <v>0</v>
      </c>
      <c r="I407" t="s">
        <v>46</v>
      </c>
      <c r="J407" cm="1">
        <f t="array" ref="J407">IFERROR(
    _xlfn.XLOOKUP(G407, 'Wedgewood Pharm-PM-Yr2-2025'!$E$4:$L$4,
        _xlfn.XLOOKUP('Rate Load'!H407, 'Wedgewood Pharm-PM-Yr2-2025'!$D$5:$D$31,
            'Wedgewood Pharm-PM-Yr2-2025'!$E$5:$L$31, 0, 0),
        0, 0),
    _xlfn.XLOOKUP(G407, 'Wedgewood Pharm-PM-Yr2-2025'!$E$4:$L$4,
        _xlfn.XLOOKUP('Rate Load'!L407, 'Wedgewood Pharm-PM-Yr2-2025'!$D$5:$D$31,
            'Wedgewood Pharm-PM-Yr2-2025'!$E$5:$L$31, 0, 0),
        0, 0)
)</f>
        <v>19.07</v>
      </c>
      <c r="K407" t="s">
        <v>47</v>
      </c>
      <c r="L407" t="s">
        <v>31</v>
      </c>
      <c r="M407" t="str">
        <f t="shared" si="6"/>
        <v>INSERT INTO TNL_RATING.dbo.usps_rate_master VALUES ('USPS', '2/13/2025', '2/13/2026', 12659, 'US', 'Priority Mail', 6, 0, 'L', 19.07, 'Wedgewood_USPS_2025', 'Large Flat-Rate Box');</v>
      </c>
    </row>
    <row r="408" spans="1:13" x14ac:dyDescent="0.3">
      <c r="A408" t="s">
        <v>11</v>
      </c>
      <c r="B408" s="1" t="s">
        <v>44</v>
      </c>
      <c r="C408" s="1" t="s">
        <v>45</v>
      </c>
      <c r="D408">
        <v>12659</v>
      </c>
      <c r="E408" t="s">
        <v>12</v>
      </c>
      <c r="F408" t="s">
        <v>48</v>
      </c>
      <c r="G408">
        <v>7</v>
      </c>
      <c r="H408">
        <v>0</v>
      </c>
      <c r="I408" t="s">
        <v>46</v>
      </c>
      <c r="J408" cm="1">
        <f t="array" ref="J408">IFERROR(
    _xlfn.XLOOKUP(G408, 'Wedgewood Pharm-PM-Yr2-2025'!$E$4:$L$4,
        _xlfn.XLOOKUP('Rate Load'!H408, 'Wedgewood Pharm-PM-Yr2-2025'!$D$5:$D$31,
            'Wedgewood Pharm-PM-Yr2-2025'!$E$5:$L$31, 0, 0),
        0, 0),
    _xlfn.XLOOKUP(G408, 'Wedgewood Pharm-PM-Yr2-2025'!$E$4:$L$4,
        _xlfn.XLOOKUP('Rate Load'!L408, 'Wedgewood Pharm-PM-Yr2-2025'!$D$5:$D$31,
            'Wedgewood Pharm-PM-Yr2-2025'!$E$5:$L$31, 0, 0),
        0, 0)
)</f>
        <v>19.07</v>
      </c>
      <c r="K408" t="s">
        <v>47</v>
      </c>
      <c r="L408" t="s">
        <v>31</v>
      </c>
      <c r="M408" t="str">
        <f t="shared" si="6"/>
        <v>INSERT INTO TNL_RATING.dbo.usps_rate_master VALUES ('USPS', '2/13/2025', '2/13/2026', 12659, 'US', 'Priority Mail', 7, 0, 'L', 19.07, 'Wedgewood_USPS_2025', 'Large Flat-Rate Box');</v>
      </c>
    </row>
    <row r="409" spans="1:13" x14ac:dyDescent="0.3">
      <c r="A409" t="s">
        <v>11</v>
      </c>
      <c r="B409" s="1" t="s">
        <v>44</v>
      </c>
      <c r="C409" s="1" t="s">
        <v>45</v>
      </c>
      <c r="D409">
        <v>12659</v>
      </c>
      <c r="E409" t="s">
        <v>12</v>
      </c>
      <c r="F409" t="s">
        <v>48</v>
      </c>
      <c r="G409">
        <v>8</v>
      </c>
      <c r="H409">
        <v>0</v>
      </c>
      <c r="I409" t="s">
        <v>46</v>
      </c>
      <c r="J409" cm="1">
        <f t="array" ref="J409">IFERROR(
    _xlfn.XLOOKUP(G409, 'Wedgewood Pharm-PM-Yr2-2025'!$E$4:$L$4,
        _xlfn.XLOOKUP('Rate Load'!H409, 'Wedgewood Pharm-PM-Yr2-2025'!$D$5:$D$31,
            'Wedgewood Pharm-PM-Yr2-2025'!$E$5:$L$31, 0, 0),
        0, 0),
    _xlfn.XLOOKUP(G409, 'Wedgewood Pharm-PM-Yr2-2025'!$E$4:$L$4,
        _xlfn.XLOOKUP('Rate Load'!L409, 'Wedgewood Pharm-PM-Yr2-2025'!$D$5:$D$31,
            'Wedgewood Pharm-PM-Yr2-2025'!$E$5:$L$31, 0, 0),
        0, 0)
)</f>
        <v>19.07</v>
      </c>
      <c r="K409" t="s">
        <v>47</v>
      </c>
      <c r="L409" t="s">
        <v>31</v>
      </c>
      <c r="M409" t="str">
        <f t="shared" si="6"/>
        <v>INSERT INTO TNL_RATING.dbo.usps_rate_master VALUES ('USPS', '2/13/2025', '2/13/2026', 12659, 'US', 'Priority Mail', 8, 0, 'L', 19.07, 'Wedgewood_USPS_2025', 'Large Flat-Rate Box');</v>
      </c>
    </row>
    <row r="410" spans="1:13" x14ac:dyDescent="0.3">
      <c r="A410" t="s">
        <v>11</v>
      </c>
      <c r="B410" s="1" t="s">
        <v>44</v>
      </c>
      <c r="C410" s="1" t="s">
        <v>45</v>
      </c>
      <c r="D410">
        <v>12659</v>
      </c>
      <c r="E410" t="s">
        <v>12</v>
      </c>
      <c r="F410" t="s">
        <v>13</v>
      </c>
      <c r="G410">
        <v>1</v>
      </c>
      <c r="H410">
        <v>1</v>
      </c>
      <c r="I410" t="s">
        <v>46</v>
      </c>
      <c r="J410" cm="1">
        <f t="array" ref="J410">IFERROR(_xlfn.XLOOKUP(G410,'Wedgewood Pharm-GA-Yr2-2025'!$E$4:$L$4,
    _xlfn.XLOOKUP('Rate Load'!H410,'Wedgewood Pharm-GA-Yr2-2025'!$D$21:$D$40,
        'Wedgewood Pharm-GA-Yr2-2025'!$E$21:$L$40,0,0),0,0), "No Match")</f>
        <v>6.18</v>
      </c>
      <c r="K410" t="s">
        <v>47</v>
      </c>
      <c r="L410" t="s">
        <v>14</v>
      </c>
      <c r="M410" t="str">
        <f t="shared" si="6"/>
        <v>INSERT INTO TNL_RATING.dbo.usps_rate_master VALUES ('USPS', '2/13/2025', '2/13/2026', 12659, 'US', 'Ground Advantage', 1, 1, 'L', 6.18, 'Wedgewood_USPS_2025', 'NonCubic');</v>
      </c>
    </row>
    <row r="411" spans="1:13" x14ac:dyDescent="0.3">
      <c r="A411" t="s">
        <v>11</v>
      </c>
      <c r="B411" s="1" t="s">
        <v>44</v>
      </c>
      <c r="C411" s="1" t="s">
        <v>45</v>
      </c>
      <c r="D411">
        <v>12659</v>
      </c>
      <c r="E411" t="s">
        <v>12</v>
      </c>
      <c r="F411" t="s">
        <v>13</v>
      </c>
      <c r="G411">
        <v>1</v>
      </c>
      <c r="H411">
        <v>2</v>
      </c>
      <c r="I411" t="s">
        <v>46</v>
      </c>
      <c r="J411" cm="1">
        <f t="array" ref="J411">IFERROR(_xlfn.XLOOKUP(G411,'Wedgewood Pharm-GA-Yr2-2025'!$E$4:$L$4,
    _xlfn.XLOOKUP('Rate Load'!H411,'Wedgewood Pharm-GA-Yr2-2025'!$D$21:$D$40,
        'Wedgewood Pharm-GA-Yr2-2025'!$E$21:$L$40,0,0),0,0), "No Match")</f>
        <v>6.18</v>
      </c>
      <c r="K411" t="s">
        <v>47</v>
      </c>
      <c r="L411" t="s">
        <v>14</v>
      </c>
      <c r="M411" t="str">
        <f t="shared" si="6"/>
        <v>INSERT INTO TNL_RATING.dbo.usps_rate_master VALUES ('USPS', '2/13/2025', '2/13/2026', 12659, 'US', 'Ground Advantage', 1, 2, 'L', 6.18, 'Wedgewood_USPS_2025', 'NonCubic');</v>
      </c>
    </row>
    <row r="412" spans="1:13" x14ac:dyDescent="0.3">
      <c r="A412" t="s">
        <v>11</v>
      </c>
      <c r="B412" s="1" t="s">
        <v>44</v>
      </c>
      <c r="C412" s="1" t="s">
        <v>45</v>
      </c>
      <c r="D412">
        <v>12659</v>
      </c>
      <c r="E412" t="s">
        <v>12</v>
      </c>
      <c r="F412" t="s">
        <v>13</v>
      </c>
      <c r="G412">
        <v>1</v>
      </c>
      <c r="H412">
        <v>3</v>
      </c>
      <c r="I412" t="s">
        <v>46</v>
      </c>
      <c r="J412" cm="1">
        <f t="array" ref="J412">IFERROR(_xlfn.XLOOKUP(G412,'Wedgewood Pharm-GA-Yr2-2025'!$E$4:$L$4,
    _xlfn.XLOOKUP('Rate Load'!H412,'Wedgewood Pharm-GA-Yr2-2025'!$D$21:$D$40,
        'Wedgewood Pharm-GA-Yr2-2025'!$E$21:$L$40,0,0),0,0), "No Match")</f>
        <v>6.5299999999999994</v>
      </c>
      <c r="K412" t="s">
        <v>47</v>
      </c>
      <c r="L412" t="s">
        <v>14</v>
      </c>
      <c r="M412" t="str">
        <f t="shared" si="6"/>
        <v>INSERT INTO TNL_RATING.dbo.usps_rate_master VALUES ('USPS', '2/13/2025', '2/13/2026', 12659, 'US', 'Ground Advantage', 1, 3, 'L', 6.53, 'Wedgewood_USPS_2025', 'NonCubic');</v>
      </c>
    </row>
    <row r="413" spans="1:13" x14ac:dyDescent="0.3">
      <c r="A413" t="s">
        <v>11</v>
      </c>
      <c r="B413" s="1" t="s">
        <v>44</v>
      </c>
      <c r="C413" s="1" t="s">
        <v>45</v>
      </c>
      <c r="D413">
        <v>12659</v>
      </c>
      <c r="E413" t="s">
        <v>12</v>
      </c>
      <c r="F413" t="s">
        <v>13</v>
      </c>
      <c r="G413">
        <v>1</v>
      </c>
      <c r="H413">
        <v>4</v>
      </c>
      <c r="I413" t="s">
        <v>46</v>
      </c>
      <c r="J413" cm="1">
        <f t="array" ref="J413">IFERROR(_xlfn.XLOOKUP(G413,'Wedgewood Pharm-GA-Yr2-2025'!$E$4:$L$4,
    _xlfn.XLOOKUP('Rate Load'!H413,'Wedgewood Pharm-GA-Yr2-2025'!$D$21:$D$40,
        'Wedgewood Pharm-GA-Yr2-2025'!$E$21:$L$40,0,0),0,0), "No Match")</f>
        <v>6.72</v>
      </c>
      <c r="K413" t="s">
        <v>47</v>
      </c>
      <c r="L413" t="s">
        <v>14</v>
      </c>
      <c r="M413" t="str">
        <f t="shared" si="6"/>
        <v>INSERT INTO TNL_RATING.dbo.usps_rate_master VALUES ('USPS', '2/13/2025', '2/13/2026', 12659, 'US', 'Ground Advantage', 1, 4, 'L', 6.72, 'Wedgewood_USPS_2025', 'NonCubic');</v>
      </c>
    </row>
    <row r="414" spans="1:13" x14ac:dyDescent="0.3">
      <c r="A414" t="s">
        <v>11</v>
      </c>
      <c r="B414" s="1" t="s">
        <v>44</v>
      </c>
      <c r="C414" s="1" t="s">
        <v>45</v>
      </c>
      <c r="D414">
        <v>12659</v>
      </c>
      <c r="E414" t="s">
        <v>12</v>
      </c>
      <c r="F414" t="s">
        <v>13</v>
      </c>
      <c r="G414">
        <v>1</v>
      </c>
      <c r="H414">
        <v>5</v>
      </c>
      <c r="I414" t="s">
        <v>46</v>
      </c>
      <c r="J414" cm="1">
        <f t="array" ref="J414">IFERROR(_xlfn.XLOOKUP(G414,'Wedgewood Pharm-GA-Yr2-2025'!$E$4:$L$4,
    _xlfn.XLOOKUP('Rate Load'!H414,'Wedgewood Pharm-GA-Yr2-2025'!$D$21:$D$40,
        'Wedgewood Pharm-GA-Yr2-2025'!$E$21:$L$40,0,0),0,0), "No Match")</f>
        <v>6.87</v>
      </c>
      <c r="K414" t="s">
        <v>47</v>
      </c>
      <c r="L414" t="s">
        <v>14</v>
      </c>
      <c r="M414" t="str">
        <f t="shared" si="6"/>
        <v>INSERT INTO TNL_RATING.dbo.usps_rate_master VALUES ('USPS', '2/13/2025', '2/13/2026', 12659, 'US', 'Ground Advantage', 1, 5, 'L', 6.87, 'Wedgewood_USPS_2025', 'NonCubic');</v>
      </c>
    </row>
    <row r="415" spans="1:13" x14ac:dyDescent="0.3">
      <c r="A415" t="s">
        <v>11</v>
      </c>
      <c r="B415" s="1" t="s">
        <v>44</v>
      </c>
      <c r="C415" s="1" t="s">
        <v>45</v>
      </c>
      <c r="D415">
        <v>12659</v>
      </c>
      <c r="E415" t="s">
        <v>12</v>
      </c>
      <c r="F415" t="s">
        <v>13</v>
      </c>
      <c r="G415">
        <v>1</v>
      </c>
      <c r="H415">
        <v>6</v>
      </c>
      <c r="I415" t="s">
        <v>46</v>
      </c>
      <c r="J415" cm="1">
        <f t="array" ref="J415">IFERROR(_xlfn.XLOOKUP(G415,'Wedgewood Pharm-GA-Yr2-2025'!$E$4:$L$4,
    _xlfn.XLOOKUP('Rate Load'!H415,'Wedgewood Pharm-GA-Yr2-2025'!$D$21:$D$40,
        'Wedgewood Pharm-GA-Yr2-2025'!$E$21:$L$40,0,0),0,0), "No Match")</f>
        <v>7.01</v>
      </c>
      <c r="K415" t="s">
        <v>47</v>
      </c>
      <c r="L415" t="s">
        <v>14</v>
      </c>
      <c r="M415" t="str">
        <f t="shared" si="6"/>
        <v>INSERT INTO TNL_RATING.dbo.usps_rate_master VALUES ('USPS', '2/13/2025', '2/13/2026', 12659, 'US', 'Ground Advantage', 1, 6, 'L', 7.01, 'Wedgewood_USPS_2025', 'NonCubic');</v>
      </c>
    </row>
    <row r="416" spans="1:13" x14ac:dyDescent="0.3">
      <c r="A416" t="s">
        <v>11</v>
      </c>
      <c r="B416" s="1" t="s">
        <v>44</v>
      </c>
      <c r="C416" s="1" t="s">
        <v>45</v>
      </c>
      <c r="D416">
        <v>12659</v>
      </c>
      <c r="E416" t="s">
        <v>12</v>
      </c>
      <c r="F416" t="s">
        <v>13</v>
      </c>
      <c r="G416">
        <v>1</v>
      </c>
      <c r="H416">
        <v>7</v>
      </c>
      <c r="I416" t="s">
        <v>46</v>
      </c>
      <c r="J416" cm="1">
        <f t="array" ref="J416">IFERROR(_xlfn.XLOOKUP(G416,'Wedgewood Pharm-GA-Yr2-2025'!$E$4:$L$4,
    _xlfn.XLOOKUP('Rate Load'!H416,'Wedgewood Pharm-GA-Yr2-2025'!$D$21:$D$40,
        'Wedgewood Pharm-GA-Yr2-2025'!$E$21:$L$40,0,0),0,0), "No Match")</f>
        <v>7.33</v>
      </c>
      <c r="K416" t="s">
        <v>47</v>
      </c>
      <c r="L416" t="s">
        <v>14</v>
      </c>
      <c r="M416" t="str">
        <f t="shared" si="6"/>
        <v>INSERT INTO TNL_RATING.dbo.usps_rate_master VALUES ('USPS', '2/13/2025', '2/13/2026', 12659, 'US', 'Ground Advantage', 1, 7, 'L', 7.33, 'Wedgewood_USPS_2025', 'NonCubic');</v>
      </c>
    </row>
    <row r="417" spans="1:13" x14ac:dyDescent="0.3">
      <c r="A417" t="s">
        <v>11</v>
      </c>
      <c r="B417" s="1" t="s">
        <v>44</v>
      </c>
      <c r="C417" s="1" t="s">
        <v>45</v>
      </c>
      <c r="D417">
        <v>12659</v>
      </c>
      <c r="E417" t="s">
        <v>12</v>
      </c>
      <c r="F417" t="s">
        <v>13</v>
      </c>
      <c r="G417">
        <v>1</v>
      </c>
      <c r="H417">
        <v>8</v>
      </c>
      <c r="I417" t="s">
        <v>46</v>
      </c>
      <c r="J417" cm="1">
        <f t="array" ref="J417">IFERROR(_xlfn.XLOOKUP(G417,'Wedgewood Pharm-GA-Yr2-2025'!$E$4:$L$4,
    _xlfn.XLOOKUP('Rate Load'!H417,'Wedgewood Pharm-GA-Yr2-2025'!$D$21:$D$40,
        'Wedgewood Pharm-GA-Yr2-2025'!$E$21:$L$40,0,0),0,0), "No Match")</f>
        <v>7.47</v>
      </c>
      <c r="K417" t="s">
        <v>47</v>
      </c>
      <c r="L417" t="s">
        <v>14</v>
      </c>
      <c r="M417" t="str">
        <f t="shared" si="6"/>
        <v>INSERT INTO TNL_RATING.dbo.usps_rate_master VALUES ('USPS', '2/13/2025', '2/13/2026', 12659, 'US', 'Ground Advantage', 1, 8, 'L', 7.47, 'Wedgewood_USPS_2025', 'NonCubic');</v>
      </c>
    </row>
    <row r="418" spans="1:13" x14ac:dyDescent="0.3">
      <c r="A418" t="s">
        <v>11</v>
      </c>
      <c r="B418" s="1" t="s">
        <v>44</v>
      </c>
      <c r="C418" s="1" t="s">
        <v>45</v>
      </c>
      <c r="D418">
        <v>12659</v>
      </c>
      <c r="E418" t="s">
        <v>12</v>
      </c>
      <c r="F418" t="s">
        <v>13</v>
      </c>
      <c r="G418">
        <v>1</v>
      </c>
      <c r="H418">
        <v>9</v>
      </c>
      <c r="I418" t="s">
        <v>46</v>
      </c>
      <c r="J418" cm="1">
        <f t="array" ref="J418">IFERROR(_xlfn.XLOOKUP(G418,'Wedgewood Pharm-GA-Yr2-2025'!$E$4:$L$4,
    _xlfn.XLOOKUP('Rate Load'!H418,'Wedgewood Pharm-GA-Yr2-2025'!$D$21:$D$40,
        'Wedgewood Pharm-GA-Yr2-2025'!$E$21:$L$40,0,0),0,0), "No Match")</f>
        <v>7.91</v>
      </c>
      <c r="K418" t="s">
        <v>47</v>
      </c>
      <c r="L418" t="s">
        <v>14</v>
      </c>
      <c r="M418" t="str">
        <f t="shared" si="6"/>
        <v>INSERT INTO TNL_RATING.dbo.usps_rate_master VALUES ('USPS', '2/13/2025', '2/13/2026', 12659, 'US', 'Ground Advantage', 1, 9, 'L', 7.91, 'Wedgewood_USPS_2025', 'NonCubic');</v>
      </c>
    </row>
    <row r="419" spans="1:13" x14ac:dyDescent="0.3">
      <c r="A419" t="s">
        <v>11</v>
      </c>
      <c r="B419" s="1" t="s">
        <v>44</v>
      </c>
      <c r="C419" s="1" t="s">
        <v>45</v>
      </c>
      <c r="D419">
        <v>12659</v>
      </c>
      <c r="E419" t="s">
        <v>12</v>
      </c>
      <c r="F419" t="s">
        <v>13</v>
      </c>
      <c r="G419">
        <v>1</v>
      </c>
      <c r="H419">
        <v>10</v>
      </c>
      <c r="I419" t="s">
        <v>46</v>
      </c>
      <c r="J419" cm="1">
        <f t="array" ref="J419">IFERROR(_xlfn.XLOOKUP(G419,'Wedgewood Pharm-GA-Yr2-2025'!$E$4:$L$4,
    _xlfn.XLOOKUP('Rate Load'!H419,'Wedgewood Pharm-GA-Yr2-2025'!$D$21:$D$40,
        'Wedgewood Pharm-GA-Yr2-2025'!$E$21:$L$40,0,0),0,0), "No Match")</f>
        <v>8.19</v>
      </c>
      <c r="K419" t="s">
        <v>47</v>
      </c>
      <c r="L419" t="s">
        <v>14</v>
      </c>
      <c r="M419" t="str">
        <f t="shared" si="6"/>
        <v>INSERT INTO TNL_RATING.dbo.usps_rate_master VALUES ('USPS', '2/13/2025', '2/13/2026', 12659, 'US', 'Ground Advantage', 1, 10, 'L', 8.19, 'Wedgewood_USPS_2025', 'NonCubic');</v>
      </c>
    </row>
    <row r="420" spans="1:13" x14ac:dyDescent="0.3">
      <c r="A420" t="s">
        <v>11</v>
      </c>
      <c r="B420" s="1" t="s">
        <v>44</v>
      </c>
      <c r="C420" s="1" t="s">
        <v>45</v>
      </c>
      <c r="D420">
        <v>12659</v>
      </c>
      <c r="E420" t="s">
        <v>12</v>
      </c>
      <c r="F420" t="s">
        <v>13</v>
      </c>
      <c r="G420">
        <v>1</v>
      </c>
      <c r="H420">
        <v>11</v>
      </c>
      <c r="I420" t="s">
        <v>46</v>
      </c>
      <c r="J420" cm="1">
        <f t="array" ref="J420">IFERROR(_xlfn.XLOOKUP(G420,'Wedgewood Pharm-GA-Yr2-2025'!$E$4:$L$4,
    _xlfn.XLOOKUP('Rate Load'!H420,'Wedgewood Pharm-GA-Yr2-2025'!$D$21:$D$40,
        'Wedgewood Pharm-GA-Yr2-2025'!$E$21:$L$40,0,0),0,0), "No Match")</f>
        <v>9.14</v>
      </c>
      <c r="K420" t="s">
        <v>47</v>
      </c>
      <c r="L420" t="s">
        <v>14</v>
      </c>
      <c r="M420" t="str">
        <f t="shared" si="6"/>
        <v>INSERT INTO TNL_RATING.dbo.usps_rate_master VALUES ('USPS', '2/13/2025', '2/13/2026', 12659, 'US', 'Ground Advantage', 1, 11, 'L', 9.14, 'Wedgewood_USPS_2025', 'NonCubic');</v>
      </c>
    </row>
    <row r="421" spans="1:13" x14ac:dyDescent="0.3">
      <c r="A421" t="s">
        <v>11</v>
      </c>
      <c r="B421" s="1" t="s">
        <v>44</v>
      </c>
      <c r="C421" s="1" t="s">
        <v>45</v>
      </c>
      <c r="D421">
        <v>12659</v>
      </c>
      <c r="E421" t="s">
        <v>12</v>
      </c>
      <c r="F421" t="s">
        <v>13</v>
      </c>
      <c r="G421">
        <v>1</v>
      </c>
      <c r="H421">
        <v>12</v>
      </c>
      <c r="I421" t="s">
        <v>46</v>
      </c>
      <c r="J421" cm="1">
        <f t="array" ref="J421">IFERROR(_xlfn.XLOOKUP(G421,'Wedgewood Pharm-GA-Yr2-2025'!$E$4:$L$4,
    _xlfn.XLOOKUP('Rate Load'!H421,'Wedgewood Pharm-GA-Yr2-2025'!$D$21:$D$40,
        'Wedgewood Pharm-GA-Yr2-2025'!$E$21:$L$40,0,0),0,0), "No Match")</f>
        <v>9.52</v>
      </c>
      <c r="K421" t="s">
        <v>47</v>
      </c>
      <c r="L421" t="s">
        <v>14</v>
      </c>
      <c r="M421" t="str">
        <f t="shared" si="6"/>
        <v>INSERT INTO TNL_RATING.dbo.usps_rate_master VALUES ('USPS', '2/13/2025', '2/13/2026', 12659, 'US', 'Ground Advantage', 1, 12, 'L', 9.52, 'Wedgewood_USPS_2025', 'NonCubic');</v>
      </c>
    </row>
    <row r="422" spans="1:13" x14ac:dyDescent="0.3">
      <c r="A422" t="s">
        <v>11</v>
      </c>
      <c r="B422" s="1" t="s">
        <v>44</v>
      </c>
      <c r="C422" s="1" t="s">
        <v>45</v>
      </c>
      <c r="D422">
        <v>12659</v>
      </c>
      <c r="E422" t="s">
        <v>12</v>
      </c>
      <c r="F422" t="s">
        <v>13</v>
      </c>
      <c r="G422">
        <v>1</v>
      </c>
      <c r="H422">
        <v>13</v>
      </c>
      <c r="I422" t="s">
        <v>46</v>
      </c>
      <c r="J422" cm="1">
        <f t="array" ref="J422">IFERROR(_xlfn.XLOOKUP(G422,'Wedgewood Pharm-GA-Yr2-2025'!$E$4:$L$4,
    _xlfn.XLOOKUP('Rate Load'!H422,'Wedgewood Pharm-GA-Yr2-2025'!$D$21:$D$40,
        'Wedgewood Pharm-GA-Yr2-2025'!$E$21:$L$40,0,0),0,0), "No Match")</f>
        <v>9.7999999999999989</v>
      </c>
      <c r="K422" t="s">
        <v>47</v>
      </c>
      <c r="L422" t="s">
        <v>14</v>
      </c>
      <c r="M422" t="str">
        <f t="shared" si="6"/>
        <v>INSERT INTO TNL_RATING.dbo.usps_rate_master VALUES ('USPS', '2/13/2025', '2/13/2026', 12659, 'US', 'Ground Advantage', 1, 13, 'L', 9.8, 'Wedgewood_USPS_2025', 'NonCubic');</v>
      </c>
    </row>
    <row r="423" spans="1:13" x14ac:dyDescent="0.3">
      <c r="A423" t="s">
        <v>11</v>
      </c>
      <c r="B423" s="1" t="s">
        <v>44</v>
      </c>
      <c r="C423" s="1" t="s">
        <v>45</v>
      </c>
      <c r="D423">
        <v>12659</v>
      </c>
      <c r="E423" t="s">
        <v>12</v>
      </c>
      <c r="F423" t="s">
        <v>13</v>
      </c>
      <c r="G423">
        <v>1</v>
      </c>
      <c r="H423">
        <v>14</v>
      </c>
      <c r="I423" t="s">
        <v>46</v>
      </c>
      <c r="J423" cm="1">
        <f t="array" ref="J423">IFERROR(_xlfn.XLOOKUP(G423,'Wedgewood Pharm-GA-Yr2-2025'!$E$4:$L$4,
    _xlfn.XLOOKUP('Rate Load'!H423,'Wedgewood Pharm-GA-Yr2-2025'!$D$21:$D$40,
        'Wedgewood Pharm-GA-Yr2-2025'!$E$21:$L$40,0,0),0,0), "No Match")</f>
        <v>10.11</v>
      </c>
      <c r="K423" t="s">
        <v>47</v>
      </c>
      <c r="L423" t="s">
        <v>14</v>
      </c>
      <c r="M423" t="str">
        <f t="shared" si="6"/>
        <v>INSERT INTO TNL_RATING.dbo.usps_rate_master VALUES ('USPS', '2/13/2025', '2/13/2026', 12659, 'US', 'Ground Advantage', 1, 14, 'L', 10.11, 'Wedgewood_USPS_2025', 'NonCubic');</v>
      </c>
    </row>
    <row r="424" spans="1:13" x14ac:dyDescent="0.3">
      <c r="A424" t="s">
        <v>11</v>
      </c>
      <c r="B424" s="1" t="s">
        <v>44</v>
      </c>
      <c r="C424" s="1" t="s">
        <v>45</v>
      </c>
      <c r="D424">
        <v>12659</v>
      </c>
      <c r="E424" t="s">
        <v>12</v>
      </c>
      <c r="F424" t="s">
        <v>13</v>
      </c>
      <c r="G424">
        <v>1</v>
      </c>
      <c r="H424">
        <v>15</v>
      </c>
      <c r="I424" t="s">
        <v>46</v>
      </c>
      <c r="J424" cm="1">
        <f t="array" ref="J424">IFERROR(_xlfn.XLOOKUP(G424,'Wedgewood Pharm-GA-Yr2-2025'!$E$4:$L$4,
    _xlfn.XLOOKUP('Rate Load'!H424,'Wedgewood Pharm-GA-Yr2-2025'!$D$21:$D$40,
        'Wedgewood Pharm-GA-Yr2-2025'!$E$21:$L$40,0,0),0,0), "No Match")</f>
        <v>10.31</v>
      </c>
      <c r="K424" t="s">
        <v>47</v>
      </c>
      <c r="L424" t="s">
        <v>14</v>
      </c>
      <c r="M424" t="str">
        <f t="shared" si="6"/>
        <v>INSERT INTO TNL_RATING.dbo.usps_rate_master VALUES ('USPS', '2/13/2025', '2/13/2026', 12659, 'US', 'Ground Advantage', 1, 15, 'L', 10.31, 'Wedgewood_USPS_2025', 'NonCubic');</v>
      </c>
    </row>
    <row r="425" spans="1:13" x14ac:dyDescent="0.3">
      <c r="A425" t="s">
        <v>11</v>
      </c>
      <c r="B425" s="1" t="s">
        <v>44</v>
      </c>
      <c r="C425" s="1" t="s">
        <v>45</v>
      </c>
      <c r="D425">
        <v>12659</v>
      </c>
      <c r="E425" t="s">
        <v>12</v>
      </c>
      <c r="F425" t="s">
        <v>13</v>
      </c>
      <c r="G425">
        <v>1</v>
      </c>
      <c r="H425">
        <v>16</v>
      </c>
      <c r="I425" t="s">
        <v>46</v>
      </c>
      <c r="J425" cm="1">
        <f t="array" ref="J425">IFERROR(_xlfn.XLOOKUP(G425,'Wedgewood Pharm-GA-Yr2-2025'!$E$4:$L$4,
    _xlfn.XLOOKUP('Rate Load'!H425,'Wedgewood Pharm-GA-Yr2-2025'!$D$21:$D$40,
        'Wedgewood Pharm-GA-Yr2-2025'!$E$21:$L$40,0,0),0,0), "No Match")</f>
        <v>10.59</v>
      </c>
      <c r="K425" t="s">
        <v>47</v>
      </c>
      <c r="L425" t="s">
        <v>14</v>
      </c>
      <c r="M425" t="str">
        <f t="shared" si="6"/>
        <v>INSERT INTO TNL_RATING.dbo.usps_rate_master VALUES ('USPS', '2/13/2025', '2/13/2026', 12659, 'US', 'Ground Advantage', 1, 16, 'L', 10.59, 'Wedgewood_USPS_2025', 'NonCubic');</v>
      </c>
    </row>
    <row r="426" spans="1:13" x14ac:dyDescent="0.3">
      <c r="A426" t="s">
        <v>11</v>
      </c>
      <c r="B426" s="1" t="s">
        <v>44</v>
      </c>
      <c r="C426" s="1" t="s">
        <v>45</v>
      </c>
      <c r="D426">
        <v>12659</v>
      </c>
      <c r="E426" t="s">
        <v>12</v>
      </c>
      <c r="F426" t="s">
        <v>13</v>
      </c>
      <c r="G426">
        <v>1</v>
      </c>
      <c r="H426">
        <v>17</v>
      </c>
      <c r="I426" t="s">
        <v>46</v>
      </c>
      <c r="J426" cm="1">
        <f t="array" ref="J426">IFERROR(_xlfn.XLOOKUP(G426,'Wedgewood Pharm-GA-Yr2-2025'!$E$4:$L$4,
    _xlfn.XLOOKUP('Rate Load'!H426,'Wedgewood Pharm-GA-Yr2-2025'!$D$21:$D$40,
        'Wedgewood Pharm-GA-Yr2-2025'!$E$21:$L$40,0,0),0,0), "No Match")</f>
        <v>10.86</v>
      </c>
      <c r="K426" t="s">
        <v>47</v>
      </c>
      <c r="L426" t="s">
        <v>14</v>
      </c>
      <c r="M426" t="str">
        <f t="shared" si="6"/>
        <v>INSERT INTO TNL_RATING.dbo.usps_rate_master VALUES ('USPS', '2/13/2025', '2/13/2026', 12659, 'US', 'Ground Advantage', 1, 17, 'L', 10.86, 'Wedgewood_USPS_2025', 'NonCubic');</v>
      </c>
    </row>
    <row r="427" spans="1:13" x14ac:dyDescent="0.3">
      <c r="A427" t="s">
        <v>11</v>
      </c>
      <c r="B427" s="1" t="s">
        <v>44</v>
      </c>
      <c r="C427" s="1" t="s">
        <v>45</v>
      </c>
      <c r="D427">
        <v>12659</v>
      </c>
      <c r="E427" t="s">
        <v>12</v>
      </c>
      <c r="F427" t="s">
        <v>13</v>
      </c>
      <c r="G427">
        <v>1</v>
      </c>
      <c r="H427">
        <v>18</v>
      </c>
      <c r="I427" t="s">
        <v>46</v>
      </c>
      <c r="J427" cm="1">
        <f t="array" ref="J427">IFERROR(_xlfn.XLOOKUP(G427,'Wedgewood Pharm-GA-Yr2-2025'!$E$4:$L$4,
    _xlfn.XLOOKUP('Rate Load'!H427,'Wedgewood Pharm-GA-Yr2-2025'!$D$21:$D$40,
        'Wedgewood Pharm-GA-Yr2-2025'!$E$21:$L$40,0,0),0,0), "No Match")</f>
        <v>11</v>
      </c>
      <c r="K427" t="s">
        <v>47</v>
      </c>
      <c r="L427" t="s">
        <v>14</v>
      </c>
      <c r="M427" t="str">
        <f t="shared" si="6"/>
        <v>INSERT INTO TNL_RATING.dbo.usps_rate_master VALUES ('USPS', '2/13/2025', '2/13/2026', 12659, 'US', 'Ground Advantage', 1, 18, 'L', 11, 'Wedgewood_USPS_2025', 'NonCubic');</v>
      </c>
    </row>
    <row r="428" spans="1:13" x14ac:dyDescent="0.3">
      <c r="A428" t="s">
        <v>11</v>
      </c>
      <c r="B428" s="1" t="s">
        <v>44</v>
      </c>
      <c r="C428" s="1" t="s">
        <v>45</v>
      </c>
      <c r="D428">
        <v>12659</v>
      </c>
      <c r="E428" t="s">
        <v>12</v>
      </c>
      <c r="F428" t="s">
        <v>13</v>
      </c>
      <c r="G428">
        <v>1</v>
      </c>
      <c r="H428">
        <v>19</v>
      </c>
      <c r="I428" t="s">
        <v>46</v>
      </c>
      <c r="J428" cm="1">
        <f t="array" ref="J428">IFERROR(_xlfn.XLOOKUP(G428,'Wedgewood Pharm-GA-Yr2-2025'!$E$4:$L$4,
    _xlfn.XLOOKUP('Rate Load'!H428,'Wedgewood Pharm-GA-Yr2-2025'!$D$21:$D$40,
        'Wedgewood Pharm-GA-Yr2-2025'!$E$21:$L$40,0,0),0,0), "No Match")</f>
        <v>11.299999999999999</v>
      </c>
      <c r="K428" t="s">
        <v>47</v>
      </c>
      <c r="L428" t="s">
        <v>14</v>
      </c>
      <c r="M428" t="str">
        <f t="shared" si="6"/>
        <v>INSERT INTO TNL_RATING.dbo.usps_rate_master VALUES ('USPS', '2/13/2025', '2/13/2026', 12659, 'US', 'Ground Advantage', 1, 19, 'L', 11.3, 'Wedgewood_USPS_2025', 'NonCubic');</v>
      </c>
    </row>
    <row r="429" spans="1:13" x14ac:dyDescent="0.3">
      <c r="A429" t="s">
        <v>11</v>
      </c>
      <c r="B429" s="1" t="s">
        <v>44</v>
      </c>
      <c r="C429" s="1" t="s">
        <v>45</v>
      </c>
      <c r="D429">
        <v>12659</v>
      </c>
      <c r="E429" t="s">
        <v>12</v>
      </c>
      <c r="F429" t="s">
        <v>13</v>
      </c>
      <c r="G429">
        <v>1</v>
      </c>
      <c r="H429">
        <v>20</v>
      </c>
      <c r="I429" t="s">
        <v>46</v>
      </c>
      <c r="J429" cm="1">
        <f t="array" ref="J429">IFERROR(_xlfn.XLOOKUP(G429,'Wedgewood Pharm-GA-Yr2-2025'!$E$4:$L$4,
    _xlfn.XLOOKUP('Rate Load'!H429,'Wedgewood Pharm-GA-Yr2-2025'!$D$21:$D$40,
        'Wedgewood Pharm-GA-Yr2-2025'!$E$21:$L$40,0,0),0,0), "No Match")</f>
        <v>11.52</v>
      </c>
      <c r="K429" t="s">
        <v>47</v>
      </c>
      <c r="L429" t="s">
        <v>14</v>
      </c>
      <c r="M429" t="str">
        <f t="shared" si="6"/>
        <v>INSERT INTO TNL_RATING.dbo.usps_rate_master VALUES ('USPS', '2/13/2025', '2/13/2026', 12659, 'US', 'Ground Advantage', 1, 20, 'L', 11.52, 'Wedgewood_USPS_2025', 'NonCubic');</v>
      </c>
    </row>
    <row r="430" spans="1:13" x14ac:dyDescent="0.3">
      <c r="A430" t="s">
        <v>11</v>
      </c>
      <c r="B430" s="1" t="s">
        <v>44</v>
      </c>
      <c r="C430" s="1" t="s">
        <v>45</v>
      </c>
      <c r="D430">
        <v>12659</v>
      </c>
      <c r="E430" t="s">
        <v>12</v>
      </c>
      <c r="F430" t="s">
        <v>13</v>
      </c>
      <c r="G430">
        <v>2</v>
      </c>
      <c r="H430">
        <v>1</v>
      </c>
      <c r="I430" t="s">
        <v>46</v>
      </c>
      <c r="J430" cm="1">
        <f t="array" ref="J430">IFERROR(_xlfn.XLOOKUP(G430,'Wedgewood Pharm-GA-Yr2-2025'!$E$4:$L$4,
    _xlfn.XLOOKUP('Rate Load'!H430,'Wedgewood Pharm-GA-Yr2-2025'!$D$21:$D$40,
        'Wedgewood Pharm-GA-Yr2-2025'!$E$21:$L$40,0,0),0,0), "No Match")</f>
        <v>6.18</v>
      </c>
      <c r="K430" t="s">
        <v>47</v>
      </c>
      <c r="L430" t="s">
        <v>14</v>
      </c>
      <c r="M430" t="str">
        <f t="shared" si="6"/>
        <v>INSERT INTO TNL_RATING.dbo.usps_rate_master VALUES ('USPS', '2/13/2025', '2/13/2026', 12659, 'US', 'Ground Advantage', 2, 1, 'L', 6.18, 'Wedgewood_USPS_2025', 'NonCubic');</v>
      </c>
    </row>
    <row r="431" spans="1:13" x14ac:dyDescent="0.3">
      <c r="A431" t="s">
        <v>11</v>
      </c>
      <c r="B431" s="1" t="s">
        <v>44</v>
      </c>
      <c r="C431" s="1" t="s">
        <v>45</v>
      </c>
      <c r="D431">
        <v>12659</v>
      </c>
      <c r="E431" t="s">
        <v>12</v>
      </c>
      <c r="F431" t="s">
        <v>13</v>
      </c>
      <c r="G431">
        <v>2</v>
      </c>
      <c r="H431">
        <v>2</v>
      </c>
      <c r="I431" t="s">
        <v>46</v>
      </c>
      <c r="J431" cm="1">
        <f t="array" ref="J431">IFERROR(_xlfn.XLOOKUP(G431,'Wedgewood Pharm-GA-Yr2-2025'!$E$4:$L$4,
    _xlfn.XLOOKUP('Rate Load'!H431,'Wedgewood Pharm-GA-Yr2-2025'!$D$21:$D$40,
        'Wedgewood Pharm-GA-Yr2-2025'!$E$21:$L$40,0,0),0,0), "No Match")</f>
        <v>6.34</v>
      </c>
      <c r="K431" t="s">
        <v>47</v>
      </c>
      <c r="L431" t="s">
        <v>14</v>
      </c>
      <c r="M431" t="str">
        <f t="shared" si="6"/>
        <v>INSERT INTO TNL_RATING.dbo.usps_rate_master VALUES ('USPS', '2/13/2025', '2/13/2026', 12659, 'US', 'Ground Advantage', 2, 2, 'L', 6.34, 'Wedgewood_USPS_2025', 'NonCubic');</v>
      </c>
    </row>
    <row r="432" spans="1:13" x14ac:dyDescent="0.3">
      <c r="A432" t="s">
        <v>11</v>
      </c>
      <c r="B432" s="1" t="s">
        <v>44</v>
      </c>
      <c r="C432" s="1" t="s">
        <v>45</v>
      </c>
      <c r="D432">
        <v>12659</v>
      </c>
      <c r="E432" t="s">
        <v>12</v>
      </c>
      <c r="F432" t="s">
        <v>13</v>
      </c>
      <c r="G432">
        <v>2</v>
      </c>
      <c r="H432">
        <v>3</v>
      </c>
      <c r="I432" t="s">
        <v>46</v>
      </c>
      <c r="J432" cm="1">
        <f t="array" ref="J432">IFERROR(_xlfn.XLOOKUP(G432,'Wedgewood Pharm-GA-Yr2-2025'!$E$4:$L$4,
    _xlfn.XLOOKUP('Rate Load'!H432,'Wedgewood Pharm-GA-Yr2-2025'!$D$21:$D$40,
        'Wedgewood Pharm-GA-Yr2-2025'!$E$21:$L$40,0,0),0,0), "No Match")</f>
        <v>6.77</v>
      </c>
      <c r="K432" t="s">
        <v>47</v>
      </c>
      <c r="L432" t="s">
        <v>14</v>
      </c>
      <c r="M432" t="str">
        <f t="shared" si="6"/>
        <v>INSERT INTO TNL_RATING.dbo.usps_rate_master VALUES ('USPS', '2/13/2025', '2/13/2026', 12659, 'US', 'Ground Advantage', 2, 3, 'L', 6.77, 'Wedgewood_USPS_2025', 'NonCubic');</v>
      </c>
    </row>
    <row r="433" spans="1:13" x14ac:dyDescent="0.3">
      <c r="A433" t="s">
        <v>11</v>
      </c>
      <c r="B433" s="1" t="s">
        <v>44</v>
      </c>
      <c r="C433" s="1" t="s">
        <v>45</v>
      </c>
      <c r="D433">
        <v>12659</v>
      </c>
      <c r="E433" t="s">
        <v>12</v>
      </c>
      <c r="F433" t="s">
        <v>13</v>
      </c>
      <c r="G433">
        <v>2</v>
      </c>
      <c r="H433">
        <v>4</v>
      </c>
      <c r="I433" t="s">
        <v>46</v>
      </c>
      <c r="J433" cm="1">
        <f t="array" ref="J433">IFERROR(_xlfn.XLOOKUP(G433,'Wedgewood Pharm-GA-Yr2-2025'!$E$4:$L$4,
    _xlfn.XLOOKUP('Rate Load'!H433,'Wedgewood Pharm-GA-Yr2-2025'!$D$21:$D$40,
        'Wedgewood Pharm-GA-Yr2-2025'!$E$21:$L$40,0,0),0,0), "No Match")</f>
        <v>6.97</v>
      </c>
      <c r="K433" t="s">
        <v>47</v>
      </c>
      <c r="L433" t="s">
        <v>14</v>
      </c>
      <c r="M433" t="str">
        <f t="shared" si="6"/>
        <v>INSERT INTO TNL_RATING.dbo.usps_rate_master VALUES ('USPS', '2/13/2025', '2/13/2026', 12659, 'US', 'Ground Advantage', 2, 4, 'L', 6.97, 'Wedgewood_USPS_2025', 'NonCubic');</v>
      </c>
    </row>
    <row r="434" spans="1:13" x14ac:dyDescent="0.3">
      <c r="A434" t="s">
        <v>11</v>
      </c>
      <c r="B434" s="1" t="s">
        <v>44</v>
      </c>
      <c r="C434" s="1" t="s">
        <v>45</v>
      </c>
      <c r="D434">
        <v>12659</v>
      </c>
      <c r="E434" t="s">
        <v>12</v>
      </c>
      <c r="F434" t="s">
        <v>13</v>
      </c>
      <c r="G434">
        <v>2</v>
      </c>
      <c r="H434">
        <v>5</v>
      </c>
      <c r="I434" t="s">
        <v>46</v>
      </c>
      <c r="J434" cm="1">
        <f t="array" ref="J434">IFERROR(_xlfn.XLOOKUP(G434,'Wedgewood Pharm-GA-Yr2-2025'!$E$4:$L$4,
    _xlfn.XLOOKUP('Rate Load'!H434,'Wedgewood Pharm-GA-Yr2-2025'!$D$21:$D$40,
        'Wedgewood Pharm-GA-Yr2-2025'!$E$21:$L$40,0,0),0,0), "No Match")</f>
        <v>7.13</v>
      </c>
      <c r="K434" t="s">
        <v>47</v>
      </c>
      <c r="L434" t="s">
        <v>14</v>
      </c>
      <c r="M434" t="str">
        <f t="shared" si="6"/>
        <v>INSERT INTO TNL_RATING.dbo.usps_rate_master VALUES ('USPS', '2/13/2025', '2/13/2026', 12659, 'US', 'Ground Advantage', 2, 5, 'L', 7.13, 'Wedgewood_USPS_2025', 'NonCubic');</v>
      </c>
    </row>
    <row r="435" spans="1:13" x14ac:dyDescent="0.3">
      <c r="A435" t="s">
        <v>11</v>
      </c>
      <c r="B435" s="1" t="s">
        <v>44</v>
      </c>
      <c r="C435" s="1" t="s">
        <v>45</v>
      </c>
      <c r="D435">
        <v>12659</v>
      </c>
      <c r="E435" t="s">
        <v>12</v>
      </c>
      <c r="F435" t="s">
        <v>13</v>
      </c>
      <c r="G435">
        <v>2</v>
      </c>
      <c r="H435">
        <v>6</v>
      </c>
      <c r="I435" t="s">
        <v>46</v>
      </c>
      <c r="J435" cm="1">
        <f t="array" ref="J435">IFERROR(_xlfn.XLOOKUP(G435,'Wedgewood Pharm-GA-Yr2-2025'!$E$4:$L$4,
    _xlfn.XLOOKUP('Rate Load'!H435,'Wedgewood Pharm-GA-Yr2-2025'!$D$21:$D$40,
        'Wedgewood Pharm-GA-Yr2-2025'!$E$21:$L$40,0,0),0,0), "No Match")</f>
        <v>7.24</v>
      </c>
      <c r="K435" t="s">
        <v>47</v>
      </c>
      <c r="L435" t="s">
        <v>14</v>
      </c>
      <c r="M435" t="str">
        <f t="shared" si="6"/>
        <v>INSERT INTO TNL_RATING.dbo.usps_rate_master VALUES ('USPS', '2/13/2025', '2/13/2026', 12659, 'US', 'Ground Advantage', 2, 6, 'L', 7.24, 'Wedgewood_USPS_2025', 'NonCubic');</v>
      </c>
    </row>
    <row r="436" spans="1:13" x14ac:dyDescent="0.3">
      <c r="A436" t="s">
        <v>11</v>
      </c>
      <c r="B436" s="1" t="s">
        <v>44</v>
      </c>
      <c r="C436" s="1" t="s">
        <v>45</v>
      </c>
      <c r="D436">
        <v>12659</v>
      </c>
      <c r="E436" t="s">
        <v>12</v>
      </c>
      <c r="F436" t="s">
        <v>13</v>
      </c>
      <c r="G436">
        <v>2</v>
      </c>
      <c r="H436">
        <v>7</v>
      </c>
      <c r="I436" t="s">
        <v>46</v>
      </c>
      <c r="J436" cm="1">
        <f t="array" ref="J436">IFERROR(_xlfn.XLOOKUP(G436,'Wedgewood Pharm-GA-Yr2-2025'!$E$4:$L$4,
    _xlfn.XLOOKUP('Rate Load'!H436,'Wedgewood Pharm-GA-Yr2-2025'!$D$21:$D$40,
        'Wedgewood Pharm-GA-Yr2-2025'!$E$21:$L$40,0,0),0,0), "No Match")</f>
        <v>7.5699999999999994</v>
      </c>
      <c r="K436" t="s">
        <v>47</v>
      </c>
      <c r="L436" t="s">
        <v>14</v>
      </c>
      <c r="M436" t="str">
        <f t="shared" si="6"/>
        <v>INSERT INTO TNL_RATING.dbo.usps_rate_master VALUES ('USPS', '2/13/2025', '2/13/2026', 12659, 'US', 'Ground Advantage', 2, 7, 'L', 7.57, 'Wedgewood_USPS_2025', 'NonCubic');</v>
      </c>
    </row>
    <row r="437" spans="1:13" x14ac:dyDescent="0.3">
      <c r="A437" t="s">
        <v>11</v>
      </c>
      <c r="B437" s="1" t="s">
        <v>44</v>
      </c>
      <c r="C437" s="1" t="s">
        <v>45</v>
      </c>
      <c r="D437">
        <v>12659</v>
      </c>
      <c r="E437" t="s">
        <v>12</v>
      </c>
      <c r="F437" t="s">
        <v>13</v>
      </c>
      <c r="G437">
        <v>2</v>
      </c>
      <c r="H437">
        <v>8</v>
      </c>
      <c r="I437" t="s">
        <v>46</v>
      </c>
      <c r="J437" cm="1">
        <f t="array" ref="J437">IFERROR(_xlfn.XLOOKUP(G437,'Wedgewood Pharm-GA-Yr2-2025'!$E$4:$L$4,
    _xlfn.XLOOKUP('Rate Load'!H437,'Wedgewood Pharm-GA-Yr2-2025'!$D$21:$D$40,
        'Wedgewood Pharm-GA-Yr2-2025'!$E$21:$L$40,0,0),0,0), "No Match")</f>
        <v>7.71</v>
      </c>
      <c r="K437" t="s">
        <v>47</v>
      </c>
      <c r="L437" t="s">
        <v>14</v>
      </c>
      <c r="M437" t="str">
        <f t="shared" si="6"/>
        <v>INSERT INTO TNL_RATING.dbo.usps_rate_master VALUES ('USPS', '2/13/2025', '2/13/2026', 12659, 'US', 'Ground Advantage', 2, 8, 'L', 7.71, 'Wedgewood_USPS_2025', 'NonCubic');</v>
      </c>
    </row>
    <row r="438" spans="1:13" x14ac:dyDescent="0.3">
      <c r="A438" t="s">
        <v>11</v>
      </c>
      <c r="B438" s="1" t="s">
        <v>44</v>
      </c>
      <c r="C438" s="1" t="s">
        <v>45</v>
      </c>
      <c r="D438">
        <v>12659</v>
      </c>
      <c r="E438" t="s">
        <v>12</v>
      </c>
      <c r="F438" t="s">
        <v>13</v>
      </c>
      <c r="G438">
        <v>2</v>
      </c>
      <c r="H438">
        <v>9</v>
      </c>
      <c r="I438" t="s">
        <v>46</v>
      </c>
      <c r="J438" cm="1">
        <f t="array" ref="J438">IFERROR(_xlfn.XLOOKUP(G438,'Wedgewood Pharm-GA-Yr2-2025'!$E$4:$L$4,
    _xlfn.XLOOKUP('Rate Load'!H438,'Wedgewood Pharm-GA-Yr2-2025'!$D$21:$D$40,
        'Wedgewood Pharm-GA-Yr2-2025'!$E$21:$L$40,0,0),0,0), "No Match")</f>
        <v>8.18</v>
      </c>
      <c r="K438" t="s">
        <v>47</v>
      </c>
      <c r="L438" t="s">
        <v>14</v>
      </c>
      <c r="M438" t="str">
        <f t="shared" si="6"/>
        <v>INSERT INTO TNL_RATING.dbo.usps_rate_master VALUES ('USPS', '2/13/2025', '2/13/2026', 12659, 'US', 'Ground Advantage', 2, 9, 'L', 8.18, 'Wedgewood_USPS_2025', 'NonCubic');</v>
      </c>
    </row>
    <row r="439" spans="1:13" x14ac:dyDescent="0.3">
      <c r="A439" t="s">
        <v>11</v>
      </c>
      <c r="B439" s="1" t="s">
        <v>44</v>
      </c>
      <c r="C439" s="1" t="s">
        <v>45</v>
      </c>
      <c r="D439">
        <v>12659</v>
      </c>
      <c r="E439" t="s">
        <v>12</v>
      </c>
      <c r="F439" t="s">
        <v>13</v>
      </c>
      <c r="G439">
        <v>2</v>
      </c>
      <c r="H439">
        <v>10</v>
      </c>
      <c r="I439" t="s">
        <v>46</v>
      </c>
      <c r="J439" cm="1">
        <f t="array" ref="J439">IFERROR(_xlfn.XLOOKUP(G439,'Wedgewood Pharm-GA-Yr2-2025'!$E$4:$L$4,
    _xlfn.XLOOKUP('Rate Load'!H439,'Wedgewood Pharm-GA-Yr2-2025'!$D$21:$D$40,
        'Wedgewood Pharm-GA-Yr2-2025'!$E$21:$L$40,0,0),0,0), "No Match")</f>
        <v>8.4700000000000006</v>
      </c>
      <c r="K439" t="s">
        <v>47</v>
      </c>
      <c r="L439" t="s">
        <v>14</v>
      </c>
      <c r="M439" t="str">
        <f t="shared" si="6"/>
        <v>INSERT INTO TNL_RATING.dbo.usps_rate_master VALUES ('USPS', '2/13/2025', '2/13/2026', 12659, 'US', 'Ground Advantage', 2, 10, 'L', 8.47, 'Wedgewood_USPS_2025', 'NonCubic');</v>
      </c>
    </row>
    <row r="440" spans="1:13" x14ac:dyDescent="0.3">
      <c r="A440" t="s">
        <v>11</v>
      </c>
      <c r="B440" s="1" t="s">
        <v>44</v>
      </c>
      <c r="C440" s="1" t="s">
        <v>45</v>
      </c>
      <c r="D440">
        <v>12659</v>
      </c>
      <c r="E440" t="s">
        <v>12</v>
      </c>
      <c r="F440" t="s">
        <v>13</v>
      </c>
      <c r="G440">
        <v>2</v>
      </c>
      <c r="H440">
        <v>11</v>
      </c>
      <c r="I440" t="s">
        <v>46</v>
      </c>
      <c r="J440" cm="1">
        <f t="array" ref="J440">IFERROR(_xlfn.XLOOKUP(G440,'Wedgewood Pharm-GA-Yr2-2025'!$E$4:$L$4,
    _xlfn.XLOOKUP('Rate Load'!H440,'Wedgewood Pharm-GA-Yr2-2025'!$D$21:$D$40,
        'Wedgewood Pharm-GA-Yr2-2025'!$E$21:$L$40,0,0),0,0), "No Match")</f>
        <v>9.49</v>
      </c>
      <c r="K440" t="s">
        <v>47</v>
      </c>
      <c r="L440" t="s">
        <v>14</v>
      </c>
      <c r="M440" t="str">
        <f t="shared" si="6"/>
        <v>INSERT INTO TNL_RATING.dbo.usps_rate_master VALUES ('USPS', '2/13/2025', '2/13/2026', 12659, 'US', 'Ground Advantage', 2, 11, 'L', 9.49, 'Wedgewood_USPS_2025', 'NonCubic');</v>
      </c>
    </row>
    <row r="441" spans="1:13" x14ac:dyDescent="0.3">
      <c r="A441" t="s">
        <v>11</v>
      </c>
      <c r="B441" s="1" t="s">
        <v>44</v>
      </c>
      <c r="C441" s="1" t="s">
        <v>45</v>
      </c>
      <c r="D441">
        <v>12659</v>
      </c>
      <c r="E441" t="s">
        <v>12</v>
      </c>
      <c r="F441" t="s">
        <v>13</v>
      </c>
      <c r="G441">
        <v>2</v>
      </c>
      <c r="H441">
        <v>12</v>
      </c>
      <c r="I441" t="s">
        <v>46</v>
      </c>
      <c r="J441" cm="1">
        <f t="array" ref="J441">IFERROR(_xlfn.XLOOKUP(G441,'Wedgewood Pharm-GA-Yr2-2025'!$E$4:$L$4,
    _xlfn.XLOOKUP('Rate Load'!H441,'Wedgewood Pharm-GA-Yr2-2025'!$D$21:$D$40,
        'Wedgewood Pharm-GA-Yr2-2025'!$E$21:$L$40,0,0),0,0), "No Match")</f>
        <v>9.82</v>
      </c>
      <c r="K441" t="s">
        <v>47</v>
      </c>
      <c r="L441" t="s">
        <v>14</v>
      </c>
      <c r="M441" t="str">
        <f t="shared" si="6"/>
        <v>INSERT INTO TNL_RATING.dbo.usps_rate_master VALUES ('USPS', '2/13/2025', '2/13/2026', 12659, 'US', 'Ground Advantage', 2, 12, 'L', 9.82, 'Wedgewood_USPS_2025', 'NonCubic');</v>
      </c>
    </row>
    <row r="442" spans="1:13" x14ac:dyDescent="0.3">
      <c r="A442" t="s">
        <v>11</v>
      </c>
      <c r="B442" s="1" t="s">
        <v>44</v>
      </c>
      <c r="C442" s="1" t="s">
        <v>45</v>
      </c>
      <c r="D442">
        <v>12659</v>
      </c>
      <c r="E442" t="s">
        <v>12</v>
      </c>
      <c r="F442" t="s">
        <v>13</v>
      </c>
      <c r="G442">
        <v>2</v>
      </c>
      <c r="H442">
        <v>13</v>
      </c>
      <c r="I442" t="s">
        <v>46</v>
      </c>
      <c r="J442" cm="1">
        <f t="array" ref="J442">IFERROR(_xlfn.XLOOKUP(G442,'Wedgewood Pharm-GA-Yr2-2025'!$E$4:$L$4,
    _xlfn.XLOOKUP('Rate Load'!H442,'Wedgewood Pharm-GA-Yr2-2025'!$D$21:$D$40,
        'Wedgewood Pharm-GA-Yr2-2025'!$E$21:$L$40,0,0),0,0), "No Match")</f>
        <v>10.09</v>
      </c>
      <c r="K442" t="s">
        <v>47</v>
      </c>
      <c r="L442" t="s">
        <v>14</v>
      </c>
      <c r="M442" t="str">
        <f t="shared" si="6"/>
        <v>INSERT INTO TNL_RATING.dbo.usps_rate_master VALUES ('USPS', '2/13/2025', '2/13/2026', 12659, 'US', 'Ground Advantage', 2, 13, 'L', 10.09, 'Wedgewood_USPS_2025', 'NonCubic');</v>
      </c>
    </row>
    <row r="443" spans="1:13" x14ac:dyDescent="0.3">
      <c r="A443" t="s">
        <v>11</v>
      </c>
      <c r="B443" s="1" t="s">
        <v>44</v>
      </c>
      <c r="C443" s="1" t="s">
        <v>45</v>
      </c>
      <c r="D443">
        <v>12659</v>
      </c>
      <c r="E443" t="s">
        <v>12</v>
      </c>
      <c r="F443" t="s">
        <v>13</v>
      </c>
      <c r="G443">
        <v>2</v>
      </c>
      <c r="H443">
        <v>14</v>
      </c>
      <c r="I443" t="s">
        <v>46</v>
      </c>
      <c r="J443" cm="1">
        <f t="array" ref="J443">IFERROR(_xlfn.XLOOKUP(G443,'Wedgewood Pharm-GA-Yr2-2025'!$E$4:$L$4,
    _xlfn.XLOOKUP('Rate Load'!H443,'Wedgewood Pharm-GA-Yr2-2025'!$D$21:$D$40,
        'Wedgewood Pharm-GA-Yr2-2025'!$E$21:$L$40,0,0),0,0), "No Match")</f>
        <v>10.37</v>
      </c>
      <c r="K443" t="s">
        <v>47</v>
      </c>
      <c r="L443" t="s">
        <v>14</v>
      </c>
      <c r="M443" t="str">
        <f t="shared" si="6"/>
        <v>INSERT INTO TNL_RATING.dbo.usps_rate_master VALUES ('USPS', '2/13/2025', '2/13/2026', 12659, 'US', 'Ground Advantage', 2, 14, 'L', 10.37, 'Wedgewood_USPS_2025', 'NonCubic');</v>
      </c>
    </row>
    <row r="444" spans="1:13" x14ac:dyDescent="0.3">
      <c r="A444" t="s">
        <v>11</v>
      </c>
      <c r="B444" s="1" t="s">
        <v>44</v>
      </c>
      <c r="C444" s="1" t="s">
        <v>45</v>
      </c>
      <c r="D444">
        <v>12659</v>
      </c>
      <c r="E444" t="s">
        <v>12</v>
      </c>
      <c r="F444" t="s">
        <v>13</v>
      </c>
      <c r="G444">
        <v>2</v>
      </c>
      <c r="H444">
        <v>15</v>
      </c>
      <c r="I444" t="s">
        <v>46</v>
      </c>
      <c r="J444" cm="1">
        <f t="array" ref="J444">IFERROR(_xlfn.XLOOKUP(G444,'Wedgewood Pharm-GA-Yr2-2025'!$E$4:$L$4,
    _xlfn.XLOOKUP('Rate Load'!H444,'Wedgewood Pharm-GA-Yr2-2025'!$D$21:$D$40,
        'Wedgewood Pharm-GA-Yr2-2025'!$E$21:$L$40,0,0),0,0), "No Match")</f>
        <v>10.52</v>
      </c>
      <c r="K444" t="s">
        <v>47</v>
      </c>
      <c r="L444" t="s">
        <v>14</v>
      </c>
      <c r="M444" t="str">
        <f t="shared" si="6"/>
        <v>INSERT INTO TNL_RATING.dbo.usps_rate_master VALUES ('USPS', '2/13/2025', '2/13/2026', 12659, 'US', 'Ground Advantage', 2, 15, 'L', 10.52, 'Wedgewood_USPS_2025', 'NonCubic');</v>
      </c>
    </row>
    <row r="445" spans="1:13" x14ac:dyDescent="0.3">
      <c r="A445" t="s">
        <v>11</v>
      </c>
      <c r="B445" s="1" t="s">
        <v>44</v>
      </c>
      <c r="C445" s="1" t="s">
        <v>45</v>
      </c>
      <c r="D445">
        <v>12659</v>
      </c>
      <c r="E445" t="s">
        <v>12</v>
      </c>
      <c r="F445" t="s">
        <v>13</v>
      </c>
      <c r="G445">
        <v>2</v>
      </c>
      <c r="H445">
        <v>16</v>
      </c>
      <c r="I445" t="s">
        <v>46</v>
      </c>
      <c r="J445" cm="1">
        <f t="array" ref="J445">IFERROR(_xlfn.XLOOKUP(G445,'Wedgewood Pharm-GA-Yr2-2025'!$E$4:$L$4,
    _xlfn.XLOOKUP('Rate Load'!H445,'Wedgewood Pharm-GA-Yr2-2025'!$D$21:$D$40,
        'Wedgewood Pharm-GA-Yr2-2025'!$E$21:$L$40,0,0),0,0), "No Match")</f>
        <v>10.77</v>
      </c>
      <c r="K445" t="s">
        <v>47</v>
      </c>
      <c r="L445" t="s">
        <v>14</v>
      </c>
      <c r="M445" t="str">
        <f t="shared" si="6"/>
        <v>INSERT INTO TNL_RATING.dbo.usps_rate_master VALUES ('USPS', '2/13/2025', '2/13/2026', 12659, 'US', 'Ground Advantage', 2, 16, 'L', 10.77, 'Wedgewood_USPS_2025', 'NonCubic');</v>
      </c>
    </row>
    <row r="446" spans="1:13" x14ac:dyDescent="0.3">
      <c r="A446" t="s">
        <v>11</v>
      </c>
      <c r="B446" s="1" t="s">
        <v>44</v>
      </c>
      <c r="C446" s="1" t="s">
        <v>45</v>
      </c>
      <c r="D446">
        <v>12659</v>
      </c>
      <c r="E446" t="s">
        <v>12</v>
      </c>
      <c r="F446" t="s">
        <v>13</v>
      </c>
      <c r="G446">
        <v>2</v>
      </c>
      <c r="H446">
        <v>17</v>
      </c>
      <c r="I446" t="s">
        <v>46</v>
      </c>
      <c r="J446" cm="1">
        <f t="array" ref="J446">IFERROR(_xlfn.XLOOKUP(G446,'Wedgewood Pharm-GA-Yr2-2025'!$E$4:$L$4,
    _xlfn.XLOOKUP('Rate Load'!H446,'Wedgewood Pharm-GA-Yr2-2025'!$D$21:$D$40,
        'Wedgewood Pharm-GA-Yr2-2025'!$E$21:$L$40,0,0),0,0), "No Match")</f>
        <v>11.44</v>
      </c>
      <c r="K446" t="s">
        <v>47</v>
      </c>
      <c r="L446" t="s">
        <v>14</v>
      </c>
      <c r="M446" t="str">
        <f t="shared" si="6"/>
        <v>INSERT INTO TNL_RATING.dbo.usps_rate_master VALUES ('USPS', '2/13/2025', '2/13/2026', 12659, 'US', 'Ground Advantage', 2, 17, 'L', 11.44, 'Wedgewood_USPS_2025', 'NonCubic');</v>
      </c>
    </row>
    <row r="447" spans="1:13" x14ac:dyDescent="0.3">
      <c r="A447" t="s">
        <v>11</v>
      </c>
      <c r="B447" s="1" t="s">
        <v>44</v>
      </c>
      <c r="C447" s="1" t="s">
        <v>45</v>
      </c>
      <c r="D447">
        <v>12659</v>
      </c>
      <c r="E447" t="s">
        <v>12</v>
      </c>
      <c r="F447" t="s">
        <v>13</v>
      </c>
      <c r="G447">
        <v>2</v>
      </c>
      <c r="H447">
        <v>18</v>
      </c>
      <c r="I447" t="s">
        <v>46</v>
      </c>
      <c r="J447" cm="1">
        <f t="array" ref="J447">IFERROR(_xlfn.XLOOKUP(G447,'Wedgewood Pharm-GA-Yr2-2025'!$E$4:$L$4,
    _xlfn.XLOOKUP('Rate Load'!H447,'Wedgewood Pharm-GA-Yr2-2025'!$D$21:$D$40,
        'Wedgewood Pharm-GA-Yr2-2025'!$E$21:$L$40,0,0),0,0), "No Match")</f>
        <v>11.59</v>
      </c>
      <c r="K447" t="s">
        <v>47</v>
      </c>
      <c r="L447" t="s">
        <v>14</v>
      </c>
      <c r="M447" t="str">
        <f t="shared" si="6"/>
        <v>INSERT INTO TNL_RATING.dbo.usps_rate_master VALUES ('USPS', '2/13/2025', '2/13/2026', 12659, 'US', 'Ground Advantage', 2, 18, 'L', 11.59, 'Wedgewood_USPS_2025', 'NonCubic');</v>
      </c>
    </row>
    <row r="448" spans="1:13" x14ac:dyDescent="0.3">
      <c r="A448" t="s">
        <v>11</v>
      </c>
      <c r="B448" s="1" t="s">
        <v>44</v>
      </c>
      <c r="C448" s="1" t="s">
        <v>45</v>
      </c>
      <c r="D448">
        <v>12659</v>
      </c>
      <c r="E448" t="s">
        <v>12</v>
      </c>
      <c r="F448" t="s">
        <v>13</v>
      </c>
      <c r="G448">
        <v>2</v>
      </c>
      <c r="H448">
        <v>19</v>
      </c>
      <c r="I448" t="s">
        <v>46</v>
      </c>
      <c r="J448" cm="1">
        <f t="array" ref="J448">IFERROR(_xlfn.XLOOKUP(G448,'Wedgewood Pharm-GA-Yr2-2025'!$E$4:$L$4,
    _xlfn.XLOOKUP('Rate Load'!H448,'Wedgewood Pharm-GA-Yr2-2025'!$D$21:$D$40,
        'Wedgewood Pharm-GA-Yr2-2025'!$E$21:$L$40,0,0),0,0), "No Match")</f>
        <v>11.9</v>
      </c>
      <c r="K448" t="s">
        <v>47</v>
      </c>
      <c r="L448" t="s">
        <v>14</v>
      </c>
      <c r="M448" t="str">
        <f t="shared" si="6"/>
        <v>INSERT INTO TNL_RATING.dbo.usps_rate_master VALUES ('USPS', '2/13/2025', '2/13/2026', 12659, 'US', 'Ground Advantage', 2, 19, 'L', 11.9, 'Wedgewood_USPS_2025', 'NonCubic');</v>
      </c>
    </row>
    <row r="449" spans="1:13" x14ac:dyDescent="0.3">
      <c r="A449" t="s">
        <v>11</v>
      </c>
      <c r="B449" s="1" t="s">
        <v>44</v>
      </c>
      <c r="C449" s="1" t="s">
        <v>45</v>
      </c>
      <c r="D449">
        <v>12659</v>
      </c>
      <c r="E449" t="s">
        <v>12</v>
      </c>
      <c r="F449" t="s">
        <v>13</v>
      </c>
      <c r="G449">
        <v>2</v>
      </c>
      <c r="H449">
        <v>20</v>
      </c>
      <c r="I449" t="s">
        <v>46</v>
      </c>
      <c r="J449" cm="1">
        <f t="array" ref="J449">IFERROR(_xlfn.XLOOKUP(G449,'Wedgewood Pharm-GA-Yr2-2025'!$E$4:$L$4,
    _xlfn.XLOOKUP('Rate Load'!H449,'Wedgewood Pharm-GA-Yr2-2025'!$D$21:$D$40,
        'Wedgewood Pharm-GA-Yr2-2025'!$E$21:$L$40,0,0),0,0), "No Match")</f>
        <v>12.15</v>
      </c>
      <c r="K449" t="s">
        <v>47</v>
      </c>
      <c r="L449" t="s">
        <v>14</v>
      </c>
      <c r="M449" t="str">
        <f t="shared" si="6"/>
        <v>INSERT INTO TNL_RATING.dbo.usps_rate_master VALUES ('USPS', '2/13/2025', '2/13/2026', 12659, 'US', 'Ground Advantage', 2, 20, 'L', 12.15, 'Wedgewood_USPS_2025', 'NonCubic');</v>
      </c>
    </row>
    <row r="450" spans="1:13" x14ac:dyDescent="0.3">
      <c r="A450" t="s">
        <v>11</v>
      </c>
      <c r="B450" s="1" t="s">
        <v>44</v>
      </c>
      <c r="C450" s="1" t="s">
        <v>45</v>
      </c>
      <c r="D450">
        <v>12659</v>
      </c>
      <c r="E450" t="s">
        <v>12</v>
      </c>
      <c r="F450" t="s">
        <v>13</v>
      </c>
      <c r="G450">
        <v>3</v>
      </c>
      <c r="H450">
        <v>1</v>
      </c>
      <c r="I450" t="s">
        <v>46</v>
      </c>
      <c r="J450" cm="1">
        <f t="array" ref="J450">IFERROR(_xlfn.XLOOKUP(G450,'Wedgewood Pharm-GA-Yr2-2025'!$E$4:$L$4,
    _xlfn.XLOOKUP('Rate Load'!H450,'Wedgewood Pharm-GA-Yr2-2025'!$D$21:$D$40,
        'Wedgewood Pharm-GA-Yr2-2025'!$E$21:$L$40,0,0),0,0), "No Match")</f>
        <v>6.21</v>
      </c>
      <c r="K450" t="s">
        <v>47</v>
      </c>
      <c r="L450" t="s">
        <v>14</v>
      </c>
      <c r="M450" t="str">
        <f t="shared" si="6"/>
        <v>INSERT INTO TNL_RATING.dbo.usps_rate_master VALUES ('USPS', '2/13/2025', '2/13/2026', 12659, 'US', 'Ground Advantage', 3, 1, 'L', 6.21, 'Wedgewood_USPS_2025', 'NonCubic');</v>
      </c>
    </row>
    <row r="451" spans="1:13" x14ac:dyDescent="0.3">
      <c r="A451" t="s">
        <v>11</v>
      </c>
      <c r="B451" s="1" t="s">
        <v>44</v>
      </c>
      <c r="C451" s="1" t="s">
        <v>45</v>
      </c>
      <c r="D451">
        <v>12659</v>
      </c>
      <c r="E451" t="s">
        <v>12</v>
      </c>
      <c r="F451" t="s">
        <v>13</v>
      </c>
      <c r="G451">
        <v>3</v>
      </c>
      <c r="H451">
        <v>2</v>
      </c>
      <c r="I451" t="s">
        <v>46</v>
      </c>
      <c r="J451" cm="1">
        <f t="array" ref="J451">IFERROR(_xlfn.XLOOKUP(G451,'Wedgewood Pharm-GA-Yr2-2025'!$E$4:$L$4,
    _xlfn.XLOOKUP('Rate Load'!H451,'Wedgewood Pharm-GA-Yr2-2025'!$D$21:$D$40,
        'Wedgewood Pharm-GA-Yr2-2025'!$E$21:$L$40,0,0),0,0), "No Match")</f>
        <v>6.49</v>
      </c>
      <c r="K451" t="s">
        <v>47</v>
      </c>
      <c r="L451" t="s">
        <v>14</v>
      </c>
      <c r="M451" t="str">
        <f t="shared" ref="M451:M514" si="7">"INSERT INTO TNL_RATING.dbo.usps_rate_master VALUES ('" &amp; A451 &amp; "', '" &amp; B451 &amp; "', '" &amp; C451 &amp; "', " &amp; D451 &amp; ", '" &amp; E451 &amp; "', '" &amp; F451 &amp; "', " &amp; G451 &amp; ", " &amp; H451 &amp; ", '" &amp; I451 &amp; "', " &amp; J451 &amp; ", '" &amp; K451 &amp; "', '" &amp; L451 &amp; "');"</f>
        <v>INSERT INTO TNL_RATING.dbo.usps_rate_master VALUES ('USPS', '2/13/2025', '2/13/2026', 12659, 'US', 'Ground Advantage', 3, 2, 'L', 6.49, 'Wedgewood_USPS_2025', 'NonCubic');</v>
      </c>
    </row>
    <row r="452" spans="1:13" x14ac:dyDescent="0.3">
      <c r="A452" t="s">
        <v>11</v>
      </c>
      <c r="B452" s="1" t="s">
        <v>44</v>
      </c>
      <c r="C452" s="1" t="s">
        <v>45</v>
      </c>
      <c r="D452">
        <v>12659</v>
      </c>
      <c r="E452" t="s">
        <v>12</v>
      </c>
      <c r="F452" t="s">
        <v>13</v>
      </c>
      <c r="G452">
        <v>3</v>
      </c>
      <c r="H452">
        <v>3</v>
      </c>
      <c r="I452" t="s">
        <v>46</v>
      </c>
      <c r="J452" cm="1">
        <f t="array" ref="J452">IFERROR(_xlfn.XLOOKUP(G452,'Wedgewood Pharm-GA-Yr2-2025'!$E$4:$L$4,
    _xlfn.XLOOKUP('Rate Load'!H452,'Wedgewood Pharm-GA-Yr2-2025'!$D$21:$D$40,
        'Wedgewood Pharm-GA-Yr2-2025'!$E$21:$L$40,0,0),0,0), "No Match")</f>
        <v>6.93</v>
      </c>
      <c r="K452" t="s">
        <v>47</v>
      </c>
      <c r="L452" t="s">
        <v>14</v>
      </c>
      <c r="M452" t="str">
        <f t="shared" si="7"/>
        <v>INSERT INTO TNL_RATING.dbo.usps_rate_master VALUES ('USPS', '2/13/2025', '2/13/2026', 12659, 'US', 'Ground Advantage', 3, 3, 'L', 6.93, 'Wedgewood_USPS_2025', 'NonCubic');</v>
      </c>
    </row>
    <row r="453" spans="1:13" x14ac:dyDescent="0.3">
      <c r="A453" t="s">
        <v>11</v>
      </c>
      <c r="B453" s="1" t="s">
        <v>44</v>
      </c>
      <c r="C453" s="1" t="s">
        <v>45</v>
      </c>
      <c r="D453">
        <v>12659</v>
      </c>
      <c r="E453" t="s">
        <v>12</v>
      </c>
      <c r="F453" t="s">
        <v>13</v>
      </c>
      <c r="G453">
        <v>3</v>
      </c>
      <c r="H453">
        <v>4</v>
      </c>
      <c r="I453" t="s">
        <v>46</v>
      </c>
      <c r="J453" cm="1">
        <f t="array" ref="J453">IFERROR(_xlfn.XLOOKUP(G453,'Wedgewood Pharm-GA-Yr2-2025'!$E$4:$L$4,
    _xlfn.XLOOKUP('Rate Load'!H453,'Wedgewood Pharm-GA-Yr2-2025'!$D$21:$D$40,
        'Wedgewood Pharm-GA-Yr2-2025'!$E$21:$L$40,0,0),0,0), "No Match")</f>
        <v>7.22</v>
      </c>
      <c r="K453" t="s">
        <v>47</v>
      </c>
      <c r="L453" t="s">
        <v>14</v>
      </c>
      <c r="M453" t="str">
        <f t="shared" si="7"/>
        <v>INSERT INTO TNL_RATING.dbo.usps_rate_master VALUES ('USPS', '2/13/2025', '2/13/2026', 12659, 'US', 'Ground Advantage', 3, 4, 'L', 7.22, 'Wedgewood_USPS_2025', 'NonCubic');</v>
      </c>
    </row>
    <row r="454" spans="1:13" x14ac:dyDescent="0.3">
      <c r="A454" t="s">
        <v>11</v>
      </c>
      <c r="B454" s="1" t="s">
        <v>44</v>
      </c>
      <c r="C454" s="1" t="s">
        <v>45</v>
      </c>
      <c r="D454">
        <v>12659</v>
      </c>
      <c r="E454" t="s">
        <v>12</v>
      </c>
      <c r="F454" t="s">
        <v>13</v>
      </c>
      <c r="G454">
        <v>3</v>
      </c>
      <c r="H454">
        <v>5</v>
      </c>
      <c r="I454" t="s">
        <v>46</v>
      </c>
      <c r="J454" cm="1">
        <f t="array" ref="J454">IFERROR(_xlfn.XLOOKUP(G454,'Wedgewood Pharm-GA-Yr2-2025'!$E$4:$L$4,
    _xlfn.XLOOKUP('Rate Load'!H454,'Wedgewood Pharm-GA-Yr2-2025'!$D$21:$D$40,
        'Wedgewood Pharm-GA-Yr2-2025'!$E$21:$L$40,0,0),0,0), "No Match")</f>
        <v>7.3999999999999995</v>
      </c>
      <c r="K454" t="s">
        <v>47</v>
      </c>
      <c r="L454" t="s">
        <v>14</v>
      </c>
      <c r="M454" t="str">
        <f t="shared" si="7"/>
        <v>INSERT INTO TNL_RATING.dbo.usps_rate_master VALUES ('USPS', '2/13/2025', '2/13/2026', 12659, 'US', 'Ground Advantage', 3, 5, 'L', 7.4, 'Wedgewood_USPS_2025', 'NonCubic');</v>
      </c>
    </row>
    <row r="455" spans="1:13" x14ac:dyDescent="0.3">
      <c r="A455" t="s">
        <v>11</v>
      </c>
      <c r="B455" s="1" t="s">
        <v>44</v>
      </c>
      <c r="C455" s="1" t="s">
        <v>45</v>
      </c>
      <c r="D455">
        <v>12659</v>
      </c>
      <c r="E455" t="s">
        <v>12</v>
      </c>
      <c r="F455" t="s">
        <v>13</v>
      </c>
      <c r="G455">
        <v>3</v>
      </c>
      <c r="H455">
        <v>6</v>
      </c>
      <c r="I455" t="s">
        <v>46</v>
      </c>
      <c r="J455" cm="1">
        <f t="array" ref="J455">IFERROR(_xlfn.XLOOKUP(G455,'Wedgewood Pharm-GA-Yr2-2025'!$E$4:$L$4,
    _xlfn.XLOOKUP('Rate Load'!H455,'Wedgewood Pharm-GA-Yr2-2025'!$D$21:$D$40,
        'Wedgewood Pharm-GA-Yr2-2025'!$E$21:$L$40,0,0),0,0), "No Match")</f>
        <v>7.6499999999999995</v>
      </c>
      <c r="K455" t="s">
        <v>47</v>
      </c>
      <c r="L455" t="s">
        <v>14</v>
      </c>
      <c r="M455" t="str">
        <f t="shared" si="7"/>
        <v>INSERT INTO TNL_RATING.dbo.usps_rate_master VALUES ('USPS', '2/13/2025', '2/13/2026', 12659, 'US', 'Ground Advantage', 3, 6, 'L', 7.65, 'Wedgewood_USPS_2025', 'NonCubic');</v>
      </c>
    </row>
    <row r="456" spans="1:13" x14ac:dyDescent="0.3">
      <c r="A456" t="s">
        <v>11</v>
      </c>
      <c r="B456" s="1" t="s">
        <v>44</v>
      </c>
      <c r="C456" s="1" t="s">
        <v>45</v>
      </c>
      <c r="D456">
        <v>12659</v>
      </c>
      <c r="E456" t="s">
        <v>12</v>
      </c>
      <c r="F456" t="s">
        <v>13</v>
      </c>
      <c r="G456">
        <v>3</v>
      </c>
      <c r="H456">
        <v>7</v>
      </c>
      <c r="I456" t="s">
        <v>46</v>
      </c>
      <c r="J456" cm="1">
        <f t="array" ref="J456">IFERROR(_xlfn.XLOOKUP(G456,'Wedgewood Pharm-GA-Yr2-2025'!$E$4:$L$4,
    _xlfn.XLOOKUP('Rate Load'!H456,'Wedgewood Pharm-GA-Yr2-2025'!$D$21:$D$40,
        'Wedgewood Pharm-GA-Yr2-2025'!$E$21:$L$40,0,0),0,0), "No Match")</f>
        <v>8.17</v>
      </c>
      <c r="K456" t="s">
        <v>47</v>
      </c>
      <c r="L456" t="s">
        <v>14</v>
      </c>
      <c r="M456" t="str">
        <f t="shared" si="7"/>
        <v>INSERT INTO TNL_RATING.dbo.usps_rate_master VALUES ('USPS', '2/13/2025', '2/13/2026', 12659, 'US', 'Ground Advantage', 3, 7, 'L', 8.17, 'Wedgewood_USPS_2025', 'NonCubic');</v>
      </c>
    </row>
    <row r="457" spans="1:13" x14ac:dyDescent="0.3">
      <c r="A457" t="s">
        <v>11</v>
      </c>
      <c r="B457" s="1" t="s">
        <v>44</v>
      </c>
      <c r="C457" s="1" t="s">
        <v>45</v>
      </c>
      <c r="D457">
        <v>12659</v>
      </c>
      <c r="E457" t="s">
        <v>12</v>
      </c>
      <c r="F457" t="s">
        <v>13</v>
      </c>
      <c r="G457">
        <v>3</v>
      </c>
      <c r="H457">
        <v>8</v>
      </c>
      <c r="I457" t="s">
        <v>46</v>
      </c>
      <c r="J457" cm="1">
        <f t="array" ref="J457">IFERROR(_xlfn.XLOOKUP(G457,'Wedgewood Pharm-GA-Yr2-2025'!$E$4:$L$4,
    _xlfn.XLOOKUP('Rate Load'!H457,'Wedgewood Pharm-GA-Yr2-2025'!$D$21:$D$40,
        'Wedgewood Pharm-GA-Yr2-2025'!$E$21:$L$40,0,0),0,0), "No Match")</f>
        <v>8.5499999999999989</v>
      </c>
      <c r="K457" t="s">
        <v>47</v>
      </c>
      <c r="L457" t="s">
        <v>14</v>
      </c>
      <c r="M457" t="str">
        <f t="shared" si="7"/>
        <v>INSERT INTO TNL_RATING.dbo.usps_rate_master VALUES ('USPS', '2/13/2025', '2/13/2026', 12659, 'US', 'Ground Advantage', 3, 8, 'L', 8.55, 'Wedgewood_USPS_2025', 'NonCubic');</v>
      </c>
    </row>
    <row r="458" spans="1:13" x14ac:dyDescent="0.3">
      <c r="A458" t="s">
        <v>11</v>
      </c>
      <c r="B458" s="1" t="s">
        <v>44</v>
      </c>
      <c r="C458" s="1" t="s">
        <v>45</v>
      </c>
      <c r="D458">
        <v>12659</v>
      </c>
      <c r="E458" t="s">
        <v>12</v>
      </c>
      <c r="F458" t="s">
        <v>13</v>
      </c>
      <c r="G458">
        <v>3</v>
      </c>
      <c r="H458">
        <v>9</v>
      </c>
      <c r="I458" t="s">
        <v>46</v>
      </c>
      <c r="J458" cm="1">
        <f t="array" ref="J458">IFERROR(_xlfn.XLOOKUP(G458,'Wedgewood Pharm-GA-Yr2-2025'!$E$4:$L$4,
    _xlfn.XLOOKUP('Rate Load'!H458,'Wedgewood Pharm-GA-Yr2-2025'!$D$21:$D$40,
        'Wedgewood Pharm-GA-Yr2-2025'!$E$21:$L$40,0,0),0,0), "No Match")</f>
        <v>8.84</v>
      </c>
      <c r="K458" t="s">
        <v>47</v>
      </c>
      <c r="L458" t="s">
        <v>14</v>
      </c>
      <c r="M458" t="str">
        <f t="shared" si="7"/>
        <v>INSERT INTO TNL_RATING.dbo.usps_rate_master VALUES ('USPS', '2/13/2025', '2/13/2026', 12659, 'US', 'Ground Advantage', 3, 9, 'L', 8.84, 'Wedgewood_USPS_2025', 'NonCubic');</v>
      </c>
    </row>
    <row r="459" spans="1:13" x14ac:dyDescent="0.3">
      <c r="A459" t="s">
        <v>11</v>
      </c>
      <c r="B459" s="1" t="s">
        <v>44</v>
      </c>
      <c r="C459" s="1" t="s">
        <v>45</v>
      </c>
      <c r="D459">
        <v>12659</v>
      </c>
      <c r="E459" t="s">
        <v>12</v>
      </c>
      <c r="F459" t="s">
        <v>13</v>
      </c>
      <c r="G459">
        <v>3</v>
      </c>
      <c r="H459">
        <v>10</v>
      </c>
      <c r="I459" t="s">
        <v>46</v>
      </c>
      <c r="J459" cm="1">
        <f t="array" ref="J459">IFERROR(_xlfn.XLOOKUP(G459,'Wedgewood Pharm-GA-Yr2-2025'!$E$4:$L$4,
    _xlfn.XLOOKUP('Rate Load'!H459,'Wedgewood Pharm-GA-Yr2-2025'!$D$21:$D$40,
        'Wedgewood Pharm-GA-Yr2-2025'!$E$21:$L$40,0,0),0,0), "No Match")</f>
        <v>9.17</v>
      </c>
      <c r="K459" t="s">
        <v>47</v>
      </c>
      <c r="L459" t="s">
        <v>14</v>
      </c>
      <c r="M459" t="str">
        <f t="shared" si="7"/>
        <v>INSERT INTO TNL_RATING.dbo.usps_rate_master VALUES ('USPS', '2/13/2025', '2/13/2026', 12659, 'US', 'Ground Advantage', 3, 10, 'L', 9.17, 'Wedgewood_USPS_2025', 'NonCubic');</v>
      </c>
    </row>
    <row r="460" spans="1:13" x14ac:dyDescent="0.3">
      <c r="A460" t="s">
        <v>11</v>
      </c>
      <c r="B460" s="1" t="s">
        <v>44</v>
      </c>
      <c r="C460" s="1" t="s">
        <v>45</v>
      </c>
      <c r="D460">
        <v>12659</v>
      </c>
      <c r="E460" t="s">
        <v>12</v>
      </c>
      <c r="F460" t="s">
        <v>13</v>
      </c>
      <c r="G460">
        <v>3</v>
      </c>
      <c r="H460">
        <v>11</v>
      </c>
      <c r="I460" t="s">
        <v>46</v>
      </c>
      <c r="J460" cm="1">
        <f t="array" ref="J460">IFERROR(_xlfn.XLOOKUP(G460,'Wedgewood Pharm-GA-Yr2-2025'!$E$4:$L$4,
    _xlfn.XLOOKUP('Rate Load'!H460,'Wedgewood Pharm-GA-Yr2-2025'!$D$21:$D$40,
        'Wedgewood Pharm-GA-Yr2-2025'!$E$21:$L$40,0,0),0,0), "No Match")</f>
        <v>9.74</v>
      </c>
      <c r="K460" t="s">
        <v>47</v>
      </c>
      <c r="L460" t="s">
        <v>14</v>
      </c>
      <c r="M460" t="str">
        <f t="shared" si="7"/>
        <v>INSERT INTO TNL_RATING.dbo.usps_rate_master VALUES ('USPS', '2/13/2025', '2/13/2026', 12659, 'US', 'Ground Advantage', 3, 11, 'L', 9.74, 'Wedgewood_USPS_2025', 'NonCubic');</v>
      </c>
    </row>
    <row r="461" spans="1:13" x14ac:dyDescent="0.3">
      <c r="A461" t="s">
        <v>11</v>
      </c>
      <c r="B461" s="1" t="s">
        <v>44</v>
      </c>
      <c r="C461" s="1" t="s">
        <v>45</v>
      </c>
      <c r="D461">
        <v>12659</v>
      </c>
      <c r="E461" t="s">
        <v>12</v>
      </c>
      <c r="F461" t="s">
        <v>13</v>
      </c>
      <c r="G461">
        <v>3</v>
      </c>
      <c r="H461">
        <v>12</v>
      </c>
      <c r="I461" t="s">
        <v>46</v>
      </c>
      <c r="J461" cm="1">
        <f t="array" ref="J461">IFERROR(_xlfn.XLOOKUP(G461,'Wedgewood Pharm-GA-Yr2-2025'!$E$4:$L$4,
    _xlfn.XLOOKUP('Rate Load'!H461,'Wedgewood Pharm-GA-Yr2-2025'!$D$21:$D$40,
        'Wedgewood Pharm-GA-Yr2-2025'!$E$21:$L$40,0,0),0,0), "No Match")</f>
        <v>10.17</v>
      </c>
      <c r="K461" t="s">
        <v>47</v>
      </c>
      <c r="L461" t="s">
        <v>14</v>
      </c>
      <c r="M461" t="str">
        <f t="shared" si="7"/>
        <v>INSERT INTO TNL_RATING.dbo.usps_rate_master VALUES ('USPS', '2/13/2025', '2/13/2026', 12659, 'US', 'Ground Advantage', 3, 12, 'L', 10.17, 'Wedgewood_USPS_2025', 'NonCubic');</v>
      </c>
    </row>
    <row r="462" spans="1:13" x14ac:dyDescent="0.3">
      <c r="A462" t="s">
        <v>11</v>
      </c>
      <c r="B462" s="1" t="s">
        <v>44</v>
      </c>
      <c r="C462" s="1" t="s">
        <v>45</v>
      </c>
      <c r="D462">
        <v>12659</v>
      </c>
      <c r="E462" t="s">
        <v>12</v>
      </c>
      <c r="F462" t="s">
        <v>13</v>
      </c>
      <c r="G462">
        <v>3</v>
      </c>
      <c r="H462">
        <v>13</v>
      </c>
      <c r="I462" t="s">
        <v>46</v>
      </c>
      <c r="J462" cm="1">
        <f t="array" ref="J462">IFERROR(_xlfn.XLOOKUP(G462,'Wedgewood Pharm-GA-Yr2-2025'!$E$4:$L$4,
    _xlfn.XLOOKUP('Rate Load'!H462,'Wedgewood Pharm-GA-Yr2-2025'!$D$21:$D$40,
        'Wedgewood Pharm-GA-Yr2-2025'!$E$21:$L$40,0,0),0,0), "No Match")</f>
        <v>10.53</v>
      </c>
      <c r="K462" t="s">
        <v>47</v>
      </c>
      <c r="L462" t="s">
        <v>14</v>
      </c>
      <c r="M462" t="str">
        <f t="shared" si="7"/>
        <v>INSERT INTO TNL_RATING.dbo.usps_rate_master VALUES ('USPS', '2/13/2025', '2/13/2026', 12659, 'US', 'Ground Advantage', 3, 13, 'L', 10.53, 'Wedgewood_USPS_2025', 'NonCubic');</v>
      </c>
    </row>
    <row r="463" spans="1:13" x14ac:dyDescent="0.3">
      <c r="A463" t="s">
        <v>11</v>
      </c>
      <c r="B463" s="1" t="s">
        <v>44</v>
      </c>
      <c r="C463" s="1" t="s">
        <v>45</v>
      </c>
      <c r="D463">
        <v>12659</v>
      </c>
      <c r="E463" t="s">
        <v>12</v>
      </c>
      <c r="F463" t="s">
        <v>13</v>
      </c>
      <c r="G463">
        <v>3</v>
      </c>
      <c r="H463">
        <v>14</v>
      </c>
      <c r="I463" t="s">
        <v>46</v>
      </c>
      <c r="J463" cm="1">
        <f t="array" ref="J463">IFERROR(_xlfn.XLOOKUP(G463,'Wedgewood Pharm-GA-Yr2-2025'!$E$4:$L$4,
    _xlfn.XLOOKUP('Rate Load'!H463,'Wedgewood Pharm-GA-Yr2-2025'!$D$21:$D$40,
        'Wedgewood Pharm-GA-Yr2-2025'!$E$21:$L$40,0,0),0,0), "No Match")</f>
        <v>10.81</v>
      </c>
      <c r="K463" t="s">
        <v>47</v>
      </c>
      <c r="L463" t="s">
        <v>14</v>
      </c>
      <c r="M463" t="str">
        <f t="shared" si="7"/>
        <v>INSERT INTO TNL_RATING.dbo.usps_rate_master VALUES ('USPS', '2/13/2025', '2/13/2026', 12659, 'US', 'Ground Advantage', 3, 14, 'L', 10.81, 'Wedgewood_USPS_2025', 'NonCubic');</v>
      </c>
    </row>
    <row r="464" spans="1:13" x14ac:dyDescent="0.3">
      <c r="A464" t="s">
        <v>11</v>
      </c>
      <c r="B464" s="1" t="s">
        <v>44</v>
      </c>
      <c r="C464" s="1" t="s">
        <v>45</v>
      </c>
      <c r="D464">
        <v>12659</v>
      </c>
      <c r="E464" t="s">
        <v>12</v>
      </c>
      <c r="F464" t="s">
        <v>13</v>
      </c>
      <c r="G464">
        <v>3</v>
      </c>
      <c r="H464">
        <v>15</v>
      </c>
      <c r="I464" t="s">
        <v>46</v>
      </c>
      <c r="J464" cm="1">
        <f t="array" ref="J464">IFERROR(_xlfn.XLOOKUP(G464,'Wedgewood Pharm-GA-Yr2-2025'!$E$4:$L$4,
    _xlfn.XLOOKUP('Rate Load'!H464,'Wedgewood Pharm-GA-Yr2-2025'!$D$21:$D$40,
        'Wedgewood Pharm-GA-Yr2-2025'!$E$21:$L$40,0,0),0,0), "No Match")</f>
        <v>11.19</v>
      </c>
      <c r="K464" t="s">
        <v>47</v>
      </c>
      <c r="L464" t="s">
        <v>14</v>
      </c>
      <c r="M464" t="str">
        <f t="shared" si="7"/>
        <v>INSERT INTO TNL_RATING.dbo.usps_rate_master VALUES ('USPS', '2/13/2025', '2/13/2026', 12659, 'US', 'Ground Advantage', 3, 15, 'L', 11.19, 'Wedgewood_USPS_2025', 'NonCubic');</v>
      </c>
    </row>
    <row r="465" spans="1:13" x14ac:dyDescent="0.3">
      <c r="A465" t="s">
        <v>11</v>
      </c>
      <c r="B465" s="1" t="s">
        <v>44</v>
      </c>
      <c r="C465" s="1" t="s">
        <v>45</v>
      </c>
      <c r="D465">
        <v>12659</v>
      </c>
      <c r="E465" t="s">
        <v>12</v>
      </c>
      <c r="F465" t="s">
        <v>13</v>
      </c>
      <c r="G465">
        <v>3</v>
      </c>
      <c r="H465">
        <v>16</v>
      </c>
      <c r="I465" t="s">
        <v>46</v>
      </c>
      <c r="J465" cm="1">
        <f t="array" ref="J465">IFERROR(_xlfn.XLOOKUP(G465,'Wedgewood Pharm-GA-Yr2-2025'!$E$4:$L$4,
    _xlfn.XLOOKUP('Rate Load'!H465,'Wedgewood Pharm-GA-Yr2-2025'!$D$21:$D$40,
        'Wedgewood Pharm-GA-Yr2-2025'!$E$21:$L$40,0,0),0,0), "No Match")</f>
        <v>11.49</v>
      </c>
      <c r="K465" t="s">
        <v>47</v>
      </c>
      <c r="L465" t="s">
        <v>14</v>
      </c>
      <c r="M465" t="str">
        <f t="shared" si="7"/>
        <v>INSERT INTO TNL_RATING.dbo.usps_rate_master VALUES ('USPS', '2/13/2025', '2/13/2026', 12659, 'US', 'Ground Advantage', 3, 16, 'L', 11.49, 'Wedgewood_USPS_2025', 'NonCubic');</v>
      </c>
    </row>
    <row r="466" spans="1:13" x14ac:dyDescent="0.3">
      <c r="A466" t="s">
        <v>11</v>
      </c>
      <c r="B466" s="1" t="s">
        <v>44</v>
      </c>
      <c r="C466" s="1" t="s">
        <v>45</v>
      </c>
      <c r="D466">
        <v>12659</v>
      </c>
      <c r="E466" t="s">
        <v>12</v>
      </c>
      <c r="F466" t="s">
        <v>13</v>
      </c>
      <c r="G466">
        <v>3</v>
      </c>
      <c r="H466">
        <v>17</v>
      </c>
      <c r="I466" t="s">
        <v>46</v>
      </c>
      <c r="J466" cm="1">
        <f t="array" ref="J466">IFERROR(_xlfn.XLOOKUP(G466,'Wedgewood Pharm-GA-Yr2-2025'!$E$4:$L$4,
    _xlfn.XLOOKUP('Rate Load'!H466,'Wedgewood Pharm-GA-Yr2-2025'!$D$21:$D$40,
        'Wedgewood Pharm-GA-Yr2-2025'!$E$21:$L$40,0,0),0,0), "No Match")</f>
        <v>11.89</v>
      </c>
      <c r="K466" t="s">
        <v>47</v>
      </c>
      <c r="L466" t="s">
        <v>14</v>
      </c>
      <c r="M466" t="str">
        <f t="shared" si="7"/>
        <v>INSERT INTO TNL_RATING.dbo.usps_rate_master VALUES ('USPS', '2/13/2025', '2/13/2026', 12659, 'US', 'Ground Advantage', 3, 17, 'L', 11.89, 'Wedgewood_USPS_2025', 'NonCubic');</v>
      </c>
    </row>
    <row r="467" spans="1:13" x14ac:dyDescent="0.3">
      <c r="A467" t="s">
        <v>11</v>
      </c>
      <c r="B467" s="1" t="s">
        <v>44</v>
      </c>
      <c r="C467" s="1" t="s">
        <v>45</v>
      </c>
      <c r="D467">
        <v>12659</v>
      </c>
      <c r="E467" t="s">
        <v>12</v>
      </c>
      <c r="F467" t="s">
        <v>13</v>
      </c>
      <c r="G467">
        <v>3</v>
      </c>
      <c r="H467">
        <v>18</v>
      </c>
      <c r="I467" t="s">
        <v>46</v>
      </c>
      <c r="J467" cm="1">
        <f t="array" ref="J467">IFERROR(_xlfn.XLOOKUP(G467,'Wedgewood Pharm-GA-Yr2-2025'!$E$4:$L$4,
    _xlfn.XLOOKUP('Rate Load'!H467,'Wedgewood Pharm-GA-Yr2-2025'!$D$21:$D$40,
        'Wedgewood Pharm-GA-Yr2-2025'!$E$21:$L$40,0,0),0,0), "No Match")</f>
        <v>12.06</v>
      </c>
      <c r="K467" t="s">
        <v>47</v>
      </c>
      <c r="L467" t="s">
        <v>14</v>
      </c>
      <c r="M467" t="str">
        <f t="shared" si="7"/>
        <v>INSERT INTO TNL_RATING.dbo.usps_rate_master VALUES ('USPS', '2/13/2025', '2/13/2026', 12659, 'US', 'Ground Advantage', 3, 18, 'L', 12.06, 'Wedgewood_USPS_2025', 'NonCubic');</v>
      </c>
    </row>
    <row r="468" spans="1:13" x14ac:dyDescent="0.3">
      <c r="A468" t="s">
        <v>11</v>
      </c>
      <c r="B468" s="1" t="s">
        <v>44</v>
      </c>
      <c r="C468" s="1" t="s">
        <v>45</v>
      </c>
      <c r="D468">
        <v>12659</v>
      </c>
      <c r="E468" t="s">
        <v>12</v>
      </c>
      <c r="F468" t="s">
        <v>13</v>
      </c>
      <c r="G468">
        <v>3</v>
      </c>
      <c r="H468">
        <v>19</v>
      </c>
      <c r="I468" t="s">
        <v>46</v>
      </c>
      <c r="J468" cm="1">
        <f t="array" ref="J468">IFERROR(_xlfn.XLOOKUP(G468,'Wedgewood Pharm-GA-Yr2-2025'!$E$4:$L$4,
    _xlfn.XLOOKUP('Rate Load'!H468,'Wedgewood Pharm-GA-Yr2-2025'!$D$21:$D$40,
        'Wedgewood Pharm-GA-Yr2-2025'!$E$21:$L$40,0,0),0,0), "No Match")</f>
        <v>12.56</v>
      </c>
      <c r="K468" t="s">
        <v>47</v>
      </c>
      <c r="L468" t="s">
        <v>14</v>
      </c>
      <c r="M468" t="str">
        <f t="shared" si="7"/>
        <v>INSERT INTO TNL_RATING.dbo.usps_rate_master VALUES ('USPS', '2/13/2025', '2/13/2026', 12659, 'US', 'Ground Advantage', 3, 19, 'L', 12.56, 'Wedgewood_USPS_2025', 'NonCubic');</v>
      </c>
    </row>
    <row r="469" spans="1:13" x14ac:dyDescent="0.3">
      <c r="A469" t="s">
        <v>11</v>
      </c>
      <c r="B469" s="1" t="s">
        <v>44</v>
      </c>
      <c r="C469" s="1" t="s">
        <v>45</v>
      </c>
      <c r="D469">
        <v>12659</v>
      </c>
      <c r="E469" t="s">
        <v>12</v>
      </c>
      <c r="F469" t="s">
        <v>13</v>
      </c>
      <c r="G469">
        <v>3</v>
      </c>
      <c r="H469">
        <v>20</v>
      </c>
      <c r="I469" t="s">
        <v>46</v>
      </c>
      <c r="J469" cm="1">
        <f t="array" ref="J469">IFERROR(_xlfn.XLOOKUP(G469,'Wedgewood Pharm-GA-Yr2-2025'!$E$4:$L$4,
    _xlfn.XLOOKUP('Rate Load'!H469,'Wedgewood Pharm-GA-Yr2-2025'!$D$21:$D$40,
        'Wedgewood Pharm-GA-Yr2-2025'!$E$21:$L$40,0,0),0,0), "No Match")</f>
        <v>12.86</v>
      </c>
      <c r="K469" t="s">
        <v>47</v>
      </c>
      <c r="L469" t="s">
        <v>14</v>
      </c>
      <c r="M469" t="str">
        <f t="shared" si="7"/>
        <v>INSERT INTO TNL_RATING.dbo.usps_rate_master VALUES ('USPS', '2/13/2025', '2/13/2026', 12659, 'US', 'Ground Advantage', 3, 20, 'L', 12.86, 'Wedgewood_USPS_2025', 'NonCubic');</v>
      </c>
    </row>
    <row r="470" spans="1:13" x14ac:dyDescent="0.3">
      <c r="A470" t="s">
        <v>11</v>
      </c>
      <c r="B470" s="1" t="s">
        <v>44</v>
      </c>
      <c r="C470" s="1" t="s">
        <v>45</v>
      </c>
      <c r="D470">
        <v>12659</v>
      </c>
      <c r="E470" t="s">
        <v>12</v>
      </c>
      <c r="F470" t="s">
        <v>13</v>
      </c>
      <c r="G470">
        <v>4</v>
      </c>
      <c r="H470">
        <v>1</v>
      </c>
      <c r="I470" t="s">
        <v>46</v>
      </c>
      <c r="J470" cm="1">
        <f t="array" ref="J470">IFERROR(_xlfn.XLOOKUP(G470,'Wedgewood Pharm-GA-Yr2-2025'!$E$4:$L$4,
    _xlfn.XLOOKUP('Rate Load'!H470,'Wedgewood Pharm-GA-Yr2-2025'!$D$21:$D$40,
        'Wedgewood Pharm-GA-Yr2-2025'!$E$21:$L$40,0,0),0,0), "No Match")</f>
        <v>6.45</v>
      </c>
      <c r="K470" t="s">
        <v>47</v>
      </c>
      <c r="L470" t="s">
        <v>14</v>
      </c>
      <c r="M470" t="str">
        <f t="shared" si="7"/>
        <v>INSERT INTO TNL_RATING.dbo.usps_rate_master VALUES ('USPS', '2/13/2025', '2/13/2026', 12659, 'US', 'Ground Advantage', 4, 1, 'L', 6.45, 'Wedgewood_USPS_2025', 'NonCubic');</v>
      </c>
    </row>
    <row r="471" spans="1:13" x14ac:dyDescent="0.3">
      <c r="A471" t="s">
        <v>11</v>
      </c>
      <c r="B471" s="1" t="s">
        <v>44</v>
      </c>
      <c r="C471" s="1" t="s">
        <v>45</v>
      </c>
      <c r="D471">
        <v>12659</v>
      </c>
      <c r="E471" t="s">
        <v>12</v>
      </c>
      <c r="F471" t="s">
        <v>13</v>
      </c>
      <c r="G471">
        <v>4</v>
      </c>
      <c r="H471">
        <v>2</v>
      </c>
      <c r="I471" t="s">
        <v>46</v>
      </c>
      <c r="J471" cm="1">
        <f t="array" ref="J471">IFERROR(_xlfn.XLOOKUP(G471,'Wedgewood Pharm-GA-Yr2-2025'!$E$4:$L$4,
    _xlfn.XLOOKUP('Rate Load'!H471,'Wedgewood Pharm-GA-Yr2-2025'!$D$21:$D$40,
        'Wedgewood Pharm-GA-Yr2-2025'!$E$21:$L$40,0,0),0,0), "No Match")</f>
        <v>6.84</v>
      </c>
      <c r="K471" t="s">
        <v>47</v>
      </c>
      <c r="L471" t="s">
        <v>14</v>
      </c>
      <c r="M471" t="str">
        <f t="shared" si="7"/>
        <v>INSERT INTO TNL_RATING.dbo.usps_rate_master VALUES ('USPS', '2/13/2025', '2/13/2026', 12659, 'US', 'Ground Advantage', 4, 2, 'L', 6.84, 'Wedgewood_USPS_2025', 'NonCubic');</v>
      </c>
    </row>
    <row r="472" spans="1:13" x14ac:dyDescent="0.3">
      <c r="A472" t="s">
        <v>11</v>
      </c>
      <c r="B472" s="1" t="s">
        <v>44</v>
      </c>
      <c r="C472" s="1" t="s">
        <v>45</v>
      </c>
      <c r="D472">
        <v>12659</v>
      </c>
      <c r="E472" t="s">
        <v>12</v>
      </c>
      <c r="F472" t="s">
        <v>13</v>
      </c>
      <c r="G472">
        <v>4</v>
      </c>
      <c r="H472">
        <v>3</v>
      </c>
      <c r="I472" t="s">
        <v>46</v>
      </c>
      <c r="J472" cm="1">
        <f t="array" ref="J472">IFERROR(_xlfn.XLOOKUP(G472,'Wedgewood Pharm-GA-Yr2-2025'!$E$4:$L$4,
    _xlfn.XLOOKUP('Rate Load'!H472,'Wedgewood Pharm-GA-Yr2-2025'!$D$21:$D$40,
        'Wedgewood Pharm-GA-Yr2-2025'!$E$21:$L$40,0,0),0,0), "No Match")</f>
        <v>7.26</v>
      </c>
      <c r="K472" t="s">
        <v>47</v>
      </c>
      <c r="L472" t="s">
        <v>14</v>
      </c>
      <c r="M472" t="str">
        <f t="shared" si="7"/>
        <v>INSERT INTO TNL_RATING.dbo.usps_rate_master VALUES ('USPS', '2/13/2025', '2/13/2026', 12659, 'US', 'Ground Advantage', 4, 3, 'L', 7.26, 'Wedgewood_USPS_2025', 'NonCubic');</v>
      </c>
    </row>
    <row r="473" spans="1:13" x14ac:dyDescent="0.3">
      <c r="A473" t="s">
        <v>11</v>
      </c>
      <c r="B473" s="1" t="s">
        <v>44</v>
      </c>
      <c r="C473" s="1" t="s">
        <v>45</v>
      </c>
      <c r="D473">
        <v>12659</v>
      </c>
      <c r="E473" t="s">
        <v>12</v>
      </c>
      <c r="F473" t="s">
        <v>13</v>
      </c>
      <c r="G473">
        <v>4</v>
      </c>
      <c r="H473">
        <v>4</v>
      </c>
      <c r="I473" t="s">
        <v>46</v>
      </c>
      <c r="J473" cm="1">
        <f t="array" ref="J473">IFERROR(_xlfn.XLOOKUP(G473,'Wedgewood Pharm-GA-Yr2-2025'!$E$4:$L$4,
    _xlfn.XLOOKUP('Rate Load'!H473,'Wedgewood Pharm-GA-Yr2-2025'!$D$21:$D$40,
        'Wedgewood Pharm-GA-Yr2-2025'!$E$21:$L$40,0,0),0,0), "No Match")</f>
        <v>7.72</v>
      </c>
      <c r="K473" t="s">
        <v>47</v>
      </c>
      <c r="L473" t="s">
        <v>14</v>
      </c>
      <c r="M473" t="str">
        <f t="shared" si="7"/>
        <v>INSERT INTO TNL_RATING.dbo.usps_rate_master VALUES ('USPS', '2/13/2025', '2/13/2026', 12659, 'US', 'Ground Advantage', 4, 4, 'L', 7.72, 'Wedgewood_USPS_2025', 'NonCubic');</v>
      </c>
    </row>
    <row r="474" spans="1:13" x14ac:dyDescent="0.3">
      <c r="A474" t="s">
        <v>11</v>
      </c>
      <c r="B474" s="1" t="s">
        <v>44</v>
      </c>
      <c r="C474" s="1" t="s">
        <v>45</v>
      </c>
      <c r="D474">
        <v>12659</v>
      </c>
      <c r="E474" t="s">
        <v>12</v>
      </c>
      <c r="F474" t="s">
        <v>13</v>
      </c>
      <c r="G474">
        <v>4</v>
      </c>
      <c r="H474">
        <v>5</v>
      </c>
      <c r="I474" t="s">
        <v>46</v>
      </c>
      <c r="J474" cm="1">
        <f t="array" ref="J474">IFERROR(_xlfn.XLOOKUP(G474,'Wedgewood Pharm-GA-Yr2-2025'!$E$4:$L$4,
    _xlfn.XLOOKUP('Rate Load'!H474,'Wedgewood Pharm-GA-Yr2-2025'!$D$21:$D$40,
        'Wedgewood Pharm-GA-Yr2-2025'!$E$21:$L$40,0,0),0,0), "No Match")</f>
        <v>7.97</v>
      </c>
      <c r="K474" t="s">
        <v>47</v>
      </c>
      <c r="L474" t="s">
        <v>14</v>
      </c>
      <c r="M474" t="str">
        <f t="shared" si="7"/>
        <v>INSERT INTO TNL_RATING.dbo.usps_rate_master VALUES ('USPS', '2/13/2025', '2/13/2026', 12659, 'US', 'Ground Advantage', 4, 5, 'L', 7.97, 'Wedgewood_USPS_2025', 'NonCubic');</v>
      </c>
    </row>
    <row r="475" spans="1:13" x14ac:dyDescent="0.3">
      <c r="A475" t="s">
        <v>11</v>
      </c>
      <c r="B475" s="1" t="s">
        <v>44</v>
      </c>
      <c r="C475" s="1" t="s">
        <v>45</v>
      </c>
      <c r="D475">
        <v>12659</v>
      </c>
      <c r="E475" t="s">
        <v>12</v>
      </c>
      <c r="F475" t="s">
        <v>13</v>
      </c>
      <c r="G475">
        <v>4</v>
      </c>
      <c r="H475">
        <v>6</v>
      </c>
      <c r="I475" t="s">
        <v>46</v>
      </c>
      <c r="J475" cm="1">
        <f t="array" ref="J475">IFERROR(_xlfn.XLOOKUP(G475,'Wedgewood Pharm-GA-Yr2-2025'!$E$4:$L$4,
    _xlfn.XLOOKUP('Rate Load'!H475,'Wedgewood Pharm-GA-Yr2-2025'!$D$21:$D$40,
        'Wedgewood Pharm-GA-Yr2-2025'!$E$21:$L$40,0,0),0,0), "No Match")</f>
        <v>8.32</v>
      </c>
      <c r="K475" t="s">
        <v>47</v>
      </c>
      <c r="L475" t="s">
        <v>14</v>
      </c>
      <c r="M475" t="str">
        <f t="shared" si="7"/>
        <v>INSERT INTO TNL_RATING.dbo.usps_rate_master VALUES ('USPS', '2/13/2025', '2/13/2026', 12659, 'US', 'Ground Advantage', 4, 6, 'L', 8.32, 'Wedgewood_USPS_2025', 'NonCubic');</v>
      </c>
    </row>
    <row r="476" spans="1:13" x14ac:dyDescent="0.3">
      <c r="A476" t="s">
        <v>11</v>
      </c>
      <c r="B476" s="1" t="s">
        <v>44</v>
      </c>
      <c r="C476" s="1" t="s">
        <v>45</v>
      </c>
      <c r="D476">
        <v>12659</v>
      </c>
      <c r="E476" t="s">
        <v>12</v>
      </c>
      <c r="F476" t="s">
        <v>13</v>
      </c>
      <c r="G476">
        <v>4</v>
      </c>
      <c r="H476">
        <v>7</v>
      </c>
      <c r="I476" t="s">
        <v>46</v>
      </c>
      <c r="J476" cm="1">
        <f t="array" ref="J476">IFERROR(_xlfn.XLOOKUP(G476,'Wedgewood Pharm-GA-Yr2-2025'!$E$4:$L$4,
    _xlfn.XLOOKUP('Rate Load'!H476,'Wedgewood Pharm-GA-Yr2-2025'!$D$21:$D$40,
        'Wedgewood Pharm-GA-Yr2-2025'!$E$21:$L$40,0,0),0,0), "No Match")</f>
        <v>8.66</v>
      </c>
      <c r="K476" t="s">
        <v>47</v>
      </c>
      <c r="L476" t="s">
        <v>14</v>
      </c>
      <c r="M476" t="str">
        <f t="shared" si="7"/>
        <v>INSERT INTO TNL_RATING.dbo.usps_rate_master VALUES ('USPS', '2/13/2025', '2/13/2026', 12659, 'US', 'Ground Advantage', 4, 7, 'L', 8.66, 'Wedgewood_USPS_2025', 'NonCubic');</v>
      </c>
    </row>
    <row r="477" spans="1:13" x14ac:dyDescent="0.3">
      <c r="A477" t="s">
        <v>11</v>
      </c>
      <c r="B477" s="1" t="s">
        <v>44</v>
      </c>
      <c r="C477" s="1" t="s">
        <v>45</v>
      </c>
      <c r="D477">
        <v>12659</v>
      </c>
      <c r="E477" t="s">
        <v>12</v>
      </c>
      <c r="F477" t="s">
        <v>13</v>
      </c>
      <c r="G477">
        <v>4</v>
      </c>
      <c r="H477">
        <v>8</v>
      </c>
      <c r="I477" t="s">
        <v>46</v>
      </c>
      <c r="J477" cm="1">
        <f t="array" ref="J477">IFERROR(_xlfn.XLOOKUP(G477,'Wedgewood Pharm-GA-Yr2-2025'!$E$4:$L$4,
    _xlfn.XLOOKUP('Rate Load'!H477,'Wedgewood Pharm-GA-Yr2-2025'!$D$21:$D$40,
        'Wedgewood Pharm-GA-Yr2-2025'!$E$21:$L$40,0,0),0,0), "No Match")</f>
        <v>9.48</v>
      </c>
      <c r="K477" t="s">
        <v>47</v>
      </c>
      <c r="L477" t="s">
        <v>14</v>
      </c>
      <c r="M477" t="str">
        <f t="shared" si="7"/>
        <v>INSERT INTO TNL_RATING.dbo.usps_rate_master VALUES ('USPS', '2/13/2025', '2/13/2026', 12659, 'US', 'Ground Advantage', 4, 8, 'L', 9.48, 'Wedgewood_USPS_2025', 'NonCubic');</v>
      </c>
    </row>
    <row r="478" spans="1:13" x14ac:dyDescent="0.3">
      <c r="A478" t="s">
        <v>11</v>
      </c>
      <c r="B478" s="1" t="s">
        <v>44</v>
      </c>
      <c r="C478" s="1" t="s">
        <v>45</v>
      </c>
      <c r="D478">
        <v>12659</v>
      </c>
      <c r="E478" t="s">
        <v>12</v>
      </c>
      <c r="F478" t="s">
        <v>13</v>
      </c>
      <c r="G478">
        <v>4</v>
      </c>
      <c r="H478">
        <v>9</v>
      </c>
      <c r="I478" t="s">
        <v>46</v>
      </c>
      <c r="J478" cm="1">
        <f t="array" ref="J478">IFERROR(_xlfn.XLOOKUP(G478,'Wedgewood Pharm-GA-Yr2-2025'!$E$4:$L$4,
    _xlfn.XLOOKUP('Rate Load'!H478,'Wedgewood Pharm-GA-Yr2-2025'!$D$21:$D$40,
        'Wedgewood Pharm-GA-Yr2-2025'!$E$21:$L$40,0,0),0,0), "No Match")</f>
        <v>9.85</v>
      </c>
      <c r="K478" t="s">
        <v>47</v>
      </c>
      <c r="L478" t="s">
        <v>14</v>
      </c>
      <c r="M478" t="str">
        <f t="shared" si="7"/>
        <v>INSERT INTO TNL_RATING.dbo.usps_rate_master VALUES ('USPS', '2/13/2025', '2/13/2026', 12659, 'US', 'Ground Advantage', 4, 9, 'L', 9.85, 'Wedgewood_USPS_2025', 'NonCubic');</v>
      </c>
    </row>
    <row r="479" spans="1:13" x14ac:dyDescent="0.3">
      <c r="A479" t="s">
        <v>11</v>
      </c>
      <c r="B479" s="1" t="s">
        <v>44</v>
      </c>
      <c r="C479" s="1" t="s">
        <v>45</v>
      </c>
      <c r="D479">
        <v>12659</v>
      </c>
      <c r="E479" t="s">
        <v>12</v>
      </c>
      <c r="F479" t="s">
        <v>13</v>
      </c>
      <c r="G479">
        <v>4</v>
      </c>
      <c r="H479">
        <v>10</v>
      </c>
      <c r="I479" t="s">
        <v>46</v>
      </c>
      <c r="J479" cm="1">
        <f t="array" ref="J479">IFERROR(_xlfn.XLOOKUP(G479,'Wedgewood Pharm-GA-Yr2-2025'!$E$4:$L$4,
    _xlfn.XLOOKUP('Rate Load'!H479,'Wedgewood Pharm-GA-Yr2-2025'!$D$21:$D$40,
        'Wedgewood Pharm-GA-Yr2-2025'!$E$21:$L$40,0,0),0,0), "No Match")</f>
        <v>9.99</v>
      </c>
      <c r="K479" t="s">
        <v>47</v>
      </c>
      <c r="L479" t="s">
        <v>14</v>
      </c>
      <c r="M479" t="str">
        <f t="shared" si="7"/>
        <v>INSERT INTO TNL_RATING.dbo.usps_rate_master VALUES ('USPS', '2/13/2025', '2/13/2026', 12659, 'US', 'Ground Advantage', 4, 10, 'L', 9.99, 'Wedgewood_USPS_2025', 'NonCubic');</v>
      </c>
    </row>
    <row r="480" spans="1:13" x14ac:dyDescent="0.3">
      <c r="A480" t="s">
        <v>11</v>
      </c>
      <c r="B480" s="1" t="s">
        <v>44</v>
      </c>
      <c r="C480" s="1" t="s">
        <v>45</v>
      </c>
      <c r="D480">
        <v>12659</v>
      </c>
      <c r="E480" t="s">
        <v>12</v>
      </c>
      <c r="F480" t="s">
        <v>13</v>
      </c>
      <c r="G480">
        <v>4</v>
      </c>
      <c r="H480">
        <v>11</v>
      </c>
      <c r="I480" t="s">
        <v>46</v>
      </c>
      <c r="J480" cm="1">
        <f t="array" ref="J480">IFERROR(_xlfn.XLOOKUP(G480,'Wedgewood Pharm-GA-Yr2-2025'!$E$4:$L$4,
    _xlfn.XLOOKUP('Rate Load'!H480,'Wedgewood Pharm-GA-Yr2-2025'!$D$21:$D$40,
        'Wedgewood Pharm-GA-Yr2-2025'!$E$21:$L$40,0,0),0,0), "No Match")</f>
        <v>10.59</v>
      </c>
      <c r="K480" t="s">
        <v>47</v>
      </c>
      <c r="L480" t="s">
        <v>14</v>
      </c>
      <c r="M480" t="str">
        <f t="shared" si="7"/>
        <v>INSERT INTO TNL_RATING.dbo.usps_rate_master VALUES ('USPS', '2/13/2025', '2/13/2026', 12659, 'US', 'Ground Advantage', 4, 11, 'L', 10.59, 'Wedgewood_USPS_2025', 'NonCubic');</v>
      </c>
    </row>
    <row r="481" spans="1:13" x14ac:dyDescent="0.3">
      <c r="A481" t="s">
        <v>11</v>
      </c>
      <c r="B481" s="1" t="s">
        <v>44</v>
      </c>
      <c r="C481" s="1" t="s">
        <v>45</v>
      </c>
      <c r="D481">
        <v>12659</v>
      </c>
      <c r="E481" t="s">
        <v>12</v>
      </c>
      <c r="F481" t="s">
        <v>13</v>
      </c>
      <c r="G481">
        <v>4</v>
      </c>
      <c r="H481">
        <v>12</v>
      </c>
      <c r="I481" t="s">
        <v>46</v>
      </c>
      <c r="J481" cm="1">
        <f t="array" ref="J481">IFERROR(_xlfn.XLOOKUP(G481,'Wedgewood Pharm-GA-Yr2-2025'!$E$4:$L$4,
    _xlfn.XLOOKUP('Rate Load'!H481,'Wedgewood Pharm-GA-Yr2-2025'!$D$21:$D$40,
        'Wedgewood Pharm-GA-Yr2-2025'!$E$21:$L$40,0,0),0,0), "No Match")</f>
        <v>10.85</v>
      </c>
      <c r="K481" t="s">
        <v>47</v>
      </c>
      <c r="L481" t="s">
        <v>14</v>
      </c>
      <c r="M481" t="str">
        <f t="shared" si="7"/>
        <v>INSERT INTO TNL_RATING.dbo.usps_rate_master VALUES ('USPS', '2/13/2025', '2/13/2026', 12659, 'US', 'Ground Advantage', 4, 12, 'L', 10.85, 'Wedgewood_USPS_2025', 'NonCubic');</v>
      </c>
    </row>
    <row r="482" spans="1:13" x14ac:dyDescent="0.3">
      <c r="A482" t="s">
        <v>11</v>
      </c>
      <c r="B482" s="1" t="s">
        <v>44</v>
      </c>
      <c r="C482" s="1" t="s">
        <v>45</v>
      </c>
      <c r="D482">
        <v>12659</v>
      </c>
      <c r="E482" t="s">
        <v>12</v>
      </c>
      <c r="F482" t="s">
        <v>13</v>
      </c>
      <c r="G482">
        <v>4</v>
      </c>
      <c r="H482">
        <v>13</v>
      </c>
      <c r="I482" t="s">
        <v>46</v>
      </c>
      <c r="J482" cm="1">
        <f t="array" ref="J482">IFERROR(_xlfn.XLOOKUP(G482,'Wedgewood Pharm-GA-Yr2-2025'!$E$4:$L$4,
    _xlfn.XLOOKUP('Rate Load'!H482,'Wedgewood Pharm-GA-Yr2-2025'!$D$21:$D$40,
        'Wedgewood Pharm-GA-Yr2-2025'!$E$21:$L$40,0,0),0,0), "No Match")</f>
        <v>11.18</v>
      </c>
      <c r="K482" t="s">
        <v>47</v>
      </c>
      <c r="L482" t="s">
        <v>14</v>
      </c>
      <c r="M482" t="str">
        <f t="shared" si="7"/>
        <v>INSERT INTO TNL_RATING.dbo.usps_rate_master VALUES ('USPS', '2/13/2025', '2/13/2026', 12659, 'US', 'Ground Advantage', 4, 13, 'L', 11.18, 'Wedgewood_USPS_2025', 'NonCubic');</v>
      </c>
    </row>
    <row r="483" spans="1:13" x14ac:dyDescent="0.3">
      <c r="A483" t="s">
        <v>11</v>
      </c>
      <c r="B483" s="1" t="s">
        <v>44</v>
      </c>
      <c r="C483" s="1" t="s">
        <v>45</v>
      </c>
      <c r="D483">
        <v>12659</v>
      </c>
      <c r="E483" t="s">
        <v>12</v>
      </c>
      <c r="F483" t="s">
        <v>13</v>
      </c>
      <c r="G483">
        <v>4</v>
      </c>
      <c r="H483">
        <v>14</v>
      </c>
      <c r="I483" t="s">
        <v>46</v>
      </c>
      <c r="J483" cm="1">
        <f t="array" ref="J483">IFERROR(_xlfn.XLOOKUP(G483,'Wedgewood Pharm-GA-Yr2-2025'!$E$4:$L$4,
    _xlfn.XLOOKUP('Rate Load'!H483,'Wedgewood Pharm-GA-Yr2-2025'!$D$21:$D$40,
        'Wedgewood Pharm-GA-Yr2-2025'!$E$21:$L$40,0,0),0,0), "No Match")</f>
        <v>11.36</v>
      </c>
      <c r="K483" t="s">
        <v>47</v>
      </c>
      <c r="L483" t="s">
        <v>14</v>
      </c>
      <c r="M483" t="str">
        <f t="shared" si="7"/>
        <v>INSERT INTO TNL_RATING.dbo.usps_rate_master VALUES ('USPS', '2/13/2025', '2/13/2026', 12659, 'US', 'Ground Advantage', 4, 14, 'L', 11.36, 'Wedgewood_USPS_2025', 'NonCubic');</v>
      </c>
    </row>
    <row r="484" spans="1:13" x14ac:dyDescent="0.3">
      <c r="A484" t="s">
        <v>11</v>
      </c>
      <c r="B484" s="1" t="s">
        <v>44</v>
      </c>
      <c r="C484" s="1" t="s">
        <v>45</v>
      </c>
      <c r="D484">
        <v>12659</v>
      </c>
      <c r="E484" t="s">
        <v>12</v>
      </c>
      <c r="F484" t="s">
        <v>13</v>
      </c>
      <c r="G484">
        <v>4</v>
      </c>
      <c r="H484">
        <v>15</v>
      </c>
      <c r="I484" t="s">
        <v>46</v>
      </c>
      <c r="J484" cm="1">
        <f t="array" ref="J484">IFERROR(_xlfn.XLOOKUP(G484,'Wedgewood Pharm-GA-Yr2-2025'!$E$4:$L$4,
    _xlfn.XLOOKUP('Rate Load'!H484,'Wedgewood Pharm-GA-Yr2-2025'!$D$21:$D$40,
        'Wedgewood Pharm-GA-Yr2-2025'!$E$21:$L$40,0,0),0,0), "No Match")</f>
        <v>11.74</v>
      </c>
      <c r="K484" t="s">
        <v>47</v>
      </c>
      <c r="L484" t="s">
        <v>14</v>
      </c>
      <c r="M484" t="str">
        <f t="shared" si="7"/>
        <v>INSERT INTO TNL_RATING.dbo.usps_rate_master VALUES ('USPS', '2/13/2025', '2/13/2026', 12659, 'US', 'Ground Advantage', 4, 15, 'L', 11.74, 'Wedgewood_USPS_2025', 'NonCubic');</v>
      </c>
    </row>
    <row r="485" spans="1:13" x14ac:dyDescent="0.3">
      <c r="A485" t="s">
        <v>11</v>
      </c>
      <c r="B485" s="1" t="s">
        <v>44</v>
      </c>
      <c r="C485" s="1" t="s">
        <v>45</v>
      </c>
      <c r="D485">
        <v>12659</v>
      </c>
      <c r="E485" t="s">
        <v>12</v>
      </c>
      <c r="F485" t="s">
        <v>13</v>
      </c>
      <c r="G485">
        <v>4</v>
      </c>
      <c r="H485">
        <v>16</v>
      </c>
      <c r="I485" t="s">
        <v>46</v>
      </c>
      <c r="J485" cm="1">
        <f t="array" ref="J485">IFERROR(_xlfn.XLOOKUP(G485,'Wedgewood Pharm-GA-Yr2-2025'!$E$4:$L$4,
    _xlfn.XLOOKUP('Rate Load'!H485,'Wedgewood Pharm-GA-Yr2-2025'!$D$21:$D$40,
        'Wedgewood Pharm-GA-Yr2-2025'!$E$21:$L$40,0,0),0,0), "No Match")</f>
        <v>11.959999999999999</v>
      </c>
      <c r="K485" t="s">
        <v>47</v>
      </c>
      <c r="L485" t="s">
        <v>14</v>
      </c>
      <c r="M485" t="str">
        <f t="shared" si="7"/>
        <v>INSERT INTO TNL_RATING.dbo.usps_rate_master VALUES ('USPS', '2/13/2025', '2/13/2026', 12659, 'US', 'Ground Advantage', 4, 16, 'L', 11.96, 'Wedgewood_USPS_2025', 'NonCubic');</v>
      </c>
    </row>
    <row r="486" spans="1:13" x14ac:dyDescent="0.3">
      <c r="A486" t="s">
        <v>11</v>
      </c>
      <c r="B486" s="1" t="s">
        <v>44</v>
      </c>
      <c r="C486" s="1" t="s">
        <v>45</v>
      </c>
      <c r="D486">
        <v>12659</v>
      </c>
      <c r="E486" t="s">
        <v>12</v>
      </c>
      <c r="F486" t="s">
        <v>13</v>
      </c>
      <c r="G486">
        <v>4</v>
      </c>
      <c r="H486">
        <v>17</v>
      </c>
      <c r="I486" t="s">
        <v>46</v>
      </c>
      <c r="J486" cm="1">
        <f t="array" ref="J486">IFERROR(_xlfn.XLOOKUP(G486,'Wedgewood Pharm-GA-Yr2-2025'!$E$4:$L$4,
    _xlfn.XLOOKUP('Rate Load'!H486,'Wedgewood Pharm-GA-Yr2-2025'!$D$21:$D$40,
        'Wedgewood Pharm-GA-Yr2-2025'!$E$21:$L$40,0,0),0,0), "No Match")</f>
        <v>12.33</v>
      </c>
      <c r="K486" t="s">
        <v>47</v>
      </c>
      <c r="L486" t="s">
        <v>14</v>
      </c>
      <c r="M486" t="str">
        <f t="shared" si="7"/>
        <v>INSERT INTO TNL_RATING.dbo.usps_rate_master VALUES ('USPS', '2/13/2025', '2/13/2026', 12659, 'US', 'Ground Advantage', 4, 17, 'L', 12.33, 'Wedgewood_USPS_2025', 'NonCubic');</v>
      </c>
    </row>
    <row r="487" spans="1:13" x14ac:dyDescent="0.3">
      <c r="A487" t="s">
        <v>11</v>
      </c>
      <c r="B487" s="1" t="s">
        <v>44</v>
      </c>
      <c r="C487" s="1" t="s">
        <v>45</v>
      </c>
      <c r="D487">
        <v>12659</v>
      </c>
      <c r="E487" t="s">
        <v>12</v>
      </c>
      <c r="F487" t="s">
        <v>13</v>
      </c>
      <c r="G487">
        <v>4</v>
      </c>
      <c r="H487">
        <v>18</v>
      </c>
      <c r="I487" t="s">
        <v>46</v>
      </c>
      <c r="J487" cm="1">
        <f t="array" ref="J487">IFERROR(_xlfn.XLOOKUP(G487,'Wedgewood Pharm-GA-Yr2-2025'!$E$4:$L$4,
    _xlfn.XLOOKUP('Rate Load'!H487,'Wedgewood Pharm-GA-Yr2-2025'!$D$21:$D$40,
        'Wedgewood Pharm-GA-Yr2-2025'!$E$21:$L$40,0,0),0,0), "No Match")</f>
        <v>12.549999999999999</v>
      </c>
      <c r="K487" t="s">
        <v>47</v>
      </c>
      <c r="L487" t="s">
        <v>14</v>
      </c>
      <c r="M487" t="str">
        <f t="shared" si="7"/>
        <v>INSERT INTO TNL_RATING.dbo.usps_rate_master VALUES ('USPS', '2/13/2025', '2/13/2026', 12659, 'US', 'Ground Advantage', 4, 18, 'L', 12.55, 'Wedgewood_USPS_2025', 'NonCubic');</v>
      </c>
    </row>
    <row r="488" spans="1:13" x14ac:dyDescent="0.3">
      <c r="A488" t="s">
        <v>11</v>
      </c>
      <c r="B488" s="1" t="s">
        <v>44</v>
      </c>
      <c r="C488" s="1" t="s">
        <v>45</v>
      </c>
      <c r="D488">
        <v>12659</v>
      </c>
      <c r="E488" t="s">
        <v>12</v>
      </c>
      <c r="F488" t="s">
        <v>13</v>
      </c>
      <c r="G488">
        <v>4</v>
      </c>
      <c r="H488">
        <v>19</v>
      </c>
      <c r="I488" t="s">
        <v>46</v>
      </c>
      <c r="J488" cm="1">
        <f t="array" ref="J488">IFERROR(_xlfn.XLOOKUP(G488,'Wedgewood Pharm-GA-Yr2-2025'!$E$4:$L$4,
    _xlfn.XLOOKUP('Rate Load'!H488,'Wedgewood Pharm-GA-Yr2-2025'!$D$21:$D$40,
        'Wedgewood Pharm-GA-Yr2-2025'!$E$21:$L$40,0,0),0,0), "No Match")</f>
        <v>13.06</v>
      </c>
      <c r="K488" t="s">
        <v>47</v>
      </c>
      <c r="L488" t="s">
        <v>14</v>
      </c>
      <c r="M488" t="str">
        <f t="shared" si="7"/>
        <v>INSERT INTO TNL_RATING.dbo.usps_rate_master VALUES ('USPS', '2/13/2025', '2/13/2026', 12659, 'US', 'Ground Advantage', 4, 19, 'L', 13.06, 'Wedgewood_USPS_2025', 'NonCubic');</v>
      </c>
    </row>
    <row r="489" spans="1:13" x14ac:dyDescent="0.3">
      <c r="A489" t="s">
        <v>11</v>
      </c>
      <c r="B489" s="1" t="s">
        <v>44</v>
      </c>
      <c r="C489" s="1" t="s">
        <v>45</v>
      </c>
      <c r="D489">
        <v>12659</v>
      </c>
      <c r="E489" t="s">
        <v>12</v>
      </c>
      <c r="F489" t="s">
        <v>13</v>
      </c>
      <c r="G489">
        <v>4</v>
      </c>
      <c r="H489">
        <v>20</v>
      </c>
      <c r="I489" t="s">
        <v>46</v>
      </c>
      <c r="J489" cm="1">
        <f t="array" ref="J489">IFERROR(_xlfn.XLOOKUP(G489,'Wedgewood Pharm-GA-Yr2-2025'!$E$4:$L$4,
    _xlfn.XLOOKUP('Rate Load'!H489,'Wedgewood Pharm-GA-Yr2-2025'!$D$21:$D$40,
        'Wedgewood Pharm-GA-Yr2-2025'!$E$21:$L$40,0,0),0,0), "No Match")</f>
        <v>13.41</v>
      </c>
      <c r="K489" t="s">
        <v>47</v>
      </c>
      <c r="L489" t="s">
        <v>14</v>
      </c>
      <c r="M489" t="str">
        <f t="shared" si="7"/>
        <v>INSERT INTO TNL_RATING.dbo.usps_rate_master VALUES ('USPS', '2/13/2025', '2/13/2026', 12659, 'US', 'Ground Advantage', 4, 20, 'L', 13.41, 'Wedgewood_USPS_2025', 'NonCubic');</v>
      </c>
    </row>
    <row r="490" spans="1:13" x14ac:dyDescent="0.3">
      <c r="A490" t="s">
        <v>11</v>
      </c>
      <c r="B490" s="1" t="s">
        <v>44</v>
      </c>
      <c r="C490" s="1" t="s">
        <v>45</v>
      </c>
      <c r="D490">
        <v>12659</v>
      </c>
      <c r="E490" t="s">
        <v>12</v>
      </c>
      <c r="F490" t="s">
        <v>13</v>
      </c>
      <c r="G490">
        <v>5</v>
      </c>
      <c r="H490">
        <v>1</v>
      </c>
      <c r="I490" t="s">
        <v>46</v>
      </c>
      <c r="J490" cm="1">
        <f t="array" ref="J490">IFERROR(_xlfn.XLOOKUP(G490,'Wedgewood Pharm-GA-Yr2-2025'!$E$4:$L$4,
    _xlfn.XLOOKUP('Rate Load'!H490,'Wedgewood Pharm-GA-Yr2-2025'!$D$21:$D$40,
        'Wedgewood Pharm-GA-Yr2-2025'!$E$21:$L$40,0,0),0,0), "No Match")</f>
        <v>6.74</v>
      </c>
      <c r="K490" t="s">
        <v>47</v>
      </c>
      <c r="L490" t="s">
        <v>14</v>
      </c>
      <c r="M490" t="str">
        <f t="shared" si="7"/>
        <v>INSERT INTO TNL_RATING.dbo.usps_rate_master VALUES ('USPS', '2/13/2025', '2/13/2026', 12659, 'US', 'Ground Advantage', 5, 1, 'L', 6.74, 'Wedgewood_USPS_2025', 'NonCubic');</v>
      </c>
    </row>
    <row r="491" spans="1:13" x14ac:dyDescent="0.3">
      <c r="A491" t="s">
        <v>11</v>
      </c>
      <c r="B491" s="1" t="s">
        <v>44</v>
      </c>
      <c r="C491" s="1" t="s">
        <v>45</v>
      </c>
      <c r="D491">
        <v>12659</v>
      </c>
      <c r="E491" t="s">
        <v>12</v>
      </c>
      <c r="F491" t="s">
        <v>13</v>
      </c>
      <c r="G491">
        <v>5</v>
      </c>
      <c r="H491">
        <v>2</v>
      </c>
      <c r="I491" t="s">
        <v>46</v>
      </c>
      <c r="J491" cm="1">
        <f t="array" ref="J491">IFERROR(_xlfn.XLOOKUP(G491,'Wedgewood Pharm-GA-Yr2-2025'!$E$4:$L$4,
    _xlfn.XLOOKUP('Rate Load'!H491,'Wedgewood Pharm-GA-Yr2-2025'!$D$21:$D$40,
        'Wedgewood Pharm-GA-Yr2-2025'!$E$21:$L$40,0,0),0,0), "No Match")</f>
        <v>7.1499999999999995</v>
      </c>
      <c r="K491" t="s">
        <v>47</v>
      </c>
      <c r="L491" t="s">
        <v>14</v>
      </c>
      <c r="M491" t="str">
        <f t="shared" si="7"/>
        <v>INSERT INTO TNL_RATING.dbo.usps_rate_master VALUES ('USPS', '2/13/2025', '2/13/2026', 12659, 'US', 'Ground Advantage', 5, 2, 'L', 7.15, 'Wedgewood_USPS_2025', 'NonCubic');</v>
      </c>
    </row>
    <row r="492" spans="1:13" x14ac:dyDescent="0.3">
      <c r="A492" t="s">
        <v>11</v>
      </c>
      <c r="B492" s="1" t="s">
        <v>44</v>
      </c>
      <c r="C492" s="1" t="s">
        <v>45</v>
      </c>
      <c r="D492">
        <v>12659</v>
      </c>
      <c r="E492" t="s">
        <v>12</v>
      </c>
      <c r="F492" t="s">
        <v>13</v>
      </c>
      <c r="G492">
        <v>5</v>
      </c>
      <c r="H492">
        <v>3</v>
      </c>
      <c r="I492" t="s">
        <v>46</v>
      </c>
      <c r="J492" cm="1">
        <f t="array" ref="J492">IFERROR(_xlfn.XLOOKUP(G492,'Wedgewood Pharm-GA-Yr2-2025'!$E$4:$L$4,
    _xlfn.XLOOKUP('Rate Load'!H492,'Wedgewood Pharm-GA-Yr2-2025'!$D$21:$D$40,
        'Wedgewood Pharm-GA-Yr2-2025'!$E$21:$L$40,0,0),0,0), "No Match")</f>
        <v>7.8</v>
      </c>
      <c r="K492" t="s">
        <v>47</v>
      </c>
      <c r="L492" t="s">
        <v>14</v>
      </c>
      <c r="M492" t="str">
        <f t="shared" si="7"/>
        <v>INSERT INTO TNL_RATING.dbo.usps_rate_master VALUES ('USPS', '2/13/2025', '2/13/2026', 12659, 'US', 'Ground Advantage', 5, 3, 'L', 7.8, 'Wedgewood_USPS_2025', 'NonCubic');</v>
      </c>
    </row>
    <row r="493" spans="1:13" x14ac:dyDescent="0.3">
      <c r="A493" t="s">
        <v>11</v>
      </c>
      <c r="B493" s="1" t="s">
        <v>44</v>
      </c>
      <c r="C493" s="1" t="s">
        <v>45</v>
      </c>
      <c r="D493">
        <v>12659</v>
      </c>
      <c r="E493" t="s">
        <v>12</v>
      </c>
      <c r="F493" t="s">
        <v>13</v>
      </c>
      <c r="G493">
        <v>5</v>
      </c>
      <c r="H493">
        <v>4</v>
      </c>
      <c r="I493" t="s">
        <v>46</v>
      </c>
      <c r="J493" cm="1">
        <f t="array" ref="J493">IFERROR(_xlfn.XLOOKUP(G493,'Wedgewood Pharm-GA-Yr2-2025'!$E$4:$L$4,
    _xlfn.XLOOKUP('Rate Load'!H493,'Wedgewood Pharm-GA-Yr2-2025'!$D$21:$D$40,
        'Wedgewood Pharm-GA-Yr2-2025'!$E$21:$L$40,0,0),0,0), "No Match")</f>
        <v>8.74</v>
      </c>
      <c r="K493" t="s">
        <v>47</v>
      </c>
      <c r="L493" t="s">
        <v>14</v>
      </c>
      <c r="M493" t="str">
        <f t="shared" si="7"/>
        <v>INSERT INTO TNL_RATING.dbo.usps_rate_master VALUES ('USPS', '2/13/2025', '2/13/2026', 12659, 'US', 'Ground Advantage', 5, 4, 'L', 8.74, 'Wedgewood_USPS_2025', 'NonCubic');</v>
      </c>
    </row>
    <row r="494" spans="1:13" x14ac:dyDescent="0.3">
      <c r="A494" t="s">
        <v>11</v>
      </c>
      <c r="B494" s="1" t="s">
        <v>44</v>
      </c>
      <c r="C494" s="1" t="s">
        <v>45</v>
      </c>
      <c r="D494">
        <v>12659</v>
      </c>
      <c r="E494" t="s">
        <v>12</v>
      </c>
      <c r="F494" t="s">
        <v>13</v>
      </c>
      <c r="G494">
        <v>5</v>
      </c>
      <c r="H494">
        <v>5</v>
      </c>
      <c r="I494" t="s">
        <v>46</v>
      </c>
      <c r="J494" cm="1">
        <f t="array" ref="J494">IFERROR(_xlfn.XLOOKUP(G494,'Wedgewood Pharm-GA-Yr2-2025'!$E$4:$L$4,
    _xlfn.XLOOKUP('Rate Load'!H494,'Wedgewood Pharm-GA-Yr2-2025'!$D$21:$D$40,
        'Wedgewood Pharm-GA-Yr2-2025'!$E$21:$L$40,0,0),0,0), "No Match")</f>
        <v>8.98</v>
      </c>
      <c r="K494" t="s">
        <v>47</v>
      </c>
      <c r="L494" t="s">
        <v>14</v>
      </c>
      <c r="M494" t="str">
        <f t="shared" si="7"/>
        <v>INSERT INTO TNL_RATING.dbo.usps_rate_master VALUES ('USPS', '2/13/2025', '2/13/2026', 12659, 'US', 'Ground Advantage', 5, 5, 'L', 8.98, 'Wedgewood_USPS_2025', 'NonCubic');</v>
      </c>
    </row>
    <row r="495" spans="1:13" x14ac:dyDescent="0.3">
      <c r="A495" t="s">
        <v>11</v>
      </c>
      <c r="B495" s="1" t="s">
        <v>44</v>
      </c>
      <c r="C495" s="1" t="s">
        <v>45</v>
      </c>
      <c r="D495">
        <v>12659</v>
      </c>
      <c r="E495" t="s">
        <v>12</v>
      </c>
      <c r="F495" t="s">
        <v>13</v>
      </c>
      <c r="G495">
        <v>5</v>
      </c>
      <c r="H495">
        <v>6</v>
      </c>
      <c r="I495" t="s">
        <v>46</v>
      </c>
      <c r="J495" cm="1">
        <f t="array" ref="J495">IFERROR(_xlfn.XLOOKUP(G495,'Wedgewood Pharm-GA-Yr2-2025'!$E$4:$L$4,
    _xlfn.XLOOKUP('Rate Load'!H495,'Wedgewood Pharm-GA-Yr2-2025'!$D$21:$D$40,
        'Wedgewood Pharm-GA-Yr2-2025'!$E$21:$L$40,0,0),0,0), "No Match")</f>
        <v>10.14</v>
      </c>
      <c r="K495" t="s">
        <v>47</v>
      </c>
      <c r="L495" t="s">
        <v>14</v>
      </c>
      <c r="M495" t="str">
        <f t="shared" si="7"/>
        <v>INSERT INTO TNL_RATING.dbo.usps_rate_master VALUES ('USPS', '2/13/2025', '2/13/2026', 12659, 'US', 'Ground Advantage', 5, 6, 'L', 10.14, 'Wedgewood_USPS_2025', 'NonCubic');</v>
      </c>
    </row>
    <row r="496" spans="1:13" x14ac:dyDescent="0.3">
      <c r="A496" t="s">
        <v>11</v>
      </c>
      <c r="B496" s="1" t="s">
        <v>44</v>
      </c>
      <c r="C496" s="1" t="s">
        <v>45</v>
      </c>
      <c r="D496">
        <v>12659</v>
      </c>
      <c r="E496" t="s">
        <v>12</v>
      </c>
      <c r="F496" t="s">
        <v>13</v>
      </c>
      <c r="G496">
        <v>5</v>
      </c>
      <c r="H496">
        <v>7</v>
      </c>
      <c r="I496" t="s">
        <v>46</v>
      </c>
      <c r="J496" cm="1">
        <f t="array" ref="J496">IFERROR(_xlfn.XLOOKUP(G496,'Wedgewood Pharm-GA-Yr2-2025'!$E$4:$L$4,
    _xlfn.XLOOKUP('Rate Load'!H496,'Wedgewood Pharm-GA-Yr2-2025'!$D$21:$D$40,
        'Wedgewood Pharm-GA-Yr2-2025'!$E$21:$L$40,0,0),0,0), "No Match")</f>
        <v>10.48</v>
      </c>
      <c r="K496" t="s">
        <v>47</v>
      </c>
      <c r="L496" t="s">
        <v>14</v>
      </c>
      <c r="M496" t="str">
        <f t="shared" si="7"/>
        <v>INSERT INTO TNL_RATING.dbo.usps_rate_master VALUES ('USPS', '2/13/2025', '2/13/2026', 12659, 'US', 'Ground Advantage', 5, 7, 'L', 10.48, 'Wedgewood_USPS_2025', 'NonCubic');</v>
      </c>
    </row>
    <row r="497" spans="1:13" x14ac:dyDescent="0.3">
      <c r="A497" t="s">
        <v>11</v>
      </c>
      <c r="B497" s="1" t="s">
        <v>44</v>
      </c>
      <c r="C497" s="1" t="s">
        <v>45</v>
      </c>
      <c r="D497">
        <v>12659</v>
      </c>
      <c r="E497" t="s">
        <v>12</v>
      </c>
      <c r="F497" t="s">
        <v>13</v>
      </c>
      <c r="G497">
        <v>5</v>
      </c>
      <c r="H497">
        <v>8</v>
      </c>
      <c r="I497" t="s">
        <v>46</v>
      </c>
      <c r="J497" cm="1">
        <f t="array" ref="J497">IFERROR(_xlfn.XLOOKUP(G497,'Wedgewood Pharm-GA-Yr2-2025'!$E$4:$L$4,
    _xlfn.XLOOKUP('Rate Load'!H497,'Wedgewood Pharm-GA-Yr2-2025'!$D$21:$D$40,
        'Wedgewood Pharm-GA-Yr2-2025'!$E$21:$L$40,0,0),0,0), "No Match")</f>
        <v>10.75</v>
      </c>
      <c r="K497" t="s">
        <v>47</v>
      </c>
      <c r="L497" t="s">
        <v>14</v>
      </c>
      <c r="M497" t="str">
        <f t="shared" si="7"/>
        <v>INSERT INTO TNL_RATING.dbo.usps_rate_master VALUES ('USPS', '2/13/2025', '2/13/2026', 12659, 'US', 'Ground Advantage', 5, 8, 'L', 10.75, 'Wedgewood_USPS_2025', 'NonCubic');</v>
      </c>
    </row>
    <row r="498" spans="1:13" x14ac:dyDescent="0.3">
      <c r="A498" t="s">
        <v>11</v>
      </c>
      <c r="B498" s="1" t="s">
        <v>44</v>
      </c>
      <c r="C498" s="1" t="s">
        <v>45</v>
      </c>
      <c r="D498">
        <v>12659</v>
      </c>
      <c r="E498" t="s">
        <v>12</v>
      </c>
      <c r="F498" t="s">
        <v>13</v>
      </c>
      <c r="G498">
        <v>5</v>
      </c>
      <c r="H498">
        <v>9</v>
      </c>
      <c r="I498" t="s">
        <v>46</v>
      </c>
      <c r="J498" cm="1">
        <f t="array" ref="J498">IFERROR(_xlfn.XLOOKUP(G498,'Wedgewood Pharm-GA-Yr2-2025'!$E$4:$L$4,
    _xlfn.XLOOKUP('Rate Load'!H498,'Wedgewood Pharm-GA-Yr2-2025'!$D$21:$D$40,
        'Wedgewood Pharm-GA-Yr2-2025'!$E$21:$L$40,0,0),0,0), "No Match")</f>
        <v>10.92</v>
      </c>
      <c r="K498" t="s">
        <v>47</v>
      </c>
      <c r="L498" t="s">
        <v>14</v>
      </c>
      <c r="M498" t="str">
        <f t="shared" si="7"/>
        <v>INSERT INTO TNL_RATING.dbo.usps_rate_master VALUES ('USPS', '2/13/2025', '2/13/2026', 12659, 'US', 'Ground Advantage', 5, 9, 'L', 10.92, 'Wedgewood_USPS_2025', 'NonCubic');</v>
      </c>
    </row>
    <row r="499" spans="1:13" x14ac:dyDescent="0.3">
      <c r="A499" t="s">
        <v>11</v>
      </c>
      <c r="B499" s="1" t="s">
        <v>44</v>
      </c>
      <c r="C499" s="1" t="s">
        <v>45</v>
      </c>
      <c r="D499">
        <v>12659</v>
      </c>
      <c r="E499" t="s">
        <v>12</v>
      </c>
      <c r="F499" t="s">
        <v>13</v>
      </c>
      <c r="G499">
        <v>5</v>
      </c>
      <c r="H499">
        <v>10</v>
      </c>
      <c r="I499" t="s">
        <v>46</v>
      </c>
      <c r="J499" cm="1">
        <f t="array" ref="J499">IFERROR(_xlfn.XLOOKUP(G499,'Wedgewood Pharm-GA-Yr2-2025'!$E$4:$L$4,
    _xlfn.XLOOKUP('Rate Load'!H499,'Wedgewood Pharm-GA-Yr2-2025'!$D$21:$D$40,
        'Wedgewood Pharm-GA-Yr2-2025'!$E$21:$L$40,0,0),0,0), "No Match")</f>
        <v>11.2</v>
      </c>
      <c r="K499" t="s">
        <v>47</v>
      </c>
      <c r="L499" t="s">
        <v>14</v>
      </c>
      <c r="M499" t="str">
        <f t="shared" si="7"/>
        <v>INSERT INTO TNL_RATING.dbo.usps_rate_master VALUES ('USPS', '2/13/2025', '2/13/2026', 12659, 'US', 'Ground Advantage', 5, 10, 'L', 11.2, 'Wedgewood_USPS_2025', 'NonCubic');</v>
      </c>
    </row>
    <row r="500" spans="1:13" x14ac:dyDescent="0.3">
      <c r="A500" t="s">
        <v>11</v>
      </c>
      <c r="B500" s="1" t="s">
        <v>44</v>
      </c>
      <c r="C500" s="1" t="s">
        <v>45</v>
      </c>
      <c r="D500">
        <v>12659</v>
      </c>
      <c r="E500" t="s">
        <v>12</v>
      </c>
      <c r="F500" t="s">
        <v>13</v>
      </c>
      <c r="G500">
        <v>5</v>
      </c>
      <c r="H500">
        <v>11</v>
      </c>
      <c r="I500" t="s">
        <v>46</v>
      </c>
      <c r="J500" cm="1">
        <f t="array" ref="J500">IFERROR(_xlfn.XLOOKUP(G500,'Wedgewood Pharm-GA-Yr2-2025'!$E$4:$L$4,
    _xlfn.XLOOKUP('Rate Load'!H500,'Wedgewood Pharm-GA-Yr2-2025'!$D$21:$D$40,
        'Wedgewood Pharm-GA-Yr2-2025'!$E$21:$L$40,0,0),0,0), "No Match")</f>
        <v>11.5</v>
      </c>
      <c r="K500" t="s">
        <v>47</v>
      </c>
      <c r="L500" t="s">
        <v>14</v>
      </c>
      <c r="M500" t="str">
        <f t="shared" si="7"/>
        <v>INSERT INTO TNL_RATING.dbo.usps_rate_master VALUES ('USPS', '2/13/2025', '2/13/2026', 12659, 'US', 'Ground Advantage', 5, 11, 'L', 11.5, 'Wedgewood_USPS_2025', 'NonCubic');</v>
      </c>
    </row>
    <row r="501" spans="1:13" x14ac:dyDescent="0.3">
      <c r="A501" t="s">
        <v>11</v>
      </c>
      <c r="B501" s="1" t="s">
        <v>44</v>
      </c>
      <c r="C501" s="1" t="s">
        <v>45</v>
      </c>
      <c r="D501">
        <v>12659</v>
      </c>
      <c r="E501" t="s">
        <v>12</v>
      </c>
      <c r="F501" t="s">
        <v>13</v>
      </c>
      <c r="G501">
        <v>5</v>
      </c>
      <c r="H501">
        <v>12</v>
      </c>
      <c r="I501" t="s">
        <v>46</v>
      </c>
      <c r="J501" cm="1">
        <f t="array" ref="J501">IFERROR(_xlfn.XLOOKUP(G501,'Wedgewood Pharm-GA-Yr2-2025'!$E$4:$L$4,
    _xlfn.XLOOKUP('Rate Load'!H501,'Wedgewood Pharm-GA-Yr2-2025'!$D$21:$D$40,
        'Wedgewood Pharm-GA-Yr2-2025'!$E$21:$L$40,0,0),0,0), "No Match")</f>
        <v>11.81</v>
      </c>
      <c r="K501" t="s">
        <v>47</v>
      </c>
      <c r="L501" t="s">
        <v>14</v>
      </c>
      <c r="M501" t="str">
        <f t="shared" si="7"/>
        <v>INSERT INTO TNL_RATING.dbo.usps_rate_master VALUES ('USPS', '2/13/2025', '2/13/2026', 12659, 'US', 'Ground Advantage', 5, 12, 'L', 11.81, 'Wedgewood_USPS_2025', 'NonCubic');</v>
      </c>
    </row>
    <row r="502" spans="1:13" x14ac:dyDescent="0.3">
      <c r="A502" t="s">
        <v>11</v>
      </c>
      <c r="B502" s="1" t="s">
        <v>44</v>
      </c>
      <c r="C502" s="1" t="s">
        <v>45</v>
      </c>
      <c r="D502">
        <v>12659</v>
      </c>
      <c r="E502" t="s">
        <v>12</v>
      </c>
      <c r="F502" t="s">
        <v>13</v>
      </c>
      <c r="G502">
        <v>5</v>
      </c>
      <c r="H502">
        <v>13</v>
      </c>
      <c r="I502" t="s">
        <v>46</v>
      </c>
      <c r="J502" cm="1">
        <f t="array" ref="J502">IFERROR(_xlfn.XLOOKUP(G502,'Wedgewood Pharm-GA-Yr2-2025'!$E$4:$L$4,
    _xlfn.XLOOKUP('Rate Load'!H502,'Wedgewood Pharm-GA-Yr2-2025'!$D$21:$D$40,
        'Wedgewood Pharm-GA-Yr2-2025'!$E$21:$L$40,0,0),0,0), "No Match")</f>
        <v>12.25</v>
      </c>
      <c r="K502" t="s">
        <v>47</v>
      </c>
      <c r="L502" t="s">
        <v>14</v>
      </c>
      <c r="M502" t="str">
        <f t="shared" si="7"/>
        <v>INSERT INTO TNL_RATING.dbo.usps_rate_master VALUES ('USPS', '2/13/2025', '2/13/2026', 12659, 'US', 'Ground Advantage', 5, 13, 'L', 12.25, 'Wedgewood_USPS_2025', 'NonCubic');</v>
      </c>
    </row>
    <row r="503" spans="1:13" x14ac:dyDescent="0.3">
      <c r="A503" t="s">
        <v>11</v>
      </c>
      <c r="B503" s="1" t="s">
        <v>44</v>
      </c>
      <c r="C503" s="1" t="s">
        <v>45</v>
      </c>
      <c r="D503">
        <v>12659</v>
      </c>
      <c r="E503" t="s">
        <v>12</v>
      </c>
      <c r="F503" t="s">
        <v>13</v>
      </c>
      <c r="G503">
        <v>5</v>
      </c>
      <c r="H503">
        <v>14</v>
      </c>
      <c r="I503" t="s">
        <v>46</v>
      </c>
      <c r="J503" cm="1">
        <f t="array" ref="J503">IFERROR(_xlfn.XLOOKUP(G503,'Wedgewood Pharm-GA-Yr2-2025'!$E$4:$L$4,
    _xlfn.XLOOKUP('Rate Load'!H503,'Wedgewood Pharm-GA-Yr2-2025'!$D$21:$D$40,
        'Wedgewood Pharm-GA-Yr2-2025'!$E$21:$L$40,0,0),0,0), "No Match")</f>
        <v>12.56</v>
      </c>
      <c r="K503" t="s">
        <v>47</v>
      </c>
      <c r="L503" t="s">
        <v>14</v>
      </c>
      <c r="M503" t="str">
        <f t="shared" si="7"/>
        <v>INSERT INTO TNL_RATING.dbo.usps_rate_master VALUES ('USPS', '2/13/2025', '2/13/2026', 12659, 'US', 'Ground Advantage', 5, 14, 'L', 12.56, 'Wedgewood_USPS_2025', 'NonCubic');</v>
      </c>
    </row>
    <row r="504" spans="1:13" x14ac:dyDescent="0.3">
      <c r="A504" t="s">
        <v>11</v>
      </c>
      <c r="B504" s="1" t="s">
        <v>44</v>
      </c>
      <c r="C504" s="1" t="s">
        <v>45</v>
      </c>
      <c r="D504">
        <v>12659</v>
      </c>
      <c r="E504" t="s">
        <v>12</v>
      </c>
      <c r="F504" t="s">
        <v>13</v>
      </c>
      <c r="G504">
        <v>5</v>
      </c>
      <c r="H504">
        <v>15</v>
      </c>
      <c r="I504" t="s">
        <v>46</v>
      </c>
      <c r="J504" cm="1">
        <f t="array" ref="J504">IFERROR(_xlfn.XLOOKUP(G504,'Wedgewood Pharm-GA-Yr2-2025'!$E$4:$L$4,
    _xlfn.XLOOKUP('Rate Load'!H504,'Wedgewood Pharm-GA-Yr2-2025'!$D$21:$D$40,
        'Wedgewood Pharm-GA-Yr2-2025'!$E$21:$L$40,0,0),0,0), "No Match")</f>
        <v>13.15</v>
      </c>
      <c r="K504" t="s">
        <v>47</v>
      </c>
      <c r="L504" t="s">
        <v>14</v>
      </c>
      <c r="M504" t="str">
        <f t="shared" si="7"/>
        <v>INSERT INTO TNL_RATING.dbo.usps_rate_master VALUES ('USPS', '2/13/2025', '2/13/2026', 12659, 'US', 'Ground Advantage', 5, 15, 'L', 13.15, 'Wedgewood_USPS_2025', 'NonCubic');</v>
      </c>
    </row>
    <row r="505" spans="1:13" x14ac:dyDescent="0.3">
      <c r="A505" t="s">
        <v>11</v>
      </c>
      <c r="B505" s="1" t="s">
        <v>44</v>
      </c>
      <c r="C505" s="1" t="s">
        <v>45</v>
      </c>
      <c r="D505">
        <v>12659</v>
      </c>
      <c r="E505" t="s">
        <v>12</v>
      </c>
      <c r="F505" t="s">
        <v>13</v>
      </c>
      <c r="G505">
        <v>5</v>
      </c>
      <c r="H505">
        <v>16</v>
      </c>
      <c r="I505" t="s">
        <v>46</v>
      </c>
      <c r="J505" cm="1">
        <f t="array" ref="J505">IFERROR(_xlfn.XLOOKUP(G505,'Wedgewood Pharm-GA-Yr2-2025'!$E$4:$L$4,
    _xlfn.XLOOKUP('Rate Load'!H505,'Wedgewood Pharm-GA-Yr2-2025'!$D$21:$D$40,
        'Wedgewood Pharm-GA-Yr2-2025'!$E$21:$L$40,0,0),0,0), "No Match")</f>
        <v>13.42</v>
      </c>
      <c r="K505" t="s">
        <v>47</v>
      </c>
      <c r="L505" t="s">
        <v>14</v>
      </c>
      <c r="M505" t="str">
        <f t="shared" si="7"/>
        <v>INSERT INTO TNL_RATING.dbo.usps_rate_master VALUES ('USPS', '2/13/2025', '2/13/2026', 12659, 'US', 'Ground Advantage', 5, 16, 'L', 13.42, 'Wedgewood_USPS_2025', 'NonCubic');</v>
      </c>
    </row>
    <row r="506" spans="1:13" x14ac:dyDescent="0.3">
      <c r="A506" t="s">
        <v>11</v>
      </c>
      <c r="B506" s="1" t="s">
        <v>44</v>
      </c>
      <c r="C506" s="1" t="s">
        <v>45</v>
      </c>
      <c r="D506">
        <v>12659</v>
      </c>
      <c r="E506" t="s">
        <v>12</v>
      </c>
      <c r="F506" t="s">
        <v>13</v>
      </c>
      <c r="G506">
        <v>5</v>
      </c>
      <c r="H506">
        <v>17</v>
      </c>
      <c r="I506" t="s">
        <v>46</v>
      </c>
      <c r="J506" cm="1">
        <f t="array" ref="J506">IFERROR(_xlfn.XLOOKUP(G506,'Wedgewood Pharm-GA-Yr2-2025'!$E$4:$L$4,
    _xlfn.XLOOKUP('Rate Load'!H506,'Wedgewood Pharm-GA-Yr2-2025'!$D$21:$D$40,
        'Wedgewood Pharm-GA-Yr2-2025'!$E$21:$L$40,0,0),0,0), "No Match")</f>
        <v>13.98</v>
      </c>
      <c r="K506" t="s">
        <v>47</v>
      </c>
      <c r="L506" t="s">
        <v>14</v>
      </c>
      <c r="M506" t="str">
        <f t="shared" si="7"/>
        <v>INSERT INTO TNL_RATING.dbo.usps_rate_master VALUES ('USPS', '2/13/2025', '2/13/2026', 12659, 'US', 'Ground Advantage', 5, 17, 'L', 13.98, 'Wedgewood_USPS_2025', 'NonCubic');</v>
      </c>
    </row>
    <row r="507" spans="1:13" x14ac:dyDescent="0.3">
      <c r="A507" t="s">
        <v>11</v>
      </c>
      <c r="B507" s="1" t="s">
        <v>44</v>
      </c>
      <c r="C507" s="1" t="s">
        <v>45</v>
      </c>
      <c r="D507">
        <v>12659</v>
      </c>
      <c r="E507" t="s">
        <v>12</v>
      </c>
      <c r="F507" t="s">
        <v>13</v>
      </c>
      <c r="G507">
        <v>5</v>
      </c>
      <c r="H507">
        <v>18</v>
      </c>
      <c r="I507" t="s">
        <v>46</v>
      </c>
      <c r="J507" cm="1">
        <f t="array" ref="J507">IFERROR(_xlfn.XLOOKUP(G507,'Wedgewood Pharm-GA-Yr2-2025'!$E$4:$L$4,
    _xlfn.XLOOKUP('Rate Load'!H507,'Wedgewood Pharm-GA-Yr2-2025'!$D$21:$D$40,
        'Wedgewood Pharm-GA-Yr2-2025'!$E$21:$L$40,0,0),0,0), "No Match")</f>
        <v>14.549999999999999</v>
      </c>
      <c r="K507" t="s">
        <v>47</v>
      </c>
      <c r="L507" t="s">
        <v>14</v>
      </c>
      <c r="M507" t="str">
        <f t="shared" si="7"/>
        <v>INSERT INTO TNL_RATING.dbo.usps_rate_master VALUES ('USPS', '2/13/2025', '2/13/2026', 12659, 'US', 'Ground Advantage', 5, 18, 'L', 14.55, 'Wedgewood_USPS_2025', 'NonCubic');</v>
      </c>
    </row>
    <row r="508" spans="1:13" x14ac:dyDescent="0.3">
      <c r="A508" t="s">
        <v>11</v>
      </c>
      <c r="B508" s="1" t="s">
        <v>44</v>
      </c>
      <c r="C508" s="1" t="s">
        <v>45</v>
      </c>
      <c r="D508">
        <v>12659</v>
      </c>
      <c r="E508" t="s">
        <v>12</v>
      </c>
      <c r="F508" t="s">
        <v>13</v>
      </c>
      <c r="G508">
        <v>5</v>
      </c>
      <c r="H508">
        <v>19</v>
      </c>
      <c r="I508" t="s">
        <v>46</v>
      </c>
      <c r="J508" cm="1">
        <f t="array" ref="J508">IFERROR(_xlfn.XLOOKUP(G508,'Wedgewood Pharm-GA-Yr2-2025'!$E$4:$L$4,
    _xlfn.XLOOKUP('Rate Load'!H508,'Wedgewood Pharm-GA-Yr2-2025'!$D$21:$D$40,
        'Wedgewood Pharm-GA-Yr2-2025'!$E$21:$L$40,0,0),0,0), "No Match")</f>
        <v>15.37</v>
      </c>
      <c r="K508" t="s">
        <v>47</v>
      </c>
      <c r="L508" t="s">
        <v>14</v>
      </c>
      <c r="M508" t="str">
        <f t="shared" si="7"/>
        <v>INSERT INTO TNL_RATING.dbo.usps_rate_master VALUES ('USPS', '2/13/2025', '2/13/2026', 12659, 'US', 'Ground Advantage', 5, 19, 'L', 15.37, 'Wedgewood_USPS_2025', 'NonCubic');</v>
      </c>
    </row>
    <row r="509" spans="1:13" x14ac:dyDescent="0.3">
      <c r="A509" t="s">
        <v>11</v>
      </c>
      <c r="B509" s="1" t="s">
        <v>44</v>
      </c>
      <c r="C509" s="1" t="s">
        <v>45</v>
      </c>
      <c r="D509">
        <v>12659</v>
      </c>
      <c r="E509" t="s">
        <v>12</v>
      </c>
      <c r="F509" t="s">
        <v>13</v>
      </c>
      <c r="G509">
        <v>5</v>
      </c>
      <c r="H509">
        <v>20</v>
      </c>
      <c r="I509" t="s">
        <v>46</v>
      </c>
      <c r="J509" cm="1">
        <f t="array" ref="J509">IFERROR(_xlfn.XLOOKUP(G509,'Wedgewood Pharm-GA-Yr2-2025'!$E$4:$L$4,
    _xlfn.XLOOKUP('Rate Load'!H509,'Wedgewood Pharm-GA-Yr2-2025'!$D$21:$D$40,
        'Wedgewood Pharm-GA-Yr2-2025'!$E$21:$L$40,0,0),0,0), "No Match")</f>
        <v>15.83</v>
      </c>
      <c r="K509" t="s">
        <v>47</v>
      </c>
      <c r="L509" t="s">
        <v>14</v>
      </c>
      <c r="M509" t="str">
        <f t="shared" si="7"/>
        <v>INSERT INTO TNL_RATING.dbo.usps_rate_master VALUES ('USPS', '2/13/2025', '2/13/2026', 12659, 'US', 'Ground Advantage', 5, 20, 'L', 15.83, 'Wedgewood_USPS_2025', 'NonCubic');</v>
      </c>
    </row>
    <row r="510" spans="1:13" x14ac:dyDescent="0.3">
      <c r="A510" t="s">
        <v>11</v>
      </c>
      <c r="B510" s="1" t="s">
        <v>44</v>
      </c>
      <c r="C510" s="1" t="s">
        <v>45</v>
      </c>
      <c r="D510">
        <v>12659</v>
      </c>
      <c r="E510" t="s">
        <v>12</v>
      </c>
      <c r="F510" t="s">
        <v>13</v>
      </c>
      <c r="G510">
        <v>6</v>
      </c>
      <c r="H510">
        <v>1</v>
      </c>
      <c r="I510" t="s">
        <v>46</v>
      </c>
      <c r="J510" cm="1">
        <f t="array" ref="J510">IFERROR(_xlfn.XLOOKUP(G510,'Wedgewood Pharm-GA-Yr2-2025'!$E$4:$L$4,
    _xlfn.XLOOKUP('Rate Load'!H510,'Wedgewood Pharm-GA-Yr2-2025'!$D$21:$D$40,
        'Wedgewood Pharm-GA-Yr2-2025'!$E$21:$L$40,0,0),0,0), "No Match")</f>
        <v>6.96</v>
      </c>
      <c r="K510" t="s">
        <v>47</v>
      </c>
      <c r="L510" t="s">
        <v>14</v>
      </c>
      <c r="M510" t="str">
        <f t="shared" si="7"/>
        <v>INSERT INTO TNL_RATING.dbo.usps_rate_master VALUES ('USPS', '2/13/2025', '2/13/2026', 12659, 'US', 'Ground Advantage', 6, 1, 'L', 6.96, 'Wedgewood_USPS_2025', 'NonCubic');</v>
      </c>
    </row>
    <row r="511" spans="1:13" x14ac:dyDescent="0.3">
      <c r="A511" t="s">
        <v>11</v>
      </c>
      <c r="B511" s="1" t="s">
        <v>44</v>
      </c>
      <c r="C511" s="1" t="s">
        <v>45</v>
      </c>
      <c r="D511">
        <v>12659</v>
      </c>
      <c r="E511" t="s">
        <v>12</v>
      </c>
      <c r="F511" t="s">
        <v>13</v>
      </c>
      <c r="G511">
        <v>6</v>
      </c>
      <c r="H511">
        <v>2</v>
      </c>
      <c r="I511" t="s">
        <v>46</v>
      </c>
      <c r="J511" cm="1">
        <f t="array" ref="J511">IFERROR(_xlfn.XLOOKUP(G511,'Wedgewood Pharm-GA-Yr2-2025'!$E$4:$L$4,
    _xlfn.XLOOKUP('Rate Load'!H511,'Wedgewood Pharm-GA-Yr2-2025'!$D$21:$D$40,
        'Wedgewood Pharm-GA-Yr2-2025'!$E$21:$L$40,0,0),0,0), "No Match")</f>
        <v>8.0299999999999994</v>
      </c>
      <c r="K511" t="s">
        <v>47</v>
      </c>
      <c r="L511" t="s">
        <v>14</v>
      </c>
      <c r="M511" t="str">
        <f t="shared" si="7"/>
        <v>INSERT INTO TNL_RATING.dbo.usps_rate_master VALUES ('USPS', '2/13/2025', '2/13/2026', 12659, 'US', 'Ground Advantage', 6, 2, 'L', 8.03, 'Wedgewood_USPS_2025', 'NonCubic');</v>
      </c>
    </row>
    <row r="512" spans="1:13" x14ac:dyDescent="0.3">
      <c r="A512" t="s">
        <v>11</v>
      </c>
      <c r="B512" s="1" t="s">
        <v>44</v>
      </c>
      <c r="C512" s="1" t="s">
        <v>45</v>
      </c>
      <c r="D512">
        <v>12659</v>
      </c>
      <c r="E512" t="s">
        <v>12</v>
      </c>
      <c r="F512" t="s">
        <v>13</v>
      </c>
      <c r="G512">
        <v>6</v>
      </c>
      <c r="H512">
        <v>3</v>
      </c>
      <c r="I512" t="s">
        <v>46</v>
      </c>
      <c r="J512" cm="1">
        <f t="array" ref="J512">IFERROR(_xlfn.XLOOKUP(G512,'Wedgewood Pharm-GA-Yr2-2025'!$E$4:$L$4,
    _xlfn.XLOOKUP('Rate Load'!H512,'Wedgewood Pharm-GA-Yr2-2025'!$D$21:$D$40,
        'Wedgewood Pharm-GA-Yr2-2025'!$E$21:$L$40,0,0),0,0), "No Match")</f>
        <v>9.2899999999999991</v>
      </c>
      <c r="K512" t="s">
        <v>47</v>
      </c>
      <c r="L512" t="s">
        <v>14</v>
      </c>
      <c r="M512" t="str">
        <f t="shared" si="7"/>
        <v>INSERT INTO TNL_RATING.dbo.usps_rate_master VALUES ('USPS', '2/13/2025', '2/13/2026', 12659, 'US', 'Ground Advantage', 6, 3, 'L', 9.29, 'Wedgewood_USPS_2025', 'NonCubic');</v>
      </c>
    </row>
    <row r="513" spans="1:13" x14ac:dyDescent="0.3">
      <c r="A513" t="s">
        <v>11</v>
      </c>
      <c r="B513" s="1" t="s">
        <v>44</v>
      </c>
      <c r="C513" s="1" t="s">
        <v>45</v>
      </c>
      <c r="D513">
        <v>12659</v>
      </c>
      <c r="E513" t="s">
        <v>12</v>
      </c>
      <c r="F513" t="s">
        <v>13</v>
      </c>
      <c r="G513">
        <v>6</v>
      </c>
      <c r="H513">
        <v>4</v>
      </c>
      <c r="I513" t="s">
        <v>46</v>
      </c>
      <c r="J513" cm="1">
        <f t="array" ref="J513">IFERROR(_xlfn.XLOOKUP(G513,'Wedgewood Pharm-GA-Yr2-2025'!$E$4:$L$4,
    _xlfn.XLOOKUP('Rate Load'!H513,'Wedgewood Pharm-GA-Yr2-2025'!$D$21:$D$40,
        'Wedgewood Pharm-GA-Yr2-2025'!$E$21:$L$40,0,0),0,0), "No Match")</f>
        <v>9.84</v>
      </c>
      <c r="K513" t="s">
        <v>47</v>
      </c>
      <c r="L513" t="s">
        <v>14</v>
      </c>
      <c r="M513" t="str">
        <f t="shared" si="7"/>
        <v>INSERT INTO TNL_RATING.dbo.usps_rate_master VALUES ('USPS', '2/13/2025', '2/13/2026', 12659, 'US', 'Ground Advantage', 6, 4, 'L', 9.84, 'Wedgewood_USPS_2025', 'NonCubic');</v>
      </c>
    </row>
    <row r="514" spans="1:13" x14ac:dyDescent="0.3">
      <c r="A514" t="s">
        <v>11</v>
      </c>
      <c r="B514" s="1" t="s">
        <v>44</v>
      </c>
      <c r="C514" s="1" t="s">
        <v>45</v>
      </c>
      <c r="D514">
        <v>12659</v>
      </c>
      <c r="E514" t="s">
        <v>12</v>
      </c>
      <c r="F514" t="s">
        <v>13</v>
      </c>
      <c r="G514">
        <v>6</v>
      </c>
      <c r="H514">
        <v>5</v>
      </c>
      <c r="I514" t="s">
        <v>46</v>
      </c>
      <c r="J514" cm="1">
        <f t="array" ref="J514">IFERROR(_xlfn.XLOOKUP(G514,'Wedgewood Pharm-GA-Yr2-2025'!$E$4:$L$4,
    _xlfn.XLOOKUP('Rate Load'!H514,'Wedgewood Pharm-GA-Yr2-2025'!$D$21:$D$40,
        'Wedgewood Pharm-GA-Yr2-2025'!$E$21:$L$40,0,0),0,0), "No Match")</f>
        <v>10.43</v>
      </c>
      <c r="K514" t="s">
        <v>47</v>
      </c>
      <c r="L514" t="s">
        <v>14</v>
      </c>
      <c r="M514" t="str">
        <f t="shared" si="7"/>
        <v>INSERT INTO TNL_RATING.dbo.usps_rate_master VALUES ('USPS', '2/13/2025', '2/13/2026', 12659, 'US', 'Ground Advantage', 6, 5, 'L', 10.43, 'Wedgewood_USPS_2025', 'NonCubic');</v>
      </c>
    </row>
    <row r="515" spans="1:13" x14ac:dyDescent="0.3">
      <c r="A515" t="s">
        <v>11</v>
      </c>
      <c r="B515" s="1" t="s">
        <v>44</v>
      </c>
      <c r="C515" s="1" t="s">
        <v>45</v>
      </c>
      <c r="D515">
        <v>12659</v>
      </c>
      <c r="E515" t="s">
        <v>12</v>
      </c>
      <c r="F515" t="s">
        <v>13</v>
      </c>
      <c r="G515">
        <v>6</v>
      </c>
      <c r="H515">
        <v>6</v>
      </c>
      <c r="I515" t="s">
        <v>46</v>
      </c>
      <c r="J515" cm="1">
        <f t="array" ref="J515">IFERROR(_xlfn.XLOOKUP(G515,'Wedgewood Pharm-GA-Yr2-2025'!$E$4:$L$4,
    _xlfn.XLOOKUP('Rate Load'!H515,'Wedgewood Pharm-GA-Yr2-2025'!$D$21:$D$40,
        'Wedgewood Pharm-GA-Yr2-2025'!$E$21:$L$40,0,0),0,0), "No Match")</f>
        <v>10.7</v>
      </c>
      <c r="K515" t="s">
        <v>47</v>
      </c>
      <c r="L515" t="s">
        <v>14</v>
      </c>
      <c r="M515" t="str">
        <f t="shared" ref="M515:M569" si="8">"INSERT INTO TNL_RATING.dbo.usps_rate_master VALUES ('" &amp; A515 &amp; "', '" &amp; B515 &amp; "', '" &amp; C515 &amp; "', " &amp; D515 &amp; ", '" &amp; E515 &amp; "', '" &amp; F515 &amp; "', " &amp; G515 &amp; ", " &amp; H515 &amp; ", '" &amp; I515 &amp; "', " &amp; J515 &amp; ", '" &amp; K515 &amp; "', '" &amp; L515 &amp; "');"</f>
        <v>INSERT INTO TNL_RATING.dbo.usps_rate_master VALUES ('USPS', '2/13/2025', '2/13/2026', 12659, 'US', 'Ground Advantage', 6, 6, 'L', 10.7, 'Wedgewood_USPS_2025', 'NonCubic');</v>
      </c>
    </row>
    <row r="516" spans="1:13" x14ac:dyDescent="0.3">
      <c r="A516" t="s">
        <v>11</v>
      </c>
      <c r="B516" s="1" t="s">
        <v>44</v>
      </c>
      <c r="C516" s="1" t="s">
        <v>45</v>
      </c>
      <c r="D516">
        <v>12659</v>
      </c>
      <c r="E516" t="s">
        <v>12</v>
      </c>
      <c r="F516" t="s">
        <v>13</v>
      </c>
      <c r="G516">
        <v>6</v>
      </c>
      <c r="H516">
        <v>7</v>
      </c>
      <c r="I516" t="s">
        <v>46</v>
      </c>
      <c r="J516" cm="1">
        <f t="array" ref="J516">IFERROR(_xlfn.XLOOKUP(G516,'Wedgewood Pharm-GA-Yr2-2025'!$E$4:$L$4,
    _xlfn.XLOOKUP('Rate Load'!H516,'Wedgewood Pharm-GA-Yr2-2025'!$D$21:$D$40,
        'Wedgewood Pharm-GA-Yr2-2025'!$E$21:$L$40,0,0),0,0), "No Match")</f>
        <v>11.03</v>
      </c>
      <c r="K516" t="s">
        <v>47</v>
      </c>
      <c r="L516" t="s">
        <v>14</v>
      </c>
      <c r="M516" t="str">
        <f t="shared" si="8"/>
        <v>INSERT INTO TNL_RATING.dbo.usps_rate_master VALUES ('USPS', '2/13/2025', '2/13/2026', 12659, 'US', 'Ground Advantage', 6, 7, 'L', 11.03, 'Wedgewood_USPS_2025', 'NonCubic');</v>
      </c>
    </row>
    <row r="517" spans="1:13" x14ac:dyDescent="0.3">
      <c r="A517" t="s">
        <v>11</v>
      </c>
      <c r="B517" s="1" t="s">
        <v>44</v>
      </c>
      <c r="C517" s="1" t="s">
        <v>45</v>
      </c>
      <c r="D517">
        <v>12659</v>
      </c>
      <c r="E517" t="s">
        <v>12</v>
      </c>
      <c r="F517" t="s">
        <v>13</v>
      </c>
      <c r="G517">
        <v>6</v>
      </c>
      <c r="H517">
        <v>8</v>
      </c>
      <c r="I517" t="s">
        <v>46</v>
      </c>
      <c r="J517" cm="1">
        <f t="array" ref="J517">IFERROR(_xlfn.XLOOKUP(G517,'Wedgewood Pharm-GA-Yr2-2025'!$E$4:$L$4,
    _xlfn.XLOOKUP('Rate Load'!H517,'Wedgewood Pharm-GA-Yr2-2025'!$D$21:$D$40,
        'Wedgewood Pharm-GA-Yr2-2025'!$E$21:$L$40,0,0),0,0), "No Match")</f>
        <v>11.4</v>
      </c>
      <c r="K517" t="s">
        <v>47</v>
      </c>
      <c r="L517" t="s">
        <v>14</v>
      </c>
      <c r="M517" t="str">
        <f t="shared" si="8"/>
        <v>INSERT INTO TNL_RATING.dbo.usps_rate_master VALUES ('USPS', '2/13/2025', '2/13/2026', 12659, 'US', 'Ground Advantage', 6, 8, 'L', 11.4, 'Wedgewood_USPS_2025', 'NonCubic');</v>
      </c>
    </row>
    <row r="518" spans="1:13" x14ac:dyDescent="0.3">
      <c r="A518" t="s">
        <v>11</v>
      </c>
      <c r="B518" s="1" t="s">
        <v>44</v>
      </c>
      <c r="C518" s="1" t="s">
        <v>45</v>
      </c>
      <c r="D518">
        <v>12659</v>
      </c>
      <c r="E518" t="s">
        <v>12</v>
      </c>
      <c r="F518" t="s">
        <v>13</v>
      </c>
      <c r="G518">
        <v>6</v>
      </c>
      <c r="H518">
        <v>9</v>
      </c>
      <c r="I518" t="s">
        <v>46</v>
      </c>
      <c r="J518" cm="1">
        <f t="array" ref="J518">IFERROR(_xlfn.XLOOKUP(G518,'Wedgewood Pharm-GA-Yr2-2025'!$E$4:$L$4,
    _xlfn.XLOOKUP('Rate Load'!H518,'Wedgewood Pharm-GA-Yr2-2025'!$D$21:$D$40,
        'Wedgewood Pharm-GA-Yr2-2025'!$E$21:$L$40,0,0),0,0), "No Match")</f>
        <v>11.69</v>
      </c>
      <c r="K518" t="s">
        <v>47</v>
      </c>
      <c r="L518" t="s">
        <v>14</v>
      </c>
      <c r="M518" t="str">
        <f t="shared" si="8"/>
        <v>INSERT INTO TNL_RATING.dbo.usps_rate_master VALUES ('USPS', '2/13/2025', '2/13/2026', 12659, 'US', 'Ground Advantage', 6, 9, 'L', 11.69, 'Wedgewood_USPS_2025', 'NonCubic');</v>
      </c>
    </row>
    <row r="519" spans="1:13" x14ac:dyDescent="0.3">
      <c r="A519" t="s">
        <v>11</v>
      </c>
      <c r="B519" s="1" t="s">
        <v>44</v>
      </c>
      <c r="C519" s="1" t="s">
        <v>45</v>
      </c>
      <c r="D519">
        <v>12659</v>
      </c>
      <c r="E519" t="s">
        <v>12</v>
      </c>
      <c r="F519" t="s">
        <v>13</v>
      </c>
      <c r="G519">
        <v>6</v>
      </c>
      <c r="H519">
        <v>10</v>
      </c>
      <c r="I519" t="s">
        <v>46</v>
      </c>
      <c r="J519" cm="1">
        <f t="array" ref="J519">IFERROR(_xlfn.XLOOKUP(G519,'Wedgewood Pharm-GA-Yr2-2025'!$E$4:$L$4,
    _xlfn.XLOOKUP('Rate Load'!H519,'Wedgewood Pharm-GA-Yr2-2025'!$D$21:$D$40,
        'Wedgewood Pharm-GA-Yr2-2025'!$E$21:$L$40,0,0),0,0), "No Match")</f>
        <v>11.99</v>
      </c>
      <c r="K519" t="s">
        <v>47</v>
      </c>
      <c r="L519" t="s">
        <v>14</v>
      </c>
      <c r="M519" t="str">
        <f t="shared" si="8"/>
        <v>INSERT INTO TNL_RATING.dbo.usps_rate_master VALUES ('USPS', '2/13/2025', '2/13/2026', 12659, 'US', 'Ground Advantage', 6, 10, 'L', 11.99, 'Wedgewood_USPS_2025', 'NonCubic');</v>
      </c>
    </row>
    <row r="520" spans="1:13" x14ac:dyDescent="0.3">
      <c r="A520" t="s">
        <v>11</v>
      </c>
      <c r="B520" s="1" t="s">
        <v>44</v>
      </c>
      <c r="C520" s="1" t="s">
        <v>45</v>
      </c>
      <c r="D520">
        <v>12659</v>
      </c>
      <c r="E520" t="s">
        <v>12</v>
      </c>
      <c r="F520" t="s">
        <v>13</v>
      </c>
      <c r="G520">
        <v>6</v>
      </c>
      <c r="H520">
        <v>11</v>
      </c>
      <c r="I520" t="s">
        <v>46</v>
      </c>
      <c r="J520" cm="1">
        <f t="array" ref="J520">IFERROR(_xlfn.XLOOKUP(G520,'Wedgewood Pharm-GA-Yr2-2025'!$E$4:$L$4,
    _xlfn.XLOOKUP('Rate Load'!H520,'Wedgewood Pharm-GA-Yr2-2025'!$D$21:$D$40,
        'Wedgewood Pharm-GA-Yr2-2025'!$E$21:$L$40,0,0),0,0), "No Match")</f>
        <v>12.42</v>
      </c>
      <c r="K520" t="s">
        <v>47</v>
      </c>
      <c r="L520" t="s">
        <v>14</v>
      </c>
      <c r="M520" t="str">
        <f t="shared" si="8"/>
        <v>INSERT INTO TNL_RATING.dbo.usps_rate_master VALUES ('USPS', '2/13/2025', '2/13/2026', 12659, 'US', 'Ground Advantage', 6, 11, 'L', 12.42, 'Wedgewood_USPS_2025', 'NonCubic');</v>
      </c>
    </row>
    <row r="521" spans="1:13" x14ac:dyDescent="0.3">
      <c r="A521" t="s">
        <v>11</v>
      </c>
      <c r="B521" s="1" t="s">
        <v>44</v>
      </c>
      <c r="C521" s="1" t="s">
        <v>45</v>
      </c>
      <c r="D521">
        <v>12659</v>
      </c>
      <c r="E521" t="s">
        <v>12</v>
      </c>
      <c r="F521" t="s">
        <v>13</v>
      </c>
      <c r="G521">
        <v>6</v>
      </c>
      <c r="H521">
        <v>12</v>
      </c>
      <c r="I521" t="s">
        <v>46</v>
      </c>
      <c r="J521" cm="1">
        <f t="array" ref="J521">IFERROR(_xlfn.XLOOKUP(G521,'Wedgewood Pharm-GA-Yr2-2025'!$E$4:$L$4,
    _xlfn.XLOOKUP('Rate Load'!H521,'Wedgewood Pharm-GA-Yr2-2025'!$D$21:$D$40,
        'Wedgewood Pharm-GA-Yr2-2025'!$E$21:$L$40,0,0),0,0), "No Match")</f>
        <v>12.959999999999999</v>
      </c>
      <c r="K521" t="s">
        <v>47</v>
      </c>
      <c r="L521" t="s">
        <v>14</v>
      </c>
      <c r="M521" t="str">
        <f t="shared" si="8"/>
        <v>INSERT INTO TNL_RATING.dbo.usps_rate_master VALUES ('USPS', '2/13/2025', '2/13/2026', 12659, 'US', 'Ground Advantage', 6, 12, 'L', 12.96, 'Wedgewood_USPS_2025', 'NonCubic');</v>
      </c>
    </row>
    <row r="522" spans="1:13" x14ac:dyDescent="0.3">
      <c r="A522" t="s">
        <v>11</v>
      </c>
      <c r="B522" s="1" t="s">
        <v>44</v>
      </c>
      <c r="C522" s="1" t="s">
        <v>45</v>
      </c>
      <c r="D522">
        <v>12659</v>
      </c>
      <c r="E522" t="s">
        <v>12</v>
      </c>
      <c r="F522" t="s">
        <v>13</v>
      </c>
      <c r="G522">
        <v>6</v>
      </c>
      <c r="H522">
        <v>13</v>
      </c>
      <c r="I522" t="s">
        <v>46</v>
      </c>
      <c r="J522" cm="1">
        <f t="array" ref="J522">IFERROR(_xlfn.XLOOKUP(G522,'Wedgewood Pharm-GA-Yr2-2025'!$E$4:$L$4,
    _xlfn.XLOOKUP('Rate Load'!H522,'Wedgewood Pharm-GA-Yr2-2025'!$D$21:$D$40,
        'Wedgewood Pharm-GA-Yr2-2025'!$E$21:$L$40,0,0),0,0), "No Match")</f>
        <v>13.459999999999999</v>
      </c>
      <c r="K522" t="s">
        <v>47</v>
      </c>
      <c r="L522" t="s">
        <v>14</v>
      </c>
      <c r="M522" t="str">
        <f t="shared" si="8"/>
        <v>INSERT INTO TNL_RATING.dbo.usps_rate_master VALUES ('USPS', '2/13/2025', '2/13/2026', 12659, 'US', 'Ground Advantage', 6, 13, 'L', 13.46, 'Wedgewood_USPS_2025', 'NonCubic');</v>
      </c>
    </row>
    <row r="523" spans="1:13" x14ac:dyDescent="0.3">
      <c r="A523" t="s">
        <v>11</v>
      </c>
      <c r="B523" s="1" t="s">
        <v>44</v>
      </c>
      <c r="C523" s="1" t="s">
        <v>45</v>
      </c>
      <c r="D523">
        <v>12659</v>
      </c>
      <c r="E523" t="s">
        <v>12</v>
      </c>
      <c r="F523" t="s">
        <v>13</v>
      </c>
      <c r="G523">
        <v>6</v>
      </c>
      <c r="H523">
        <v>14</v>
      </c>
      <c r="I523" t="s">
        <v>46</v>
      </c>
      <c r="J523" cm="1">
        <f t="array" ref="J523">IFERROR(_xlfn.XLOOKUP(G523,'Wedgewood Pharm-GA-Yr2-2025'!$E$4:$L$4,
    _xlfn.XLOOKUP('Rate Load'!H523,'Wedgewood Pharm-GA-Yr2-2025'!$D$21:$D$40,
        'Wedgewood Pharm-GA-Yr2-2025'!$E$21:$L$40,0,0),0,0), "No Match")</f>
        <v>14.24</v>
      </c>
      <c r="K523" t="s">
        <v>47</v>
      </c>
      <c r="L523" t="s">
        <v>14</v>
      </c>
      <c r="M523" t="str">
        <f t="shared" si="8"/>
        <v>INSERT INTO TNL_RATING.dbo.usps_rate_master VALUES ('USPS', '2/13/2025', '2/13/2026', 12659, 'US', 'Ground Advantage', 6, 14, 'L', 14.24, 'Wedgewood_USPS_2025', 'NonCubic');</v>
      </c>
    </row>
    <row r="524" spans="1:13" x14ac:dyDescent="0.3">
      <c r="A524" t="s">
        <v>11</v>
      </c>
      <c r="B524" s="1" t="s">
        <v>44</v>
      </c>
      <c r="C524" s="1" t="s">
        <v>45</v>
      </c>
      <c r="D524">
        <v>12659</v>
      </c>
      <c r="E524" t="s">
        <v>12</v>
      </c>
      <c r="F524" t="s">
        <v>13</v>
      </c>
      <c r="G524">
        <v>6</v>
      </c>
      <c r="H524">
        <v>15</v>
      </c>
      <c r="I524" t="s">
        <v>46</v>
      </c>
      <c r="J524" cm="1">
        <f t="array" ref="J524">IFERROR(_xlfn.XLOOKUP(G524,'Wedgewood Pharm-GA-Yr2-2025'!$E$4:$L$4,
    _xlfn.XLOOKUP('Rate Load'!H524,'Wedgewood Pharm-GA-Yr2-2025'!$D$21:$D$40,
        'Wedgewood Pharm-GA-Yr2-2025'!$E$21:$L$40,0,0),0,0), "No Match")</f>
        <v>15.01</v>
      </c>
      <c r="K524" t="s">
        <v>47</v>
      </c>
      <c r="L524" t="s">
        <v>14</v>
      </c>
      <c r="M524" t="str">
        <f t="shared" si="8"/>
        <v>INSERT INTO TNL_RATING.dbo.usps_rate_master VALUES ('USPS', '2/13/2025', '2/13/2026', 12659, 'US', 'Ground Advantage', 6, 15, 'L', 15.01, 'Wedgewood_USPS_2025', 'NonCubic');</v>
      </c>
    </row>
    <row r="525" spans="1:13" x14ac:dyDescent="0.3">
      <c r="A525" t="s">
        <v>11</v>
      </c>
      <c r="B525" s="1" t="s">
        <v>44</v>
      </c>
      <c r="C525" s="1" t="s">
        <v>45</v>
      </c>
      <c r="D525">
        <v>12659</v>
      </c>
      <c r="E525" t="s">
        <v>12</v>
      </c>
      <c r="F525" t="s">
        <v>13</v>
      </c>
      <c r="G525">
        <v>6</v>
      </c>
      <c r="H525">
        <v>16</v>
      </c>
      <c r="I525" t="s">
        <v>46</v>
      </c>
      <c r="J525" cm="1">
        <f t="array" ref="J525">IFERROR(_xlfn.XLOOKUP(G525,'Wedgewood Pharm-GA-Yr2-2025'!$E$4:$L$4,
    _xlfn.XLOOKUP('Rate Load'!H525,'Wedgewood Pharm-GA-Yr2-2025'!$D$21:$D$40,
        'Wedgewood Pharm-GA-Yr2-2025'!$E$21:$L$40,0,0),0,0), "No Match")</f>
        <v>15.59</v>
      </c>
      <c r="K525" t="s">
        <v>47</v>
      </c>
      <c r="L525" t="s">
        <v>14</v>
      </c>
      <c r="M525" t="str">
        <f t="shared" si="8"/>
        <v>INSERT INTO TNL_RATING.dbo.usps_rate_master VALUES ('USPS', '2/13/2025', '2/13/2026', 12659, 'US', 'Ground Advantage', 6, 16, 'L', 15.59, 'Wedgewood_USPS_2025', 'NonCubic');</v>
      </c>
    </row>
    <row r="526" spans="1:13" x14ac:dyDescent="0.3">
      <c r="A526" t="s">
        <v>11</v>
      </c>
      <c r="B526" s="1" t="s">
        <v>44</v>
      </c>
      <c r="C526" s="1" t="s">
        <v>45</v>
      </c>
      <c r="D526">
        <v>12659</v>
      </c>
      <c r="E526" t="s">
        <v>12</v>
      </c>
      <c r="F526" t="s">
        <v>13</v>
      </c>
      <c r="G526">
        <v>6</v>
      </c>
      <c r="H526">
        <v>17</v>
      </c>
      <c r="I526" t="s">
        <v>46</v>
      </c>
      <c r="J526" cm="1">
        <f t="array" ref="J526">IFERROR(_xlfn.XLOOKUP(G526,'Wedgewood Pharm-GA-Yr2-2025'!$E$4:$L$4,
    _xlfn.XLOOKUP('Rate Load'!H526,'Wedgewood Pharm-GA-Yr2-2025'!$D$21:$D$40,
        'Wedgewood Pharm-GA-Yr2-2025'!$E$21:$L$40,0,0),0,0), "No Match")</f>
        <v>16.290000000000003</v>
      </c>
      <c r="K526" t="s">
        <v>47</v>
      </c>
      <c r="L526" t="s">
        <v>14</v>
      </c>
      <c r="M526" t="str">
        <f t="shared" si="8"/>
        <v>INSERT INTO TNL_RATING.dbo.usps_rate_master VALUES ('USPS', '2/13/2025', '2/13/2026', 12659, 'US', 'Ground Advantage', 6, 17, 'L', 16.29, 'Wedgewood_USPS_2025', 'NonCubic');</v>
      </c>
    </row>
    <row r="527" spans="1:13" x14ac:dyDescent="0.3">
      <c r="A527" t="s">
        <v>11</v>
      </c>
      <c r="B527" s="1" t="s">
        <v>44</v>
      </c>
      <c r="C527" s="1" t="s">
        <v>45</v>
      </c>
      <c r="D527">
        <v>12659</v>
      </c>
      <c r="E527" t="s">
        <v>12</v>
      </c>
      <c r="F527" t="s">
        <v>13</v>
      </c>
      <c r="G527">
        <v>6</v>
      </c>
      <c r="H527">
        <v>18</v>
      </c>
      <c r="I527" t="s">
        <v>46</v>
      </c>
      <c r="J527" cm="1">
        <f t="array" ref="J527">IFERROR(_xlfn.XLOOKUP(G527,'Wedgewood Pharm-GA-Yr2-2025'!$E$4:$L$4,
    _xlfn.XLOOKUP('Rate Load'!H527,'Wedgewood Pharm-GA-Yr2-2025'!$D$21:$D$40,
        'Wedgewood Pharm-GA-Yr2-2025'!$E$21:$L$40,0,0),0,0), "No Match")</f>
        <v>16.990000000000002</v>
      </c>
      <c r="K527" t="s">
        <v>47</v>
      </c>
      <c r="L527" t="s">
        <v>14</v>
      </c>
      <c r="M527" t="str">
        <f t="shared" si="8"/>
        <v>INSERT INTO TNL_RATING.dbo.usps_rate_master VALUES ('USPS', '2/13/2025', '2/13/2026', 12659, 'US', 'Ground Advantage', 6, 18, 'L', 16.99, 'Wedgewood_USPS_2025', 'NonCubic');</v>
      </c>
    </row>
    <row r="528" spans="1:13" x14ac:dyDescent="0.3">
      <c r="A528" t="s">
        <v>11</v>
      </c>
      <c r="B528" s="1" t="s">
        <v>44</v>
      </c>
      <c r="C528" s="1" t="s">
        <v>45</v>
      </c>
      <c r="D528">
        <v>12659</v>
      </c>
      <c r="E528" t="s">
        <v>12</v>
      </c>
      <c r="F528" t="s">
        <v>13</v>
      </c>
      <c r="G528">
        <v>6</v>
      </c>
      <c r="H528">
        <v>19</v>
      </c>
      <c r="I528" t="s">
        <v>46</v>
      </c>
      <c r="J528" cm="1">
        <f t="array" ref="J528">IFERROR(_xlfn.XLOOKUP(G528,'Wedgewood Pharm-GA-Yr2-2025'!$E$4:$L$4,
    _xlfn.XLOOKUP('Rate Load'!H528,'Wedgewood Pharm-GA-Yr2-2025'!$D$21:$D$40,
        'Wedgewood Pharm-GA-Yr2-2025'!$E$21:$L$40,0,0),0,0), "No Match")</f>
        <v>17.57</v>
      </c>
      <c r="K528" t="s">
        <v>47</v>
      </c>
      <c r="L528" t="s">
        <v>14</v>
      </c>
      <c r="M528" t="str">
        <f t="shared" si="8"/>
        <v>INSERT INTO TNL_RATING.dbo.usps_rate_master VALUES ('USPS', '2/13/2025', '2/13/2026', 12659, 'US', 'Ground Advantage', 6, 19, 'L', 17.57, 'Wedgewood_USPS_2025', 'NonCubic');</v>
      </c>
    </row>
    <row r="529" spans="1:13" x14ac:dyDescent="0.3">
      <c r="A529" t="s">
        <v>11</v>
      </c>
      <c r="B529" s="1" t="s">
        <v>44</v>
      </c>
      <c r="C529" s="1" t="s">
        <v>45</v>
      </c>
      <c r="D529">
        <v>12659</v>
      </c>
      <c r="E529" t="s">
        <v>12</v>
      </c>
      <c r="F529" t="s">
        <v>13</v>
      </c>
      <c r="G529">
        <v>6</v>
      </c>
      <c r="H529">
        <v>20</v>
      </c>
      <c r="I529" t="s">
        <v>46</v>
      </c>
      <c r="J529" cm="1">
        <f t="array" ref="J529">IFERROR(_xlfn.XLOOKUP(G529,'Wedgewood Pharm-GA-Yr2-2025'!$E$4:$L$4,
    _xlfn.XLOOKUP('Rate Load'!H529,'Wedgewood Pharm-GA-Yr2-2025'!$D$21:$D$40,
        'Wedgewood Pharm-GA-Yr2-2025'!$E$21:$L$40,0,0),0,0), "No Match")</f>
        <v>18.220000000000002</v>
      </c>
      <c r="K529" t="s">
        <v>47</v>
      </c>
      <c r="L529" t="s">
        <v>14</v>
      </c>
      <c r="M529" t="str">
        <f t="shared" si="8"/>
        <v>INSERT INTO TNL_RATING.dbo.usps_rate_master VALUES ('USPS', '2/13/2025', '2/13/2026', 12659, 'US', 'Ground Advantage', 6, 20, 'L', 18.22, 'Wedgewood_USPS_2025', 'NonCubic');</v>
      </c>
    </row>
    <row r="530" spans="1:13" x14ac:dyDescent="0.3">
      <c r="A530" t="s">
        <v>11</v>
      </c>
      <c r="B530" s="1" t="s">
        <v>44</v>
      </c>
      <c r="C530" s="1" t="s">
        <v>45</v>
      </c>
      <c r="D530">
        <v>12659</v>
      </c>
      <c r="E530" t="s">
        <v>12</v>
      </c>
      <c r="F530" t="s">
        <v>13</v>
      </c>
      <c r="G530">
        <v>7</v>
      </c>
      <c r="H530">
        <v>1</v>
      </c>
      <c r="I530" t="s">
        <v>46</v>
      </c>
      <c r="J530" cm="1">
        <f t="array" ref="J530">IFERROR(_xlfn.XLOOKUP(G530,'Wedgewood Pharm-GA-Yr2-2025'!$E$4:$L$4,
    _xlfn.XLOOKUP('Rate Load'!H530,'Wedgewood Pharm-GA-Yr2-2025'!$D$21:$D$40,
        'Wedgewood Pharm-GA-Yr2-2025'!$E$21:$L$40,0,0),0,0), "No Match")</f>
        <v>7.34</v>
      </c>
      <c r="K530" t="s">
        <v>47</v>
      </c>
      <c r="L530" t="s">
        <v>14</v>
      </c>
      <c r="M530" t="str">
        <f t="shared" si="8"/>
        <v>INSERT INTO TNL_RATING.dbo.usps_rate_master VALUES ('USPS', '2/13/2025', '2/13/2026', 12659, 'US', 'Ground Advantage', 7, 1, 'L', 7.34, 'Wedgewood_USPS_2025', 'NonCubic');</v>
      </c>
    </row>
    <row r="531" spans="1:13" x14ac:dyDescent="0.3">
      <c r="A531" t="s">
        <v>11</v>
      </c>
      <c r="B531" s="1" t="s">
        <v>44</v>
      </c>
      <c r="C531" s="1" t="s">
        <v>45</v>
      </c>
      <c r="D531">
        <v>12659</v>
      </c>
      <c r="E531" t="s">
        <v>12</v>
      </c>
      <c r="F531" t="s">
        <v>13</v>
      </c>
      <c r="G531">
        <v>7</v>
      </c>
      <c r="H531">
        <v>2</v>
      </c>
      <c r="I531" t="s">
        <v>46</v>
      </c>
      <c r="J531" cm="1">
        <f t="array" ref="J531">IFERROR(_xlfn.XLOOKUP(G531,'Wedgewood Pharm-GA-Yr2-2025'!$E$4:$L$4,
    _xlfn.XLOOKUP('Rate Load'!H531,'Wedgewood Pharm-GA-Yr2-2025'!$D$21:$D$40,
        'Wedgewood Pharm-GA-Yr2-2025'!$E$21:$L$40,0,0),0,0), "No Match")</f>
        <v>8.5399999999999991</v>
      </c>
      <c r="K531" t="s">
        <v>47</v>
      </c>
      <c r="L531" t="s">
        <v>14</v>
      </c>
      <c r="M531" t="str">
        <f t="shared" si="8"/>
        <v>INSERT INTO TNL_RATING.dbo.usps_rate_master VALUES ('USPS', '2/13/2025', '2/13/2026', 12659, 'US', 'Ground Advantage', 7, 2, 'L', 8.54, 'Wedgewood_USPS_2025', 'NonCubic');</v>
      </c>
    </row>
    <row r="532" spans="1:13" x14ac:dyDescent="0.3">
      <c r="A532" t="s">
        <v>11</v>
      </c>
      <c r="B532" s="1" t="s">
        <v>44</v>
      </c>
      <c r="C532" s="1" t="s">
        <v>45</v>
      </c>
      <c r="D532">
        <v>12659</v>
      </c>
      <c r="E532" t="s">
        <v>12</v>
      </c>
      <c r="F532" t="s">
        <v>13</v>
      </c>
      <c r="G532">
        <v>7</v>
      </c>
      <c r="H532">
        <v>3</v>
      </c>
      <c r="I532" t="s">
        <v>46</v>
      </c>
      <c r="J532" cm="1">
        <f t="array" ref="J532">IFERROR(_xlfn.XLOOKUP(G532,'Wedgewood Pharm-GA-Yr2-2025'!$E$4:$L$4,
    _xlfn.XLOOKUP('Rate Load'!H532,'Wedgewood Pharm-GA-Yr2-2025'!$D$21:$D$40,
        'Wedgewood Pharm-GA-Yr2-2025'!$E$21:$L$40,0,0),0,0), "No Match")</f>
        <v>9.77</v>
      </c>
      <c r="K532" t="s">
        <v>47</v>
      </c>
      <c r="L532" t="s">
        <v>14</v>
      </c>
      <c r="M532" t="str">
        <f t="shared" si="8"/>
        <v>INSERT INTO TNL_RATING.dbo.usps_rate_master VALUES ('USPS', '2/13/2025', '2/13/2026', 12659, 'US', 'Ground Advantage', 7, 3, 'L', 9.77, 'Wedgewood_USPS_2025', 'NonCubic');</v>
      </c>
    </row>
    <row r="533" spans="1:13" x14ac:dyDescent="0.3">
      <c r="A533" t="s">
        <v>11</v>
      </c>
      <c r="B533" s="1" t="s">
        <v>44</v>
      </c>
      <c r="C533" s="1" t="s">
        <v>45</v>
      </c>
      <c r="D533">
        <v>12659</v>
      </c>
      <c r="E533" t="s">
        <v>12</v>
      </c>
      <c r="F533" t="s">
        <v>13</v>
      </c>
      <c r="G533">
        <v>7</v>
      </c>
      <c r="H533">
        <v>4</v>
      </c>
      <c r="I533" t="s">
        <v>46</v>
      </c>
      <c r="J533" cm="1">
        <f t="array" ref="J533">IFERROR(_xlfn.XLOOKUP(G533,'Wedgewood Pharm-GA-Yr2-2025'!$E$4:$L$4,
    _xlfn.XLOOKUP('Rate Load'!H533,'Wedgewood Pharm-GA-Yr2-2025'!$D$21:$D$40,
        'Wedgewood Pharm-GA-Yr2-2025'!$E$21:$L$40,0,0),0,0), "No Match")</f>
        <v>10.59</v>
      </c>
      <c r="K533" t="s">
        <v>47</v>
      </c>
      <c r="L533" t="s">
        <v>14</v>
      </c>
      <c r="M533" t="str">
        <f t="shared" si="8"/>
        <v>INSERT INTO TNL_RATING.dbo.usps_rate_master VALUES ('USPS', '2/13/2025', '2/13/2026', 12659, 'US', 'Ground Advantage', 7, 4, 'L', 10.59, 'Wedgewood_USPS_2025', 'NonCubic');</v>
      </c>
    </row>
    <row r="534" spans="1:13" x14ac:dyDescent="0.3">
      <c r="A534" t="s">
        <v>11</v>
      </c>
      <c r="B534" s="1" t="s">
        <v>44</v>
      </c>
      <c r="C534" s="1" t="s">
        <v>45</v>
      </c>
      <c r="D534">
        <v>12659</v>
      </c>
      <c r="E534" t="s">
        <v>12</v>
      </c>
      <c r="F534" t="s">
        <v>13</v>
      </c>
      <c r="G534">
        <v>7</v>
      </c>
      <c r="H534">
        <v>5</v>
      </c>
      <c r="I534" t="s">
        <v>46</v>
      </c>
      <c r="J534" cm="1">
        <f t="array" ref="J534">IFERROR(_xlfn.XLOOKUP(G534,'Wedgewood Pharm-GA-Yr2-2025'!$E$4:$L$4,
    _xlfn.XLOOKUP('Rate Load'!H534,'Wedgewood Pharm-GA-Yr2-2025'!$D$21:$D$40,
        'Wedgewood Pharm-GA-Yr2-2025'!$E$21:$L$40,0,0),0,0), "No Match")</f>
        <v>11.15</v>
      </c>
      <c r="K534" t="s">
        <v>47</v>
      </c>
      <c r="L534" t="s">
        <v>14</v>
      </c>
      <c r="M534" t="str">
        <f t="shared" si="8"/>
        <v>INSERT INTO TNL_RATING.dbo.usps_rate_master VALUES ('USPS', '2/13/2025', '2/13/2026', 12659, 'US', 'Ground Advantage', 7, 5, 'L', 11.15, 'Wedgewood_USPS_2025', 'NonCubic');</v>
      </c>
    </row>
    <row r="535" spans="1:13" x14ac:dyDescent="0.3">
      <c r="A535" t="s">
        <v>11</v>
      </c>
      <c r="B535" s="1" t="s">
        <v>44</v>
      </c>
      <c r="C535" s="1" t="s">
        <v>45</v>
      </c>
      <c r="D535">
        <v>12659</v>
      </c>
      <c r="E535" t="s">
        <v>12</v>
      </c>
      <c r="F535" t="s">
        <v>13</v>
      </c>
      <c r="G535">
        <v>7</v>
      </c>
      <c r="H535">
        <v>6</v>
      </c>
      <c r="I535" t="s">
        <v>46</v>
      </c>
      <c r="J535" cm="1">
        <f t="array" ref="J535">IFERROR(_xlfn.XLOOKUP(G535,'Wedgewood Pharm-GA-Yr2-2025'!$E$4:$L$4,
    _xlfn.XLOOKUP('Rate Load'!H535,'Wedgewood Pharm-GA-Yr2-2025'!$D$21:$D$40,
        'Wedgewood Pharm-GA-Yr2-2025'!$E$21:$L$40,0,0),0,0), "No Match")</f>
        <v>11.459999999999999</v>
      </c>
      <c r="K535" t="s">
        <v>47</v>
      </c>
      <c r="L535" t="s">
        <v>14</v>
      </c>
      <c r="M535" t="str">
        <f t="shared" si="8"/>
        <v>INSERT INTO TNL_RATING.dbo.usps_rate_master VALUES ('USPS', '2/13/2025', '2/13/2026', 12659, 'US', 'Ground Advantage', 7, 6, 'L', 11.46, 'Wedgewood_USPS_2025', 'NonCubic');</v>
      </c>
    </row>
    <row r="536" spans="1:13" x14ac:dyDescent="0.3">
      <c r="A536" t="s">
        <v>11</v>
      </c>
      <c r="B536" s="1" t="s">
        <v>44</v>
      </c>
      <c r="C536" s="1" t="s">
        <v>45</v>
      </c>
      <c r="D536">
        <v>12659</v>
      </c>
      <c r="E536" t="s">
        <v>12</v>
      </c>
      <c r="F536" t="s">
        <v>13</v>
      </c>
      <c r="G536">
        <v>7</v>
      </c>
      <c r="H536">
        <v>7</v>
      </c>
      <c r="I536" t="s">
        <v>46</v>
      </c>
      <c r="J536" cm="1">
        <f t="array" ref="J536">IFERROR(_xlfn.XLOOKUP(G536,'Wedgewood Pharm-GA-Yr2-2025'!$E$4:$L$4,
    _xlfn.XLOOKUP('Rate Load'!H536,'Wedgewood Pharm-GA-Yr2-2025'!$D$21:$D$40,
        'Wedgewood Pharm-GA-Yr2-2025'!$E$21:$L$40,0,0),0,0), "No Match")</f>
        <v>11.9</v>
      </c>
      <c r="K536" t="s">
        <v>47</v>
      </c>
      <c r="L536" t="s">
        <v>14</v>
      </c>
      <c r="M536" t="str">
        <f t="shared" si="8"/>
        <v>INSERT INTO TNL_RATING.dbo.usps_rate_master VALUES ('USPS', '2/13/2025', '2/13/2026', 12659, 'US', 'Ground Advantage', 7, 7, 'L', 11.9, 'Wedgewood_USPS_2025', 'NonCubic');</v>
      </c>
    </row>
    <row r="537" spans="1:13" x14ac:dyDescent="0.3">
      <c r="A537" t="s">
        <v>11</v>
      </c>
      <c r="B537" s="1" t="s">
        <v>44</v>
      </c>
      <c r="C537" s="1" t="s">
        <v>45</v>
      </c>
      <c r="D537">
        <v>12659</v>
      </c>
      <c r="E537" t="s">
        <v>12</v>
      </c>
      <c r="F537" t="s">
        <v>13</v>
      </c>
      <c r="G537">
        <v>7</v>
      </c>
      <c r="H537">
        <v>8</v>
      </c>
      <c r="I537" t="s">
        <v>46</v>
      </c>
      <c r="J537" cm="1">
        <f t="array" ref="J537">IFERROR(_xlfn.XLOOKUP(G537,'Wedgewood Pharm-GA-Yr2-2025'!$E$4:$L$4,
    _xlfn.XLOOKUP('Rate Load'!H537,'Wedgewood Pharm-GA-Yr2-2025'!$D$21:$D$40,
        'Wedgewood Pharm-GA-Yr2-2025'!$E$21:$L$40,0,0),0,0), "No Match")</f>
        <v>12.299999999999999</v>
      </c>
      <c r="K537" t="s">
        <v>47</v>
      </c>
      <c r="L537" t="s">
        <v>14</v>
      </c>
      <c r="M537" t="str">
        <f t="shared" si="8"/>
        <v>INSERT INTO TNL_RATING.dbo.usps_rate_master VALUES ('USPS', '2/13/2025', '2/13/2026', 12659, 'US', 'Ground Advantage', 7, 8, 'L', 12.3, 'Wedgewood_USPS_2025', 'NonCubic');</v>
      </c>
    </row>
    <row r="538" spans="1:13" x14ac:dyDescent="0.3">
      <c r="A538" t="s">
        <v>11</v>
      </c>
      <c r="B538" s="1" t="s">
        <v>44</v>
      </c>
      <c r="C538" s="1" t="s">
        <v>45</v>
      </c>
      <c r="D538">
        <v>12659</v>
      </c>
      <c r="E538" t="s">
        <v>12</v>
      </c>
      <c r="F538" t="s">
        <v>13</v>
      </c>
      <c r="G538">
        <v>7</v>
      </c>
      <c r="H538">
        <v>9</v>
      </c>
      <c r="I538" t="s">
        <v>46</v>
      </c>
      <c r="J538" cm="1">
        <f t="array" ref="J538">IFERROR(_xlfn.XLOOKUP(G538,'Wedgewood Pharm-GA-Yr2-2025'!$E$4:$L$4,
    _xlfn.XLOOKUP('Rate Load'!H538,'Wedgewood Pharm-GA-Yr2-2025'!$D$21:$D$40,
        'Wedgewood Pharm-GA-Yr2-2025'!$E$21:$L$40,0,0),0,0), "No Match")</f>
        <v>12.78</v>
      </c>
      <c r="K538" t="s">
        <v>47</v>
      </c>
      <c r="L538" t="s">
        <v>14</v>
      </c>
      <c r="M538" t="str">
        <f t="shared" si="8"/>
        <v>INSERT INTO TNL_RATING.dbo.usps_rate_master VALUES ('USPS', '2/13/2025', '2/13/2026', 12659, 'US', 'Ground Advantage', 7, 9, 'L', 12.78, 'Wedgewood_USPS_2025', 'NonCubic');</v>
      </c>
    </row>
    <row r="539" spans="1:13" x14ac:dyDescent="0.3">
      <c r="A539" t="s">
        <v>11</v>
      </c>
      <c r="B539" s="1" t="s">
        <v>44</v>
      </c>
      <c r="C539" s="1" t="s">
        <v>45</v>
      </c>
      <c r="D539">
        <v>12659</v>
      </c>
      <c r="E539" t="s">
        <v>12</v>
      </c>
      <c r="F539" t="s">
        <v>13</v>
      </c>
      <c r="G539">
        <v>7</v>
      </c>
      <c r="H539">
        <v>10</v>
      </c>
      <c r="I539" t="s">
        <v>46</v>
      </c>
      <c r="J539" cm="1">
        <f t="array" ref="J539">IFERROR(_xlfn.XLOOKUP(G539,'Wedgewood Pharm-GA-Yr2-2025'!$E$4:$L$4,
    _xlfn.XLOOKUP('Rate Load'!H539,'Wedgewood Pharm-GA-Yr2-2025'!$D$21:$D$40,
        'Wedgewood Pharm-GA-Yr2-2025'!$E$21:$L$40,0,0),0,0), "No Match")</f>
        <v>13.42</v>
      </c>
      <c r="K539" t="s">
        <v>47</v>
      </c>
      <c r="L539" t="s">
        <v>14</v>
      </c>
      <c r="M539" t="str">
        <f t="shared" si="8"/>
        <v>INSERT INTO TNL_RATING.dbo.usps_rate_master VALUES ('USPS', '2/13/2025', '2/13/2026', 12659, 'US', 'Ground Advantage', 7, 10, 'L', 13.42, 'Wedgewood_USPS_2025', 'NonCubic');</v>
      </c>
    </row>
    <row r="540" spans="1:13" x14ac:dyDescent="0.3">
      <c r="A540" t="s">
        <v>11</v>
      </c>
      <c r="B540" s="1" t="s">
        <v>44</v>
      </c>
      <c r="C540" s="1" t="s">
        <v>45</v>
      </c>
      <c r="D540">
        <v>12659</v>
      </c>
      <c r="E540" t="s">
        <v>12</v>
      </c>
      <c r="F540" t="s">
        <v>13</v>
      </c>
      <c r="G540">
        <v>7</v>
      </c>
      <c r="H540">
        <v>11</v>
      </c>
      <c r="I540" t="s">
        <v>46</v>
      </c>
      <c r="J540" cm="1">
        <f t="array" ref="J540">IFERROR(_xlfn.XLOOKUP(G540,'Wedgewood Pharm-GA-Yr2-2025'!$E$4:$L$4,
    _xlfn.XLOOKUP('Rate Load'!H540,'Wedgewood Pharm-GA-Yr2-2025'!$D$21:$D$40,
        'Wedgewood Pharm-GA-Yr2-2025'!$E$21:$L$40,0,0),0,0), "No Match")</f>
        <v>14.39</v>
      </c>
      <c r="K540" t="s">
        <v>47</v>
      </c>
      <c r="L540" t="s">
        <v>14</v>
      </c>
      <c r="M540" t="str">
        <f t="shared" si="8"/>
        <v>INSERT INTO TNL_RATING.dbo.usps_rate_master VALUES ('USPS', '2/13/2025', '2/13/2026', 12659, 'US', 'Ground Advantage', 7, 11, 'L', 14.39, 'Wedgewood_USPS_2025', 'NonCubic');</v>
      </c>
    </row>
    <row r="541" spans="1:13" x14ac:dyDescent="0.3">
      <c r="A541" t="s">
        <v>11</v>
      </c>
      <c r="B541" s="1" t="s">
        <v>44</v>
      </c>
      <c r="C541" s="1" t="s">
        <v>45</v>
      </c>
      <c r="D541">
        <v>12659</v>
      </c>
      <c r="E541" t="s">
        <v>12</v>
      </c>
      <c r="F541" t="s">
        <v>13</v>
      </c>
      <c r="G541">
        <v>7</v>
      </c>
      <c r="H541">
        <v>12</v>
      </c>
      <c r="I541" t="s">
        <v>46</v>
      </c>
      <c r="J541" cm="1">
        <f t="array" ref="J541">IFERROR(_xlfn.XLOOKUP(G541,'Wedgewood Pharm-GA-Yr2-2025'!$E$4:$L$4,
    _xlfn.XLOOKUP('Rate Load'!H541,'Wedgewood Pharm-GA-Yr2-2025'!$D$21:$D$40,
        'Wedgewood Pharm-GA-Yr2-2025'!$E$21:$L$40,0,0),0,0), "No Match")</f>
        <v>15.049999999999999</v>
      </c>
      <c r="K541" t="s">
        <v>47</v>
      </c>
      <c r="L541" t="s">
        <v>14</v>
      </c>
      <c r="M541" t="str">
        <f t="shared" si="8"/>
        <v>INSERT INTO TNL_RATING.dbo.usps_rate_master VALUES ('USPS', '2/13/2025', '2/13/2026', 12659, 'US', 'Ground Advantage', 7, 12, 'L', 15.05, 'Wedgewood_USPS_2025', 'NonCubic');</v>
      </c>
    </row>
    <row r="542" spans="1:13" x14ac:dyDescent="0.3">
      <c r="A542" t="s">
        <v>11</v>
      </c>
      <c r="B542" s="1" t="s">
        <v>44</v>
      </c>
      <c r="C542" s="1" t="s">
        <v>45</v>
      </c>
      <c r="D542">
        <v>12659</v>
      </c>
      <c r="E542" t="s">
        <v>12</v>
      </c>
      <c r="F542" t="s">
        <v>13</v>
      </c>
      <c r="G542">
        <v>7</v>
      </c>
      <c r="H542">
        <v>13</v>
      </c>
      <c r="I542" t="s">
        <v>46</v>
      </c>
      <c r="J542" cm="1">
        <f t="array" ref="J542">IFERROR(_xlfn.XLOOKUP(G542,'Wedgewood Pharm-GA-Yr2-2025'!$E$4:$L$4,
    _xlfn.XLOOKUP('Rate Load'!H542,'Wedgewood Pharm-GA-Yr2-2025'!$D$21:$D$40,
        'Wedgewood Pharm-GA-Yr2-2025'!$E$21:$L$40,0,0),0,0), "No Match")</f>
        <v>16.060000000000002</v>
      </c>
      <c r="K542" t="s">
        <v>47</v>
      </c>
      <c r="L542" t="s">
        <v>14</v>
      </c>
      <c r="M542" t="str">
        <f t="shared" si="8"/>
        <v>INSERT INTO TNL_RATING.dbo.usps_rate_master VALUES ('USPS', '2/13/2025', '2/13/2026', 12659, 'US', 'Ground Advantage', 7, 13, 'L', 16.06, 'Wedgewood_USPS_2025', 'NonCubic');</v>
      </c>
    </row>
    <row r="543" spans="1:13" x14ac:dyDescent="0.3">
      <c r="A543" t="s">
        <v>11</v>
      </c>
      <c r="B543" s="1" t="s">
        <v>44</v>
      </c>
      <c r="C543" s="1" t="s">
        <v>45</v>
      </c>
      <c r="D543">
        <v>12659</v>
      </c>
      <c r="E543" t="s">
        <v>12</v>
      </c>
      <c r="F543" t="s">
        <v>13</v>
      </c>
      <c r="G543">
        <v>7</v>
      </c>
      <c r="H543">
        <v>14</v>
      </c>
      <c r="I543" t="s">
        <v>46</v>
      </c>
      <c r="J543" cm="1">
        <f t="array" ref="J543">IFERROR(_xlfn.XLOOKUP(G543,'Wedgewood Pharm-GA-Yr2-2025'!$E$4:$L$4,
    _xlfn.XLOOKUP('Rate Load'!H543,'Wedgewood Pharm-GA-Yr2-2025'!$D$21:$D$40,
        'Wedgewood Pharm-GA-Yr2-2025'!$E$21:$L$40,0,0),0,0), "No Match")</f>
        <v>17.040000000000003</v>
      </c>
      <c r="K543" t="s">
        <v>47</v>
      </c>
      <c r="L543" t="s">
        <v>14</v>
      </c>
      <c r="M543" t="str">
        <f t="shared" si="8"/>
        <v>INSERT INTO TNL_RATING.dbo.usps_rate_master VALUES ('USPS', '2/13/2025', '2/13/2026', 12659, 'US', 'Ground Advantage', 7, 14, 'L', 17.04, 'Wedgewood_USPS_2025', 'NonCubic');</v>
      </c>
    </row>
    <row r="544" spans="1:13" x14ac:dyDescent="0.3">
      <c r="A544" t="s">
        <v>11</v>
      </c>
      <c r="B544" s="1" t="s">
        <v>44</v>
      </c>
      <c r="C544" s="1" t="s">
        <v>45</v>
      </c>
      <c r="D544">
        <v>12659</v>
      </c>
      <c r="E544" t="s">
        <v>12</v>
      </c>
      <c r="F544" t="s">
        <v>13</v>
      </c>
      <c r="G544">
        <v>7</v>
      </c>
      <c r="H544">
        <v>15</v>
      </c>
      <c r="I544" t="s">
        <v>46</v>
      </c>
      <c r="J544" cm="1">
        <f t="array" ref="J544">IFERROR(_xlfn.XLOOKUP(G544,'Wedgewood Pharm-GA-Yr2-2025'!$E$4:$L$4,
    _xlfn.XLOOKUP('Rate Load'!H544,'Wedgewood Pharm-GA-Yr2-2025'!$D$21:$D$40,
        'Wedgewood Pharm-GA-Yr2-2025'!$E$21:$L$40,0,0),0,0), "No Match")</f>
        <v>17.720000000000002</v>
      </c>
      <c r="K544" t="s">
        <v>47</v>
      </c>
      <c r="L544" t="s">
        <v>14</v>
      </c>
      <c r="M544" t="str">
        <f t="shared" si="8"/>
        <v>INSERT INTO TNL_RATING.dbo.usps_rate_master VALUES ('USPS', '2/13/2025', '2/13/2026', 12659, 'US', 'Ground Advantage', 7, 15, 'L', 17.72, 'Wedgewood_USPS_2025', 'NonCubic');</v>
      </c>
    </row>
    <row r="545" spans="1:13" x14ac:dyDescent="0.3">
      <c r="A545" t="s">
        <v>11</v>
      </c>
      <c r="B545" s="1" t="s">
        <v>44</v>
      </c>
      <c r="C545" s="1" t="s">
        <v>45</v>
      </c>
      <c r="D545">
        <v>12659</v>
      </c>
      <c r="E545" t="s">
        <v>12</v>
      </c>
      <c r="F545" t="s">
        <v>13</v>
      </c>
      <c r="G545">
        <v>7</v>
      </c>
      <c r="H545">
        <v>16</v>
      </c>
      <c r="I545" t="s">
        <v>46</v>
      </c>
      <c r="J545" cm="1">
        <f t="array" ref="J545">IFERROR(_xlfn.XLOOKUP(G545,'Wedgewood Pharm-GA-Yr2-2025'!$E$4:$L$4,
    _xlfn.XLOOKUP('Rate Load'!H545,'Wedgewood Pharm-GA-Yr2-2025'!$D$21:$D$40,
        'Wedgewood Pharm-GA-Yr2-2025'!$E$21:$L$40,0,0),0,0), "No Match")</f>
        <v>18.520000000000003</v>
      </c>
      <c r="K545" t="s">
        <v>47</v>
      </c>
      <c r="L545" t="s">
        <v>14</v>
      </c>
      <c r="M545" t="str">
        <f t="shared" si="8"/>
        <v>INSERT INTO TNL_RATING.dbo.usps_rate_master VALUES ('USPS', '2/13/2025', '2/13/2026', 12659, 'US', 'Ground Advantage', 7, 16, 'L', 18.52, 'Wedgewood_USPS_2025', 'NonCubic');</v>
      </c>
    </row>
    <row r="546" spans="1:13" x14ac:dyDescent="0.3">
      <c r="A546" t="s">
        <v>11</v>
      </c>
      <c r="B546" s="1" t="s">
        <v>44</v>
      </c>
      <c r="C546" s="1" t="s">
        <v>45</v>
      </c>
      <c r="D546">
        <v>12659</v>
      </c>
      <c r="E546" t="s">
        <v>12</v>
      </c>
      <c r="F546" t="s">
        <v>13</v>
      </c>
      <c r="G546">
        <v>7</v>
      </c>
      <c r="H546">
        <v>17</v>
      </c>
      <c r="I546" t="s">
        <v>46</v>
      </c>
      <c r="J546" cm="1">
        <f t="array" ref="J546">IFERROR(_xlfn.XLOOKUP(G546,'Wedgewood Pharm-GA-Yr2-2025'!$E$4:$L$4,
    _xlfn.XLOOKUP('Rate Load'!H546,'Wedgewood Pharm-GA-Yr2-2025'!$D$21:$D$40,
        'Wedgewood Pharm-GA-Yr2-2025'!$E$21:$L$40,0,0),0,0), "No Match")</f>
        <v>19.580000000000002</v>
      </c>
      <c r="K546" t="s">
        <v>47</v>
      </c>
      <c r="L546" t="s">
        <v>14</v>
      </c>
      <c r="M546" t="str">
        <f t="shared" si="8"/>
        <v>INSERT INTO TNL_RATING.dbo.usps_rate_master VALUES ('USPS', '2/13/2025', '2/13/2026', 12659, 'US', 'Ground Advantage', 7, 17, 'L', 19.58, 'Wedgewood_USPS_2025', 'NonCubic');</v>
      </c>
    </row>
    <row r="547" spans="1:13" x14ac:dyDescent="0.3">
      <c r="A547" t="s">
        <v>11</v>
      </c>
      <c r="B547" s="1" t="s">
        <v>44</v>
      </c>
      <c r="C547" s="1" t="s">
        <v>45</v>
      </c>
      <c r="D547">
        <v>12659</v>
      </c>
      <c r="E547" t="s">
        <v>12</v>
      </c>
      <c r="F547" t="s">
        <v>13</v>
      </c>
      <c r="G547">
        <v>7</v>
      </c>
      <c r="H547">
        <v>18</v>
      </c>
      <c r="I547" t="s">
        <v>46</v>
      </c>
      <c r="J547" cm="1">
        <f t="array" ref="J547">IFERROR(_xlfn.XLOOKUP(G547,'Wedgewood Pharm-GA-Yr2-2025'!$E$4:$L$4,
    _xlfn.XLOOKUP('Rate Load'!H547,'Wedgewood Pharm-GA-Yr2-2025'!$D$21:$D$40,
        'Wedgewood Pharm-GA-Yr2-2025'!$E$21:$L$40,0,0),0,0), "No Match")</f>
        <v>20.14</v>
      </c>
      <c r="K547" t="s">
        <v>47</v>
      </c>
      <c r="L547" t="s">
        <v>14</v>
      </c>
      <c r="M547" t="str">
        <f t="shared" si="8"/>
        <v>INSERT INTO TNL_RATING.dbo.usps_rate_master VALUES ('USPS', '2/13/2025', '2/13/2026', 12659, 'US', 'Ground Advantage', 7, 18, 'L', 20.14, 'Wedgewood_USPS_2025', 'NonCubic');</v>
      </c>
    </row>
    <row r="548" spans="1:13" x14ac:dyDescent="0.3">
      <c r="A548" t="s">
        <v>11</v>
      </c>
      <c r="B548" s="1" t="s">
        <v>44</v>
      </c>
      <c r="C548" s="1" t="s">
        <v>45</v>
      </c>
      <c r="D548">
        <v>12659</v>
      </c>
      <c r="E548" t="s">
        <v>12</v>
      </c>
      <c r="F548" t="s">
        <v>13</v>
      </c>
      <c r="G548">
        <v>7</v>
      </c>
      <c r="H548">
        <v>19</v>
      </c>
      <c r="I548" t="s">
        <v>46</v>
      </c>
      <c r="J548" cm="1">
        <f t="array" ref="J548">IFERROR(_xlfn.XLOOKUP(G548,'Wedgewood Pharm-GA-Yr2-2025'!$E$4:$L$4,
    _xlfn.XLOOKUP('Rate Load'!H548,'Wedgewood Pharm-GA-Yr2-2025'!$D$21:$D$40,
        'Wedgewood Pharm-GA-Yr2-2025'!$E$21:$L$40,0,0),0,0), "No Match")</f>
        <v>20.89</v>
      </c>
      <c r="K548" t="s">
        <v>47</v>
      </c>
      <c r="L548" t="s">
        <v>14</v>
      </c>
      <c r="M548" t="str">
        <f t="shared" si="8"/>
        <v>INSERT INTO TNL_RATING.dbo.usps_rate_master VALUES ('USPS', '2/13/2025', '2/13/2026', 12659, 'US', 'Ground Advantage', 7, 19, 'L', 20.89, 'Wedgewood_USPS_2025', 'NonCubic');</v>
      </c>
    </row>
    <row r="549" spans="1:13" x14ac:dyDescent="0.3">
      <c r="A549" t="s">
        <v>11</v>
      </c>
      <c r="B549" s="1" t="s">
        <v>44</v>
      </c>
      <c r="C549" s="1" t="s">
        <v>45</v>
      </c>
      <c r="D549">
        <v>12659</v>
      </c>
      <c r="E549" t="s">
        <v>12</v>
      </c>
      <c r="F549" t="s">
        <v>13</v>
      </c>
      <c r="G549">
        <v>7</v>
      </c>
      <c r="H549">
        <v>20</v>
      </c>
      <c r="I549" t="s">
        <v>46</v>
      </c>
      <c r="J549" cm="1">
        <f t="array" ref="J549">IFERROR(_xlfn.XLOOKUP(G549,'Wedgewood Pharm-GA-Yr2-2025'!$E$4:$L$4,
    _xlfn.XLOOKUP('Rate Load'!H549,'Wedgewood Pharm-GA-Yr2-2025'!$D$21:$D$40,
        'Wedgewood Pharm-GA-Yr2-2025'!$E$21:$L$40,0,0),0,0), "No Match")</f>
        <v>21.71</v>
      </c>
      <c r="K549" t="s">
        <v>47</v>
      </c>
      <c r="L549" t="s">
        <v>14</v>
      </c>
      <c r="M549" t="str">
        <f t="shared" si="8"/>
        <v>INSERT INTO TNL_RATING.dbo.usps_rate_master VALUES ('USPS', '2/13/2025', '2/13/2026', 12659, 'US', 'Ground Advantage', 7, 20, 'L', 21.71, 'Wedgewood_USPS_2025', 'NonCubic');</v>
      </c>
    </row>
    <row r="550" spans="1:13" x14ac:dyDescent="0.3">
      <c r="A550" t="s">
        <v>11</v>
      </c>
      <c r="B550" s="1" t="s">
        <v>44</v>
      </c>
      <c r="C550" s="1" t="s">
        <v>45</v>
      </c>
      <c r="D550">
        <v>12659</v>
      </c>
      <c r="E550" t="s">
        <v>12</v>
      </c>
      <c r="F550" t="s">
        <v>13</v>
      </c>
      <c r="G550">
        <v>8</v>
      </c>
      <c r="H550">
        <v>1</v>
      </c>
      <c r="I550" t="s">
        <v>46</v>
      </c>
      <c r="J550" cm="1">
        <f t="array" ref="J550">IFERROR(_xlfn.XLOOKUP(G550,'Wedgewood Pharm-GA-Yr2-2025'!$E$4:$L$4,
    _xlfn.XLOOKUP('Rate Load'!H550,'Wedgewood Pharm-GA-Yr2-2025'!$D$21:$D$40,
        'Wedgewood Pharm-GA-Yr2-2025'!$E$21:$L$40,0,0),0,0), "No Match")</f>
        <v>7.74</v>
      </c>
      <c r="K550" t="s">
        <v>47</v>
      </c>
      <c r="L550" t="s">
        <v>14</v>
      </c>
      <c r="M550" t="str">
        <f t="shared" si="8"/>
        <v>INSERT INTO TNL_RATING.dbo.usps_rate_master VALUES ('USPS', '2/13/2025', '2/13/2026', 12659, 'US', 'Ground Advantage', 8, 1, 'L', 7.74, 'Wedgewood_USPS_2025', 'NonCubic');</v>
      </c>
    </row>
    <row r="551" spans="1:13" x14ac:dyDescent="0.3">
      <c r="A551" t="s">
        <v>11</v>
      </c>
      <c r="B551" s="1" t="s">
        <v>44</v>
      </c>
      <c r="C551" s="1" t="s">
        <v>45</v>
      </c>
      <c r="D551">
        <v>12659</v>
      </c>
      <c r="E551" t="s">
        <v>12</v>
      </c>
      <c r="F551" t="s">
        <v>13</v>
      </c>
      <c r="G551">
        <v>8</v>
      </c>
      <c r="H551">
        <v>2</v>
      </c>
      <c r="I551" t="s">
        <v>46</v>
      </c>
      <c r="J551" cm="1">
        <f t="array" ref="J551">IFERROR(_xlfn.XLOOKUP(G551,'Wedgewood Pharm-GA-Yr2-2025'!$E$4:$L$4,
    _xlfn.XLOOKUP('Rate Load'!H551,'Wedgewood Pharm-GA-Yr2-2025'!$D$21:$D$40,
        'Wedgewood Pharm-GA-Yr2-2025'!$E$21:$L$40,0,0),0,0), "No Match")</f>
        <v>9.14</v>
      </c>
      <c r="K551" t="s">
        <v>47</v>
      </c>
      <c r="L551" t="s">
        <v>14</v>
      </c>
      <c r="M551" t="str">
        <f t="shared" si="8"/>
        <v>INSERT INTO TNL_RATING.dbo.usps_rate_master VALUES ('USPS', '2/13/2025', '2/13/2026', 12659, 'US', 'Ground Advantage', 8, 2, 'L', 9.14, 'Wedgewood_USPS_2025', 'NonCubic');</v>
      </c>
    </row>
    <row r="552" spans="1:13" x14ac:dyDescent="0.3">
      <c r="A552" t="s">
        <v>11</v>
      </c>
      <c r="B552" s="1" t="s">
        <v>44</v>
      </c>
      <c r="C552" s="1" t="s">
        <v>45</v>
      </c>
      <c r="D552">
        <v>12659</v>
      </c>
      <c r="E552" t="s">
        <v>12</v>
      </c>
      <c r="F552" t="s">
        <v>13</v>
      </c>
      <c r="G552">
        <v>8</v>
      </c>
      <c r="H552">
        <v>3</v>
      </c>
      <c r="I552" t="s">
        <v>46</v>
      </c>
      <c r="J552" cm="1">
        <f t="array" ref="J552">IFERROR(_xlfn.XLOOKUP(G552,'Wedgewood Pharm-GA-Yr2-2025'!$E$4:$L$4,
    _xlfn.XLOOKUP('Rate Load'!H552,'Wedgewood Pharm-GA-Yr2-2025'!$D$21:$D$40,
        'Wedgewood Pharm-GA-Yr2-2025'!$E$21:$L$40,0,0),0,0), "No Match")</f>
        <v>10.5</v>
      </c>
      <c r="K552" t="s">
        <v>47</v>
      </c>
      <c r="L552" t="s">
        <v>14</v>
      </c>
      <c r="M552" t="str">
        <f t="shared" si="8"/>
        <v>INSERT INTO TNL_RATING.dbo.usps_rate_master VALUES ('USPS', '2/13/2025', '2/13/2026', 12659, 'US', 'Ground Advantage', 8, 3, 'L', 10.5, 'Wedgewood_USPS_2025', 'NonCubic');</v>
      </c>
    </row>
    <row r="553" spans="1:13" x14ac:dyDescent="0.3">
      <c r="A553" t="s">
        <v>11</v>
      </c>
      <c r="B553" s="1" t="s">
        <v>44</v>
      </c>
      <c r="C553" s="1" t="s">
        <v>45</v>
      </c>
      <c r="D553">
        <v>12659</v>
      </c>
      <c r="E553" t="s">
        <v>12</v>
      </c>
      <c r="F553" t="s">
        <v>13</v>
      </c>
      <c r="G553">
        <v>8</v>
      </c>
      <c r="H553">
        <v>4</v>
      </c>
      <c r="I553" t="s">
        <v>46</v>
      </c>
      <c r="J553" cm="1">
        <f t="array" ref="J553">IFERROR(_xlfn.XLOOKUP(G553,'Wedgewood Pharm-GA-Yr2-2025'!$E$4:$L$4,
    _xlfn.XLOOKUP('Rate Load'!H553,'Wedgewood Pharm-GA-Yr2-2025'!$D$21:$D$40,
        'Wedgewood Pharm-GA-Yr2-2025'!$E$21:$L$40,0,0),0,0), "No Match")</f>
        <v>11.42</v>
      </c>
      <c r="K553" t="s">
        <v>47</v>
      </c>
      <c r="L553" t="s">
        <v>14</v>
      </c>
      <c r="M553" t="str">
        <f t="shared" si="8"/>
        <v>INSERT INTO TNL_RATING.dbo.usps_rate_master VALUES ('USPS', '2/13/2025', '2/13/2026', 12659, 'US', 'Ground Advantage', 8, 4, 'L', 11.42, 'Wedgewood_USPS_2025', 'NonCubic');</v>
      </c>
    </row>
    <row r="554" spans="1:13" x14ac:dyDescent="0.3">
      <c r="A554" t="s">
        <v>11</v>
      </c>
      <c r="B554" s="1" t="s">
        <v>44</v>
      </c>
      <c r="C554" s="1" t="s">
        <v>45</v>
      </c>
      <c r="D554">
        <v>12659</v>
      </c>
      <c r="E554" t="s">
        <v>12</v>
      </c>
      <c r="F554" t="s">
        <v>13</v>
      </c>
      <c r="G554">
        <v>8</v>
      </c>
      <c r="H554">
        <v>5</v>
      </c>
      <c r="I554" t="s">
        <v>46</v>
      </c>
      <c r="J554" cm="1">
        <f t="array" ref="J554">IFERROR(_xlfn.XLOOKUP(G554,'Wedgewood Pharm-GA-Yr2-2025'!$E$4:$L$4,
    _xlfn.XLOOKUP('Rate Load'!H554,'Wedgewood Pharm-GA-Yr2-2025'!$D$21:$D$40,
        'Wedgewood Pharm-GA-Yr2-2025'!$E$21:$L$40,0,0),0,0), "No Match")</f>
        <v>12.12</v>
      </c>
      <c r="K554" t="s">
        <v>47</v>
      </c>
      <c r="L554" t="s">
        <v>14</v>
      </c>
      <c r="M554" t="str">
        <f t="shared" si="8"/>
        <v>INSERT INTO TNL_RATING.dbo.usps_rate_master VALUES ('USPS', '2/13/2025', '2/13/2026', 12659, 'US', 'Ground Advantage', 8, 5, 'L', 12.12, 'Wedgewood_USPS_2025', 'NonCubic');</v>
      </c>
    </row>
    <row r="555" spans="1:13" x14ac:dyDescent="0.3">
      <c r="A555" t="s">
        <v>11</v>
      </c>
      <c r="B555" s="1" t="s">
        <v>44</v>
      </c>
      <c r="C555" s="1" t="s">
        <v>45</v>
      </c>
      <c r="D555">
        <v>12659</v>
      </c>
      <c r="E555" t="s">
        <v>12</v>
      </c>
      <c r="F555" t="s">
        <v>13</v>
      </c>
      <c r="G555">
        <v>8</v>
      </c>
      <c r="H555">
        <v>6</v>
      </c>
      <c r="I555" t="s">
        <v>46</v>
      </c>
      <c r="J555" cm="1">
        <f t="array" ref="J555">IFERROR(_xlfn.XLOOKUP(G555,'Wedgewood Pharm-GA-Yr2-2025'!$E$4:$L$4,
    _xlfn.XLOOKUP('Rate Load'!H555,'Wedgewood Pharm-GA-Yr2-2025'!$D$21:$D$40,
        'Wedgewood Pharm-GA-Yr2-2025'!$E$21:$L$40,0,0),0,0), "No Match")</f>
        <v>12.45</v>
      </c>
      <c r="K555" t="s">
        <v>47</v>
      </c>
      <c r="L555" t="s">
        <v>14</v>
      </c>
      <c r="M555" t="str">
        <f t="shared" si="8"/>
        <v>INSERT INTO TNL_RATING.dbo.usps_rate_master VALUES ('USPS', '2/13/2025', '2/13/2026', 12659, 'US', 'Ground Advantage', 8, 6, 'L', 12.45, 'Wedgewood_USPS_2025', 'NonCubic');</v>
      </c>
    </row>
    <row r="556" spans="1:13" x14ac:dyDescent="0.3">
      <c r="A556" t="s">
        <v>11</v>
      </c>
      <c r="B556" s="1" t="s">
        <v>44</v>
      </c>
      <c r="C556" s="1" t="s">
        <v>45</v>
      </c>
      <c r="D556">
        <v>12659</v>
      </c>
      <c r="E556" t="s">
        <v>12</v>
      </c>
      <c r="F556" t="s">
        <v>13</v>
      </c>
      <c r="G556">
        <v>8</v>
      </c>
      <c r="H556">
        <v>7</v>
      </c>
      <c r="I556" t="s">
        <v>46</v>
      </c>
      <c r="J556" cm="1">
        <f t="array" ref="J556">IFERROR(_xlfn.XLOOKUP(G556,'Wedgewood Pharm-GA-Yr2-2025'!$E$4:$L$4,
    _xlfn.XLOOKUP('Rate Load'!H556,'Wedgewood Pharm-GA-Yr2-2025'!$D$21:$D$40,
        'Wedgewood Pharm-GA-Yr2-2025'!$E$21:$L$40,0,0),0,0), "No Match")</f>
        <v>13.07</v>
      </c>
      <c r="K556" t="s">
        <v>47</v>
      </c>
      <c r="L556" t="s">
        <v>14</v>
      </c>
      <c r="M556" t="str">
        <f t="shared" si="8"/>
        <v>INSERT INTO TNL_RATING.dbo.usps_rate_master VALUES ('USPS', '2/13/2025', '2/13/2026', 12659, 'US', 'Ground Advantage', 8, 7, 'L', 13.07, 'Wedgewood_USPS_2025', 'NonCubic');</v>
      </c>
    </row>
    <row r="557" spans="1:13" x14ac:dyDescent="0.3">
      <c r="A557" t="s">
        <v>11</v>
      </c>
      <c r="B557" s="1" t="s">
        <v>44</v>
      </c>
      <c r="C557" s="1" t="s">
        <v>45</v>
      </c>
      <c r="D557">
        <v>12659</v>
      </c>
      <c r="E557" t="s">
        <v>12</v>
      </c>
      <c r="F557" t="s">
        <v>13</v>
      </c>
      <c r="G557">
        <v>8</v>
      </c>
      <c r="H557">
        <v>8</v>
      </c>
      <c r="I557" t="s">
        <v>46</v>
      </c>
      <c r="J557" cm="1">
        <f t="array" ref="J557">IFERROR(_xlfn.XLOOKUP(G557,'Wedgewood Pharm-GA-Yr2-2025'!$E$4:$L$4,
    _xlfn.XLOOKUP('Rate Load'!H557,'Wedgewood Pharm-GA-Yr2-2025'!$D$21:$D$40,
        'Wedgewood Pharm-GA-Yr2-2025'!$E$21:$L$40,0,0),0,0), "No Match")</f>
        <v>13.56</v>
      </c>
      <c r="K557" t="s">
        <v>47</v>
      </c>
      <c r="L557" t="s">
        <v>14</v>
      </c>
      <c r="M557" t="str">
        <f t="shared" si="8"/>
        <v>INSERT INTO TNL_RATING.dbo.usps_rate_master VALUES ('USPS', '2/13/2025', '2/13/2026', 12659, 'US', 'Ground Advantage', 8, 8, 'L', 13.56, 'Wedgewood_USPS_2025', 'NonCubic');</v>
      </c>
    </row>
    <row r="558" spans="1:13" x14ac:dyDescent="0.3">
      <c r="A558" t="s">
        <v>11</v>
      </c>
      <c r="B558" s="1" t="s">
        <v>44</v>
      </c>
      <c r="C558" s="1" t="s">
        <v>45</v>
      </c>
      <c r="D558">
        <v>12659</v>
      </c>
      <c r="E558" t="s">
        <v>12</v>
      </c>
      <c r="F558" t="s">
        <v>13</v>
      </c>
      <c r="G558">
        <v>8</v>
      </c>
      <c r="H558">
        <v>9</v>
      </c>
      <c r="I558" t="s">
        <v>46</v>
      </c>
      <c r="J558" cm="1">
        <f t="array" ref="J558">IFERROR(_xlfn.XLOOKUP(G558,'Wedgewood Pharm-GA-Yr2-2025'!$E$4:$L$4,
    _xlfn.XLOOKUP('Rate Load'!H558,'Wedgewood Pharm-GA-Yr2-2025'!$D$21:$D$40,
        'Wedgewood Pharm-GA-Yr2-2025'!$E$21:$L$40,0,0),0,0), "No Match")</f>
        <v>14.209999999999999</v>
      </c>
      <c r="K558" t="s">
        <v>47</v>
      </c>
      <c r="L558" t="s">
        <v>14</v>
      </c>
      <c r="M558" t="str">
        <f t="shared" si="8"/>
        <v>INSERT INTO TNL_RATING.dbo.usps_rate_master VALUES ('USPS', '2/13/2025', '2/13/2026', 12659, 'US', 'Ground Advantage', 8, 9, 'L', 14.21, 'Wedgewood_USPS_2025', 'NonCubic');</v>
      </c>
    </row>
    <row r="559" spans="1:13" x14ac:dyDescent="0.3">
      <c r="A559" t="s">
        <v>11</v>
      </c>
      <c r="B559" s="1" t="s">
        <v>44</v>
      </c>
      <c r="C559" s="1" t="s">
        <v>45</v>
      </c>
      <c r="D559">
        <v>12659</v>
      </c>
      <c r="E559" t="s">
        <v>12</v>
      </c>
      <c r="F559" t="s">
        <v>13</v>
      </c>
      <c r="G559">
        <v>8</v>
      </c>
      <c r="H559">
        <v>10</v>
      </c>
      <c r="I559" t="s">
        <v>46</v>
      </c>
      <c r="J559" cm="1">
        <f t="array" ref="J559">IFERROR(_xlfn.XLOOKUP(G559,'Wedgewood Pharm-GA-Yr2-2025'!$E$4:$L$4,
    _xlfn.XLOOKUP('Rate Load'!H559,'Wedgewood Pharm-GA-Yr2-2025'!$D$21:$D$40,
        'Wedgewood Pharm-GA-Yr2-2025'!$E$21:$L$40,0,0),0,0), "No Match")</f>
        <v>15</v>
      </c>
      <c r="K559" t="s">
        <v>47</v>
      </c>
      <c r="L559" t="s">
        <v>14</v>
      </c>
      <c r="M559" t="str">
        <f t="shared" si="8"/>
        <v>INSERT INTO TNL_RATING.dbo.usps_rate_master VALUES ('USPS', '2/13/2025', '2/13/2026', 12659, 'US', 'Ground Advantage', 8, 10, 'L', 15, 'Wedgewood_USPS_2025', 'NonCubic');</v>
      </c>
    </row>
    <row r="560" spans="1:13" x14ac:dyDescent="0.3">
      <c r="A560" t="s">
        <v>11</v>
      </c>
      <c r="B560" s="1" t="s">
        <v>44</v>
      </c>
      <c r="C560" s="1" t="s">
        <v>45</v>
      </c>
      <c r="D560">
        <v>12659</v>
      </c>
      <c r="E560" t="s">
        <v>12</v>
      </c>
      <c r="F560" t="s">
        <v>13</v>
      </c>
      <c r="G560">
        <v>8</v>
      </c>
      <c r="H560">
        <v>11</v>
      </c>
      <c r="I560" t="s">
        <v>46</v>
      </c>
      <c r="J560" cm="1">
        <f t="array" ref="J560">IFERROR(_xlfn.XLOOKUP(G560,'Wedgewood Pharm-GA-Yr2-2025'!$E$4:$L$4,
    _xlfn.XLOOKUP('Rate Load'!H560,'Wedgewood Pharm-GA-Yr2-2025'!$D$21:$D$40,
        'Wedgewood Pharm-GA-Yr2-2025'!$E$21:$L$40,0,0),0,0), "No Match")</f>
        <v>15.879999999999999</v>
      </c>
      <c r="K560" t="s">
        <v>47</v>
      </c>
      <c r="L560" t="s">
        <v>14</v>
      </c>
      <c r="M560" t="str">
        <f t="shared" si="8"/>
        <v>INSERT INTO TNL_RATING.dbo.usps_rate_master VALUES ('USPS', '2/13/2025', '2/13/2026', 12659, 'US', 'Ground Advantage', 8, 11, 'L', 15.88, 'Wedgewood_USPS_2025', 'NonCubic');</v>
      </c>
    </row>
    <row r="561" spans="1:13" x14ac:dyDescent="0.3">
      <c r="A561" t="s">
        <v>11</v>
      </c>
      <c r="B561" s="1" t="s">
        <v>44</v>
      </c>
      <c r="C561" s="1" t="s">
        <v>45</v>
      </c>
      <c r="D561">
        <v>12659</v>
      </c>
      <c r="E561" t="s">
        <v>12</v>
      </c>
      <c r="F561" t="s">
        <v>13</v>
      </c>
      <c r="G561">
        <v>8</v>
      </c>
      <c r="H561">
        <v>12</v>
      </c>
      <c r="I561" t="s">
        <v>46</v>
      </c>
      <c r="J561" cm="1">
        <f t="array" ref="J561">IFERROR(_xlfn.XLOOKUP(G561,'Wedgewood Pharm-GA-Yr2-2025'!$E$4:$L$4,
    _xlfn.XLOOKUP('Rate Load'!H561,'Wedgewood Pharm-GA-Yr2-2025'!$D$21:$D$40,
        'Wedgewood Pharm-GA-Yr2-2025'!$E$21:$L$40,0,0),0,0), "No Match")</f>
        <v>16.700000000000003</v>
      </c>
      <c r="K561" t="s">
        <v>47</v>
      </c>
      <c r="L561" t="s">
        <v>14</v>
      </c>
      <c r="M561" t="str">
        <f t="shared" si="8"/>
        <v>INSERT INTO TNL_RATING.dbo.usps_rate_master VALUES ('USPS', '2/13/2025', '2/13/2026', 12659, 'US', 'Ground Advantage', 8, 12, 'L', 16.7, 'Wedgewood_USPS_2025', 'NonCubic');</v>
      </c>
    </row>
    <row r="562" spans="1:13" x14ac:dyDescent="0.3">
      <c r="A562" t="s">
        <v>11</v>
      </c>
      <c r="B562" s="1" t="s">
        <v>44</v>
      </c>
      <c r="C562" s="1" t="s">
        <v>45</v>
      </c>
      <c r="D562">
        <v>12659</v>
      </c>
      <c r="E562" t="s">
        <v>12</v>
      </c>
      <c r="F562" t="s">
        <v>13</v>
      </c>
      <c r="G562">
        <v>8</v>
      </c>
      <c r="H562">
        <v>13</v>
      </c>
      <c r="I562" t="s">
        <v>46</v>
      </c>
      <c r="J562" cm="1">
        <f t="array" ref="J562">IFERROR(_xlfn.XLOOKUP(G562,'Wedgewood Pharm-GA-Yr2-2025'!$E$4:$L$4,
    _xlfn.XLOOKUP('Rate Load'!H562,'Wedgewood Pharm-GA-Yr2-2025'!$D$21:$D$40,
        'Wedgewood Pharm-GA-Yr2-2025'!$E$21:$L$40,0,0),0,0), "No Match")</f>
        <v>17.810000000000002</v>
      </c>
      <c r="K562" t="s">
        <v>47</v>
      </c>
      <c r="L562" t="s">
        <v>14</v>
      </c>
      <c r="M562" t="str">
        <f t="shared" si="8"/>
        <v>INSERT INTO TNL_RATING.dbo.usps_rate_master VALUES ('USPS', '2/13/2025', '2/13/2026', 12659, 'US', 'Ground Advantage', 8, 13, 'L', 17.81, 'Wedgewood_USPS_2025', 'NonCubic');</v>
      </c>
    </row>
    <row r="563" spans="1:13" x14ac:dyDescent="0.3">
      <c r="A563" t="s">
        <v>11</v>
      </c>
      <c r="B563" s="1" t="s">
        <v>44</v>
      </c>
      <c r="C563" s="1" t="s">
        <v>45</v>
      </c>
      <c r="D563">
        <v>12659</v>
      </c>
      <c r="E563" t="s">
        <v>12</v>
      </c>
      <c r="F563" t="s">
        <v>13</v>
      </c>
      <c r="G563">
        <v>8</v>
      </c>
      <c r="H563">
        <v>14</v>
      </c>
      <c r="I563" t="s">
        <v>46</v>
      </c>
      <c r="J563" cm="1">
        <f t="array" ref="J563">IFERROR(_xlfn.XLOOKUP(G563,'Wedgewood Pharm-GA-Yr2-2025'!$E$4:$L$4,
    _xlfn.XLOOKUP('Rate Load'!H563,'Wedgewood Pharm-GA-Yr2-2025'!$D$21:$D$40,
        'Wedgewood Pharm-GA-Yr2-2025'!$E$21:$L$40,0,0),0,0), "No Match")</f>
        <v>18.940000000000001</v>
      </c>
      <c r="K563" t="s">
        <v>47</v>
      </c>
      <c r="L563" t="s">
        <v>14</v>
      </c>
      <c r="M563" t="str">
        <f t="shared" si="8"/>
        <v>INSERT INTO TNL_RATING.dbo.usps_rate_master VALUES ('USPS', '2/13/2025', '2/13/2026', 12659, 'US', 'Ground Advantage', 8, 14, 'L', 18.94, 'Wedgewood_USPS_2025', 'NonCubic');</v>
      </c>
    </row>
    <row r="564" spans="1:13" x14ac:dyDescent="0.3">
      <c r="A564" t="s">
        <v>11</v>
      </c>
      <c r="B564" s="1" t="s">
        <v>44</v>
      </c>
      <c r="C564" s="1" t="s">
        <v>45</v>
      </c>
      <c r="D564">
        <v>12659</v>
      </c>
      <c r="E564" t="s">
        <v>12</v>
      </c>
      <c r="F564" t="s">
        <v>13</v>
      </c>
      <c r="G564">
        <v>8</v>
      </c>
      <c r="H564">
        <v>15</v>
      </c>
      <c r="I564" t="s">
        <v>46</v>
      </c>
      <c r="J564" cm="1">
        <f t="array" ref="J564">IFERROR(_xlfn.XLOOKUP(G564,'Wedgewood Pharm-GA-Yr2-2025'!$E$4:$L$4,
    _xlfn.XLOOKUP('Rate Load'!H564,'Wedgewood Pharm-GA-Yr2-2025'!$D$21:$D$40,
        'Wedgewood Pharm-GA-Yr2-2025'!$E$21:$L$40,0,0),0,0), "No Match")</f>
        <v>20.110000000000003</v>
      </c>
      <c r="K564" t="s">
        <v>47</v>
      </c>
      <c r="L564" t="s">
        <v>14</v>
      </c>
      <c r="M564" t="str">
        <f t="shared" si="8"/>
        <v>INSERT INTO TNL_RATING.dbo.usps_rate_master VALUES ('USPS', '2/13/2025', '2/13/2026', 12659, 'US', 'Ground Advantage', 8, 15, 'L', 20.11, 'Wedgewood_USPS_2025', 'NonCubic');</v>
      </c>
    </row>
    <row r="565" spans="1:13" x14ac:dyDescent="0.3">
      <c r="A565" t="s">
        <v>11</v>
      </c>
      <c r="B565" s="1" t="s">
        <v>44</v>
      </c>
      <c r="C565" s="1" t="s">
        <v>45</v>
      </c>
      <c r="D565">
        <v>12659</v>
      </c>
      <c r="E565" t="s">
        <v>12</v>
      </c>
      <c r="F565" t="s">
        <v>13</v>
      </c>
      <c r="G565">
        <v>8</v>
      </c>
      <c r="H565">
        <v>16</v>
      </c>
      <c r="I565" t="s">
        <v>46</v>
      </c>
      <c r="J565" cm="1">
        <f t="array" ref="J565">IFERROR(_xlfn.XLOOKUP(G565,'Wedgewood Pharm-GA-Yr2-2025'!$E$4:$L$4,
    _xlfn.XLOOKUP('Rate Load'!H565,'Wedgewood Pharm-GA-Yr2-2025'!$D$21:$D$40,
        'Wedgewood Pharm-GA-Yr2-2025'!$E$21:$L$40,0,0),0,0), "No Match")</f>
        <v>20.830000000000002</v>
      </c>
      <c r="K565" t="s">
        <v>47</v>
      </c>
      <c r="L565" t="s">
        <v>14</v>
      </c>
      <c r="M565" t="str">
        <f t="shared" si="8"/>
        <v>INSERT INTO TNL_RATING.dbo.usps_rate_master VALUES ('USPS', '2/13/2025', '2/13/2026', 12659, 'US', 'Ground Advantage', 8, 16, 'L', 20.83, 'Wedgewood_USPS_2025', 'NonCubic');</v>
      </c>
    </row>
    <row r="566" spans="1:13" x14ac:dyDescent="0.3">
      <c r="A566" t="s">
        <v>11</v>
      </c>
      <c r="B566" s="1" t="s">
        <v>44</v>
      </c>
      <c r="C566" s="1" t="s">
        <v>45</v>
      </c>
      <c r="D566">
        <v>12659</v>
      </c>
      <c r="E566" t="s">
        <v>12</v>
      </c>
      <c r="F566" t="s">
        <v>13</v>
      </c>
      <c r="G566">
        <v>8</v>
      </c>
      <c r="H566">
        <v>17</v>
      </c>
      <c r="I566" t="s">
        <v>46</v>
      </c>
      <c r="J566" cm="1">
        <f t="array" ref="J566">IFERROR(_xlfn.XLOOKUP(G566,'Wedgewood Pharm-GA-Yr2-2025'!$E$4:$L$4,
    _xlfn.XLOOKUP('Rate Load'!H566,'Wedgewood Pharm-GA-Yr2-2025'!$D$21:$D$40,
        'Wedgewood Pharm-GA-Yr2-2025'!$E$21:$L$40,0,0),0,0), "No Match")</f>
        <v>21.6</v>
      </c>
      <c r="K566" t="s">
        <v>47</v>
      </c>
      <c r="L566" t="s">
        <v>14</v>
      </c>
      <c r="M566" t="str">
        <f t="shared" si="8"/>
        <v>INSERT INTO TNL_RATING.dbo.usps_rate_master VALUES ('USPS', '2/13/2025', '2/13/2026', 12659, 'US', 'Ground Advantage', 8, 17, 'L', 21.6, 'Wedgewood_USPS_2025', 'NonCubic');</v>
      </c>
    </row>
    <row r="567" spans="1:13" x14ac:dyDescent="0.3">
      <c r="A567" t="s">
        <v>11</v>
      </c>
      <c r="B567" s="1" t="s">
        <v>44</v>
      </c>
      <c r="C567" s="1" t="s">
        <v>45</v>
      </c>
      <c r="D567">
        <v>12659</v>
      </c>
      <c r="E567" t="s">
        <v>12</v>
      </c>
      <c r="F567" t="s">
        <v>13</v>
      </c>
      <c r="G567">
        <v>8</v>
      </c>
      <c r="H567">
        <v>18</v>
      </c>
      <c r="I567" t="s">
        <v>46</v>
      </c>
      <c r="J567" cm="1">
        <f t="array" ref="J567">IFERROR(_xlfn.XLOOKUP(G567,'Wedgewood Pharm-GA-Yr2-2025'!$E$4:$L$4,
    _xlfn.XLOOKUP('Rate Load'!H567,'Wedgewood Pharm-GA-Yr2-2025'!$D$21:$D$40,
        'Wedgewood Pharm-GA-Yr2-2025'!$E$21:$L$40,0,0),0,0), "No Match")</f>
        <v>22.8</v>
      </c>
      <c r="K567" t="s">
        <v>47</v>
      </c>
      <c r="L567" t="s">
        <v>14</v>
      </c>
      <c r="M567" t="str">
        <f t="shared" si="8"/>
        <v>INSERT INTO TNL_RATING.dbo.usps_rate_master VALUES ('USPS', '2/13/2025', '2/13/2026', 12659, 'US', 'Ground Advantage', 8, 18, 'L', 22.8, 'Wedgewood_USPS_2025', 'NonCubic');</v>
      </c>
    </row>
    <row r="568" spans="1:13" x14ac:dyDescent="0.3">
      <c r="A568" t="s">
        <v>11</v>
      </c>
      <c r="B568" s="1" t="s">
        <v>44</v>
      </c>
      <c r="C568" s="1" t="s">
        <v>45</v>
      </c>
      <c r="D568">
        <v>12659</v>
      </c>
      <c r="E568" t="s">
        <v>12</v>
      </c>
      <c r="F568" t="s">
        <v>13</v>
      </c>
      <c r="G568">
        <v>8</v>
      </c>
      <c r="H568">
        <v>19</v>
      </c>
      <c r="I568" t="s">
        <v>46</v>
      </c>
      <c r="J568" cm="1">
        <f t="array" ref="J568">IFERROR(_xlfn.XLOOKUP(G568,'Wedgewood Pharm-GA-Yr2-2025'!$E$4:$L$4,
    _xlfn.XLOOKUP('Rate Load'!H568,'Wedgewood Pharm-GA-Yr2-2025'!$D$21:$D$40,
        'Wedgewood Pharm-GA-Yr2-2025'!$E$21:$L$40,0,0),0,0), "No Match")</f>
        <v>23.78</v>
      </c>
      <c r="K568" t="s">
        <v>47</v>
      </c>
      <c r="L568" t="s">
        <v>14</v>
      </c>
      <c r="M568" t="str">
        <f t="shared" si="8"/>
        <v>INSERT INTO TNL_RATING.dbo.usps_rate_master VALUES ('USPS', '2/13/2025', '2/13/2026', 12659, 'US', 'Ground Advantage', 8, 19, 'L', 23.78, 'Wedgewood_USPS_2025', 'NonCubic');</v>
      </c>
    </row>
    <row r="569" spans="1:13" x14ac:dyDescent="0.3">
      <c r="A569" t="s">
        <v>11</v>
      </c>
      <c r="B569" s="1" t="s">
        <v>44</v>
      </c>
      <c r="C569" s="1" t="s">
        <v>45</v>
      </c>
      <c r="D569">
        <v>12659</v>
      </c>
      <c r="E569" t="s">
        <v>12</v>
      </c>
      <c r="F569" t="s">
        <v>13</v>
      </c>
      <c r="G569">
        <v>8</v>
      </c>
      <c r="H569">
        <v>20</v>
      </c>
      <c r="I569" t="s">
        <v>46</v>
      </c>
      <c r="J569" cm="1">
        <f t="array" ref="J569">IFERROR(_xlfn.XLOOKUP(G569,'Wedgewood Pharm-GA-Yr2-2025'!$E$4:$L$4,
    _xlfn.XLOOKUP('Rate Load'!H569,'Wedgewood Pharm-GA-Yr2-2025'!$D$21:$D$40,
        'Wedgewood Pharm-GA-Yr2-2025'!$E$21:$L$40,0,0),0,0), "No Match")</f>
        <v>24.87</v>
      </c>
      <c r="K569" t="s">
        <v>47</v>
      </c>
      <c r="L569" t="s">
        <v>14</v>
      </c>
      <c r="M569" t="str">
        <f t="shared" si="8"/>
        <v>INSERT INTO TNL_RATING.dbo.usps_rate_master VALUES ('USPS', '2/13/2025', '2/13/2026', 12659, 'US', 'Ground Advantage', 8, 20, 'L', 24.87, 'Wedgewood_USPS_2025', 'NonCubic');</v>
      </c>
    </row>
  </sheetData>
  <phoneticPr fontId="5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C8B523-C77C-445F-B84C-83C6D266017C}">
  <dimension ref="A1"/>
  <sheetViews>
    <sheetView workbookViewId="0">
      <selection activeCell="A16" sqref="A16"/>
    </sheetView>
  </sheetViews>
  <sheetFormatPr defaultRowHeight="14.4" x14ac:dyDescent="0.3"/>
  <cols>
    <col min="1" max="1" width="98.77734375" customWidth="1"/>
  </cols>
  <sheetData>
    <row r="1" spans="1:1" x14ac:dyDescent="0.3">
      <c r="A1" t="s">
        <v>50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E565A8-E110-469C-934A-B4FCEC28F9D3}">
  <sheetPr codeName="Sheet2">
    <tabColor theme="0"/>
  </sheetPr>
  <dimension ref="A1:N86"/>
  <sheetViews>
    <sheetView showGridLines="0" workbookViewId="0">
      <selection activeCell="L28" sqref="H28:L28"/>
    </sheetView>
  </sheetViews>
  <sheetFormatPr defaultColWidth="9.109375" defaultRowHeight="13.2" x14ac:dyDescent="0.25"/>
  <cols>
    <col min="1" max="1" width="35.6640625" style="3" bestFit="1" customWidth="1"/>
    <col min="2" max="2" width="39.33203125" style="3" bestFit="1" customWidth="1"/>
    <col min="3" max="3" width="9.109375" style="3"/>
    <col min="4" max="4" width="30.6640625" style="3" customWidth="1"/>
    <col min="5" max="16384" width="9.109375" style="3"/>
  </cols>
  <sheetData>
    <row r="1" spans="1:14" ht="13.8" x14ac:dyDescent="0.3">
      <c r="A1" s="2"/>
      <c r="D1" s="19" t="s">
        <v>16</v>
      </c>
      <c r="E1" s="19"/>
      <c r="F1" s="19"/>
      <c r="G1" s="19"/>
      <c r="H1" s="19"/>
      <c r="I1" s="19"/>
      <c r="J1" s="19"/>
      <c r="K1" s="19"/>
      <c r="L1" s="19"/>
      <c r="M1" s="19"/>
      <c r="N1" s="19"/>
    </row>
    <row r="2" spans="1:14" ht="13.8" x14ac:dyDescent="0.3">
      <c r="A2" s="2"/>
      <c r="B2" s="2"/>
      <c r="D2" s="4" t="s">
        <v>17</v>
      </c>
      <c r="E2" s="5"/>
      <c r="F2" s="5"/>
      <c r="G2" s="5"/>
      <c r="H2" s="5"/>
      <c r="I2" s="5"/>
      <c r="J2" s="5"/>
      <c r="K2" s="5"/>
      <c r="L2" s="5"/>
      <c r="M2" s="5"/>
      <c r="N2" s="6"/>
    </row>
    <row r="3" spans="1:14" ht="13.8" x14ac:dyDescent="0.3">
      <c r="A3" s="2"/>
      <c r="D3" s="20" t="s">
        <v>18</v>
      </c>
      <c r="E3" s="5"/>
      <c r="F3" s="22" t="s">
        <v>6</v>
      </c>
      <c r="G3" s="22"/>
      <c r="H3" s="22"/>
      <c r="I3" s="22"/>
      <c r="J3" s="22"/>
      <c r="K3" s="22"/>
      <c r="L3" s="22"/>
      <c r="M3" s="22"/>
      <c r="N3" s="6"/>
    </row>
    <row r="4" spans="1:14" ht="14.4" thickBot="1" x14ac:dyDescent="0.3">
      <c r="A4" s="3" t="s">
        <v>19</v>
      </c>
      <c r="B4" s="7" t="s">
        <v>20</v>
      </c>
      <c r="D4" s="21"/>
      <c r="E4" s="8">
        <v>1</v>
      </c>
      <c r="F4" s="8">
        <v>2</v>
      </c>
      <c r="G4" s="9">
        <v>3</v>
      </c>
      <c r="H4" s="9">
        <v>4</v>
      </c>
      <c r="I4" s="9">
        <v>5</v>
      </c>
      <c r="J4" s="9">
        <v>6</v>
      </c>
      <c r="K4" s="9">
        <v>7</v>
      </c>
      <c r="L4" s="9">
        <v>8</v>
      </c>
      <c r="M4" s="9">
        <v>9</v>
      </c>
      <c r="N4" s="6"/>
    </row>
    <row r="5" spans="1:14" ht="13.8" x14ac:dyDescent="0.25">
      <c r="A5" s="3" t="s">
        <v>21</v>
      </c>
      <c r="B5" s="10">
        <v>45701</v>
      </c>
      <c r="D5" s="6">
        <v>0.5</v>
      </c>
      <c r="E5" s="11">
        <v>13.79</v>
      </c>
      <c r="F5" s="11">
        <v>13.79</v>
      </c>
      <c r="G5" s="11">
        <v>13.9</v>
      </c>
      <c r="H5" s="11">
        <v>14.29</v>
      </c>
      <c r="I5" s="11">
        <v>14.98</v>
      </c>
      <c r="J5" s="11">
        <v>15.45</v>
      </c>
      <c r="K5" s="11">
        <v>15.95</v>
      </c>
      <c r="L5" s="11">
        <v>16.580000000000002</v>
      </c>
      <c r="M5" s="11"/>
      <c r="N5" s="6"/>
    </row>
    <row r="6" spans="1:14" ht="13.8" x14ac:dyDescent="0.25">
      <c r="A6" s="3" t="s">
        <v>22</v>
      </c>
      <c r="B6" s="10">
        <v>46065</v>
      </c>
      <c r="D6" s="6">
        <v>1</v>
      </c>
      <c r="E6" s="11">
        <v>14.25</v>
      </c>
      <c r="F6" s="11">
        <v>14.35</v>
      </c>
      <c r="G6" s="11">
        <v>14.73</v>
      </c>
      <c r="H6" s="11">
        <v>15.52</v>
      </c>
      <c r="I6" s="11">
        <v>16.560000000000002</v>
      </c>
      <c r="J6" s="11">
        <v>17.180000000000003</v>
      </c>
      <c r="K6" s="11">
        <v>17.75</v>
      </c>
      <c r="L6" s="11">
        <v>18.360000000000003</v>
      </c>
      <c r="M6" s="11"/>
      <c r="N6" s="6"/>
    </row>
    <row r="7" spans="1:14" ht="13.8" x14ac:dyDescent="0.25">
      <c r="D7" s="6">
        <v>2</v>
      </c>
      <c r="E7" s="11">
        <v>15.53</v>
      </c>
      <c r="F7" s="11">
        <v>15.72</v>
      </c>
      <c r="G7" s="11">
        <v>16.380000000000003</v>
      </c>
      <c r="H7" s="11">
        <v>17.55</v>
      </c>
      <c r="I7" s="11">
        <v>18.930000000000003</v>
      </c>
      <c r="J7" s="11">
        <v>19.700000000000003</v>
      </c>
      <c r="K7" s="11">
        <v>20.3</v>
      </c>
      <c r="L7" s="11">
        <v>20.96</v>
      </c>
      <c r="M7" s="11"/>
      <c r="N7" s="6"/>
    </row>
    <row r="8" spans="1:14" ht="13.8" x14ac:dyDescent="0.25">
      <c r="D8" s="6">
        <v>3</v>
      </c>
      <c r="E8" s="11">
        <v>17.21</v>
      </c>
      <c r="F8" s="11">
        <v>17.510000000000002</v>
      </c>
      <c r="G8" s="11">
        <v>18.420000000000002</v>
      </c>
      <c r="H8" s="11">
        <v>19.98</v>
      </c>
      <c r="I8" s="11">
        <v>21.720000000000002</v>
      </c>
      <c r="J8" s="11">
        <v>22.630000000000003</v>
      </c>
      <c r="K8" s="11">
        <v>23.3</v>
      </c>
      <c r="L8" s="11">
        <v>23.950000000000003</v>
      </c>
      <c r="M8" s="11"/>
      <c r="N8" s="6"/>
    </row>
    <row r="9" spans="1:14" ht="13.8" x14ac:dyDescent="0.25">
      <c r="D9" s="6">
        <v>4</v>
      </c>
      <c r="E9" s="11">
        <v>18.89</v>
      </c>
      <c r="F9" s="11">
        <v>19.290000000000003</v>
      </c>
      <c r="G9" s="11">
        <v>20.46</v>
      </c>
      <c r="H9" s="11">
        <v>22.42</v>
      </c>
      <c r="I9" s="11">
        <v>24.490000000000002</v>
      </c>
      <c r="J9" s="11">
        <v>25.560000000000002</v>
      </c>
      <c r="K9" s="11">
        <v>26.28</v>
      </c>
      <c r="L9" s="11">
        <v>26.950000000000003</v>
      </c>
      <c r="M9" s="11"/>
      <c r="N9" s="6"/>
    </row>
    <row r="10" spans="1:14" ht="13.8" x14ac:dyDescent="0.25">
      <c r="D10" s="6">
        <v>5</v>
      </c>
      <c r="E10" s="11">
        <v>20.560000000000002</v>
      </c>
      <c r="F10" s="11">
        <v>21.07</v>
      </c>
      <c r="G10" s="11">
        <v>22.51</v>
      </c>
      <c r="H10" s="11">
        <v>24.85</v>
      </c>
      <c r="I10" s="11">
        <v>27.28</v>
      </c>
      <c r="J10" s="11">
        <v>28.48</v>
      </c>
      <c r="K10" s="11">
        <v>29.26</v>
      </c>
      <c r="L10" s="11">
        <v>29.92</v>
      </c>
      <c r="M10" s="11"/>
      <c r="N10" s="6"/>
    </row>
    <row r="11" spans="1:14" ht="13.8" x14ac:dyDescent="0.25">
      <c r="D11" s="6">
        <v>6</v>
      </c>
      <c r="E11" s="11">
        <v>22.720000000000002</v>
      </c>
      <c r="F11" s="11">
        <v>23.26</v>
      </c>
      <c r="G11" s="11">
        <v>24.87</v>
      </c>
      <c r="H11" s="11">
        <v>27.55</v>
      </c>
      <c r="I11" s="11">
        <v>30.12</v>
      </c>
      <c r="J11" s="11">
        <v>31.37</v>
      </c>
      <c r="K11" s="11">
        <v>32.25</v>
      </c>
      <c r="L11" s="11">
        <v>32.97</v>
      </c>
      <c r="M11" s="11"/>
      <c r="N11" s="6"/>
    </row>
    <row r="12" spans="1:14" ht="13.8" x14ac:dyDescent="0.25">
      <c r="D12" s="6">
        <v>7</v>
      </c>
      <c r="E12" s="11">
        <v>24.87</v>
      </c>
      <c r="F12" s="11">
        <v>25.450000000000003</v>
      </c>
      <c r="G12" s="11">
        <v>27.23</v>
      </c>
      <c r="H12" s="11">
        <v>30.26</v>
      </c>
      <c r="I12" s="11">
        <v>32.949999999999996</v>
      </c>
      <c r="J12" s="11">
        <v>34.239999999999995</v>
      </c>
      <c r="K12" s="11">
        <v>35.22</v>
      </c>
      <c r="L12" s="11">
        <v>36.019999999999996</v>
      </c>
      <c r="M12" s="11"/>
      <c r="N12" s="6"/>
    </row>
    <row r="13" spans="1:14" ht="13.8" x14ac:dyDescent="0.25">
      <c r="D13" s="6">
        <v>8</v>
      </c>
      <c r="E13" s="11">
        <v>27.020000000000003</v>
      </c>
      <c r="F13" s="11">
        <v>27.630000000000003</v>
      </c>
      <c r="G13" s="11">
        <v>29.57</v>
      </c>
      <c r="H13" s="11">
        <v>32.96</v>
      </c>
      <c r="I13" s="11">
        <v>35.78</v>
      </c>
      <c r="J13" s="11">
        <v>37.119999999999997</v>
      </c>
      <c r="K13" s="11">
        <v>38.21</v>
      </c>
      <c r="L13" s="11">
        <v>39.059999999999995</v>
      </c>
      <c r="M13" s="11"/>
      <c r="N13" s="6"/>
    </row>
    <row r="14" spans="1:14" ht="13.8" x14ac:dyDescent="0.25">
      <c r="D14" s="6">
        <v>9</v>
      </c>
      <c r="E14" s="11">
        <v>29.16</v>
      </c>
      <c r="F14" s="11">
        <v>29.84</v>
      </c>
      <c r="G14" s="11">
        <v>31.94</v>
      </c>
      <c r="H14" s="11">
        <v>35.659999999999997</v>
      </c>
      <c r="I14" s="11">
        <v>38.61</v>
      </c>
      <c r="J14" s="11">
        <v>39.97</v>
      </c>
      <c r="K14" s="11">
        <v>41.18</v>
      </c>
      <c r="L14" s="11">
        <v>42.11</v>
      </c>
      <c r="M14" s="11"/>
      <c r="N14" s="6"/>
    </row>
    <row r="15" spans="1:14" ht="13.8" x14ac:dyDescent="0.25">
      <c r="D15" s="6">
        <v>10</v>
      </c>
      <c r="E15" s="11">
        <v>31.330000000000002</v>
      </c>
      <c r="F15" s="11">
        <v>32.03</v>
      </c>
      <c r="G15" s="11">
        <v>34.29</v>
      </c>
      <c r="H15" s="11">
        <v>38.36</v>
      </c>
      <c r="I15" s="11">
        <v>41.449999999999996</v>
      </c>
      <c r="J15" s="11">
        <v>42.85</v>
      </c>
      <c r="K15" s="11">
        <v>44.169999999999995</v>
      </c>
      <c r="L15" s="11">
        <v>45.14</v>
      </c>
      <c r="M15" s="11"/>
      <c r="N15" s="6"/>
    </row>
    <row r="16" spans="1:14" ht="13.8" x14ac:dyDescent="0.25">
      <c r="D16" s="6">
        <v>11</v>
      </c>
      <c r="E16" s="11">
        <v>33.369999999999997</v>
      </c>
      <c r="F16" s="11">
        <v>34.169999999999995</v>
      </c>
      <c r="G16" s="11">
        <v>36.79</v>
      </c>
      <c r="H16" s="11">
        <v>40.9</v>
      </c>
      <c r="I16" s="11">
        <v>44.019999999999996</v>
      </c>
      <c r="J16" s="11">
        <v>45.379999999999995</v>
      </c>
      <c r="K16" s="11">
        <v>46.739999999999995</v>
      </c>
      <c r="L16" s="11">
        <v>47.78</v>
      </c>
      <c r="M16" s="11"/>
      <c r="N16" s="6"/>
    </row>
    <row r="17" spans="4:14" ht="13.8" x14ac:dyDescent="0.25">
      <c r="D17" s="6">
        <v>12</v>
      </c>
      <c r="E17" s="11">
        <v>35.4</v>
      </c>
      <c r="F17" s="11">
        <v>36.35</v>
      </c>
      <c r="G17" s="11">
        <v>39.299999999999997</v>
      </c>
      <c r="H17" s="11">
        <v>43.44</v>
      </c>
      <c r="I17" s="11">
        <v>46.58</v>
      </c>
      <c r="J17" s="11">
        <v>47.9</v>
      </c>
      <c r="K17" s="11">
        <v>49.309999999999995</v>
      </c>
      <c r="L17" s="11">
        <v>50.419999999999995</v>
      </c>
      <c r="M17" s="11"/>
      <c r="N17" s="6"/>
    </row>
    <row r="18" spans="4:14" ht="13.8" x14ac:dyDescent="0.25">
      <c r="D18" s="6">
        <v>13</v>
      </c>
      <c r="E18" s="11">
        <v>37.46</v>
      </c>
      <c r="F18" s="11">
        <v>38.51</v>
      </c>
      <c r="G18" s="11">
        <v>41.8</v>
      </c>
      <c r="H18" s="11">
        <v>45.98</v>
      </c>
      <c r="I18" s="11">
        <v>49.12</v>
      </c>
      <c r="J18" s="11">
        <v>50.43</v>
      </c>
      <c r="K18" s="11">
        <v>51.89</v>
      </c>
      <c r="L18" s="11">
        <v>53.05</v>
      </c>
      <c r="M18" s="11"/>
      <c r="N18" s="6"/>
    </row>
    <row r="19" spans="4:14" ht="13.8" x14ac:dyDescent="0.25">
      <c r="D19" s="6">
        <v>14</v>
      </c>
      <c r="E19" s="11">
        <v>39.5</v>
      </c>
      <c r="F19" s="11">
        <v>40.659999999999997</v>
      </c>
      <c r="G19" s="11">
        <v>44.32</v>
      </c>
      <c r="H19" s="11">
        <v>48.519999999999996</v>
      </c>
      <c r="I19" s="11">
        <v>51.69</v>
      </c>
      <c r="J19" s="11">
        <v>52.949999999999996</v>
      </c>
      <c r="K19" s="11">
        <v>54.46</v>
      </c>
      <c r="L19" s="11">
        <v>55.68</v>
      </c>
      <c r="M19" s="11"/>
      <c r="N19" s="6"/>
    </row>
    <row r="20" spans="4:14" ht="13.8" x14ac:dyDescent="0.25">
      <c r="D20" s="6">
        <v>15</v>
      </c>
      <c r="E20" s="11">
        <v>41.559999999999995</v>
      </c>
      <c r="F20" s="11">
        <v>42.82</v>
      </c>
      <c r="G20" s="11">
        <v>46.82</v>
      </c>
      <c r="H20" s="11">
        <v>51.05</v>
      </c>
      <c r="I20" s="11">
        <v>54.25</v>
      </c>
      <c r="J20" s="11">
        <v>55.47</v>
      </c>
      <c r="K20" s="11">
        <v>57.03</v>
      </c>
      <c r="L20" s="11">
        <v>58.309999999999995</v>
      </c>
      <c r="M20" s="11"/>
      <c r="N20" s="6"/>
    </row>
    <row r="21" spans="4:14" ht="13.8" x14ac:dyDescent="0.25">
      <c r="D21" s="6">
        <v>16</v>
      </c>
      <c r="E21" s="11">
        <v>43.6</v>
      </c>
      <c r="F21" s="11">
        <v>44.98</v>
      </c>
      <c r="G21" s="11">
        <v>49.309999999999995</v>
      </c>
      <c r="H21" s="11">
        <v>53.58</v>
      </c>
      <c r="I21" s="11">
        <v>56.8</v>
      </c>
      <c r="J21" s="11">
        <v>57.98</v>
      </c>
      <c r="K21" s="11">
        <v>59.61</v>
      </c>
      <c r="L21" s="11">
        <v>60.97</v>
      </c>
      <c r="M21" s="11"/>
      <c r="N21" s="6"/>
    </row>
    <row r="22" spans="4:14" ht="13.8" x14ac:dyDescent="0.25">
      <c r="D22" s="6">
        <v>17</v>
      </c>
      <c r="E22" s="11">
        <v>45.64</v>
      </c>
      <c r="F22" s="11">
        <v>47.129999999999995</v>
      </c>
      <c r="G22" s="11">
        <v>51.83</v>
      </c>
      <c r="H22" s="11">
        <v>56.129999999999995</v>
      </c>
      <c r="I22" s="11">
        <v>59.36</v>
      </c>
      <c r="J22" s="11">
        <v>60.51</v>
      </c>
      <c r="K22" s="11">
        <v>62.19</v>
      </c>
      <c r="L22" s="11">
        <v>63.6</v>
      </c>
      <c r="M22" s="11"/>
      <c r="N22" s="6"/>
    </row>
    <row r="23" spans="4:14" ht="13.8" x14ac:dyDescent="0.25">
      <c r="D23" s="6">
        <v>18</v>
      </c>
      <c r="E23" s="11">
        <v>47.69</v>
      </c>
      <c r="F23" s="11">
        <v>49.28</v>
      </c>
      <c r="G23" s="11">
        <v>54.33</v>
      </c>
      <c r="H23" s="11">
        <v>58.66</v>
      </c>
      <c r="I23" s="11">
        <v>61.91</v>
      </c>
      <c r="J23" s="11">
        <v>63.03</v>
      </c>
      <c r="K23" s="11">
        <v>64.760000000000005</v>
      </c>
      <c r="L23" s="11">
        <v>66.23</v>
      </c>
      <c r="M23" s="11"/>
      <c r="N23" s="6"/>
    </row>
    <row r="24" spans="4:14" ht="13.8" x14ac:dyDescent="0.25">
      <c r="D24" s="6">
        <v>19</v>
      </c>
      <c r="E24" s="11">
        <v>49.73</v>
      </c>
      <c r="F24" s="11">
        <v>51.449999999999996</v>
      </c>
      <c r="G24" s="11">
        <v>56.85</v>
      </c>
      <c r="H24" s="11">
        <v>61.199999999999996</v>
      </c>
      <c r="I24" s="11">
        <v>64.47</v>
      </c>
      <c r="J24" s="11">
        <v>65.56</v>
      </c>
      <c r="K24" s="11">
        <v>67.34</v>
      </c>
      <c r="L24" s="11">
        <v>68.87</v>
      </c>
      <c r="M24" s="11"/>
      <c r="N24" s="6"/>
    </row>
    <row r="25" spans="4:14" ht="13.8" x14ac:dyDescent="0.25">
      <c r="D25" s="12">
        <v>20</v>
      </c>
      <c r="E25" s="13">
        <v>51.78</v>
      </c>
      <c r="F25" s="13">
        <v>53.62</v>
      </c>
      <c r="G25" s="13">
        <v>59.34</v>
      </c>
      <c r="H25" s="13">
        <v>63.739999999999995</v>
      </c>
      <c r="I25" s="13">
        <v>67.02000000000001</v>
      </c>
      <c r="J25" s="13">
        <v>68.08</v>
      </c>
      <c r="K25" s="13">
        <v>69.900000000000006</v>
      </c>
      <c r="L25" s="13">
        <v>71.5</v>
      </c>
      <c r="M25" s="13"/>
      <c r="N25" s="6"/>
    </row>
    <row r="26" spans="4:14" ht="13.8" x14ac:dyDescent="0.25">
      <c r="D26" s="14" t="s">
        <v>23</v>
      </c>
      <c r="E26" s="15">
        <v>25.060000000000002</v>
      </c>
      <c r="F26" s="15">
        <v>25.060000000000002</v>
      </c>
      <c r="G26" s="15">
        <v>25.060000000000002</v>
      </c>
      <c r="H26" s="15">
        <v>25.060000000000002</v>
      </c>
      <c r="I26" s="15">
        <v>25.060000000000002</v>
      </c>
      <c r="J26" s="15">
        <v>25.060000000000002</v>
      </c>
      <c r="K26" s="15">
        <v>25.060000000000002</v>
      </c>
      <c r="L26" s="15">
        <v>25.060000000000002</v>
      </c>
      <c r="M26" s="15"/>
      <c r="N26" s="6"/>
    </row>
    <row r="27" spans="4:14" ht="13.8" x14ac:dyDescent="0.25">
      <c r="D27" s="16" t="s">
        <v>24</v>
      </c>
      <c r="E27" s="11">
        <v>25.32</v>
      </c>
      <c r="F27" s="11">
        <v>25.32</v>
      </c>
      <c r="G27" s="11">
        <v>25.32</v>
      </c>
      <c r="H27" s="11">
        <v>25.32</v>
      </c>
      <c r="I27" s="11">
        <v>25.32</v>
      </c>
      <c r="J27" s="11">
        <v>25.32</v>
      </c>
      <c r="K27" s="11">
        <v>25.32</v>
      </c>
      <c r="L27" s="11">
        <v>25.32</v>
      </c>
      <c r="M27" s="11"/>
      <c r="N27" s="6"/>
    </row>
    <row r="28" spans="4:14" ht="13.8" x14ac:dyDescent="0.25">
      <c r="D28" s="17" t="s">
        <v>25</v>
      </c>
      <c r="E28" s="13">
        <v>25.520000000000003</v>
      </c>
      <c r="F28" s="13">
        <v>25.520000000000003</v>
      </c>
      <c r="G28" s="13">
        <v>25.520000000000003</v>
      </c>
      <c r="H28" s="13">
        <v>25.520000000000003</v>
      </c>
      <c r="I28" s="13">
        <v>25.520000000000003</v>
      </c>
      <c r="J28" s="13">
        <v>25.520000000000003</v>
      </c>
      <c r="K28" s="13">
        <v>25.520000000000003</v>
      </c>
      <c r="L28" s="13">
        <v>25.520000000000003</v>
      </c>
      <c r="M28" s="13"/>
      <c r="N28" s="6"/>
    </row>
    <row r="30" spans="4:14" ht="13.8" x14ac:dyDescent="0.3">
      <c r="D30" s="19" t="s">
        <v>26</v>
      </c>
      <c r="E30" s="19"/>
      <c r="F30" s="19"/>
      <c r="G30" s="19"/>
      <c r="H30" s="19"/>
      <c r="I30" s="19"/>
      <c r="J30" s="19"/>
      <c r="K30" s="19"/>
      <c r="L30" s="19"/>
      <c r="M30" s="19"/>
      <c r="N30" s="19"/>
    </row>
    <row r="31" spans="4:14" ht="13.8" x14ac:dyDescent="0.25">
      <c r="D31" s="4" t="s">
        <v>17</v>
      </c>
      <c r="E31" s="5"/>
      <c r="F31" s="5"/>
      <c r="G31" s="5"/>
      <c r="H31" s="5"/>
      <c r="I31" s="5"/>
      <c r="J31" s="5"/>
      <c r="K31" s="5"/>
      <c r="L31" s="5"/>
      <c r="M31" s="5"/>
      <c r="N31" s="6"/>
    </row>
    <row r="32" spans="4:14" ht="13.8" x14ac:dyDescent="0.25">
      <c r="D32" s="20" t="s">
        <v>18</v>
      </c>
      <c r="E32" s="5"/>
      <c r="F32" s="22" t="s">
        <v>6</v>
      </c>
      <c r="G32" s="22"/>
      <c r="H32" s="22"/>
      <c r="I32" s="22"/>
      <c r="J32" s="22"/>
      <c r="K32" s="22"/>
      <c r="L32" s="22"/>
      <c r="M32" s="22"/>
      <c r="N32" s="6"/>
    </row>
    <row r="33" spans="4:14" ht="14.4" thickBot="1" x14ac:dyDescent="0.3">
      <c r="D33" s="21"/>
      <c r="E33" s="8">
        <v>1</v>
      </c>
      <c r="F33" s="8">
        <v>2</v>
      </c>
      <c r="G33" s="9">
        <v>3</v>
      </c>
      <c r="H33" s="9">
        <v>4</v>
      </c>
      <c r="I33" s="9">
        <v>5</v>
      </c>
      <c r="J33" s="9">
        <v>6</v>
      </c>
      <c r="K33" s="9">
        <v>7</v>
      </c>
      <c r="L33" s="9">
        <v>8</v>
      </c>
      <c r="M33" s="9">
        <v>9</v>
      </c>
      <c r="N33" s="6"/>
    </row>
    <row r="34" spans="4:14" ht="13.8" x14ac:dyDescent="0.25">
      <c r="D34" s="6">
        <v>0.5</v>
      </c>
      <c r="E34" s="11">
        <v>13.49</v>
      </c>
      <c r="F34" s="11">
        <v>13.49</v>
      </c>
      <c r="G34" s="11">
        <v>13.6</v>
      </c>
      <c r="H34" s="11">
        <v>13.98</v>
      </c>
      <c r="I34" s="11">
        <v>14.65</v>
      </c>
      <c r="J34" s="11">
        <v>15.11</v>
      </c>
      <c r="K34" s="11">
        <v>15.6</v>
      </c>
      <c r="L34" s="11">
        <v>16.220000000000002</v>
      </c>
      <c r="M34" s="11"/>
      <c r="N34" s="6"/>
    </row>
    <row r="35" spans="4:14" ht="13.8" x14ac:dyDescent="0.25">
      <c r="D35" s="6">
        <v>1</v>
      </c>
      <c r="E35" s="11">
        <v>13.94</v>
      </c>
      <c r="F35" s="11">
        <v>14.04</v>
      </c>
      <c r="G35" s="11">
        <v>14.41</v>
      </c>
      <c r="H35" s="11">
        <v>15.18</v>
      </c>
      <c r="I35" s="11">
        <v>16.200000000000003</v>
      </c>
      <c r="J35" s="11">
        <v>16.8</v>
      </c>
      <c r="K35" s="11">
        <v>17.350000000000001</v>
      </c>
      <c r="L35" s="11">
        <v>17.96</v>
      </c>
      <c r="M35" s="11"/>
      <c r="N35" s="6"/>
    </row>
    <row r="36" spans="4:14" ht="13.8" x14ac:dyDescent="0.25">
      <c r="D36" s="6">
        <v>2</v>
      </c>
      <c r="E36" s="11">
        <v>15.19</v>
      </c>
      <c r="F36" s="11">
        <v>15.379999999999999</v>
      </c>
      <c r="G36" s="11">
        <v>16.020000000000003</v>
      </c>
      <c r="H36" s="11">
        <v>17.170000000000002</v>
      </c>
      <c r="I36" s="11">
        <v>18.520000000000003</v>
      </c>
      <c r="J36" s="11">
        <v>19.270000000000003</v>
      </c>
      <c r="K36" s="11">
        <v>19.860000000000003</v>
      </c>
      <c r="L36" s="11">
        <v>20.5</v>
      </c>
      <c r="M36" s="11"/>
      <c r="N36" s="6"/>
    </row>
    <row r="37" spans="4:14" ht="13.8" x14ac:dyDescent="0.25">
      <c r="D37" s="6">
        <v>3</v>
      </c>
      <c r="E37" s="11">
        <v>16.84</v>
      </c>
      <c r="F37" s="11">
        <v>17.130000000000003</v>
      </c>
      <c r="G37" s="11">
        <v>18.010000000000002</v>
      </c>
      <c r="H37" s="11">
        <v>19.55</v>
      </c>
      <c r="I37" s="11">
        <v>21.240000000000002</v>
      </c>
      <c r="J37" s="11">
        <v>22.130000000000003</v>
      </c>
      <c r="K37" s="11">
        <v>22.790000000000003</v>
      </c>
      <c r="L37" s="11">
        <v>23.42</v>
      </c>
      <c r="M37" s="11"/>
      <c r="N37" s="6"/>
    </row>
    <row r="38" spans="4:14" ht="13.8" x14ac:dyDescent="0.25">
      <c r="D38" s="6">
        <v>4</v>
      </c>
      <c r="E38" s="11">
        <v>18.48</v>
      </c>
      <c r="F38" s="11">
        <v>18.87</v>
      </c>
      <c r="G38" s="11">
        <v>20.020000000000003</v>
      </c>
      <c r="H38" s="11">
        <v>21.93</v>
      </c>
      <c r="I38" s="11">
        <v>23.96</v>
      </c>
      <c r="J38" s="11">
        <v>25</v>
      </c>
      <c r="K38" s="11">
        <v>25.700000000000003</v>
      </c>
      <c r="L38" s="11">
        <v>26.360000000000003</v>
      </c>
      <c r="M38" s="11"/>
      <c r="N38" s="6"/>
    </row>
    <row r="39" spans="4:14" ht="13.8" x14ac:dyDescent="0.25">
      <c r="D39" s="6">
        <v>5</v>
      </c>
      <c r="E39" s="11">
        <v>20.110000000000003</v>
      </c>
      <c r="F39" s="11">
        <v>20.610000000000003</v>
      </c>
      <c r="G39" s="11">
        <v>22.020000000000003</v>
      </c>
      <c r="H39" s="11">
        <v>24.3</v>
      </c>
      <c r="I39" s="11">
        <v>26.680000000000003</v>
      </c>
      <c r="J39" s="11">
        <v>27.860000000000003</v>
      </c>
      <c r="K39" s="11">
        <v>28.62</v>
      </c>
      <c r="L39" s="11">
        <v>29.270000000000003</v>
      </c>
      <c r="M39" s="11"/>
      <c r="N39" s="6"/>
    </row>
    <row r="40" spans="4:14" ht="13.8" x14ac:dyDescent="0.25">
      <c r="D40" s="6">
        <v>6</v>
      </c>
      <c r="E40" s="11">
        <v>22.220000000000002</v>
      </c>
      <c r="F40" s="11">
        <v>22.740000000000002</v>
      </c>
      <c r="G40" s="11">
        <v>24.330000000000002</v>
      </c>
      <c r="H40" s="11">
        <v>26.94</v>
      </c>
      <c r="I40" s="11">
        <v>29.46</v>
      </c>
      <c r="J40" s="11">
        <v>30.680000000000003</v>
      </c>
      <c r="K40" s="11">
        <v>31.540000000000003</v>
      </c>
      <c r="L40" s="11">
        <v>32.239999999999995</v>
      </c>
      <c r="M40" s="11"/>
      <c r="N40" s="6"/>
    </row>
    <row r="41" spans="4:14" ht="13.8" x14ac:dyDescent="0.25">
      <c r="D41" s="6">
        <v>7</v>
      </c>
      <c r="E41" s="11">
        <v>24.330000000000002</v>
      </c>
      <c r="F41" s="11">
        <v>24.900000000000002</v>
      </c>
      <c r="G41" s="11">
        <v>26.630000000000003</v>
      </c>
      <c r="H41" s="11">
        <v>29.59</v>
      </c>
      <c r="I41" s="11">
        <v>32.22</v>
      </c>
      <c r="J41" s="11">
        <v>33.479999999999997</v>
      </c>
      <c r="K41" s="11">
        <v>34.44</v>
      </c>
      <c r="L41" s="11">
        <v>35.239999999999995</v>
      </c>
      <c r="M41" s="11"/>
      <c r="N41" s="6"/>
    </row>
    <row r="42" spans="4:14" ht="13.8" x14ac:dyDescent="0.25">
      <c r="D42" s="6">
        <v>8</v>
      </c>
      <c r="E42" s="11">
        <v>26.430000000000003</v>
      </c>
      <c r="F42" s="11">
        <v>27.03</v>
      </c>
      <c r="G42" s="11">
        <v>28.92</v>
      </c>
      <c r="H42" s="11">
        <v>32.229999999999997</v>
      </c>
      <c r="I42" s="11">
        <v>35</v>
      </c>
      <c r="J42" s="11">
        <v>36.299999999999997</v>
      </c>
      <c r="K42" s="11">
        <v>37.369999999999997</v>
      </c>
      <c r="L42" s="11">
        <v>38.199999999999996</v>
      </c>
      <c r="M42" s="11"/>
      <c r="N42" s="6"/>
    </row>
    <row r="43" spans="4:14" ht="13.8" x14ac:dyDescent="0.25">
      <c r="D43" s="6">
        <v>9</v>
      </c>
      <c r="E43" s="11">
        <v>28.53</v>
      </c>
      <c r="F43" s="11">
        <v>29.19</v>
      </c>
      <c r="G43" s="11">
        <v>31.23</v>
      </c>
      <c r="H43" s="11">
        <v>34.879999999999995</v>
      </c>
      <c r="I43" s="11">
        <v>37.769999999999996</v>
      </c>
      <c r="J43" s="11">
        <v>39.1</v>
      </c>
      <c r="K43" s="11">
        <v>40.28</v>
      </c>
      <c r="L43" s="11">
        <v>41.19</v>
      </c>
      <c r="M43" s="11"/>
      <c r="N43" s="6"/>
    </row>
    <row r="44" spans="4:14" ht="13.8" x14ac:dyDescent="0.25">
      <c r="D44" s="6">
        <v>10</v>
      </c>
      <c r="E44" s="11">
        <v>30.630000000000003</v>
      </c>
      <c r="F44" s="11">
        <v>31.330000000000002</v>
      </c>
      <c r="G44" s="11">
        <v>33.53</v>
      </c>
      <c r="H44" s="11">
        <v>37.519999999999996</v>
      </c>
      <c r="I44" s="11">
        <v>40.54</v>
      </c>
      <c r="J44" s="11">
        <v>41.91</v>
      </c>
      <c r="K44" s="11">
        <v>43.199999999999996</v>
      </c>
      <c r="L44" s="11">
        <v>44.15</v>
      </c>
      <c r="M44" s="11"/>
      <c r="N44" s="6"/>
    </row>
    <row r="45" spans="4:14" ht="13.8" x14ac:dyDescent="0.25">
      <c r="D45" s="6">
        <v>11</v>
      </c>
      <c r="E45" s="11">
        <v>32.64</v>
      </c>
      <c r="F45" s="11">
        <v>33.43</v>
      </c>
      <c r="G45" s="11">
        <v>35.979999999999997</v>
      </c>
      <c r="H45" s="11">
        <v>40.019999999999996</v>
      </c>
      <c r="I45" s="11">
        <v>43.05</v>
      </c>
      <c r="J45" s="11">
        <v>44.379999999999995</v>
      </c>
      <c r="K45" s="11">
        <v>45.71</v>
      </c>
      <c r="L45" s="11">
        <v>46.73</v>
      </c>
      <c r="M45" s="11"/>
      <c r="N45" s="6"/>
    </row>
    <row r="46" spans="4:14" ht="13.8" x14ac:dyDescent="0.25">
      <c r="D46" s="6">
        <v>12</v>
      </c>
      <c r="E46" s="11">
        <v>34.629999999999995</v>
      </c>
      <c r="F46" s="11">
        <v>35.549999999999997</v>
      </c>
      <c r="G46" s="11">
        <v>38.44</v>
      </c>
      <c r="H46" s="11">
        <v>42.489999999999995</v>
      </c>
      <c r="I46" s="11">
        <v>45.559999999999995</v>
      </c>
      <c r="J46" s="11">
        <v>46.86</v>
      </c>
      <c r="K46" s="11">
        <v>48.239999999999995</v>
      </c>
      <c r="L46" s="11">
        <v>49.309999999999995</v>
      </c>
      <c r="M46" s="11"/>
      <c r="N46" s="6"/>
    </row>
    <row r="47" spans="4:14" ht="13.8" x14ac:dyDescent="0.25">
      <c r="D47" s="6">
        <v>13</v>
      </c>
      <c r="E47" s="11">
        <v>36.629999999999995</v>
      </c>
      <c r="F47" s="11">
        <v>37.659999999999997</v>
      </c>
      <c r="G47" s="11">
        <v>40.89</v>
      </c>
      <c r="H47" s="11">
        <v>44.97</v>
      </c>
      <c r="I47" s="11">
        <v>48.04</v>
      </c>
      <c r="J47" s="11">
        <v>49.32</v>
      </c>
      <c r="K47" s="11">
        <v>50.76</v>
      </c>
      <c r="L47" s="11">
        <v>51.879999999999995</v>
      </c>
      <c r="M47" s="11"/>
      <c r="N47" s="6"/>
    </row>
    <row r="48" spans="4:14" ht="13.8" x14ac:dyDescent="0.25">
      <c r="D48" s="6">
        <v>14</v>
      </c>
      <c r="E48" s="11">
        <v>38.629999999999995</v>
      </c>
      <c r="F48" s="11">
        <v>39.76</v>
      </c>
      <c r="G48" s="11">
        <v>43.35</v>
      </c>
      <c r="H48" s="11">
        <v>47.46</v>
      </c>
      <c r="I48" s="11">
        <v>50.55</v>
      </c>
      <c r="J48" s="11">
        <v>51.79</v>
      </c>
      <c r="K48" s="11">
        <v>53.28</v>
      </c>
      <c r="L48" s="11">
        <v>54.46</v>
      </c>
      <c r="M48" s="11"/>
      <c r="N48" s="6"/>
    </row>
    <row r="49" spans="4:14" ht="13.8" x14ac:dyDescent="0.25">
      <c r="D49" s="6">
        <v>15</v>
      </c>
      <c r="E49" s="11">
        <v>40.65</v>
      </c>
      <c r="F49" s="11">
        <v>41.879999999999995</v>
      </c>
      <c r="G49" s="11">
        <v>45.79</v>
      </c>
      <c r="H49" s="11">
        <v>49.919999999999995</v>
      </c>
      <c r="I49" s="11">
        <v>53.059999999999995</v>
      </c>
      <c r="J49" s="11">
        <v>54.26</v>
      </c>
      <c r="K49" s="11">
        <v>55.78</v>
      </c>
      <c r="L49" s="11">
        <v>57.04</v>
      </c>
      <c r="M49" s="11"/>
      <c r="N49" s="6"/>
    </row>
    <row r="50" spans="4:14" ht="13.8" x14ac:dyDescent="0.25">
      <c r="D50" s="6">
        <v>16</v>
      </c>
      <c r="E50" s="11">
        <v>42.64</v>
      </c>
      <c r="F50" s="11">
        <v>44</v>
      </c>
      <c r="G50" s="11">
        <v>48.239999999999995</v>
      </c>
      <c r="H50" s="11">
        <v>52.41</v>
      </c>
      <c r="I50" s="11">
        <v>55.559999999999995</v>
      </c>
      <c r="J50" s="11">
        <v>56.71</v>
      </c>
      <c r="K50" s="11">
        <v>58.3</v>
      </c>
      <c r="L50" s="11">
        <v>59.62</v>
      </c>
      <c r="M50" s="11"/>
      <c r="N50" s="6"/>
    </row>
    <row r="51" spans="4:14" ht="13.8" x14ac:dyDescent="0.25">
      <c r="D51" s="6">
        <v>17</v>
      </c>
      <c r="E51" s="11">
        <v>44.65</v>
      </c>
      <c r="F51" s="11">
        <v>46.089999999999996</v>
      </c>
      <c r="G51" s="11">
        <v>50.699999999999996</v>
      </c>
      <c r="H51" s="11">
        <v>54.9</v>
      </c>
      <c r="I51" s="11">
        <v>58.05</v>
      </c>
      <c r="J51" s="11">
        <v>59.18</v>
      </c>
      <c r="K51" s="11">
        <v>60.83</v>
      </c>
      <c r="L51" s="11">
        <v>62.199999999999996</v>
      </c>
      <c r="M51" s="11"/>
      <c r="N51" s="6"/>
    </row>
    <row r="52" spans="4:14" ht="13.8" x14ac:dyDescent="0.25">
      <c r="D52" s="6">
        <v>18</v>
      </c>
      <c r="E52" s="11">
        <v>46.65</v>
      </c>
      <c r="F52" s="11">
        <v>48.21</v>
      </c>
      <c r="G52" s="11">
        <v>53.14</v>
      </c>
      <c r="H52" s="11">
        <v>57.37</v>
      </c>
      <c r="I52" s="11">
        <v>60.559999999999995</v>
      </c>
      <c r="J52" s="11">
        <v>61.66</v>
      </c>
      <c r="K52" s="11">
        <v>63.339999999999996</v>
      </c>
      <c r="L52" s="11">
        <v>64.78</v>
      </c>
      <c r="M52" s="11"/>
      <c r="N52" s="6"/>
    </row>
    <row r="53" spans="4:14" ht="13.8" x14ac:dyDescent="0.25">
      <c r="D53" s="6">
        <v>19</v>
      </c>
      <c r="E53" s="11">
        <v>48.64</v>
      </c>
      <c r="F53" s="11">
        <v>50.33</v>
      </c>
      <c r="G53" s="11">
        <v>55.6</v>
      </c>
      <c r="H53" s="11">
        <v>59.86</v>
      </c>
      <c r="I53" s="11">
        <v>63.059999999999995</v>
      </c>
      <c r="J53" s="11">
        <v>64.12</v>
      </c>
      <c r="K53" s="11">
        <v>65.87</v>
      </c>
      <c r="L53" s="11">
        <v>67.350000000000009</v>
      </c>
      <c r="M53" s="11"/>
      <c r="N53" s="6"/>
    </row>
    <row r="54" spans="4:14" ht="13.8" x14ac:dyDescent="0.25">
      <c r="D54" s="12">
        <v>20</v>
      </c>
      <c r="E54" s="13">
        <v>50.65</v>
      </c>
      <c r="F54" s="13">
        <v>52.44</v>
      </c>
      <c r="G54" s="13">
        <v>58.04</v>
      </c>
      <c r="H54" s="13">
        <v>62.35</v>
      </c>
      <c r="I54" s="13">
        <v>65.56</v>
      </c>
      <c r="J54" s="13">
        <v>66.59</v>
      </c>
      <c r="K54" s="13">
        <v>68.37</v>
      </c>
      <c r="L54" s="13">
        <v>69.930000000000007</v>
      </c>
      <c r="M54" s="13"/>
      <c r="N54" s="6"/>
    </row>
    <row r="55" spans="4:14" ht="13.8" x14ac:dyDescent="0.25">
      <c r="D55" s="14" t="s">
        <v>23</v>
      </c>
      <c r="E55" s="15">
        <v>24.680000000000003</v>
      </c>
      <c r="F55" s="15">
        <v>24.680000000000003</v>
      </c>
      <c r="G55" s="15">
        <v>24.680000000000003</v>
      </c>
      <c r="H55" s="15">
        <v>24.680000000000003</v>
      </c>
      <c r="I55" s="15">
        <v>24.680000000000003</v>
      </c>
      <c r="J55" s="15">
        <v>24.680000000000003</v>
      </c>
      <c r="K55" s="15">
        <v>24.680000000000003</v>
      </c>
      <c r="L55" s="15">
        <v>24.680000000000003</v>
      </c>
      <c r="M55" s="15"/>
      <c r="N55" s="6"/>
    </row>
    <row r="56" spans="4:14" ht="13.8" x14ac:dyDescent="0.25">
      <c r="D56" s="16" t="s">
        <v>24</v>
      </c>
      <c r="E56" s="11">
        <v>24.930000000000003</v>
      </c>
      <c r="F56" s="11">
        <v>24.930000000000003</v>
      </c>
      <c r="G56" s="11">
        <v>24.930000000000003</v>
      </c>
      <c r="H56" s="11">
        <v>24.930000000000003</v>
      </c>
      <c r="I56" s="11">
        <v>24.930000000000003</v>
      </c>
      <c r="J56" s="11">
        <v>24.930000000000003</v>
      </c>
      <c r="K56" s="11">
        <v>24.930000000000003</v>
      </c>
      <c r="L56" s="11">
        <v>24.930000000000003</v>
      </c>
      <c r="M56" s="11"/>
      <c r="N56" s="6"/>
    </row>
    <row r="57" spans="4:14" ht="13.8" x14ac:dyDescent="0.25">
      <c r="D57" s="17" t="s">
        <v>25</v>
      </c>
      <c r="E57" s="13">
        <v>25.12</v>
      </c>
      <c r="F57" s="13">
        <v>25.12</v>
      </c>
      <c r="G57" s="13">
        <v>25.12</v>
      </c>
      <c r="H57" s="13">
        <v>25.12</v>
      </c>
      <c r="I57" s="13">
        <v>25.12</v>
      </c>
      <c r="J57" s="13">
        <v>25.12</v>
      </c>
      <c r="K57" s="13">
        <v>25.12</v>
      </c>
      <c r="L57" s="13">
        <v>25.12</v>
      </c>
      <c r="M57" s="13"/>
      <c r="N57" s="6"/>
    </row>
    <row r="59" spans="4:14" ht="13.8" x14ac:dyDescent="0.3">
      <c r="D59" s="19" t="s">
        <v>27</v>
      </c>
      <c r="E59" s="19"/>
      <c r="F59" s="19"/>
      <c r="G59" s="19"/>
      <c r="H59" s="19"/>
      <c r="I59" s="19"/>
      <c r="J59" s="19"/>
      <c r="K59" s="19"/>
      <c r="L59" s="19"/>
      <c r="M59" s="19"/>
      <c r="N59" s="19"/>
    </row>
    <row r="60" spans="4:14" ht="13.8" x14ac:dyDescent="0.25">
      <c r="D60" s="4" t="s">
        <v>17</v>
      </c>
      <c r="E60" s="5"/>
      <c r="F60" s="5"/>
      <c r="G60" s="5"/>
      <c r="H60" s="5"/>
      <c r="I60" s="5"/>
      <c r="J60" s="5"/>
      <c r="K60" s="5"/>
      <c r="L60" s="5"/>
      <c r="M60" s="5"/>
      <c r="N60" s="6"/>
    </row>
    <row r="61" spans="4:14" ht="13.8" x14ac:dyDescent="0.25">
      <c r="D61" s="20" t="s">
        <v>18</v>
      </c>
      <c r="E61" s="5"/>
      <c r="F61" s="22" t="s">
        <v>6</v>
      </c>
      <c r="G61" s="22"/>
      <c r="H61" s="22"/>
      <c r="I61" s="22"/>
      <c r="J61" s="22"/>
      <c r="K61" s="22"/>
      <c r="L61" s="22"/>
      <c r="M61" s="22"/>
      <c r="N61" s="6"/>
    </row>
    <row r="62" spans="4:14" ht="14.4" thickBot="1" x14ac:dyDescent="0.3">
      <c r="D62" s="21"/>
      <c r="E62" s="8">
        <v>1</v>
      </c>
      <c r="F62" s="8">
        <v>2</v>
      </c>
      <c r="G62" s="9">
        <v>3</v>
      </c>
      <c r="H62" s="9">
        <v>4</v>
      </c>
      <c r="I62" s="9">
        <v>5</v>
      </c>
      <c r="J62" s="9">
        <v>6</v>
      </c>
      <c r="K62" s="9">
        <v>7</v>
      </c>
      <c r="L62" s="9">
        <v>8</v>
      </c>
      <c r="M62" s="9">
        <v>9</v>
      </c>
      <c r="N62" s="6"/>
    </row>
    <row r="63" spans="4:14" ht="13.8" x14ac:dyDescent="0.25">
      <c r="D63" s="6">
        <v>0.5</v>
      </c>
      <c r="E63" s="11">
        <v>13.15</v>
      </c>
      <c r="F63" s="11">
        <v>13.15</v>
      </c>
      <c r="G63" s="11">
        <v>13.26</v>
      </c>
      <c r="H63" s="11">
        <v>13.629999999999999</v>
      </c>
      <c r="I63" s="11">
        <v>14.28</v>
      </c>
      <c r="J63" s="11">
        <v>14.73</v>
      </c>
      <c r="K63" s="11">
        <v>15.209999999999999</v>
      </c>
      <c r="L63" s="11">
        <v>15.799999999999999</v>
      </c>
      <c r="M63" s="11"/>
      <c r="N63" s="6"/>
    </row>
    <row r="64" spans="4:14" ht="13.8" x14ac:dyDescent="0.25">
      <c r="D64" s="6">
        <v>1</v>
      </c>
      <c r="E64" s="11">
        <v>13.58</v>
      </c>
      <c r="F64" s="11">
        <v>13.69</v>
      </c>
      <c r="G64" s="11">
        <v>14.04</v>
      </c>
      <c r="H64" s="11">
        <v>14.79</v>
      </c>
      <c r="I64" s="11">
        <v>15.78</v>
      </c>
      <c r="J64" s="11">
        <v>16.37</v>
      </c>
      <c r="K64" s="11">
        <v>16.920000000000002</v>
      </c>
      <c r="L64" s="11">
        <v>17.510000000000002</v>
      </c>
      <c r="M64" s="11"/>
      <c r="N64" s="6"/>
    </row>
    <row r="65" spans="4:14" ht="13.8" x14ac:dyDescent="0.25">
      <c r="D65" s="6">
        <v>2</v>
      </c>
      <c r="E65" s="11">
        <v>14.799999999999999</v>
      </c>
      <c r="F65" s="11">
        <v>14.99</v>
      </c>
      <c r="G65" s="11">
        <v>15.62</v>
      </c>
      <c r="H65" s="11">
        <v>16.73</v>
      </c>
      <c r="I65" s="11">
        <v>18.05</v>
      </c>
      <c r="J65" s="11">
        <v>18.790000000000003</v>
      </c>
      <c r="K65" s="11">
        <v>19.37</v>
      </c>
      <c r="L65" s="11">
        <v>19.98</v>
      </c>
      <c r="M65" s="11"/>
      <c r="N65" s="6"/>
    </row>
    <row r="66" spans="4:14" ht="13.8" x14ac:dyDescent="0.25">
      <c r="D66" s="6">
        <v>3</v>
      </c>
      <c r="E66" s="11">
        <v>16.400000000000002</v>
      </c>
      <c r="F66" s="11">
        <v>16.690000000000001</v>
      </c>
      <c r="G66" s="11">
        <v>17.560000000000002</v>
      </c>
      <c r="H66" s="11">
        <v>19.060000000000002</v>
      </c>
      <c r="I66" s="11">
        <v>20.71</v>
      </c>
      <c r="J66" s="11">
        <v>21.560000000000002</v>
      </c>
      <c r="K66" s="11">
        <v>22.21</v>
      </c>
      <c r="L66" s="11">
        <v>22.830000000000002</v>
      </c>
      <c r="M66" s="11"/>
      <c r="N66" s="6"/>
    </row>
    <row r="67" spans="4:14" ht="13.8" x14ac:dyDescent="0.25">
      <c r="D67" s="6">
        <v>4</v>
      </c>
      <c r="E67" s="11">
        <v>18.010000000000002</v>
      </c>
      <c r="F67" s="11">
        <v>18.400000000000002</v>
      </c>
      <c r="G67" s="11">
        <v>19.510000000000002</v>
      </c>
      <c r="H67" s="11">
        <v>21.380000000000003</v>
      </c>
      <c r="I67" s="11">
        <v>23.35</v>
      </c>
      <c r="J67" s="11">
        <v>24.360000000000003</v>
      </c>
      <c r="K67" s="11">
        <v>25.05</v>
      </c>
      <c r="L67" s="11">
        <v>25.69</v>
      </c>
      <c r="M67" s="11"/>
      <c r="N67" s="6"/>
    </row>
    <row r="68" spans="4:14" ht="13.8" x14ac:dyDescent="0.25">
      <c r="D68" s="6">
        <v>5</v>
      </c>
      <c r="E68" s="11">
        <v>19.600000000000001</v>
      </c>
      <c r="F68" s="11">
        <v>20.09</v>
      </c>
      <c r="G68" s="11">
        <v>21.46</v>
      </c>
      <c r="H68" s="11">
        <v>23.69</v>
      </c>
      <c r="I68" s="11">
        <v>26.01</v>
      </c>
      <c r="J68" s="11">
        <v>27.150000000000002</v>
      </c>
      <c r="K68" s="11">
        <v>27.900000000000002</v>
      </c>
      <c r="L68" s="11">
        <v>28.53</v>
      </c>
      <c r="M68" s="11"/>
      <c r="N68" s="6"/>
    </row>
    <row r="69" spans="4:14" ht="13.8" x14ac:dyDescent="0.25">
      <c r="D69" s="6">
        <v>6</v>
      </c>
      <c r="E69" s="11">
        <v>21.67</v>
      </c>
      <c r="F69" s="11">
        <v>22.17</v>
      </c>
      <c r="G69" s="11">
        <v>23.71</v>
      </c>
      <c r="H69" s="11">
        <v>26.26</v>
      </c>
      <c r="I69" s="11">
        <v>28.720000000000002</v>
      </c>
      <c r="J69" s="11">
        <v>29.900000000000002</v>
      </c>
      <c r="K69" s="11">
        <v>30.75</v>
      </c>
      <c r="L69" s="11">
        <v>31.44</v>
      </c>
      <c r="M69" s="11"/>
      <c r="N69" s="6"/>
    </row>
    <row r="70" spans="4:14" ht="13.8" x14ac:dyDescent="0.25">
      <c r="D70" s="6">
        <v>7</v>
      </c>
      <c r="E70" s="11">
        <v>23.71</v>
      </c>
      <c r="F70" s="11">
        <v>24.270000000000003</v>
      </c>
      <c r="G70" s="11">
        <v>25.96</v>
      </c>
      <c r="H70" s="11">
        <v>28.85</v>
      </c>
      <c r="I70" s="11">
        <v>31.41</v>
      </c>
      <c r="J70" s="11">
        <v>32.64</v>
      </c>
      <c r="K70" s="11">
        <v>33.58</v>
      </c>
      <c r="L70" s="11">
        <v>34.35</v>
      </c>
      <c r="M70" s="11"/>
      <c r="N70" s="6"/>
    </row>
    <row r="71" spans="4:14" ht="13.8" x14ac:dyDescent="0.25">
      <c r="D71" s="6">
        <v>8</v>
      </c>
      <c r="E71" s="11">
        <v>25.76</v>
      </c>
      <c r="F71" s="11">
        <v>26.35</v>
      </c>
      <c r="G71" s="11">
        <v>28.200000000000003</v>
      </c>
      <c r="H71" s="11">
        <v>31.42</v>
      </c>
      <c r="I71" s="11">
        <v>34.11</v>
      </c>
      <c r="J71" s="11">
        <v>35.379999999999995</v>
      </c>
      <c r="K71" s="11">
        <v>36.419999999999995</v>
      </c>
      <c r="L71" s="11">
        <v>37.239999999999995</v>
      </c>
      <c r="M71" s="11"/>
      <c r="N71" s="6"/>
    </row>
    <row r="72" spans="4:14" ht="13.8" x14ac:dyDescent="0.25">
      <c r="D72" s="6">
        <v>9</v>
      </c>
      <c r="E72" s="11">
        <v>27.810000000000002</v>
      </c>
      <c r="F72" s="11">
        <v>28.450000000000003</v>
      </c>
      <c r="G72" s="11">
        <v>30.44</v>
      </c>
      <c r="H72" s="11">
        <v>34</v>
      </c>
      <c r="I72" s="11">
        <v>36.82</v>
      </c>
      <c r="J72" s="11">
        <v>38.119999999999997</v>
      </c>
      <c r="K72" s="11">
        <v>39.26</v>
      </c>
      <c r="L72" s="11">
        <v>40.15</v>
      </c>
      <c r="M72" s="11"/>
      <c r="N72" s="6"/>
    </row>
    <row r="73" spans="4:14" ht="13.8" x14ac:dyDescent="0.25">
      <c r="D73" s="6">
        <v>10</v>
      </c>
      <c r="E73" s="11">
        <v>29.860000000000003</v>
      </c>
      <c r="F73" s="11">
        <v>30.540000000000003</v>
      </c>
      <c r="G73" s="11">
        <v>32.69</v>
      </c>
      <c r="H73" s="11">
        <v>36.57</v>
      </c>
      <c r="I73" s="11">
        <v>39.519999999999996</v>
      </c>
      <c r="J73" s="11">
        <v>40.86</v>
      </c>
      <c r="K73" s="11">
        <v>42.11</v>
      </c>
      <c r="L73" s="11">
        <v>43.04</v>
      </c>
      <c r="M73" s="11"/>
      <c r="N73" s="6"/>
    </row>
    <row r="74" spans="4:14" ht="13.8" x14ac:dyDescent="0.25">
      <c r="D74" s="6">
        <v>11</v>
      </c>
      <c r="E74" s="11">
        <v>31.810000000000002</v>
      </c>
      <c r="F74" s="11">
        <v>32.589999999999996</v>
      </c>
      <c r="G74" s="11">
        <v>35.07</v>
      </c>
      <c r="H74" s="11">
        <v>39</v>
      </c>
      <c r="I74" s="11">
        <v>41.97</v>
      </c>
      <c r="J74" s="11">
        <v>43.269999999999996</v>
      </c>
      <c r="K74" s="11">
        <v>44.559999999999995</v>
      </c>
      <c r="L74" s="11">
        <v>45.559999999999995</v>
      </c>
      <c r="M74" s="11"/>
      <c r="N74" s="6"/>
    </row>
    <row r="75" spans="4:14" ht="13.8" x14ac:dyDescent="0.25">
      <c r="D75" s="6">
        <v>12</v>
      </c>
      <c r="E75" s="11">
        <v>33.75</v>
      </c>
      <c r="F75" s="11">
        <v>34.65</v>
      </c>
      <c r="G75" s="11">
        <v>37.47</v>
      </c>
      <c r="H75" s="11">
        <v>41.419999999999995</v>
      </c>
      <c r="I75" s="11">
        <v>44.4</v>
      </c>
      <c r="J75" s="11">
        <v>45.669999999999995</v>
      </c>
      <c r="K75" s="11">
        <v>47.019999999999996</v>
      </c>
      <c r="L75" s="11">
        <v>48.07</v>
      </c>
      <c r="M75" s="11"/>
      <c r="N75" s="6"/>
    </row>
    <row r="76" spans="4:14" ht="13.8" x14ac:dyDescent="0.25">
      <c r="D76" s="6">
        <v>13</v>
      </c>
      <c r="E76" s="11">
        <v>35.71</v>
      </c>
      <c r="F76" s="11">
        <v>36.71</v>
      </c>
      <c r="G76" s="11">
        <v>39.85</v>
      </c>
      <c r="H76" s="11">
        <v>43.83</v>
      </c>
      <c r="I76" s="11">
        <v>46.83</v>
      </c>
      <c r="J76" s="11">
        <v>48.08</v>
      </c>
      <c r="K76" s="11">
        <v>49.48</v>
      </c>
      <c r="L76" s="11">
        <v>50.57</v>
      </c>
      <c r="M76" s="11"/>
      <c r="N76" s="6"/>
    </row>
    <row r="77" spans="4:14" ht="13.8" x14ac:dyDescent="0.25">
      <c r="D77" s="6">
        <v>14</v>
      </c>
      <c r="E77" s="11">
        <v>37.659999999999997</v>
      </c>
      <c r="F77" s="11">
        <v>38.76</v>
      </c>
      <c r="G77" s="11">
        <v>42.26</v>
      </c>
      <c r="H77" s="11">
        <v>46.26</v>
      </c>
      <c r="I77" s="11">
        <v>49.28</v>
      </c>
      <c r="J77" s="11">
        <v>50.48</v>
      </c>
      <c r="K77" s="11">
        <v>51.919999999999995</v>
      </c>
      <c r="L77" s="11">
        <v>53.089999999999996</v>
      </c>
      <c r="M77" s="11"/>
      <c r="N77" s="6"/>
    </row>
    <row r="78" spans="4:14" ht="13.8" x14ac:dyDescent="0.25">
      <c r="D78" s="6">
        <v>15</v>
      </c>
      <c r="E78" s="11">
        <v>39.619999999999997</v>
      </c>
      <c r="F78" s="11">
        <v>40.83</v>
      </c>
      <c r="G78" s="11">
        <v>44.64</v>
      </c>
      <c r="H78" s="11">
        <v>48.66</v>
      </c>
      <c r="I78" s="11">
        <v>51.72</v>
      </c>
      <c r="J78" s="11">
        <v>52.879999999999995</v>
      </c>
      <c r="K78" s="11">
        <v>54.37</v>
      </c>
      <c r="L78" s="11">
        <v>55.6</v>
      </c>
      <c r="M78" s="11"/>
      <c r="N78" s="6"/>
    </row>
    <row r="79" spans="4:14" ht="13.8" x14ac:dyDescent="0.25">
      <c r="D79" s="6">
        <v>16</v>
      </c>
      <c r="E79" s="11">
        <v>41.559999999999995</v>
      </c>
      <c r="F79" s="11">
        <v>42.879999999999995</v>
      </c>
      <c r="G79" s="11">
        <v>47.019999999999996</v>
      </c>
      <c r="H79" s="11">
        <v>51.08</v>
      </c>
      <c r="I79" s="11">
        <v>54.15</v>
      </c>
      <c r="J79" s="11">
        <v>55.28</v>
      </c>
      <c r="K79" s="11">
        <v>56.839999999999996</v>
      </c>
      <c r="L79" s="11">
        <v>58.12</v>
      </c>
      <c r="M79" s="11"/>
      <c r="N79" s="6"/>
    </row>
    <row r="80" spans="4:14" ht="13.8" x14ac:dyDescent="0.25">
      <c r="D80" s="6">
        <v>17</v>
      </c>
      <c r="E80" s="11">
        <v>43.51</v>
      </c>
      <c r="F80" s="11">
        <v>44.93</v>
      </c>
      <c r="G80" s="11">
        <v>49.419999999999995</v>
      </c>
      <c r="H80" s="11">
        <v>53.51</v>
      </c>
      <c r="I80" s="11">
        <v>56.589999999999996</v>
      </c>
      <c r="J80" s="11">
        <v>57.68</v>
      </c>
      <c r="K80" s="11">
        <v>59.29</v>
      </c>
      <c r="L80" s="11">
        <v>60.63</v>
      </c>
      <c r="M80" s="11"/>
      <c r="N80" s="6"/>
    </row>
    <row r="81" spans="4:14" ht="13.8" x14ac:dyDescent="0.25">
      <c r="D81" s="6">
        <v>18</v>
      </c>
      <c r="E81" s="11">
        <v>45.46</v>
      </c>
      <c r="F81" s="11">
        <v>46.989999999999995</v>
      </c>
      <c r="G81" s="11">
        <v>51.8</v>
      </c>
      <c r="H81" s="11">
        <v>55.93</v>
      </c>
      <c r="I81" s="11">
        <v>59.03</v>
      </c>
      <c r="J81" s="11">
        <v>60.1</v>
      </c>
      <c r="K81" s="11">
        <v>61.739999999999995</v>
      </c>
      <c r="L81" s="11">
        <v>63.14</v>
      </c>
      <c r="M81" s="11"/>
      <c r="N81" s="6"/>
    </row>
    <row r="82" spans="4:14" ht="13.8" x14ac:dyDescent="0.25">
      <c r="D82" s="6">
        <v>19</v>
      </c>
      <c r="E82" s="11">
        <v>47.419999999999995</v>
      </c>
      <c r="F82" s="11">
        <v>49.059999999999995</v>
      </c>
      <c r="G82" s="11">
        <v>54.199999999999996</v>
      </c>
      <c r="H82" s="11">
        <v>58.35</v>
      </c>
      <c r="I82" s="11">
        <v>61.47</v>
      </c>
      <c r="J82" s="11">
        <v>62.5</v>
      </c>
      <c r="K82" s="11">
        <v>64.2</v>
      </c>
      <c r="L82" s="11">
        <v>65.650000000000006</v>
      </c>
      <c r="M82" s="11"/>
      <c r="N82" s="6"/>
    </row>
    <row r="83" spans="4:14" ht="13.8" x14ac:dyDescent="0.25">
      <c r="D83" s="12">
        <v>20</v>
      </c>
      <c r="E83" s="13">
        <v>49.37</v>
      </c>
      <c r="F83" s="13">
        <v>51.11</v>
      </c>
      <c r="G83" s="13">
        <v>56.58</v>
      </c>
      <c r="H83" s="13">
        <v>60.769999999999996</v>
      </c>
      <c r="I83" s="13">
        <v>63.91</v>
      </c>
      <c r="J83" s="13">
        <v>64.910000000000011</v>
      </c>
      <c r="K83" s="13">
        <v>66.650000000000006</v>
      </c>
      <c r="L83" s="13">
        <v>68.17</v>
      </c>
      <c r="M83" s="13"/>
      <c r="N83" s="6"/>
    </row>
    <row r="84" spans="4:14" ht="13.8" x14ac:dyDescent="0.25">
      <c r="D84" s="14" t="s">
        <v>23</v>
      </c>
      <c r="E84" s="15">
        <v>24.16</v>
      </c>
      <c r="F84" s="15">
        <v>24.16</v>
      </c>
      <c r="G84" s="15">
        <v>24.16</v>
      </c>
      <c r="H84" s="15">
        <v>24.16</v>
      </c>
      <c r="I84" s="15">
        <v>24.16</v>
      </c>
      <c r="J84" s="15">
        <v>24.16</v>
      </c>
      <c r="K84" s="15">
        <v>24.16</v>
      </c>
      <c r="L84" s="15">
        <v>24.16</v>
      </c>
      <c r="M84" s="15"/>
      <c r="N84" s="6"/>
    </row>
    <row r="85" spans="4:14" ht="13.8" x14ac:dyDescent="0.25">
      <c r="D85" s="16" t="s">
        <v>24</v>
      </c>
      <c r="E85" s="11">
        <v>24.41</v>
      </c>
      <c r="F85" s="11">
        <v>24.41</v>
      </c>
      <c r="G85" s="11">
        <v>24.41</v>
      </c>
      <c r="H85" s="11">
        <v>24.41</v>
      </c>
      <c r="I85" s="11">
        <v>24.41</v>
      </c>
      <c r="J85" s="11">
        <v>24.41</v>
      </c>
      <c r="K85" s="11">
        <v>24.41</v>
      </c>
      <c r="L85" s="11">
        <v>24.41</v>
      </c>
      <c r="M85" s="11"/>
      <c r="N85" s="6"/>
    </row>
    <row r="86" spans="4:14" ht="13.8" x14ac:dyDescent="0.25">
      <c r="D86" s="17" t="s">
        <v>25</v>
      </c>
      <c r="E86" s="13">
        <v>24.6</v>
      </c>
      <c r="F86" s="13">
        <v>24.6</v>
      </c>
      <c r="G86" s="13">
        <v>24.6</v>
      </c>
      <c r="H86" s="13">
        <v>24.6</v>
      </c>
      <c r="I86" s="13">
        <v>24.6</v>
      </c>
      <c r="J86" s="13">
        <v>24.6</v>
      </c>
      <c r="K86" s="13">
        <v>24.6</v>
      </c>
      <c r="L86" s="13">
        <v>24.6</v>
      </c>
      <c r="M86" s="13"/>
      <c r="N86" s="6"/>
    </row>
  </sheetData>
  <mergeCells count="9">
    <mergeCell ref="D59:N59"/>
    <mergeCell ref="D61:D62"/>
    <mergeCell ref="F61:M61"/>
    <mergeCell ref="D1:N1"/>
    <mergeCell ref="D3:D4"/>
    <mergeCell ref="F3:M3"/>
    <mergeCell ref="D30:N30"/>
    <mergeCell ref="D32:D33"/>
    <mergeCell ref="F32:M32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A9369A-EE37-4D15-A55F-E9D78AEA4552}">
  <sheetPr codeName="Sheet4">
    <tabColor theme="0"/>
  </sheetPr>
  <dimension ref="A1:N110"/>
  <sheetViews>
    <sheetView showGridLines="0" workbookViewId="0">
      <selection activeCell="D31" sqref="D31"/>
    </sheetView>
  </sheetViews>
  <sheetFormatPr defaultColWidth="9.109375" defaultRowHeight="13.2" x14ac:dyDescent="0.25"/>
  <cols>
    <col min="1" max="1" width="35.6640625" style="3" bestFit="1" customWidth="1"/>
    <col min="2" max="2" width="38.44140625" style="3" bestFit="1" customWidth="1"/>
    <col min="3" max="3" width="9.109375" style="3"/>
    <col min="4" max="4" width="30.6640625" style="3" customWidth="1"/>
    <col min="5" max="16384" width="9.109375" style="3"/>
  </cols>
  <sheetData>
    <row r="1" spans="1:14" ht="13.8" x14ac:dyDescent="0.3">
      <c r="A1" s="2"/>
      <c r="D1" s="19" t="s">
        <v>16</v>
      </c>
      <c r="E1" s="19"/>
      <c r="F1" s="19"/>
      <c r="G1" s="19"/>
      <c r="H1" s="19"/>
      <c r="I1" s="19"/>
      <c r="J1" s="19"/>
      <c r="K1" s="19"/>
      <c r="L1" s="19"/>
      <c r="M1" s="19"/>
      <c r="N1" s="19"/>
    </row>
    <row r="2" spans="1:14" ht="13.8" x14ac:dyDescent="0.3">
      <c r="A2" s="2"/>
      <c r="B2" s="2"/>
      <c r="D2" s="4" t="s">
        <v>28</v>
      </c>
      <c r="E2" s="5"/>
      <c r="F2" s="5"/>
      <c r="G2" s="5"/>
      <c r="H2" s="5"/>
      <c r="I2" s="5"/>
      <c r="J2" s="5"/>
      <c r="K2" s="5"/>
      <c r="L2" s="5"/>
      <c r="M2" s="5"/>
      <c r="N2" s="6"/>
    </row>
    <row r="3" spans="1:14" ht="13.8" x14ac:dyDescent="0.3">
      <c r="A3" s="2"/>
      <c r="D3" s="20" t="s">
        <v>18</v>
      </c>
      <c r="E3" s="5"/>
      <c r="F3" s="22" t="s">
        <v>6</v>
      </c>
      <c r="G3" s="22"/>
      <c r="H3" s="22"/>
      <c r="I3" s="22"/>
      <c r="J3" s="22"/>
      <c r="K3" s="22"/>
      <c r="L3" s="22"/>
      <c r="M3" s="22"/>
      <c r="N3" s="6"/>
    </row>
    <row r="4" spans="1:14" ht="14.4" thickBot="1" x14ac:dyDescent="0.3">
      <c r="A4" s="3" t="s">
        <v>19</v>
      </c>
      <c r="B4" s="7" t="s">
        <v>20</v>
      </c>
      <c r="D4" s="21"/>
      <c r="E4" s="8">
        <v>1</v>
      </c>
      <c r="F4" s="8">
        <v>2</v>
      </c>
      <c r="G4" s="9">
        <v>3</v>
      </c>
      <c r="H4" s="9">
        <v>4</v>
      </c>
      <c r="I4" s="9">
        <v>5</v>
      </c>
      <c r="J4" s="9">
        <v>6</v>
      </c>
      <c r="K4" s="9">
        <v>7</v>
      </c>
      <c r="L4" s="9">
        <v>8</v>
      </c>
      <c r="M4" s="9">
        <v>9</v>
      </c>
      <c r="N4" s="6"/>
    </row>
    <row r="5" spans="1:14" ht="13.8" x14ac:dyDescent="0.25">
      <c r="A5" s="3" t="s">
        <v>21</v>
      </c>
      <c r="B5" s="10">
        <v>45701</v>
      </c>
      <c r="D5" s="6">
        <v>0.5</v>
      </c>
      <c r="E5" s="11">
        <v>6.95</v>
      </c>
      <c r="F5" s="11">
        <v>6.97</v>
      </c>
      <c r="G5" s="11">
        <v>6.97</v>
      </c>
      <c r="H5" s="11">
        <v>6.97</v>
      </c>
      <c r="I5" s="11">
        <v>6.97</v>
      </c>
      <c r="J5" s="11">
        <v>6.97</v>
      </c>
      <c r="K5" s="11">
        <v>7.8999999999999995</v>
      </c>
      <c r="L5" s="11">
        <v>8.32</v>
      </c>
      <c r="M5" s="11"/>
      <c r="N5" s="6"/>
    </row>
    <row r="6" spans="1:14" ht="13.8" x14ac:dyDescent="0.25">
      <c r="A6" s="3" t="s">
        <v>22</v>
      </c>
      <c r="B6" s="10">
        <v>46065</v>
      </c>
      <c r="D6" s="6">
        <v>1</v>
      </c>
      <c r="E6" s="11">
        <v>6.95</v>
      </c>
      <c r="F6" s="11">
        <v>6.97</v>
      </c>
      <c r="G6" s="11">
        <v>6.97</v>
      </c>
      <c r="H6" s="11">
        <v>6.97</v>
      </c>
      <c r="I6" s="11">
        <v>7.1099999999999994</v>
      </c>
      <c r="J6" s="11">
        <v>7.3599999999999994</v>
      </c>
      <c r="K6" s="11">
        <v>8.51</v>
      </c>
      <c r="L6" s="11">
        <v>8.9700000000000006</v>
      </c>
      <c r="M6" s="11"/>
      <c r="N6" s="6"/>
    </row>
    <row r="7" spans="1:14" ht="13.8" x14ac:dyDescent="0.25">
      <c r="D7" s="6">
        <v>2</v>
      </c>
      <c r="E7" s="11">
        <v>6.97</v>
      </c>
      <c r="F7" s="11">
        <v>6.97</v>
      </c>
      <c r="G7" s="11">
        <v>6.97</v>
      </c>
      <c r="H7" s="11">
        <v>7.09</v>
      </c>
      <c r="I7" s="11">
        <v>8.1199999999999992</v>
      </c>
      <c r="J7" s="11">
        <v>9.17</v>
      </c>
      <c r="K7" s="11">
        <v>10.76</v>
      </c>
      <c r="L7" s="11">
        <v>11.61</v>
      </c>
      <c r="M7" s="11"/>
      <c r="N7" s="6"/>
    </row>
    <row r="8" spans="1:14" ht="13.8" x14ac:dyDescent="0.25">
      <c r="D8" s="6">
        <v>3</v>
      </c>
      <c r="E8" s="11">
        <v>7.0699999999999994</v>
      </c>
      <c r="F8" s="11">
        <v>7.1499999999999995</v>
      </c>
      <c r="G8" s="11">
        <v>7.2799999999999994</v>
      </c>
      <c r="H8" s="11">
        <v>7.3599999999999994</v>
      </c>
      <c r="I8" s="11">
        <v>9.82</v>
      </c>
      <c r="J8" s="11">
        <v>12.66</v>
      </c>
      <c r="K8" s="11">
        <v>14.47</v>
      </c>
      <c r="L8" s="11">
        <v>16.46</v>
      </c>
      <c r="M8" s="11"/>
      <c r="N8" s="6"/>
    </row>
    <row r="9" spans="1:14" ht="13.8" x14ac:dyDescent="0.25">
      <c r="D9" s="6">
        <v>4</v>
      </c>
      <c r="E9" s="11">
        <v>7.2299999999999995</v>
      </c>
      <c r="F9" s="11">
        <v>7.33</v>
      </c>
      <c r="G9" s="11">
        <v>7.35</v>
      </c>
      <c r="H9" s="11">
        <v>7.3999999999999995</v>
      </c>
      <c r="I9" s="11">
        <v>11.51</v>
      </c>
      <c r="J9" s="11">
        <v>14.65</v>
      </c>
      <c r="K9" s="11">
        <v>17.180000000000003</v>
      </c>
      <c r="L9" s="11">
        <v>19.260000000000002</v>
      </c>
      <c r="M9" s="11"/>
      <c r="N9" s="6"/>
    </row>
    <row r="10" spans="1:14" ht="13.8" x14ac:dyDescent="0.25">
      <c r="D10" s="6">
        <v>5</v>
      </c>
      <c r="E10" s="11">
        <v>7.2299999999999995</v>
      </c>
      <c r="F10" s="11">
        <v>7.37</v>
      </c>
      <c r="G10" s="11">
        <v>7.3999999999999995</v>
      </c>
      <c r="H10" s="11">
        <v>7.6099999999999994</v>
      </c>
      <c r="I10" s="11">
        <v>12.709999999999999</v>
      </c>
      <c r="J10" s="11">
        <v>16.05</v>
      </c>
      <c r="K10" s="11">
        <v>19.53</v>
      </c>
      <c r="L10" s="11">
        <v>21.970000000000002</v>
      </c>
      <c r="M10" s="11"/>
      <c r="N10" s="6"/>
    </row>
    <row r="11" spans="1:14" ht="13.8" x14ac:dyDescent="0.25">
      <c r="D11" s="6">
        <v>6</v>
      </c>
      <c r="E11" s="11">
        <v>7.33</v>
      </c>
      <c r="F11" s="11">
        <v>7.84</v>
      </c>
      <c r="G11" s="11">
        <v>7.9799999999999995</v>
      </c>
      <c r="H11" s="11">
        <v>8.06</v>
      </c>
      <c r="I11" s="11">
        <v>14.18</v>
      </c>
      <c r="J11" s="11">
        <v>18.040000000000003</v>
      </c>
      <c r="K11" s="11">
        <v>22.560000000000002</v>
      </c>
      <c r="L11" s="11">
        <v>25.330000000000002</v>
      </c>
      <c r="M11" s="11"/>
      <c r="N11" s="6"/>
    </row>
    <row r="12" spans="1:14" ht="13.8" x14ac:dyDescent="0.25">
      <c r="D12" s="6">
        <v>7</v>
      </c>
      <c r="E12" s="11">
        <v>8.4499999999999993</v>
      </c>
      <c r="F12" s="11">
        <v>8.5399999999999991</v>
      </c>
      <c r="G12" s="11">
        <v>9.64</v>
      </c>
      <c r="H12" s="11">
        <v>10.15</v>
      </c>
      <c r="I12" s="11">
        <v>15.129999999999999</v>
      </c>
      <c r="J12" s="11">
        <v>19.430000000000003</v>
      </c>
      <c r="K12" s="11">
        <v>24.430000000000003</v>
      </c>
      <c r="L12" s="11">
        <v>27.48</v>
      </c>
      <c r="M12" s="11"/>
      <c r="N12" s="6"/>
    </row>
    <row r="13" spans="1:14" ht="13.8" x14ac:dyDescent="0.25">
      <c r="D13" s="6">
        <v>8</v>
      </c>
      <c r="E13" s="11">
        <v>8.7200000000000006</v>
      </c>
      <c r="F13" s="11">
        <v>8.75</v>
      </c>
      <c r="G13" s="11">
        <v>10.119999999999999</v>
      </c>
      <c r="H13" s="11">
        <v>11.19</v>
      </c>
      <c r="I13" s="11">
        <v>16.05</v>
      </c>
      <c r="J13" s="11">
        <v>20.76</v>
      </c>
      <c r="K13" s="11">
        <v>26.21</v>
      </c>
      <c r="L13" s="11">
        <v>29.53</v>
      </c>
      <c r="M13" s="11"/>
      <c r="N13" s="6"/>
    </row>
    <row r="14" spans="1:14" ht="13.8" x14ac:dyDescent="0.25">
      <c r="D14" s="6">
        <v>9</v>
      </c>
      <c r="E14" s="11">
        <v>9.14</v>
      </c>
      <c r="F14" s="11">
        <v>9.32</v>
      </c>
      <c r="G14" s="11">
        <v>10.56</v>
      </c>
      <c r="H14" s="11">
        <v>11.73</v>
      </c>
      <c r="I14" s="11">
        <v>16.96</v>
      </c>
      <c r="J14" s="11">
        <v>22.03</v>
      </c>
      <c r="K14" s="11">
        <v>27.930000000000003</v>
      </c>
      <c r="L14" s="11">
        <v>31.540000000000003</v>
      </c>
      <c r="M14" s="11"/>
      <c r="N14" s="6"/>
    </row>
    <row r="15" spans="1:14" ht="13.8" x14ac:dyDescent="0.25">
      <c r="D15" s="6">
        <v>10</v>
      </c>
      <c r="E15" s="11">
        <v>9.48</v>
      </c>
      <c r="F15" s="11">
        <v>9.81</v>
      </c>
      <c r="G15" s="11">
        <v>11.049999999999999</v>
      </c>
      <c r="H15" s="11">
        <v>12.08</v>
      </c>
      <c r="I15" s="11">
        <v>17.84</v>
      </c>
      <c r="J15" s="11">
        <v>23.3</v>
      </c>
      <c r="K15" s="11">
        <v>29.630000000000003</v>
      </c>
      <c r="L15" s="11">
        <v>33.379999999999995</v>
      </c>
      <c r="M15" s="11"/>
      <c r="N15" s="6"/>
    </row>
    <row r="16" spans="1:14" ht="13.8" x14ac:dyDescent="0.25">
      <c r="D16" s="6">
        <v>11</v>
      </c>
      <c r="E16" s="11">
        <v>10.18</v>
      </c>
      <c r="F16" s="11">
        <v>10.92</v>
      </c>
      <c r="G16" s="11">
        <v>11.75</v>
      </c>
      <c r="H16" s="11">
        <v>13.15</v>
      </c>
      <c r="I16" s="11">
        <v>18.990000000000002</v>
      </c>
      <c r="J16" s="11">
        <v>23.35</v>
      </c>
      <c r="K16" s="11">
        <v>29.69</v>
      </c>
      <c r="L16" s="11">
        <v>33.379999999999995</v>
      </c>
      <c r="M16" s="11"/>
      <c r="N16" s="6"/>
    </row>
    <row r="17" spans="4:14" ht="13.8" x14ac:dyDescent="0.25">
      <c r="D17" s="6">
        <v>12</v>
      </c>
      <c r="E17" s="11">
        <v>10.53</v>
      </c>
      <c r="F17" s="11">
        <v>11.33</v>
      </c>
      <c r="G17" s="11">
        <v>12.25</v>
      </c>
      <c r="H17" s="11">
        <v>13.76</v>
      </c>
      <c r="I17" s="11">
        <v>20.09</v>
      </c>
      <c r="J17" s="11">
        <v>24.700000000000003</v>
      </c>
      <c r="K17" s="11">
        <v>31.400000000000002</v>
      </c>
      <c r="L17" s="11">
        <v>35.33</v>
      </c>
      <c r="M17" s="11"/>
      <c r="N17" s="6"/>
    </row>
    <row r="18" spans="4:14" ht="13.8" x14ac:dyDescent="0.25">
      <c r="D18" s="6">
        <v>13</v>
      </c>
      <c r="E18" s="11">
        <v>10.91</v>
      </c>
      <c r="F18" s="11">
        <v>11.77</v>
      </c>
      <c r="G18" s="11">
        <v>12.77</v>
      </c>
      <c r="H18" s="11">
        <v>14.209999999999999</v>
      </c>
      <c r="I18" s="11">
        <v>21.19</v>
      </c>
      <c r="J18" s="11">
        <v>26.05</v>
      </c>
      <c r="K18" s="11">
        <v>33.129999999999995</v>
      </c>
      <c r="L18" s="11">
        <v>37.32</v>
      </c>
      <c r="M18" s="11"/>
      <c r="N18" s="6"/>
    </row>
    <row r="19" spans="4:14" ht="13.8" x14ac:dyDescent="0.25">
      <c r="D19" s="6">
        <v>14</v>
      </c>
      <c r="E19" s="11">
        <v>11.32</v>
      </c>
      <c r="F19" s="11">
        <v>12.24</v>
      </c>
      <c r="G19" s="11">
        <v>13.28</v>
      </c>
      <c r="H19" s="11">
        <v>14.459999999999999</v>
      </c>
      <c r="I19" s="11">
        <v>22.3</v>
      </c>
      <c r="J19" s="11">
        <v>27.360000000000003</v>
      </c>
      <c r="K19" s="11">
        <v>34.879999999999995</v>
      </c>
      <c r="L19" s="11">
        <v>39.32</v>
      </c>
      <c r="M19" s="11"/>
      <c r="N19" s="6"/>
    </row>
    <row r="20" spans="4:14" ht="13.8" x14ac:dyDescent="0.25">
      <c r="D20" s="6">
        <v>15</v>
      </c>
      <c r="E20" s="11">
        <v>11.629999999999999</v>
      </c>
      <c r="F20" s="11">
        <v>12.62</v>
      </c>
      <c r="G20" s="11">
        <v>13.78</v>
      </c>
      <c r="H20" s="11">
        <v>14.879999999999999</v>
      </c>
      <c r="I20" s="11">
        <v>23.400000000000002</v>
      </c>
      <c r="J20" s="11">
        <v>28.64</v>
      </c>
      <c r="K20" s="11">
        <v>36.619999999999997</v>
      </c>
      <c r="L20" s="11">
        <v>41.33</v>
      </c>
      <c r="M20" s="11"/>
      <c r="N20" s="6"/>
    </row>
    <row r="21" spans="4:14" ht="13.8" x14ac:dyDescent="0.25">
      <c r="D21" s="6">
        <v>16</v>
      </c>
      <c r="E21" s="11">
        <v>12.09</v>
      </c>
      <c r="F21" s="11">
        <v>13.14</v>
      </c>
      <c r="G21" s="11">
        <v>14.29</v>
      </c>
      <c r="H21" s="11">
        <v>15.129999999999999</v>
      </c>
      <c r="I21" s="11">
        <v>24.490000000000002</v>
      </c>
      <c r="J21" s="11">
        <v>29.94</v>
      </c>
      <c r="K21" s="11">
        <v>38.35</v>
      </c>
      <c r="L21" s="11">
        <v>43.32</v>
      </c>
      <c r="M21" s="11"/>
      <c r="N21" s="6"/>
    </row>
    <row r="22" spans="4:14" ht="13.8" x14ac:dyDescent="0.25">
      <c r="D22" s="6">
        <v>17</v>
      </c>
      <c r="E22" s="11">
        <v>12.45</v>
      </c>
      <c r="F22" s="11">
        <v>13.57</v>
      </c>
      <c r="G22" s="11">
        <v>14.7</v>
      </c>
      <c r="H22" s="11">
        <v>15.53</v>
      </c>
      <c r="I22" s="11">
        <v>25.59</v>
      </c>
      <c r="J22" s="11">
        <v>31.220000000000002</v>
      </c>
      <c r="K22" s="11">
        <v>40.1</v>
      </c>
      <c r="L22" s="11">
        <v>45.309999999999995</v>
      </c>
      <c r="M22" s="11"/>
      <c r="N22" s="6"/>
    </row>
    <row r="23" spans="4:14" ht="13.8" x14ac:dyDescent="0.25">
      <c r="D23" s="6">
        <v>18</v>
      </c>
      <c r="E23" s="11">
        <v>12.86</v>
      </c>
      <c r="F23" s="11">
        <v>13.76</v>
      </c>
      <c r="G23" s="11">
        <v>14.93</v>
      </c>
      <c r="H23" s="11">
        <v>15.799999999999999</v>
      </c>
      <c r="I23" s="11">
        <v>26.680000000000003</v>
      </c>
      <c r="J23" s="11">
        <v>32.519999999999996</v>
      </c>
      <c r="K23" s="11">
        <v>41.839999999999996</v>
      </c>
      <c r="L23" s="11">
        <v>47.3</v>
      </c>
      <c r="M23" s="11"/>
      <c r="N23" s="6"/>
    </row>
    <row r="24" spans="4:14" ht="13.8" x14ac:dyDescent="0.25">
      <c r="D24" s="6">
        <v>19</v>
      </c>
      <c r="E24" s="11">
        <v>13.22</v>
      </c>
      <c r="F24" s="11">
        <v>14.08</v>
      </c>
      <c r="G24" s="11">
        <v>15.42</v>
      </c>
      <c r="H24" s="11">
        <v>16.290000000000003</v>
      </c>
      <c r="I24" s="11">
        <v>27.790000000000003</v>
      </c>
      <c r="J24" s="11">
        <v>33.82</v>
      </c>
      <c r="K24" s="11">
        <v>43.58</v>
      </c>
      <c r="L24" s="11">
        <v>49.29</v>
      </c>
      <c r="M24" s="11"/>
      <c r="N24" s="6"/>
    </row>
    <row r="25" spans="4:14" ht="13.8" x14ac:dyDescent="0.25">
      <c r="D25" s="12">
        <v>20</v>
      </c>
      <c r="E25" s="13">
        <v>13.56</v>
      </c>
      <c r="F25" s="13">
        <v>14.35</v>
      </c>
      <c r="G25" s="13">
        <v>15.74</v>
      </c>
      <c r="H25" s="13">
        <v>16.690000000000001</v>
      </c>
      <c r="I25" s="13">
        <v>28.87</v>
      </c>
      <c r="J25" s="13">
        <v>35.11</v>
      </c>
      <c r="K25" s="13">
        <v>45.32</v>
      </c>
      <c r="L25" s="13">
        <v>51.3</v>
      </c>
      <c r="M25" s="13"/>
      <c r="N25" s="6"/>
    </row>
    <row r="26" spans="4:14" ht="13.8" x14ac:dyDescent="0.25">
      <c r="D26" s="14" t="s">
        <v>23</v>
      </c>
      <c r="E26" s="15">
        <v>7.6499999999999995</v>
      </c>
      <c r="F26" s="15">
        <v>7.6499999999999995</v>
      </c>
      <c r="G26" s="15">
        <v>7.6499999999999995</v>
      </c>
      <c r="H26" s="15">
        <v>7.6499999999999995</v>
      </c>
      <c r="I26" s="15">
        <v>7.6499999999999995</v>
      </c>
      <c r="J26" s="15">
        <v>7.6499999999999995</v>
      </c>
      <c r="K26" s="15">
        <v>7.6499999999999995</v>
      </c>
      <c r="L26" s="15">
        <v>7.6499999999999995</v>
      </c>
      <c r="M26" s="15"/>
      <c r="N26" s="6"/>
    </row>
    <row r="27" spans="4:14" ht="13.8" x14ac:dyDescent="0.25">
      <c r="D27" s="16" t="s">
        <v>24</v>
      </c>
      <c r="E27" s="11">
        <v>7.95</v>
      </c>
      <c r="F27" s="11">
        <v>7.95</v>
      </c>
      <c r="G27" s="11">
        <v>7.95</v>
      </c>
      <c r="H27" s="11">
        <v>7.95</v>
      </c>
      <c r="I27" s="11">
        <v>7.95</v>
      </c>
      <c r="J27" s="11">
        <v>7.95</v>
      </c>
      <c r="K27" s="11">
        <v>7.95</v>
      </c>
      <c r="L27" s="11">
        <v>7.95</v>
      </c>
      <c r="M27" s="11"/>
      <c r="N27" s="6"/>
    </row>
    <row r="28" spans="4:14" ht="13.8" x14ac:dyDescent="0.25">
      <c r="D28" s="16" t="s">
        <v>25</v>
      </c>
      <c r="E28" s="11">
        <v>8.36</v>
      </c>
      <c r="F28" s="11">
        <v>8.36</v>
      </c>
      <c r="G28" s="11">
        <v>8.36</v>
      </c>
      <c r="H28" s="11">
        <v>8.36</v>
      </c>
      <c r="I28" s="11">
        <v>8.36</v>
      </c>
      <c r="J28" s="11">
        <v>8.36</v>
      </c>
      <c r="K28" s="11">
        <v>8.36</v>
      </c>
      <c r="L28" s="11">
        <v>8.36</v>
      </c>
      <c r="M28" s="11"/>
      <c r="N28" s="6"/>
    </row>
    <row r="29" spans="4:14" ht="13.8" x14ac:dyDescent="0.25">
      <c r="D29" s="16" t="s">
        <v>29</v>
      </c>
      <c r="E29" s="11">
        <v>8.16</v>
      </c>
      <c r="F29" s="11">
        <v>8.16</v>
      </c>
      <c r="G29" s="11">
        <v>8.16</v>
      </c>
      <c r="H29" s="11">
        <v>8.16</v>
      </c>
      <c r="I29" s="11">
        <v>8.16</v>
      </c>
      <c r="J29" s="11">
        <v>8.16</v>
      </c>
      <c r="K29" s="11">
        <v>8.16</v>
      </c>
      <c r="L29" s="11">
        <v>8.16</v>
      </c>
      <c r="M29" s="11"/>
      <c r="N29" s="6"/>
    </row>
    <row r="30" spans="4:14" ht="13.8" x14ac:dyDescent="0.25">
      <c r="D30" s="16" t="s">
        <v>30</v>
      </c>
      <c r="E30" s="11">
        <v>14.09</v>
      </c>
      <c r="F30" s="11">
        <v>14.09</v>
      </c>
      <c r="G30" s="11">
        <v>14.09</v>
      </c>
      <c r="H30" s="11">
        <v>14.09</v>
      </c>
      <c r="I30" s="11">
        <v>14.09</v>
      </c>
      <c r="J30" s="11">
        <v>14.09</v>
      </c>
      <c r="K30" s="11">
        <v>14.09</v>
      </c>
      <c r="L30" s="11">
        <v>14.09</v>
      </c>
      <c r="M30" s="11"/>
      <c r="N30" s="6"/>
    </row>
    <row r="31" spans="4:14" ht="13.8" x14ac:dyDescent="0.25">
      <c r="D31" s="17" t="s">
        <v>31</v>
      </c>
      <c r="E31" s="13">
        <v>19.07</v>
      </c>
      <c r="F31" s="13">
        <v>19.07</v>
      </c>
      <c r="G31" s="13">
        <v>19.07</v>
      </c>
      <c r="H31" s="13">
        <v>19.07</v>
      </c>
      <c r="I31" s="13">
        <v>19.07</v>
      </c>
      <c r="J31" s="13">
        <v>19.07</v>
      </c>
      <c r="K31" s="13">
        <v>19.07</v>
      </c>
      <c r="L31" s="13">
        <v>19.07</v>
      </c>
      <c r="M31" s="13"/>
      <c r="N31" s="6"/>
    </row>
    <row r="32" spans="4:14" ht="13.8" x14ac:dyDescent="0.25">
      <c r="D32" s="18" t="s">
        <v>32</v>
      </c>
      <c r="E32" s="15">
        <v>6.95</v>
      </c>
      <c r="F32" s="15">
        <v>6.97</v>
      </c>
      <c r="G32" s="15">
        <v>6.97</v>
      </c>
      <c r="H32" s="15">
        <v>6.9799999999999995</v>
      </c>
      <c r="I32" s="15">
        <v>7.3599999999999994</v>
      </c>
      <c r="J32" s="15">
        <v>7.8199999999999994</v>
      </c>
      <c r="K32" s="15">
        <v>8.44</v>
      </c>
      <c r="L32" s="15">
        <v>8.9599999999999991</v>
      </c>
      <c r="M32" s="15"/>
      <c r="N32" s="6"/>
    </row>
    <row r="33" spans="4:14" ht="13.8" x14ac:dyDescent="0.25">
      <c r="D33" s="6" t="s">
        <v>33</v>
      </c>
      <c r="E33" s="11">
        <v>6.97</v>
      </c>
      <c r="F33" s="11">
        <v>6.97</v>
      </c>
      <c r="G33" s="11">
        <v>6.97</v>
      </c>
      <c r="H33" s="11">
        <v>7.05</v>
      </c>
      <c r="I33" s="11">
        <v>8.1199999999999992</v>
      </c>
      <c r="J33" s="11">
        <v>9.17</v>
      </c>
      <c r="K33" s="11">
        <v>10.01</v>
      </c>
      <c r="L33" s="11">
        <v>10.799999999999999</v>
      </c>
      <c r="M33" s="11"/>
      <c r="N33" s="6"/>
    </row>
    <row r="34" spans="4:14" ht="13.8" x14ac:dyDescent="0.25">
      <c r="D34" s="6" t="s">
        <v>34</v>
      </c>
      <c r="E34" s="11">
        <v>7.04</v>
      </c>
      <c r="F34" s="11">
        <v>7.1099999999999994</v>
      </c>
      <c r="G34" s="11">
        <v>7.25</v>
      </c>
      <c r="H34" s="11">
        <v>7.3199999999999994</v>
      </c>
      <c r="I34" s="11">
        <v>9.82</v>
      </c>
      <c r="J34" s="11">
        <v>11.77</v>
      </c>
      <c r="K34" s="11">
        <v>13.459999999999999</v>
      </c>
      <c r="L34" s="11">
        <v>15.299999999999999</v>
      </c>
      <c r="M34" s="11"/>
      <c r="N34" s="6"/>
    </row>
    <row r="35" spans="4:14" ht="13.8" x14ac:dyDescent="0.25">
      <c r="D35" s="6" t="s">
        <v>35</v>
      </c>
      <c r="E35" s="11">
        <v>7.16</v>
      </c>
      <c r="F35" s="11">
        <v>7.25</v>
      </c>
      <c r="G35" s="11">
        <v>7.3199999999999994</v>
      </c>
      <c r="H35" s="11">
        <v>7.38</v>
      </c>
      <c r="I35" s="11">
        <v>11.68</v>
      </c>
      <c r="J35" s="11">
        <v>13.95</v>
      </c>
      <c r="K35" s="11">
        <v>16.520000000000003</v>
      </c>
      <c r="L35" s="11">
        <v>18.53</v>
      </c>
      <c r="M35" s="11"/>
      <c r="N35" s="6"/>
    </row>
    <row r="36" spans="4:14" ht="13.8" x14ac:dyDescent="0.25">
      <c r="D36" s="12" t="s">
        <v>36</v>
      </c>
      <c r="E36" s="13">
        <v>7.2299999999999995</v>
      </c>
      <c r="F36" s="13">
        <v>7.35</v>
      </c>
      <c r="G36" s="13">
        <v>7.38</v>
      </c>
      <c r="H36" s="13">
        <v>7.5299999999999994</v>
      </c>
      <c r="I36" s="13">
        <v>13.33</v>
      </c>
      <c r="J36" s="13">
        <v>15.89</v>
      </c>
      <c r="K36" s="13">
        <v>19.62</v>
      </c>
      <c r="L36" s="13">
        <v>22.05</v>
      </c>
      <c r="M36" s="13"/>
      <c r="N36" s="6"/>
    </row>
    <row r="38" spans="4:14" ht="13.8" x14ac:dyDescent="0.3">
      <c r="D38" s="19" t="s">
        <v>26</v>
      </c>
      <c r="E38" s="19"/>
      <c r="F38" s="19"/>
      <c r="G38" s="19"/>
      <c r="H38" s="19"/>
      <c r="I38" s="19"/>
      <c r="J38" s="19"/>
      <c r="K38" s="19"/>
      <c r="L38" s="19"/>
      <c r="M38" s="19"/>
      <c r="N38" s="19"/>
    </row>
    <row r="39" spans="4:14" ht="13.8" x14ac:dyDescent="0.25">
      <c r="D39" s="4" t="s">
        <v>28</v>
      </c>
      <c r="E39" s="5"/>
      <c r="F39" s="5"/>
      <c r="G39" s="5"/>
      <c r="H39" s="5"/>
      <c r="I39" s="5"/>
      <c r="J39" s="5"/>
      <c r="K39" s="5"/>
      <c r="L39" s="5"/>
      <c r="M39" s="5"/>
      <c r="N39" s="6"/>
    </row>
    <row r="40" spans="4:14" ht="13.8" x14ac:dyDescent="0.25">
      <c r="D40" s="20" t="s">
        <v>18</v>
      </c>
      <c r="E40" s="5"/>
      <c r="F40" s="22" t="s">
        <v>6</v>
      </c>
      <c r="G40" s="22"/>
      <c r="H40" s="22"/>
      <c r="I40" s="22"/>
      <c r="J40" s="22"/>
      <c r="K40" s="22"/>
      <c r="L40" s="22"/>
      <c r="M40" s="22"/>
      <c r="N40" s="6"/>
    </row>
    <row r="41" spans="4:14" ht="14.4" thickBot="1" x14ac:dyDescent="0.3">
      <c r="D41" s="21"/>
      <c r="E41" s="8">
        <v>1</v>
      </c>
      <c r="F41" s="8">
        <v>2</v>
      </c>
      <c r="G41" s="9">
        <v>3</v>
      </c>
      <c r="H41" s="9">
        <v>4</v>
      </c>
      <c r="I41" s="9">
        <v>5</v>
      </c>
      <c r="J41" s="9">
        <v>6</v>
      </c>
      <c r="K41" s="9">
        <v>7</v>
      </c>
      <c r="L41" s="9">
        <v>8</v>
      </c>
      <c r="M41" s="9">
        <v>9</v>
      </c>
      <c r="N41" s="6"/>
    </row>
    <row r="42" spans="4:14" ht="13.8" x14ac:dyDescent="0.25">
      <c r="D42" s="6">
        <v>0.5</v>
      </c>
      <c r="E42" s="11">
        <v>6.9399999999999995</v>
      </c>
      <c r="F42" s="11">
        <v>6.96</v>
      </c>
      <c r="G42" s="11">
        <v>6.96</v>
      </c>
      <c r="H42" s="11">
        <v>6.96</v>
      </c>
      <c r="I42" s="11">
        <v>6.96</v>
      </c>
      <c r="J42" s="11">
        <v>6.96</v>
      </c>
      <c r="K42" s="11">
        <v>7.5299999999999994</v>
      </c>
      <c r="L42" s="11">
        <v>7.93</v>
      </c>
      <c r="M42" s="11"/>
      <c r="N42" s="6"/>
    </row>
    <row r="43" spans="4:14" ht="13.8" x14ac:dyDescent="0.25">
      <c r="D43" s="6">
        <v>1</v>
      </c>
      <c r="E43" s="11">
        <v>6.9399999999999995</v>
      </c>
      <c r="F43" s="11">
        <v>6.96</v>
      </c>
      <c r="G43" s="11">
        <v>6.96</v>
      </c>
      <c r="H43" s="11">
        <v>6.96</v>
      </c>
      <c r="I43" s="11">
        <v>7.09</v>
      </c>
      <c r="J43" s="11">
        <v>7.35</v>
      </c>
      <c r="K43" s="11">
        <v>8.1199999999999992</v>
      </c>
      <c r="L43" s="11">
        <v>8.56</v>
      </c>
      <c r="M43" s="11"/>
      <c r="N43" s="6"/>
    </row>
    <row r="44" spans="4:14" ht="13.8" x14ac:dyDescent="0.25">
      <c r="D44" s="6">
        <v>2</v>
      </c>
      <c r="E44" s="11">
        <v>6.96</v>
      </c>
      <c r="F44" s="11">
        <v>6.96</v>
      </c>
      <c r="G44" s="11">
        <v>6.96</v>
      </c>
      <c r="H44" s="11">
        <v>7.08</v>
      </c>
      <c r="I44" s="11">
        <v>8.11</v>
      </c>
      <c r="J44" s="11">
        <v>9.15</v>
      </c>
      <c r="K44" s="11">
        <v>10.26</v>
      </c>
      <c r="L44" s="11">
        <v>11.08</v>
      </c>
      <c r="M44" s="11"/>
      <c r="N44" s="6"/>
    </row>
    <row r="45" spans="4:14" ht="13.8" x14ac:dyDescent="0.25">
      <c r="D45" s="6">
        <v>3</v>
      </c>
      <c r="E45" s="11">
        <v>7.06</v>
      </c>
      <c r="F45" s="11">
        <v>7.14</v>
      </c>
      <c r="G45" s="11">
        <v>7.27</v>
      </c>
      <c r="H45" s="11">
        <v>7.35</v>
      </c>
      <c r="I45" s="11">
        <v>9.7999999999999989</v>
      </c>
      <c r="J45" s="11">
        <v>12.07</v>
      </c>
      <c r="K45" s="11">
        <v>13.799999999999999</v>
      </c>
      <c r="L45" s="11">
        <v>15.69</v>
      </c>
      <c r="M45" s="11"/>
      <c r="N45" s="6"/>
    </row>
    <row r="46" spans="4:14" ht="13.8" x14ac:dyDescent="0.25">
      <c r="D46" s="6">
        <v>4</v>
      </c>
      <c r="E46" s="11">
        <v>7.22</v>
      </c>
      <c r="F46" s="11">
        <v>7.3199999999999994</v>
      </c>
      <c r="G46" s="11">
        <v>7.34</v>
      </c>
      <c r="H46" s="11">
        <v>7.39</v>
      </c>
      <c r="I46" s="11">
        <v>11.39</v>
      </c>
      <c r="J46" s="11">
        <v>13.97</v>
      </c>
      <c r="K46" s="11">
        <v>16.37</v>
      </c>
      <c r="L46" s="11">
        <v>18.360000000000003</v>
      </c>
      <c r="M46" s="11"/>
      <c r="N46" s="6"/>
    </row>
    <row r="47" spans="4:14" ht="13.8" x14ac:dyDescent="0.25">
      <c r="D47" s="6">
        <v>5</v>
      </c>
      <c r="E47" s="11">
        <v>7.22</v>
      </c>
      <c r="F47" s="11">
        <v>7.3599999999999994</v>
      </c>
      <c r="G47" s="11">
        <v>7.39</v>
      </c>
      <c r="H47" s="11">
        <v>7.6</v>
      </c>
      <c r="I47" s="11">
        <v>12.57</v>
      </c>
      <c r="J47" s="11">
        <v>15.31</v>
      </c>
      <c r="K47" s="11">
        <v>18.62</v>
      </c>
      <c r="L47" s="11">
        <v>20.94</v>
      </c>
      <c r="M47" s="11"/>
      <c r="N47" s="6"/>
    </row>
    <row r="48" spans="4:14" ht="13.8" x14ac:dyDescent="0.25">
      <c r="D48" s="6">
        <v>6</v>
      </c>
      <c r="E48" s="11">
        <v>7.3199999999999994</v>
      </c>
      <c r="F48" s="11">
        <v>7.83</v>
      </c>
      <c r="G48" s="11">
        <v>7.97</v>
      </c>
      <c r="H48" s="11">
        <v>8.0499999999999989</v>
      </c>
      <c r="I48" s="11">
        <v>14.04</v>
      </c>
      <c r="J48" s="11">
        <v>17.21</v>
      </c>
      <c r="K48" s="11">
        <v>21.51</v>
      </c>
      <c r="L48" s="11">
        <v>24.150000000000002</v>
      </c>
      <c r="M48" s="11"/>
      <c r="N48" s="6"/>
    </row>
    <row r="49" spans="4:14" ht="13.8" x14ac:dyDescent="0.25">
      <c r="D49" s="6">
        <v>7</v>
      </c>
      <c r="E49" s="11">
        <v>8.43</v>
      </c>
      <c r="F49" s="11">
        <v>8.52</v>
      </c>
      <c r="G49" s="11">
        <v>9.6199999999999992</v>
      </c>
      <c r="H49" s="11">
        <v>10.129999999999999</v>
      </c>
      <c r="I49" s="11">
        <v>14.98</v>
      </c>
      <c r="J49" s="11">
        <v>18.520000000000003</v>
      </c>
      <c r="K49" s="11">
        <v>23.3</v>
      </c>
      <c r="L49" s="11">
        <v>26.200000000000003</v>
      </c>
      <c r="M49" s="11"/>
      <c r="N49" s="6"/>
    </row>
    <row r="50" spans="4:14" ht="13.8" x14ac:dyDescent="0.25">
      <c r="D50" s="6">
        <v>8</v>
      </c>
      <c r="E50" s="11">
        <v>8.69</v>
      </c>
      <c r="F50" s="11">
        <v>8.73</v>
      </c>
      <c r="G50" s="11">
        <v>10.1</v>
      </c>
      <c r="H50" s="11">
        <v>11.17</v>
      </c>
      <c r="I50" s="11">
        <v>15.89</v>
      </c>
      <c r="J50" s="11">
        <v>19.790000000000003</v>
      </c>
      <c r="K50" s="11">
        <v>24.990000000000002</v>
      </c>
      <c r="L50" s="11">
        <v>28.16</v>
      </c>
      <c r="M50" s="11"/>
      <c r="N50" s="6"/>
    </row>
    <row r="51" spans="4:14" ht="13.8" x14ac:dyDescent="0.25">
      <c r="D51" s="6">
        <v>9</v>
      </c>
      <c r="E51" s="11">
        <v>9.1199999999999992</v>
      </c>
      <c r="F51" s="11">
        <v>9.2999999999999989</v>
      </c>
      <c r="G51" s="11">
        <v>10.54</v>
      </c>
      <c r="H51" s="11">
        <v>11.709999999999999</v>
      </c>
      <c r="I51" s="11">
        <v>16.790000000000003</v>
      </c>
      <c r="J51" s="11">
        <v>21.01</v>
      </c>
      <c r="K51" s="11">
        <v>26.630000000000003</v>
      </c>
      <c r="L51" s="11">
        <v>30.080000000000002</v>
      </c>
      <c r="M51" s="11"/>
      <c r="N51" s="6"/>
    </row>
    <row r="52" spans="4:14" ht="13.8" x14ac:dyDescent="0.25">
      <c r="D52" s="6">
        <v>10</v>
      </c>
      <c r="E52" s="11">
        <v>9.4599999999999991</v>
      </c>
      <c r="F52" s="11">
        <v>9.7899999999999991</v>
      </c>
      <c r="G52" s="11">
        <v>11.03</v>
      </c>
      <c r="H52" s="11">
        <v>12.06</v>
      </c>
      <c r="I52" s="11">
        <v>17.650000000000002</v>
      </c>
      <c r="J52" s="11">
        <v>22.21</v>
      </c>
      <c r="K52" s="11">
        <v>28.25</v>
      </c>
      <c r="L52" s="11">
        <v>31.830000000000002</v>
      </c>
      <c r="M52" s="11"/>
      <c r="N52" s="6"/>
    </row>
    <row r="53" spans="4:14" ht="13.8" x14ac:dyDescent="0.25">
      <c r="D53" s="6">
        <v>11</v>
      </c>
      <c r="E53" s="11">
        <v>10.16</v>
      </c>
      <c r="F53" s="11">
        <v>10.9</v>
      </c>
      <c r="G53" s="11">
        <v>11.73</v>
      </c>
      <c r="H53" s="11">
        <v>13.12</v>
      </c>
      <c r="I53" s="11">
        <v>18.8</v>
      </c>
      <c r="J53" s="11">
        <v>23.110000000000003</v>
      </c>
      <c r="K53" s="11">
        <v>29.39</v>
      </c>
      <c r="L53" s="11">
        <v>33.04</v>
      </c>
      <c r="M53" s="11"/>
      <c r="N53" s="6"/>
    </row>
    <row r="54" spans="4:14" ht="13.8" x14ac:dyDescent="0.25">
      <c r="D54" s="6">
        <v>12</v>
      </c>
      <c r="E54" s="11">
        <v>10.51</v>
      </c>
      <c r="F54" s="11">
        <v>11.31</v>
      </c>
      <c r="G54" s="11">
        <v>12.23</v>
      </c>
      <c r="H54" s="11">
        <v>13.73</v>
      </c>
      <c r="I54" s="11">
        <v>19.880000000000003</v>
      </c>
      <c r="J54" s="11">
        <v>24.450000000000003</v>
      </c>
      <c r="K54" s="11">
        <v>31.080000000000002</v>
      </c>
      <c r="L54" s="11">
        <v>34.979999999999997</v>
      </c>
      <c r="M54" s="11"/>
      <c r="N54" s="6"/>
    </row>
    <row r="55" spans="4:14" ht="13.8" x14ac:dyDescent="0.25">
      <c r="D55" s="6">
        <v>13</v>
      </c>
      <c r="E55" s="11">
        <v>10.89</v>
      </c>
      <c r="F55" s="11">
        <v>11.75</v>
      </c>
      <c r="G55" s="11">
        <v>12.74</v>
      </c>
      <c r="H55" s="11">
        <v>14.17</v>
      </c>
      <c r="I55" s="11">
        <v>20.98</v>
      </c>
      <c r="J55" s="11">
        <v>25.790000000000003</v>
      </c>
      <c r="K55" s="11">
        <v>32.799999999999997</v>
      </c>
      <c r="L55" s="11">
        <v>36.949999999999996</v>
      </c>
      <c r="M55" s="11"/>
      <c r="N55" s="6"/>
    </row>
    <row r="56" spans="4:14" ht="13.8" x14ac:dyDescent="0.25">
      <c r="D56" s="6">
        <v>14</v>
      </c>
      <c r="E56" s="11">
        <v>11.299999999999999</v>
      </c>
      <c r="F56" s="11">
        <v>12.22</v>
      </c>
      <c r="G56" s="11">
        <v>13.25</v>
      </c>
      <c r="H56" s="11">
        <v>14.43</v>
      </c>
      <c r="I56" s="11">
        <v>22.07</v>
      </c>
      <c r="J56" s="11">
        <v>27.080000000000002</v>
      </c>
      <c r="K56" s="11">
        <v>34.53</v>
      </c>
      <c r="L56" s="11">
        <v>38.93</v>
      </c>
      <c r="M56" s="11"/>
      <c r="N56" s="6"/>
    </row>
    <row r="57" spans="4:14" ht="13.8" x14ac:dyDescent="0.25">
      <c r="D57" s="6">
        <v>15</v>
      </c>
      <c r="E57" s="11">
        <v>11.6</v>
      </c>
      <c r="F57" s="11">
        <v>12.59</v>
      </c>
      <c r="G57" s="11">
        <v>13.75</v>
      </c>
      <c r="H57" s="11">
        <v>14.85</v>
      </c>
      <c r="I57" s="11">
        <v>23.16</v>
      </c>
      <c r="J57" s="11">
        <v>28.35</v>
      </c>
      <c r="K57" s="11">
        <v>36.25</v>
      </c>
      <c r="L57" s="11">
        <v>40.909999999999997</v>
      </c>
      <c r="M57" s="11"/>
      <c r="N57" s="6"/>
    </row>
    <row r="58" spans="4:14" ht="13.8" x14ac:dyDescent="0.25">
      <c r="D58" s="6">
        <v>16</v>
      </c>
      <c r="E58" s="11">
        <v>12.07</v>
      </c>
      <c r="F58" s="11">
        <v>13.11</v>
      </c>
      <c r="G58" s="11">
        <v>14.26</v>
      </c>
      <c r="H58" s="11">
        <v>15.1</v>
      </c>
      <c r="I58" s="11">
        <v>24.25</v>
      </c>
      <c r="J58" s="11">
        <v>29.64</v>
      </c>
      <c r="K58" s="11">
        <v>37.97</v>
      </c>
      <c r="L58" s="11">
        <v>42.879999999999995</v>
      </c>
      <c r="M58" s="11"/>
      <c r="N58" s="6"/>
    </row>
    <row r="59" spans="4:14" ht="13.8" x14ac:dyDescent="0.25">
      <c r="D59" s="6">
        <v>17</v>
      </c>
      <c r="E59" s="11">
        <v>12.42</v>
      </c>
      <c r="F59" s="11">
        <v>13.53</v>
      </c>
      <c r="G59" s="11">
        <v>14.67</v>
      </c>
      <c r="H59" s="11">
        <v>15.5</v>
      </c>
      <c r="I59" s="11">
        <v>25.330000000000002</v>
      </c>
      <c r="J59" s="11">
        <v>30.91</v>
      </c>
      <c r="K59" s="11">
        <v>39.699999999999996</v>
      </c>
      <c r="L59" s="11">
        <v>44.86</v>
      </c>
      <c r="M59" s="11"/>
      <c r="N59" s="6"/>
    </row>
    <row r="60" spans="4:14" ht="13.8" x14ac:dyDescent="0.25">
      <c r="D60" s="6">
        <v>18</v>
      </c>
      <c r="E60" s="11">
        <v>12.83</v>
      </c>
      <c r="F60" s="11">
        <v>13.73</v>
      </c>
      <c r="G60" s="11">
        <v>14.9</v>
      </c>
      <c r="H60" s="11">
        <v>15.77</v>
      </c>
      <c r="I60" s="11">
        <v>26.41</v>
      </c>
      <c r="J60" s="11">
        <v>32.19</v>
      </c>
      <c r="K60" s="11">
        <v>41.419999999999995</v>
      </c>
      <c r="L60" s="11">
        <v>46.83</v>
      </c>
      <c r="M60" s="11"/>
      <c r="N60" s="6"/>
    </row>
    <row r="61" spans="4:14" ht="13.8" x14ac:dyDescent="0.25">
      <c r="D61" s="6">
        <v>19</v>
      </c>
      <c r="E61" s="11">
        <v>13.19</v>
      </c>
      <c r="F61" s="11">
        <v>14.049999999999999</v>
      </c>
      <c r="G61" s="11">
        <v>15.39</v>
      </c>
      <c r="H61" s="11">
        <v>16.260000000000002</v>
      </c>
      <c r="I61" s="11">
        <v>27.51</v>
      </c>
      <c r="J61" s="11">
        <v>33.479999999999997</v>
      </c>
      <c r="K61" s="11">
        <v>43.14</v>
      </c>
      <c r="L61" s="11">
        <v>48.8</v>
      </c>
      <c r="M61" s="11"/>
      <c r="N61" s="6"/>
    </row>
    <row r="62" spans="4:14" ht="13.8" x14ac:dyDescent="0.25">
      <c r="D62" s="12">
        <v>20</v>
      </c>
      <c r="E62" s="13">
        <v>13.52</v>
      </c>
      <c r="F62" s="13">
        <v>14.32</v>
      </c>
      <c r="G62" s="13">
        <v>15.709999999999999</v>
      </c>
      <c r="H62" s="13">
        <v>16.650000000000002</v>
      </c>
      <c r="I62" s="13">
        <v>28.580000000000002</v>
      </c>
      <c r="J62" s="13">
        <v>34.76</v>
      </c>
      <c r="K62" s="13">
        <v>44.87</v>
      </c>
      <c r="L62" s="13">
        <v>50.78</v>
      </c>
      <c r="M62" s="13"/>
      <c r="N62" s="6"/>
    </row>
    <row r="63" spans="4:14" ht="13.8" x14ac:dyDescent="0.25">
      <c r="D63" s="14" t="s">
        <v>23</v>
      </c>
      <c r="E63" s="15">
        <v>7.5</v>
      </c>
      <c r="F63" s="15">
        <v>7.5</v>
      </c>
      <c r="G63" s="15">
        <v>7.5</v>
      </c>
      <c r="H63" s="15">
        <v>7.5</v>
      </c>
      <c r="I63" s="15">
        <v>7.5</v>
      </c>
      <c r="J63" s="15">
        <v>7.5</v>
      </c>
      <c r="K63" s="15">
        <v>7.5</v>
      </c>
      <c r="L63" s="15">
        <v>7.5</v>
      </c>
      <c r="M63" s="15"/>
      <c r="N63" s="6"/>
    </row>
    <row r="64" spans="4:14" ht="13.8" x14ac:dyDescent="0.25">
      <c r="D64" s="16" t="s">
        <v>24</v>
      </c>
      <c r="E64" s="11">
        <v>7.79</v>
      </c>
      <c r="F64" s="11">
        <v>7.79</v>
      </c>
      <c r="G64" s="11">
        <v>7.79</v>
      </c>
      <c r="H64" s="11">
        <v>7.79</v>
      </c>
      <c r="I64" s="11">
        <v>7.79</v>
      </c>
      <c r="J64" s="11">
        <v>7.79</v>
      </c>
      <c r="K64" s="11">
        <v>7.79</v>
      </c>
      <c r="L64" s="11">
        <v>7.79</v>
      </c>
      <c r="M64" s="11"/>
      <c r="N64" s="6"/>
    </row>
    <row r="65" spans="4:14" ht="13.8" x14ac:dyDescent="0.25">
      <c r="D65" s="16" t="s">
        <v>25</v>
      </c>
      <c r="E65" s="11">
        <v>8.19</v>
      </c>
      <c r="F65" s="11">
        <v>8.19</v>
      </c>
      <c r="G65" s="11">
        <v>8.19</v>
      </c>
      <c r="H65" s="11">
        <v>8.19</v>
      </c>
      <c r="I65" s="11">
        <v>8.19</v>
      </c>
      <c r="J65" s="11">
        <v>8.19</v>
      </c>
      <c r="K65" s="11">
        <v>8.19</v>
      </c>
      <c r="L65" s="11">
        <v>8.19</v>
      </c>
      <c r="M65" s="11"/>
      <c r="N65" s="6"/>
    </row>
    <row r="66" spans="4:14" ht="13.8" x14ac:dyDescent="0.25">
      <c r="D66" s="16" t="s">
        <v>29</v>
      </c>
      <c r="E66" s="11">
        <v>7.99</v>
      </c>
      <c r="F66" s="11">
        <v>7.99</v>
      </c>
      <c r="G66" s="11">
        <v>7.99</v>
      </c>
      <c r="H66" s="11">
        <v>7.99</v>
      </c>
      <c r="I66" s="11">
        <v>7.99</v>
      </c>
      <c r="J66" s="11">
        <v>7.99</v>
      </c>
      <c r="K66" s="11">
        <v>7.99</v>
      </c>
      <c r="L66" s="11">
        <v>7.99</v>
      </c>
      <c r="M66" s="11"/>
      <c r="N66" s="6"/>
    </row>
    <row r="67" spans="4:14" ht="13.8" x14ac:dyDescent="0.25">
      <c r="D67" s="16" t="s">
        <v>30</v>
      </c>
      <c r="E67" s="11">
        <v>13.799999999999999</v>
      </c>
      <c r="F67" s="11">
        <v>13.799999999999999</v>
      </c>
      <c r="G67" s="11">
        <v>13.799999999999999</v>
      </c>
      <c r="H67" s="11">
        <v>13.799999999999999</v>
      </c>
      <c r="I67" s="11">
        <v>13.799999999999999</v>
      </c>
      <c r="J67" s="11">
        <v>13.799999999999999</v>
      </c>
      <c r="K67" s="11">
        <v>13.799999999999999</v>
      </c>
      <c r="L67" s="11">
        <v>13.799999999999999</v>
      </c>
      <c r="M67" s="11"/>
      <c r="N67" s="6"/>
    </row>
    <row r="68" spans="4:14" ht="13.8" x14ac:dyDescent="0.25">
      <c r="D68" s="17" t="s">
        <v>31</v>
      </c>
      <c r="E68" s="13">
        <v>18.680000000000003</v>
      </c>
      <c r="F68" s="13">
        <v>18.680000000000003</v>
      </c>
      <c r="G68" s="13">
        <v>18.680000000000003</v>
      </c>
      <c r="H68" s="13">
        <v>18.680000000000003</v>
      </c>
      <c r="I68" s="13">
        <v>18.680000000000003</v>
      </c>
      <c r="J68" s="13">
        <v>18.680000000000003</v>
      </c>
      <c r="K68" s="13">
        <v>18.680000000000003</v>
      </c>
      <c r="L68" s="13">
        <v>18.680000000000003</v>
      </c>
      <c r="M68" s="13"/>
      <c r="N68" s="6"/>
    </row>
    <row r="69" spans="4:14" ht="13.8" x14ac:dyDescent="0.25">
      <c r="D69" s="18" t="s">
        <v>32</v>
      </c>
      <c r="E69" s="15">
        <v>6.9399999999999995</v>
      </c>
      <c r="F69" s="15">
        <v>6.96</v>
      </c>
      <c r="G69" s="15">
        <v>6.96</v>
      </c>
      <c r="H69" s="15">
        <v>6.97</v>
      </c>
      <c r="I69" s="15">
        <v>7.35</v>
      </c>
      <c r="J69" s="15">
        <v>7.81</v>
      </c>
      <c r="K69" s="15">
        <v>8.42</v>
      </c>
      <c r="L69" s="15">
        <v>8.94</v>
      </c>
      <c r="M69" s="15"/>
      <c r="N69" s="6"/>
    </row>
    <row r="70" spans="4:14" ht="13.8" x14ac:dyDescent="0.25">
      <c r="D70" s="6" t="s">
        <v>33</v>
      </c>
      <c r="E70" s="11">
        <v>6.96</v>
      </c>
      <c r="F70" s="11">
        <v>6.96</v>
      </c>
      <c r="G70" s="11">
        <v>6.96</v>
      </c>
      <c r="H70" s="11">
        <v>7.04</v>
      </c>
      <c r="I70" s="11">
        <v>8.11</v>
      </c>
      <c r="J70" s="11">
        <v>9.15</v>
      </c>
      <c r="K70" s="11">
        <v>9.98</v>
      </c>
      <c r="L70" s="11">
        <v>10.78</v>
      </c>
      <c r="M70" s="11"/>
      <c r="N70" s="6"/>
    </row>
    <row r="71" spans="4:14" ht="13.8" x14ac:dyDescent="0.25">
      <c r="D71" s="6" t="s">
        <v>34</v>
      </c>
      <c r="E71" s="11">
        <v>7.0299999999999994</v>
      </c>
      <c r="F71" s="11">
        <v>7.09</v>
      </c>
      <c r="G71" s="11">
        <v>7.24</v>
      </c>
      <c r="H71" s="11">
        <v>7.31</v>
      </c>
      <c r="I71" s="11">
        <v>9.7999999999999989</v>
      </c>
      <c r="J71" s="11">
        <v>11.75</v>
      </c>
      <c r="K71" s="11">
        <v>13.43</v>
      </c>
      <c r="L71" s="11">
        <v>15.27</v>
      </c>
      <c r="M71" s="11"/>
      <c r="N71" s="6"/>
    </row>
    <row r="72" spans="4:14" ht="13.8" x14ac:dyDescent="0.25">
      <c r="D72" s="6" t="s">
        <v>35</v>
      </c>
      <c r="E72" s="11">
        <v>7.1499999999999995</v>
      </c>
      <c r="F72" s="11">
        <v>7.24</v>
      </c>
      <c r="G72" s="11">
        <v>7.31</v>
      </c>
      <c r="H72" s="11">
        <v>7.37</v>
      </c>
      <c r="I72" s="11">
        <v>11.66</v>
      </c>
      <c r="J72" s="11">
        <v>13.92</v>
      </c>
      <c r="K72" s="11">
        <v>16.48</v>
      </c>
      <c r="L72" s="11">
        <v>18.490000000000002</v>
      </c>
      <c r="M72" s="11"/>
      <c r="N72" s="6"/>
    </row>
    <row r="73" spans="4:14" ht="13.8" x14ac:dyDescent="0.25">
      <c r="D73" s="12" t="s">
        <v>36</v>
      </c>
      <c r="E73" s="13">
        <v>7.22</v>
      </c>
      <c r="F73" s="13">
        <v>7.34</v>
      </c>
      <c r="G73" s="13">
        <v>7.37</v>
      </c>
      <c r="H73" s="13">
        <v>7.52</v>
      </c>
      <c r="I73" s="13">
        <v>13.299999999999999</v>
      </c>
      <c r="J73" s="13">
        <v>15.86</v>
      </c>
      <c r="K73" s="13">
        <v>19.580000000000002</v>
      </c>
      <c r="L73" s="13">
        <v>22</v>
      </c>
      <c r="M73" s="13"/>
      <c r="N73" s="6"/>
    </row>
    <row r="75" spans="4:14" ht="13.8" x14ac:dyDescent="0.3">
      <c r="D75" s="19" t="s">
        <v>27</v>
      </c>
      <c r="E75" s="19"/>
      <c r="F75" s="19"/>
      <c r="G75" s="19"/>
      <c r="H75" s="19"/>
      <c r="I75" s="19"/>
      <c r="J75" s="19"/>
      <c r="K75" s="19"/>
      <c r="L75" s="19"/>
      <c r="M75" s="19"/>
      <c r="N75" s="19"/>
    </row>
    <row r="76" spans="4:14" ht="13.8" x14ac:dyDescent="0.25">
      <c r="D76" s="4" t="s">
        <v>28</v>
      </c>
      <c r="E76" s="5"/>
      <c r="F76" s="5"/>
      <c r="G76" s="5"/>
      <c r="H76" s="5"/>
      <c r="I76" s="5"/>
      <c r="J76" s="5"/>
      <c r="K76" s="5"/>
      <c r="L76" s="5"/>
      <c r="M76" s="5"/>
      <c r="N76" s="6"/>
    </row>
    <row r="77" spans="4:14" ht="13.8" x14ac:dyDescent="0.25">
      <c r="D77" s="20" t="s">
        <v>18</v>
      </c>
      <c r="E77" s="5"/>
      <c r="F77" s="22" t="s">
        <v>6</v>
      </c>
      <c r="G77" s="22"/>
      <c r="H77" s="22"/>
      <c r="I77" s="22"/>
      <c r="J77" s="22"/>
      <c r="K77" s="22"/>
      <c r="L77" s="22"/>
      <c r="M77" s="22"/>
      <c r="N77" s="6"/>
    </row>
    <row r="78" spans="4:14" ht="14.4" thickBot="1" x14ac:dyDescent="0.3">
      <c r="D78" s="21"/>
      <c r="E78" s="8">
        <v>1</v>
      </c>
      <c r="F78" s="8">
        <v>2</v>
      </c>
      <c r="G78" s="9">
        <v>3</v>
      </c>
      <c r="H78" s="9">
        <v>4</v>
      </c>
      <c r="I78" s="9">
        <v>5</v>
      </c>
      <c r="J78" s="9">
        <v>6</v>
      </c>
      <c r="K78" s="9">
        <v>7</v>
      </c>
      <c r="L78" s="9">
        <v>8</v>
      </c>
      <c r="M78" s="9">
        <v>9</v>
      </c>
      <c r="N78" s="6"/>
    </row>
    <row r="79" spans="4:14" ht="13.8" x14ac:dyDescent="0.25">
      <c r="D79" s="6">
        <v>0.5</v>
      </c>
      <c r="E79" s="11">
        <v>6.84</v>
      </c>
      <c r="F79" s="11">
        <v>6.8599999999999994</v>
      </c>
      <c r="G79" s="11">
        <v>6.8599999999999994</v>
      </c>
      <c r="H79" s="11">
        <v>6.8599999999999994</v>
      </c>
      <c r="I79" s="11">
        <v>6.8599999999999994</v>
      </c>
      <c r="J79" s="11">
        <v>6.8599999999999994</v>
      </c>
      <c r="K79" s="11">
        <v>7.27</v>
      </c>
      <c r="L79" s="11">
        <v>7.66</v>
      </c>
      <c r="M79" s="11"/>
      <c r="N79" s="6"/>
    </row>
    <row r="80" spans="4:14" ht="13.8" x14ac:dyDescent="0.25">
      <c r="D80" s="6">
        <v>1</v>
      </c>
      <c r="E80" s="11">
        <v>6.84</v>
      </c>
      <c r="F80" s="11">
        <v>6.8599999999999994</v>
      </c>
      <c r="G80" s="11">
        <v>6.8599999999999994</v>
      </c>
      <c r="H80" s="11">
        <v>6.8599999999999994</v>
      </c>
      <c r="I80" s="11">
        <v>6.9799999999999995</v>
      </c>
      <c r="J80" s="11">
        <v>7.24</v>
      </c>
      <c r="K80" s="11">
        <v>7.83</v>
      </c>
      <c r="L80" s="11">
        <v>8.26</v>
      </c>
      <c r="M80" s="11"/>
      <c r="N80" s="6"/>
    </row>
    <row r="81" spans="4:14" ht="13.8" x14ac:dyDescent="0.25">
      <c r="D81" s="6">
        <v>2</v>
      </c>
      <c r="E81" s="11">
        <v>6.8599999999999994</v>
      </c>
      <c r="F81" s="11">
        <v>6.8599999999999994</v>
      </c>
      <c r="G81" s="11">
        <v>6.8599999999999994</v>
      </c>
      <c r="H81" s="11">
        <v>6.97</v>
      </c>
      <c r="I81" s="11">
        <v>7.9799999999999995</v>
      </c>
      <c r="J81" s="11">
        <v>9.01</v>
      </c>
      <c r="K81" s="11">
        <v>9.9</v>
      </c>
      <c r="L81" s="11">
        <v>10.7</v>
      </c>
      <c r="M81" s="11"/>
      <c r="N81" s="6"/>
    </row>
    <row r="82" spans="4:14" ht="13.8" x14ac:dyDescent="0.25">
      <c r="D82" s="6">
        <v>3</v>
      </c>
      <c r="E82" s="11">
        <v>6.96</v>
      </c>
      <c r="F82" s="11">
        <v>7.02</v>
      </c>
      <c r="G82" s="11">
        <v>7.16</v>
      </c>
      <c r="H82" s="11">
        <v>7.24</v>
      </c>
      <c r="I82" s="11">
        <v>9.65</v>
      </c>
      <c r="J82" s="11">
        <v>11.66</v>
      </c>
      <c r="K82" s="11">
        <v>13.33</v>
      </c>
      <c r="L82" s="11">
        <v>15.14</v>
      </c>
      <c r="M82" s="11"/>
      <c r="N82" s="6"/>
    </row>
    <row r="83" spans="4:14" ht="13.8" x14ac:dyDescent="0.25">
      <c r="D83" s="6">
        <v>4</v>
      </c>
      <c r="E83" s="11">
        <v>7.1099999999999994</v>
      </c>
      <c r="F83" s="11">
        <v>7.21</v>
      </c>
      <c r="G83" s="11">
        <v>7.2299999999999995</v>
      </c>
      <c r="H83" s="11">
        <v>7.2799999999999994</v>
      </c>
      <c r="I83" s="11">
        <v>11.27</v>
      </c>
      <c r="J83" s="11">
        <v>13.49</v>
      </c>
      <c r="K83" s="11">
        <v>15.799999999999999</v>
      </c>
      <c r="L83" s="11">
        <v>17.720000000000002</v>
      </c>
      <c r="M83" s="11"/>
      <c r="N83" s="6"/>
    </row>
    <row r="84" spans="4:14" ht="13.8" x14ac:dyDescent="0.25">
      <c r="D84" s="6">
        <v>5</v>
      </c>
      <c r="E84" s="11">
        <v>7.1099999999999994</v>
      </c>
      <c r="F84" s="11">
        <v>7.25</v>
      </c>
      <c r="G84" s="11">
        <v>7.2799999999999994</v>
      </c>
      <c r="H84" s="11">
        <v>7.49</v>
      </c>
      <c r="I84" s="11">
        <v>12.45</v>
      </c>
      <c r="J84" s="11">
        <v>14.77</v>
      </c>
      <c r="K84" s="11">
        <v>17.98</v>
      </c>
      <c r="L84" s="11">
        <v>20.220000000000002</v>
      </c>
      <c r="M84" s="11"/>
      <c r="N84" s="6"/>
    </row>
    <row r="85" spans="4:14" ht="13.8" x14ac:dyDescent="0.25">
      <c r="D85" s="6">
        <v>6</v>
      </c>
      <c r="E85" s="11">
        <v>7.21</v>
      </c>
      <c r="F85" s="11">
        <v>7.7</v>
      </c>
      <c r="G85" s="11">
        <v>7.85</v>
      </c>
      <c r="H85" s="11">
        <v>7.93</v>
      </c>
      <c r="I85" s="11">
        <v>13.9</v>
      </c>
      <c r="J85" s="11">
        <v>16.610000000000003</v>
      </c>
      <c r="K85" s="11">
        <v>20.770000000000003</v>
      </c>
      <c r="L85" s="11">
        <v>23.32</v>
      </c>
      <c r="M85" s="11"/>
      <c r="N85" s="6"/>
    </row>
    <row r="86" spans="4:14" ht="13.8" x14ac:dyDescent="0.25">
      <c r="D86" s="6">
        <v>7</v>
      </c>
      <c r="E86" s="11">
        <v>8.2999999999999989</v>
      </c>
      <c r="F86" s="11">
        <v>8.4</v>
      </c>
      <c r="G86" s="11">
        <v>9.48</v>
      </c>
      <c r="H86" s="11">
        <v>9.9700000000000006</v>
      </c>
      <c r="I86" s="11">
        <v>14.82</v>
      </c>
      <c r="J86" s="11">
        <v>17.880000000000003</v>
      </c>
      <c r="K86" s="11">
        <v>22.48</v>
      </c>
      <c r="L86" s="11">
        <v>25.3</v>
      </c>
      <c r="M86" s="11"/>
      <c r="N86" s="6"/>
    </row>
    <row r="87" spans="4:14" ht="13.8" x14ac:dyDescent="0.25">
      <c r="D87" s="6">
        <v>8</v>
      </c>
      <c r="E87" s="11">
        <v>8.57</v>
      </c>
      <c r="F87" s="11">
        <v>8.6</v>
      </c>
      <c r="G87" s="11">
        <v>9.94</v>
      </c>
      <c r="H87" s="11">
        <v>11.01</v>
      </c>
      <c r="I87" s="11">
        <v>15.72</v>
      </c>
      <c r="J87" s="11">
        <v>19.110000000000003</v>
      </c>
      <c r="K87" s="11">
        <v>24.12</v>
      </c>
      <c r="L87" s="11">
        <v>27.19</v>
      </c>
      <c r="M87" s="11"/>
      <c r="N87" s="6"/>
    </row>
    <row r="88" spans="4:14" ht="13.8" x14ac:dyDescent="0.25">
      <c r="D88" s="6">
        <v>9</v>
      </c>
      <c r="E88" s="11">
        <v>8.98</v>
      </c>
      <c r="F88" s="11">
        <v>9.17</v>
      </c>
      <c r="G88" s="11">
        <v>10.39</v>
      </c>
      <c r="H88" s="11">
        <v>11.53</v>
      </c>
      <c r="I88" s="11">
        <v>16.610000000000003</v>
      </c>
      <c r="J88" s="11">
        <v>20.28</v>
      </c>
      <c r="K88" s="11">
        <v>25.71</v>
      </c>
      <c r="L88" s="11">
        <v>29.040000000000003</v>
      </c>
      <c r="M88" s="11"/>
      <c r="N88" s="6"/>
    </row>
    <row r="89" spans="4:14" ht="13.8" x14ac:dyDescent="0.25">
      <c r="D89" s="6">
        <v>10</v>
      </c>
      <c r="E89" s="11">
        <v>9.31</v>
      </c>
      <c r="F89" s="11">
        <v>9.64</v>
      </c>
      <c r="G89" s="11">
        <v>10.86</v>
      </c>
      <c r="H89" s="11">
        <v>11.87</v>
      </c>
      <c r="I89" s="11">
        <v>17.48</v>
      </c>
      <c r="J89" s="11">
        <v>21.44</v>
      </c>
      <c r="K89" s="11">
        <v>27.270000000000003</v>
      </c>
      <c r="L89" s="11">
        <v>30.73</v>
      </c>
      <c r="M89" s="11"/>
      <c r="N89" s="6"/>
    </row>
    <row r="90" spans="4:14" ht="13.8" x14ac:dyDescent="0.25">
      <c r="D90" s="6">
        <v>11</v>
      </c>
      <c r="E90" s="11">
        <v>10.01</v>
      </c>
      <c r="F90" s="11">
        <v>10.74</v>
      </c>
      <c r="G90" s="11">
        <v>11.549999999999999</v>
      </c>
      <c r="H90" s="11">
        <v>12.93</v>
      </c>
      <c r="I90" s="11">
        <v>18.380000000000003</v>
      </c>
      <c r="J90" s="11">
        <v>22.6</v>
      </c>
      <c r="K90" s="11">
        <v>28.73</v>
      </c>
      <c r="L90" s="11">
        <v>32.299999999999997</v>
      </c>
      <c r="M90" s="11"/>
      <c r="N90" s="6"/>
    </row>
    <row r="91" spans="4:14" ht="13.8" x14ac:dyDescent="0.25">
      <c r="D91" s="6">
        <v>12</v>
      </c>
      <c r="E91" s="11">
        <v>10.36</v>
      </c>
      <c r="F91" s="11">
        <v>11.129999999999999</v>
      </c>
      <c r="G91" s="11">
        <v>12.049999999999999</v>
      </c>
      <c r="H91" s="11">
        <v>13.52</v>
      </c>
      <c r="I91" s="11">
        <v>19.440000000000001</v>
      </c>
      <c r="J91" s="11">
        <v>23.91</v>
      </c>
      <c r="K91" s="11">
        <v>30.39</v>
      </c>
      <c r="L91" s="11">
        <v>34.199999999999996</v>
      </c>
      <c r="M91" s="11"/>
      <c r="N91" s="6"/>
    </row>
    <row r="92" spans="4:14" ht="13.8" x14ac:dyDescent="0.25">
      <c r="D92" s="6">
        <v>13</v>
      </c>
      <c r="E92" s="11">
        <v>10.73</v>
      </c>
      <c r="F92" s="11">
        <v>11.57</v>
      </c>
      <c r="G92" s="11">
        <v>12.549999999999999</v>
      </c>
      <c r="H92" s="11">
        <v>13.959999999999999</v>
      </c>
      <c r="I92" s="11">
        <v>20.51</v>
      </c>
      <c r="J92" s="11">
        <v>25.220000000000002</v>
      </c>
      <c r="K92" s="11">
        <v>32.07</v>
      </c>
      <c r="L92" s="11">
        <v>36.119999999999997</v>
      </c>
      <c r="M92" s="11"/>
      <c r="N92" s="6"/>
    </row>
    <row r="93" spans="4:14" ht="13.8" x14ac:dyDescent="0.25">
      <c r="D93" s="6">
        <v>14</v>
      </c>
      <c r="E93" s="11">
        <v>11.12</v>
      </c>
      <c r="F93" s="11">
        <v>12.04</v>
      </c>
      <c r="G93" s="11">
        <v>13.049999999999999</v>
      </c>
      <c r="H93" s="11">
        <v>14.22</v>
      </c>
      <c r="I93" s="11">
        <v>21.57</v>
      </c>
      <c r="J93" s="11">
        <v>26.48</v>
      </c>
      <c r="K93" s="11">
        <v>33.75</v>
      </c>
      <c r="L93" s="11">
        <v>38.07</v>
      </c>
      <c r="M93" s="11"/>
      <c r="N93" s="6"/>
    </row>
    <row r="94" spans="4:14" ht="13.8" x14ac:dyDescent="0.25">
      <c r="D94" s="6">
        <v>15</v>
      </c>
      <c r="E94" s="11">
        <v>11.43</v>
      </c>
      <c r="F94" s="11">
        <v>12.4</v>
      </c>
      <c r="G94" s="11">
        <v>13.54</v>
      </c>
      <c r="H94" s="11">
        <v>14.62</v>
      </c>
      <c r="I94" s="11">
        <v>22.650000000000002</v>
      </c>
      <c r="J94" s="11">
        <v>27.720000000000002</v>
      </c>
      <c r="K94" s="11">
        <v>35.43</v>
      </c>
      <c r="L94" s="11">
        <v>39.99</v>
      </c>
      <c r="M94" s="11"/>
      <c r="N94" s="6"/>
    </row>
    <row r="95" spans="4:14" ht="13.8" x14ac:dyDescent="0.25">
      <c r="D95" s="6">
        <v>16</v>
      </c>
      <c r="E95" s="11">
        <v>11.879999999999999</v>
      </c>
      <c r="F95" s="11">
        <v>12.92</v>
      </c>
      <c r="G95" s="11">
        <v>14.04</v>
      </c>
      <c r="H95" s="11">
        <v>14.879999999999999</v>
      </c>
      <c r="I95" s="11">
        <v>23.71</v>
      </c>
      <c r="J95" s="11">
        <v>28.98</v>
      </c>
      <c r="K95" s="11">
        <v>37.129999999999995</v>
      </c>
      <c r="L95" s="11">
        <v>41.919999999999995</v>
      </c>
      <c r="M95" s="11"/>
      <c r="N95" s="6"/>
    </row>
    <row r="96" spans="4:14" ht="13.8" x14ac:dyDescent="0.25">
      <c r="D96" s="6">
        <v>17</v>
      </c>
      <c r="E96" s="11">
        <v>12.23</v>
      </c>
      <c r="F96" s="11">
        <v>13.34</v>
      </c>
      <c r="G96" s="11">
        <v>14.45</v>
      </c>
      <c r="H96" s="11">
        <v>15.26</v>
      </c>
      <c r="I96" s="11">
        <v>24.76</v>
      </c>
      <c r="J96" s="11">
        <v>30.220000000000002</v>
      </c>
      <c r="K96" s="11">
        <v>38.809999999999995</v>
      </c>
      <c r="L96" s="11">
        <v>43.85</v>
      </c>
      <c r="M96" s="11"/>
      <c r="N96" s="6"/>
    </row>
    <row r="97" spans="4:14" ht="13.8" x14ac:dyDescent="0.25">
      <c r="D97" s="6">
        <v>18</v>
      </c>
      <c r="E97" s="11">
        <v>12.65</v>
      </c>
      <c r="F97" s="11">
        <v>13.52</v>
      </c>
      <c r="G97" s="11">
        <v>14.67</v>
      </c>
      <c r="H97" s="11">
        <v>15.54</v>
      </c>
      <c r="I97" s="11">
        <v>25.830000000000002</v>
      </c>
      <c r="J97" s="11">
        <v>31.470000000000002</v>
      </c>
      <c r="K97" s="11">
        <v>40.489999999999995</v>
      </c>
      <c r="L97" s="11">
        <v>45.769999999999996</v>
      </c>
      <c r="M97" s="11"/>
      <c r="N97" s="6"/>
    </row>
    <row r="98" spans="4:14" ht="13.8" x14ac:dyDescent="0.25">
      <c r="D98" s="6">
        <v>19</v>
      </c>
      <c r="E98" s="11">
        <v>13</v>
      </c>
      <c r="F98" s="11">
        <v>13.84</v>
      </c>
      <c r="G98" s="11">
        <v>15.15</v>
      </c>
      <c r="H98" s="11">
        <v>16.010000000000002</v>
      </c>
      <c r="I98" s="11">
        <v>26.900000000000002</v>
      </c>
      <c r="J98" s="11">
        <v>32.739999999999995</v>
      </c>
      <c r="K98" s="11">
        <v>42.169999999999995</v>
      </c>
      <c r="L98" s="11">
        <v>47.699999999999996</v>
      </c>
      <c r="M98" s="11"/>
      <c r="N98" s="6"/>
    </row>
    <row r="99" spans="4:14" ht="13.8" x14ac:dyDescent="0.25">
      <c r="D99" s="12">
        <v>20</v>
      </c>
      <c r="E99" s="13">
        <v>13.33</v>
      </c>
      <c r="F99" s="13">
        <v>14.1</v>
      </c>
      <c r="G99" s="13">
        <v>15.47</v>
      </c>
      <c r="H99" s="13">
        <v>16.400000000000002</v>
      </c>
      <c r="I99" s="13">
        <v>27.94</v>
      </c>
      <c r="J99" s="13">
        <v>33.989999999999995</v>
      </c>
      <c r="K99" s="13">
        <v>43.86</v>
      </c>
      <c r="L99" s="13">
        <v>49.64</v>
      </c>
      <c r="M99" s="13"/>
      <c r="N99" s="6"/>
    </row>
    <row r="100" spans="4:14" ht="13.8" x14ac:dyDescent="0.25">
      <c r="D100" s="14" t="s">
        <v>23</v>
      </c>
      <c r="E100" s="15">
        <v>7.34</v>
      </c>
      <c r="F100" s="15">
        <v>7.34</v>
      </c>
      <c r="G100" s="15">
        <v>7.34</v>
      </c>
      <c r="H100" s="15">
        <v>7.34</v>
      </c>
      <c r="I100" s="15">
        <v>7.34</v>
      </c>
      <c r="J100" s="15">
        <v>7.34</v>
      </c>
      <c r="K100" s="15">
        <v>7.34</v>
      </c>
      <c r="L100" s="15">
        <v>7.34</v>
      </c>
      <c r="M100" s="15"/>
      <c r="N100" s="6"/>
    </row>
    <row r="101" spans="4:14" ht="13.8" x14ac:dyDescent="0.25">
      <c r="D101" s="16" t="s">
        <v>24</v>
      </c>
      <c r="E101" s="11">
        <v>7.63</v>
      </c>
      <c r="F101" s="11">
        <v>7.63</v>
      </c>
      <c r="G101" s="11">
        <v>7.63</v>
      </c>
      <c r="H101" s="11">
        <v>7.63</v>
      </c>
      <c r="I101" s="11">
        <v>7.63</v>
      </c>
      <c r="J101" s="11">
        <v>7.63</v>
      </c>
      <c r="K101" s="11">
        <v>7.63</v>
      </c>
      <c r="L101" s="11">
        <v>7.63</v>
      </c>
      <c r="M101" s="11"/>
      <c r="N101" s="6"/>
    </row>
    <row r="102" spans="4:14" ht="13.8" x14ac:dyDescent="0.25">
      <c r="D102" s="16" t="s">
        <v>25</v>
      </c>
      <c r="E102" s="11">
        <v>8.01</v>
      </c>
      <c r="F102" s="11">
        <v>8.01</v>
      </c>
      <c r="G102" s="11">
        <v>8.01</v>
      </c>
      <c r="H102" s="11">
        <v>8.01</v>
      </c>
      <c r="I102" s="11">
        <v>8.01</v>
      </c>
      <c r="J102" s="11">
        <v>8.01</v>
      </c>
      <c r="K102" s="11">
        <v>8.01</v>
      </c>
      <c r="L102" s="11">
        <v>8.01</v>
      </c>
      <c r="M102" s="11"/>
      <c r="N102" s="6"/>
    </row>
    <row r="103" spans="4:14" ht="13.8" x14ac:dyDescent="0.25">
      <c r="D103" s="16" t="s">
        <v>29</v>
      </c>
      <c r="E103" s="11">
        <v>7.8199999999999994</v>
      </c>
      <c r="F103" s="11">
        <v>7.8199999999999994</v>
      </c>
      <c r="G103" s="11">
        <v>7.8199999999999994</v>
      </c>
      <c r="H103" s="11">
        <v>7.8199999999999994</v>
      </c>
      <c r="I103" s="11">
        <v>7.8199999999999994</v>
      </c>
      <c r="J103" s="11">
        <v>7.8199999999999994</v>
      </c>
      <c r="K103" s="11">
        <v>7.8199999999999994</v>
      </c>
      <c r="L103" s="11">
        <v>7.8199999999999994</v>
      </c>
      <c r="M103" s="11"/>
      <c r="N103" s="6"/>
    </row>
    <row r="104" spans="4:14" ht="13.8" x14ac:dyDescent="0.25">
      <c r="D104" s="16" t="s">
        <v>30</v>
      </c>
      <c r="E104" s="11">
        <v>13.51</v>
      </c>
      <c r="F104" s="11">
        <v>13.51</v>
      </c>
      <c r="G104" s="11">
        <v>13.51</v>
      </c>
      <c r="H104" s="11">
        <v>13.51</v>
      </c>
      <c r="I104" s="11">
        <v>13.51</v>
      </c>
      <c r="J104" s="11">
        <v>13.51</v>
      </c>
      <c r="K104" s="11">
        <v>13.51</v>
      </c>
      <c r="L104" s="11">
        <v>13.51</v>
      </c>
      <c r="M104" s="11"/>
      <c r="N104" s="6"/>
    </row>
    <row r="105" spans="4:14" ht="13.8" x14ac:dyDescent="0.25">
      <c r="D105" s="17" t="s">
        <v>31</v>
      </c>
      <c r="E105" s="13">
        <v>18.290000000000003</v>
      </c>
      <c r="F105" s="13">
        <v>18.290000000000003</v>
      </c>
      <c r="G105" s="13">
        <v>18.290000000000003</v>
      </c>
      <c r="H105" s="13">
        <v>18.290000000000003</v>
      </c>
      <c r="I105" s="13">
        <v>18.290000000000003</v>
      </c>
      <c r="J105" s="13">
        <v>18.290000000000003</v>
      </c>
      <c r="K105" s="13">
        <v>18.290000000000003</v>
      </c>
      <c r="L105" s="13">
        <v>18.290000000000003</v>
      </c>
      <c r="M105" s="13"/>
      <c r="N105" s="6"/>
    </row>
    <row r="106" spans="4:14" ht="13.8" x14ac:dyDescent="0.25">
      <c r="D106" s="18" t="s">
        <v>32</v>
      </c>
      <c r="E106" s="15">
        <v>6.84</v>
      </c>
      <c r="F106" s="15">
        <v>6.8599999999999994</v>
      </c>
      <c r="G106" s="15">
        <v>6.8599999999999994</v>
      </c>
      <c r="H106" s="15">
        <v>6.87</v>
      </c>
      <c r="I106" s="15">
        <v>7.24</v>
      </c>
      <c r="J106" s="15">
        <v>7.68</v>
      </c>
      <c r="K106" s="15">
        <v>8.2899999999999991</v>
      </c>
      <c r="L106" s="15">
        <v>8.81</v>
      </c>
      <c r="M106" s="15"/>
      <c r="N106" s="6"/>
    </row>
    <row r="107" spans="4:14" ht="13.8" x14ac:dyDescent="0.25">
      <c r="D107" s="6" t="s">
        <v>33</v>
      </c>
      <c r="E107" s="11">
        <v>6.8599999999999994</v>
      </c>
      <c r="F107" s="11">
        <v>6.8599999999999994</v>
      </c>
      <c r="G107" s="11">
        <v>6.8599999999999994</v>
      </c>
      <c r="H107" s="11">
        <v>6.9399999999999995</v>
      </c>
      <c r="I107" s="11">
        <v>7.9799999999999995</v>
      </c>
      <c r="J107" s="11">
        <v>9.01</v>
      </c>
      <c r="K107" s="11">
        <v>9.84</v>
      </c>
      <c r="L107" s="11">
        <v>10.61</v>
      </c>
      <c r="M107" s="11"/>
      <c r="N107" s="6"/>
    </row>
    <row r="108" spans="4:14" ht="13.8" x14ac:dyDescent="0.25">
      <c r="D108" s="6" t="s">
        <v>34</v>
      </c>
      <c r="E108" s="11">
        <v>6.93</v>
      </c>
      <c r="F108" s="11">
        <v>6.9799999999999995</v>
      </c>
      <c r="G108" s="11">
        <v>7.13</v>
      </c>
      <c r="H108" s="11">
        <v>7.2</v>
      </c>
      <c r="I108" s="11">
        <v>9.65</v>
      </c>
      <c r="J108" s="11">
        <v>11.57</v>
      </c>
      <c r="K108" s="11">
        <v>13.24</v>
      </c>
      <c r="L108" s="11">
        <v>15.04</v>
      </c>
      <c r="M108" s="11"/>
      <c r="N108" s="6"/>
    </row>
    <row r="109" spans="4:14" ht="13.8" x14ac:dyDescent="0.25">
      <c r="D109" s="6" t="s">
        <v>35</v>
      </c>
      <c r="E109" s="11">
        <v>7.0299999999999994</v>
      </c>
      <c r="F109" s="11">
        <v>7.13</v>
      </c>
      <c r="G109" s="11">
        <v>7.2</v>
      </c>
      <c r="H109" s="11">
        <v>7.26</v>
      </c>
      <c r="I109" s="11">
        <v>11.48</v>
      </c>
      <c r="J109" s="11">
        <v>13.709999999999999</v>
      </c>
      <c r="K109" s="11">
        <v>16.23</v>
      </c>
      <c r="L109" s="11">
        <v>18.21</v>
      </c>
      <c r="M109" s="11"/>
      <c r="N109" s="6"/>
    </row>
    <row r="110" spans="4:14" ht="13.8" x14ac:dyDescent="0.25">
      <c r="D110" s="12" t="s">
        <v>36</v>
      </c>
      <c r="E110" s="13">
        <v>7.1099999999999994</v>
      </c>
      <c r="F110" s="13">
        <v>7.2299999999999995</v>
      </c>
      <c r="G110" s="13">
        <v>7.26</v>
      </c>
      <c r="H110" s="13">
        <v>7.3999999999999995</v>
      </c>
      <c r="I110" s="13">
        <v>13.1</v>
      </c>
      <c r="J110" s="13">
        <v>15.62</v>
      </c>
      <c r="K110" s="13">
        <v>19.28</v>
      </c>
      <c r="L110" s="13">
        <v>21.67</v>
      </c>
      <c r="M110" s="13"/>
      <c r="N110" s="6"/>
    </row>
  </sheetData>
  <mergeCells count="9">
    <mergeCell ref="D75:N75"/>
    <mergeCell ref="D77:D78"/>
    <mergeCell ref="F77:M77"/>
    <mergeCell ref="D1:N1"/>
    <mergeCell ref="D3:D4"/>
    <mergeCell ref="F3:M3"/>
    <mergeCell ref="D38:N38"/>
    <mergeCell ref="D40:D41"/>
    <mergeCell ref="F40:M40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0F456F-F8BD-4027-990C-25B1CED52B48}">
  <sheetPr codeName="Sheet5">
    <tabColor theme="0"/>
  </sheetPr>
  <dimension ref="A1:N152"/>
  <sheetViews>
    <sheetView showGridLines="0" topLeftCell="A18" workbookViewId="0">
      <selection activeCell="D36" sqref="D36:L36"/>
    </sheetView>
  </sheetViews>
  <sheetFormatPr defaultColWidth="9.109375" defaultRowHeight="13.2" x14ac:dyDescent="0.25"/>
  <cols>
    <col min="1" max="1" width="35.6640625" style="3" bestFit="1" customWidth="1"/>
    <col min="2" max="2" width="38.109375" style="3" bestFit="1" customWidth="1"/>
    <col min="3" max="3" width="9.109375" style="3"/>
    <col min="4" max="4" width="30.6640625" style="3" customWidth="1"/>
    <col min="5" max="16384" width="9.109375" style="3"/>
  </cols>
  <sheetData>
    <row r="1" spans="1:14" ht="13.8" x14ac:dyDescent="0.3">
      <c r="A1" s="2"/>
      <c r="D1" s="19" t="s">
        <v>16</v>
      </c>
      <c r="E1" s="19"/>
      <c r="F1" s="19"/>
      <c r="G1" s="19"/>
      <c r="H1" s="19"/>
      <c r="I1" s="19"/>
      <c r="J1" s="19"/>
      <c r="K1" s="19"/>
      <c r="L1" s="19"/>
      <c r="M1" s="19"/>
      <c r="N1" s="19"/>
    </row>
    <row r="2" spans="1:14" ht="13.8" x14ac:dyDescent="0.3">
      <c r="A2" s="2"/>
      <c r="B2" s="2"/>
      <c r="D2" s="4" t="s">
        <v>37</v>
      </c>
      <c r="E2" s="5"/>
      <c r="F2" s="5"/>
      <c r="G2" s="5"/>
      <c r="H2" s="5"/>
      <c r="I2" s="5"/>
      <c r="J2" s="5"/>
      <c r="K2" s="5"/>
      <c r="L2" s="5"/>
      <c r="M2" s="5"/>
      <c r="N2" s="6"/>
    </row>
    <row r="3" spans="1:14" ht="13.8" x14ac:dyDescent="0.3">
      <c r="A3" s="2"/>
      <c r="D3" s="20" t="s">
        <v>18</v>
      </c>
      <c r="E3" s="5"/>
      <c r="F3" s="22" t="s">
        <v>6</v>
      </c>
      <c r="G3" s="22"/>
      <c r="H3" s="22"/>
      <c r="I3" s="22"/>
      <c r="J3" s="22"/>
      <c r="K3" s="22"/>
      <c r="L3" s="22"/>
      <c r="M3" s="22"/>
      <c r="N3" s="6"/>
    </row>
    <row r="4" spans="1:14" ht="14.4" thickBot="1" x14ac:dyDescent="0.3">
      <c r="A4" s="3" t="s">
        <v>19</v>
      </c>
      <c r="B4" s="7" t="s">
        <v>20</v>
      </c>
      <c r="D4" s="21"/>
      <c r="E4" s="8">
        <v>1</v>
      </c>
      <c r="F4" s="8">
        <v>2</v>
      </c>
      <c r="G4" s="9">
        <v>3</v>
      </c>
      <c r="H4" s="9">
        <v>4</v>
      </c>
      <c r="I4" s="9">
        <v>5</v>
      </c>
      <c r="J4" s="9">
        <v>6</v>
      </c>
      <c r="K4" s="9">
        <v>7</v>
      </c>
      <c r="L4" s="9">
        <v>8</v>
      </c>
      <c r="M4" s="9">
        <v>9</v>
      </c>
      <c r="N4" s="6"/>
    </row>
    <row r="5" spans="1:14" ht="13.8" x14ac:dyDescent="0.25">
      <c r="A5" s="3" t="s">
        <v>21</v>
      </c>
      <c r="B5" s="10">
        <v>45701</v>
      </c>
      <c r="D5" s="6">
        <v>1</v>
      </c>
      <c r="E5" s="11">
        <v>3.3499999999999996</v>
      </c>
      <c r="F5" s="11">
        <v>3.4</v>
      </c>
      <c r="G5" s="11">
        <v>3.42</v>
      </c>
      <c r="H5" s="11">
        <v>3.51</v>
      </c>
      <c r="I5" s="11">
        <v>3.59</v>
      </c>
      <c r="J5" s="11">
        <v>3.6799999999999997</v>
      </c>
      <c r="K5" s="11">
        <v>3.75</v>
      </c>
      <c r="L5" s="11">
        <v>3.9299999999999997</v>
      </c>
      <c r="M5" s="11"/>
      <c r="N5" s="6"/>
    </row>
    <row r="6" spans="1:14" ht="13.8" x14ac:dyDescent="0.25">
      <c r="A6" s="3" t="s">
        <v>22</v>
      </c>
      <c r="B6" s="10">
        <v>46065</v>
      </c>
      <c r="D6" s="6">
        <v>2</v>
      </c>
      <c r="E6" s="11">
        <v>3.3499999999999996</v>
      </c>
      <c r="F6" s="11">
        <v>3.4</v>
      </c>
      <c r="G6" s="11">
        <v>3.42</v>
      </c>
      <c r="H6" s="11">
        <v>3.51</v>
      </c>
      <c r="I6" s="11">
        <v>3.59</v>
      </c>
      <c r="J6" s="11">
        <v>3.6799999999999997</v>
      </c>
      <c r="K6" s="11">
        <v>3.75</v>
      </c>
      <c r="L6" s="11">
        <v>3.9299999999999997</v>
      </c>
      <c r="M6" s="11"/>
      <c r="N6" s="6"/>
    </row>
    <row r="7" spans="1:14" ht="13.8" x14ac:dyDescent="0.25">
      <c r="D7" s="6">
        <v>3</v>
      </c>
      <c r="E7" s="11">
        <v>3.3499999999999996</v>
      </c>
      <c r="F7" s="11">
        <v>3.4</v>
      </c>
      <c r="G7" s="11">
        <v>3.42</v>
      </c>
      <c r="H7" s="11">
        <v>3.51</v>
      </c>
      <c r="I7" s="11">
        <v>3.59</v>
      </c>
      <c r="J7" s="11">
        <v>3.6799999999999997</v>
      </c>
      <c r="K7" s="11">
        <v>3.75</v>
      </c>
      <c r="L7" s="11">
        <v>3.9299999999999997</v>
      </c>
      <c r="M7" s="11"/>
      <c r="N7" s="6"/>
    </row>
    <row r="8" spans="1:14" ht="13.8" x14ac:dyDescent="0.25">
      <c r="D8" s="6">
        <v>4</v>
      </c>
      <c r="E8" s="11">
        <v>3.3499999999999996</v>
      </c>
      <c r="F8" s="11">
        <v>3.4</v>
      </c>
      <c r="G8" s="11">
        <v>3.42</v>
      </c>
      <c r="H8" s="11">
        <v>3.51</v>
      </c>
      <c r="I8" s="11">
        <v>3.59</v>
      </c>
      <c r="J8" s="11">
        <v>3.6799999999999997</v>
      </c>
      <c r="K8" s="11">
        <v>3.75</v>
      </c>
      <c r="L8" s="11">
        <v>3.9299999999999997</v>
      </c>
      <c r="M8" s="11"/>
      <c r="N8" s="6"/>
    </row>
    <row r="9" spans="1:14" ht="13.8" x14ac:dyDescent="0.25">
      <c r="D9" s="6">
        <v>5</v>
      </c>
      <c r="E9" s="11">
        <v>4.1099999999999994</v>
      </c>
      <c r="F9" s="11">
        <v>4.18</v>
      </c>
      <c r="G9" s="11">
        <v>4.22</v>
      </c>
      <c r="H9" s="11">
        <v>4.2799999999999994</v>
      </c>
      <c r="I9" s="11">
        <v>4.33</v>
      </c>
      <c r="J9" s="11">
        <v>4.37</v>
      </c>
      <c r="K9" s="11">
        <v>4.4399999999999995</v>
      </c>
      <c r="L9" s="11">
        <v>4.58</v>
      </c>
      <c r="M9" s="11"/>
      <c r="N9" s="6"/>
    </row>
    <row r="10" spans="1:14" ht="13.8" x14ac:dyDescent="0.25">
      <c r="D10" s="6">
        <v>6</v>
      </c>
      <c r="E10" s="11">
        <v>4.1099999999999994</v>
      </c>
      <c r="F10" s="11">
        <v>4.18</v>
      </c>
      <c r="G10" s="11">
        <v>4.22</v>
      </c>
      <c r="H10" s="11">
        <v>4.2799999999999994</v>
      </c>
      <c r="I10" s="11">
        <v>4.33</v>
      </c>
      <c r="J10" s="11">
        <v>4.37</v>
      </c>
      <c r="K10" s="11">
        <v>4.4399999999999995</v>
      </c>
      <c r="L10" s="11">
        <v>4.58</v>
      </c>
      <c r="M10" s="11"/>
      <c r="N10" s="6"/>
    </row>
    <row r="11" spans="1:14" ht="13.8" x14ac:dyDescent="0.25">
      <c r="D11" s="6">
        <v>7</v>
      </c>
      <c r="E11" s="11">
        <v>4.1099999999999994</v>
      </c>
      <c r="F11" s="11">
        <v>4.18</v>
      </c>
      <c r="G11" s="11">
        <v>4.22</v>
      </c>
      <c r="H11" s="11">
        <v>4.2799999999999994</v>
      </c>
      <c r="I11" s="11">
        <v>4.33</v>
      </c>
      <c r="J11" s="11">
        <v>4.37</v>
      </c>
      <c r="K11" s="11">
        <v>4.4399999999999995</v>
      </c>
      <c r="L11" s="11">
        <v>4.58</v>
      </c>
      <c r="M11" s="11"/>
      <c r="N11" s="6"/>
    </row>
    <row r="12" spans="1:14" ht="13.8" x14ac:dyDescent="0.25">
      <c r="D12" s="6">
        <v>8</v>
      </c>
      <c r="E12" s="11">
        <v>4.1099999999999994</v>
      </c>
      <c r="F12" s="11">
        <v>4.18</v>
      </c>
      <c r="G12" s="11">
        <v>4.22</v>
      </c>
      <c r="H12" s="11">
        <v>4.2799999999999994</v>
      </c>
      <c r="I12" s="11">
        <v>4.33</v>
      </c>
      <c r="J12" s="11">
        <v>4.37</v>
      </c>
      <c r="K12" s="11">
        <v>4.4399999999999995</v>
      </c>
      <c r="L12" s="11">
        <v>4.58</v>
      </c>
      <c r="M12" s="11"/>
      <c r="N12" s="6"/>
    </row>
    <row r="13" spans="1:14" ht="13.8" x14ac:dyDescent="0.25">
      <c r="D13" s="6">
        <v>9</v>
      </c>
      <c r="E13" s="11">
        <v>4.7299999999999995</v>
      </c>
      <c r="F13" s="11">
        <v>4.8</v>
      </c>
      <c r="G13" s="11">
        <v>4.8599999999999994</v>
      </c>
      <c r="H13" s="11">
        <v>4.92</v>
      </c>
      <c r="I13" s="11">
        <v>5</v>
      </c>
      <c r="J13" s="11">
        <v>5.16</v>
      </c>
      <c r="K13" s="11">
        <v>5.29</v>
      </c>
      <c r="L13" s="11">
        <v>5.45</v>
      </c>
      <c r="M13" s="11"/>
      <c r="N13" s="6"/>
    </row>
    <row r="14" spans="1:14" ht="13.8" x14ac:dyDescent="0.25">
      <c r="D14" s="6">
        <v>10</v>
      </c>
      <c r="E14" s="11">
        <v>4.7299999999999995</v>
      </c>
      <c r="F14" s="11">
        <v>4.8</v>
      </c>
      <c r="G14" s="11">
        <v>4.8599999999999994</v>
      </c>
      <c r="H14" s="11">
        <v>4.92</v>
      </c>
      <c r="I14" s="11">
        <v>5</v>
      </c>
      <c r="J14" s="11">
        <v>5.16</v>
      </c>
      <c r="K14" s="11">
        <v>5.29</v>
      </c>
      <c r="L14" s="11">
        <v>5.45</v>
      </c>
      <c r="M14" s="11"/>
      <c r="N14" s="6"/>
    </row>
    <row r="15" spans="1:14" ht="13.8" x14ac:dyDescent="0.25">
      <c r="D15" s="6">
        <v>11</v>
      </c>
      <c r="E15" s="11">
        <v>4.7299999999999995</v>
      </c>
      <c r="F15" s="11">
        <v>4.8</v>
      </c>
      <c r="G15" s="11">
        <v>4.8599999999999994</v>
      </c>
      <c r="H15" s="11">
        <v>4.92</v>
      </c>
      <c r="I15" s="11">
        <v>5</v>
      </c>
      <c r="J15" s="11">
        <v>5.16</v>
      </c>
      <c r="K15" s="11">
        <v>5.29</v>
      </c>
      <c r="L15" s="11">
        <v>5.45</v>
      </c>
      <c r="M15" s="11"/>
      <c r="N15" s="6"/>
    </row>
    <row r="16" spans="1:14" ht="13.8" x14ac:dyDescent="0.25">
      <c r="D16" s="6">
        <v>12</v>
      </c>
      <c r="E16" s="11">
        <v>4.7299999999999995</v>
      </c>
      <c r="F16" s="11">
        <v>4.8</v>
      </c>
      <c r="G16" s="11">
        <v>4.8599999999999994</v>
      </c>
      <c r="H16" s="11">
        <v>4.92</v>
      </c>
      <c r="I16" s="11">
        <v>5</v>
      </c>
      <c r="J16" s="11">
        <v>5.16</v>
      </c>
      <c r="K16" s="11">
        <v>5.29</v>
      </c>
      <c r="L16" s="11">
        <v>5.45</v>
      </c>
      <c r="M16" s="11"/>
      <c r="N16" s="6"/>
    </row>
    <row r="17" spans="4:14" ht="13.8" x14ac:dyDescent="0.25">
      <c r="D17" s="6">
        <v>13</v>
      </c>
      <c r="E17" s="11">
        <v>5.2799999999999994</v>
      </c>
      <c r="F17" s="11">
        <v>5.3599999999999994</v>
      </c>
      <c r="G17" s="11">
        <v>5.42</v>
      </c>
      <c r="H17" s="11">
        <v>5.4799999999999995</v>
      </c>
      <c r="I17" s="11">
        <v>5.6099999999999994</v>
      </c>
      <c r="J17" s="11">
        <v>5.8199999999999994</v>
      </c>
      <c r="K17" s="11">
        <v>5.95</v>
      </c>
      <c r="L17" s="11">
        <v>6.12</v>
      </c>
      <c r="M17" s="11"/>
      <c r="N17" s="6"/>
    </row>
    <row r="18" spans="4:14" ht="13.8" x14ac:dyDescent="0.25">
      <c r="D18" s="6">
        <v>14</v>
      </c>
      <c r="E18" s="11">
        <v>5.2799999999999994</v>
      </c>
      <c r="F18" s="11">
        <v>5.3599999999999994</v>
      </c>
      <c r="G18" s="11">
        <v>5.42</v>
      </c>
      <c r="H18" s="11">
        <v>5.4799999999999995</v>
      </c>
      <c r="I18" s="11">
        <v>5.6099999999999994</v>
      </c>
      <c r="J18" s="11">
        <v>5.8199999999999994</v>
      </c>
      <c r="K18" s="11">
        <v>5.95</v>
      </c>
      <c r="L18" s="11">
        <v>6.12</v>
      </c>
      <c r="M18" s="11"/>
      <c r="N18" s="6"/>
    </row>
    <row r="19" spans="4:14" ht="13.8" x14ac:dyDescent="0.25">
      <c r="D19" s="6">
        <v>15</v>
      </c>
      <c r="E19" s="11">
        <v>5.2799999999999994</v>
      </c>
      <c r="F19" s="11">
        <v>5.3599999999999994</v>
      </c>
      <c r="G19" s="11">
        <v>5.42</v>
      </c>
      <c r="H19" s="11">
        <v>5.4799999999999995</v>
      </c>
      <c r="I19" s="11">
        <v>5.6099999999999994</v>
      </c>
      <c r="J19" s="11">
        <v>5.8199999999999994</v>
      </c>
      <c r="K19" s="11">
        <v>5.95</v>
      </c>
      <c r="L19" s="11">
        <v>6.12</v>
      </c>
      <c r="M19" s="11"/>
      <c r="N19" s="6"/>
    </row>
    <row r="20" spans="4:14" ht="13.8" x14ac:dyDescent="0.25">
      <c r="D20" s="12">
        <v>15.999000000000001</v>
      </c>
      <c r="E20" s="13">
        <v>5.2799999999999994</v>
      </c>
      <c r="F20" s="13">
        <v>5.3599999999999994</v>
      </c>
      <c r="G20" s="13">
        <v>5.42</v>
      </c>
      <c r="H20" s="13">
        <v>5.4799999999999995</v>
      </c>
      <c r="I20" s="13">
        <v>5.6099999999999994</v>
      </c>
      <c r="J20" s="13">
        <v>5.8199999999999994</v>
      </c>
      <c r="K20" s="13">
        <v>5.95</v>
      </c>
      <c r="L20" s="13">
        <v>6.12</v>
      </c>
      <c r="M20" s="13"/>
      <c r="N20" s="6"/>
    </row>
    <row r="21" spans="4:14" ht="13.8" x14ac:dyDescent="0.25">
      <c r="D21" s="6">
        <v>1</v>
      </c>
      <c r="E21" s="11">
        <v>6.18</v>
      </c>
      <c r="F21" s="11">
        <v>6.18</v>
      </c>
      <c r="G21" s="11">
        <v>6.21</v>
      </c>
      <c r="H21" s="11">
        <v>6.45</v>
      </c>
      <c r="I21" s="11">
        <v>6.74</v>
      </c>
      <c r="J21" s="11">
        <v>6.96</v>
      </c>
      <c r="K21" s="11">
        <v>7.34</v>
      </c>
      <c r="L21" s="11">
        <v>7.74</v>
      </c>
      <c r="M21" s="11"/>
      <c r="N21" s="6"/>
    </row>
    <row r="22" spans="4:14" ht="13.8" x14ac:dyDescent="0.25">
      <c r="D22" s="6">
        <v>2</v>
      </c>
      <c r="E22" s="11">
        <v>6.18</v>
      </c>
      <c r="F22" s="11">
        <v>6.34</v>
      </c>
      <c r="G22" s="11">
        <v>6.49</v>
      </c>
      <c r="H22" s="11">
        <v>6.84</v>
      </c>
      <c r="I22" s="11">
        <v>7.1499999999999995</v>
      </c>
      <c r="J22" s="11">
        <v>8.0299999999999994</v>
      </c>
      <c r="K22" s="11">
        <v>8.5399999999999991</v>
      </c>
      <c r="L22" s="11">
        <v>9.14</v>
      </c>
      <c r="M22" s="11"/>
      <c r="N22" s="6"/>
    </row>
    <row r="23" spans="4:14" ht="13.8" x14ac:dyDescent="0.25">
      <c r="D23" s="6">
        <v>3</v>
      </c>
      <c r="E23" s="11">
        <v>6.5299999999999994</v>
      </c>
      <c r="F23" s="11">
        <v>6.77</v>
      </c>
      <c r="G23" s="11">
        <v>6.93</v>
      </c>
      <c r="H23" s="11">
        <v>7.26</v>
      </c>
      <c r="I23" s="11">
        <v>7.8</v>
      </c>
      <c r="J23" s="11">
        <v>9.2899999999999991</v>
      </c>
      <c r="K23" s="11">
        <v>9.77</v>
      </c>
      <c r="L23" s="11">
        <v>10.5</v>
      </c>
      <c r="M23" s="11"/>
      <c r="N23" s="6"/>
    </row>
    <row r="24" spans="4:14" ht="13.8" x14ac:dyDescent="0.25">
      <c r="D24" s="6">
        <v>4</v>
      </c>
      <c r="E24" s="11">
        <v>6.72</v>
      </c>
      <c r="F24" s="11">
        <v>6.97</v>
      </c>
      <c r="G24" s="11">
        <v>7.22</v>
      </c>
      <c r="H24" s="11">
        <v>7.72</v>
      </c>
      <c r="I24" s="11">
        <v>8.74</v>
      </c>
      <c r="J24" s="11">
        <v>9.84</v>
      </c>
      <c r="K24" s="11">
        <v>10.59</v>
      </c>
      <c r="L24" s="11">
        <v>11.42</v>
      </c>
      <c r="M24" s="11"/>
      <c r="N24" s="6"/>
    </row>
    <row r="25" spans="4:14" ht="13.8" x14ac:dyDescent="0.25">
      <c r="D25" s="6">
        <v>5</v>
      </c>
      <c r="E25" s="11">
        <v>6.87</v>
      </c>
      <c r="F25" s="11">
        <v>7.13</v>
      </c>
      <c r="G25" s="11">
        <v>7.3999999999999995</v>
      </c>
      <c r="H25" s="11">
        <v>7.97</v>
      </c>
      <c r="I25" s="11">
        <v>8.98</v>
      </c>
      <c r="J25" s="11">
        <v>10.43</v>
      </c>
      <c r="K25" s="11">
        <v>11.15</v>
      </c>
      <c r="L25" s="11">
        <v>12.12</v>
      </c>
      <c r="M25" s="11"/>
      <c r="N25" s="6"/>
    </row>
    <row r="26" spans="4:14" ht="13.8" x14ac:dyDescent="0.25">
      <c r="D26" s="6">
        <v>6</v>
      </c>
      <c r="E26" s="11">
        <v>7.01</v>
      </c>
      <c r="F26" s="11">
        <v>7.24</v>
      </c>
      <c r="G26" s="11">
        <v>7.6499999999999995</v>
      </c>
      <c r="H26" s="11">
        <v>8.32</v>
      </c>
      <c r="I26" s="11">
        <v>10.14</v>
      </c>
      <c r="J26" s="11">
        <v>10.7</v>
      </c>
      <c r="K26" s="11">
        <v>11.459999999999999</v>
      </c>
      <c r="L26" s="11">
        <v>12.45</v>
      </c>
      <c r="M26" s="11"/>
      <c r="N26" s="6"/>
    </row>
    <row r="27" spans="4:14" ht="13.8" x14ac:dyDescent="0.25">
      <c r="D27" s="6">
        <v>7</v>
      </c>
      <c r="E27" s="11">
        <v>7.33</v>
      </c>
      <c r="F27" s="11">
        <v>7.5699999999999994</v>
      </c>
      <c r="G27" s="11">
        <v>8.17</v>
      </c>
      <c r="H27" s="11">
        <v>8.66</v>
      </c>
      <c r="I27" s="11">
        <v>10.48</v>
      </c>
      <c r="J27" s="11">
        <v>11.03</v>
      </c>
      <c r="K27" s="11">
        <v>11.9</v>
      </c>
      <c r="L27" s="11">
        <v>13.07</v>
      </c>
      <c r="M27" s="11"/>
      <c r="N27" s="6"/>
    </row>
    <row r="28" spans="4:14" ht="13.8" x14ac:dyDescent="0.25">
      <c r="D28" s="6">
        <v>8</v>
      </c>
      <c r="E28" s="11">
        <v>7.47</v>
      </c>
      <c r="F28" s="11">
        <v>7.71</v>
      </c>
      <c r="G28" s="11">
        <v>8.5499999999999989</v>
      </c>
      <c r="H28" s="11">
        <v>9.48</v>
      </c>
      <c r="I28" s="11">
        <v>10.75</v>
      </c>
      <c r="J28" s="11">
        <v>11.4</v>
      </c>
      <c r="K28" s="11">
        <v>12.299999999999999</v>
      </c>
      <c r="L28" s="11">
        <v>13.56</v>
      </c>
      <c r="M28" s="11"/>
      <c r="N28" s="6"/>
    </row>
    <row r="29" spans="4:14" ht="13.8" x14ac:dyDescent="0.25">
      <c r="D29" s="6">
        <v>9</v>
      </c>
      <c r="E29" s="11">
        <v>7.91</v>
      </c>
      <c r="F29" s="11">
        <v>8.18</v>
      </c>
      <c r="G29" s="11">
        <v>8.84</v>
      </c>
      <c r="H29" s="11">
        <v>9.85</v>
      </c>
      <c r="I29" s="11">
        <v>10.92</v>
      </c>
      <c r="J29" s="11">
        <v>11.69</v>
      </c>
      <c r="K29" s="11">
        <v>12.78</v>
      </c>
      <c r="L29" s="11">
        <v>14.209999999999999</v>
      </c>
      <c r="M29" s="11"/>
      <c r="N29" s="6"/>
    </row>
    <row r="30" spans="4:14" ht="13.8" x14ac:dyDescent="0.25">
      <c r="D30" s="6">
        <v>10</v>
      </c>
      <c r="E30" s="11">
        <v>8.19</v>
      </c>
      <c r="F30" s="11">
        <v>8.4700000000000006</v>
      </c>
      <c r="G30" s="11">
        <v>9.17</v>
      </c>
      <c r="H30" s="11">
        <v>9.99</v>
      </c>
      <c r="I30" s="11">
        <v>11.2</v>
      </c>
      <c r="J30" s="11">
        <v>11.99</v>
      </c>
      <c r="K30" s="11">
        <v>13.42</v>
      </c>
      <c r="L30" s="11">
        <v>15</v>
      </c>
      <c r="M30" s="11"/>
      <c r="N30" s="6"/>
    </row>
    <row r="31" spans="4:14" ht="13.8" x14ac:dyDescent="0.25">
      <c r="D31" s="6">
        <v>11</v>
      </c>
      <c r="E31" s="11">
        <v>9.14</v>
      </c>
      <c r="F31" s="11">
        <v>9.49</v>
      </c>
      <c r="G31" s="11">
        <v>9.74</v>
      </c>
      <c r="H31" s="11">
        <v>10.59</v>
      </c>
      <c r="I31" s="11">
        <v>11.5</v>
      </c>
      <c r="J31" s="11">
        <v>12.42</v>
      </c>
      <c r="K31" s="11">
        <v>14.39</v>
      </c>
      <c r="L31" s="11">
        <v>15.879999999999999</v>
      </c>
      <c r="M31" s="11"/>
      <c r="N31" s="6"/>
    </row>
    <row r="32" spans="4:14" ht="13.8" x14ac:dyDescent="0.25">
      <c r="D32" s="6">
        <v>12</v>
      </c>
      <c r="E32" s="11">
        <v>9.52</v>
      </c>
      <c r="F32" s="11">
        <v>9.82</v>
      </c>
      <c r="G32" s="11">
        <v>10.17</v>
      </c>
      <c r="H32" s="11">
        <v>10.85</v>
      </c>
      <c r="I32" s="11">
        <v>11.81</v>
      </c>
      <c r="J32" s="11">
        <v>12.959999999999999</v>
      </c>
      <c r="K32" s="11">
        <v>15.049999999999999</v>
      </c>
      <c r="L32" s="11">
        <v>16.700000000000003</v>
      </c>
      <c r="M32" s="11"/>
      <c r="N32" s="6"/>
    </row>
    <row r="33" spans="4:14" ht="13.8" x14ac:dyDescent="0.25">
      <c r="D33" s="6">
        <v>13</v>
      </c>
      <c r="E33" s="11">
        <v>9.7999999999999989</v>
      </c>
      <c r="F33" s="11">
        <v>10.09</v>
      </c>
      <c r="G33" s="11">
        <v>10.53</v>
      </c>
      <c r="H33" s="11">
        <v>11.18</v>
      </c>
      <c r="I33" s="11">
        <v>12.25</v>
      </c>
      <c r="J33" s="11">
        <v>13.459999999999999</v>
      </c>
      <c r="K33" s="11">
        <v>16.060000000000002</v>
      </c>
      <c r="L33" s="11">
        <v>17.810000000000002</v>
      </c>
      <c r="M33" s="11"/>
      <c r="N33" s="6"/>
    </row>
    <row r="34" spans="4:14" ht="13.8" x14ac:dyDescent="0.25">
      <c r="D34" s="6">
        <v>14</v>
      </c>
      <c r="E34" s="11">
        <v>10.11</v>
      </c>
      <c r="F34" s="11">
        <v>10.37</v>
      </c>
      <c r="G34" s="11">
        <v>10.81</v>
      </c>
      <c r="H34" s="11">
        <v>11.36</v>
      </c>
      <c r="I34" s="11">
        <v>12.56</v>
      </c>
      <c r="J34" s="11">
        <v>14.24</v>
      </c>
      <c r="K34" s="11">
        <v>17.040000000000003</v>
      </c>
      <c r="L34" s="11">
        <v>18.940000000000001</v>
      </c>
      <c r="M34" s="11"/>
      <c r="N34" s="6"/>
    </row>
    <row r="35" spans="4:14" ht="13.8" x14ac:dyDescent="0.25">
      <c r="D35" s="6">
        <v>15</v>
      </c>
      <c r="E35" s="11">
        <v>10.31</v>
      </c>
      <c r="F35" s="11">
        <v>10.52</v>
      </c>
      <c r="G35" s="11">
        <v>11.19</v>
      </c>
      <c r="H35" s="11">
        <v>11.74</v>
      </c>
      <c r="I35" s="11">
        <v>13.15</v>
      </c>
      <c r="J35" s="11">
        <v>15.01</v>
      </c>
      <c r="K35" s="11">
        <v>17.720000000000002</v>
      </c>
      <c r="L35" s="11">
        <v>20.110000000000003</v>
      </c>
      <c r="M35" s="11"/>
      <c r="N35" s="6"/>
    </row>
    <row r="36" spans="4:14" ht="13.8" x14ac:dyDescent="0.25">
      <c r="D36" s="6">
        <v>16</v>
      </c>
      <c r="E36" s="11">
        <v>10.59</v>
      </c>
      <c r="F36" s="11">
        <v>10.77</v>
      </c>
      <c r="G36" s="11">
        <v>11.49</v>
      </c>
      <c r="H36" s="11">
        <v>11.959999999999999</v>
      </c>
      <c r="I36" s="11">
        <v>13.42</v>
      </c>
      <c r="J36" s="11">
        <v>15.59</v>
      </c>
      <c r="K36" s="11">
        <v>18.520000000000003</v>
      </c>
      <c r="L36" s="11">
        <v>20.830000000000002</v>
      </c>
      <c r="M36" s="11"/>
      <c r="N36" s="6"/>
    </row>
    <row r="37" spans="4:14" ht="13.8" x14ac:dyDescent="0.25">
      <c r="D37" s="6">
        <v>17</v>
      </c>
      <c r="E37" s="11">
        <v>10.86</v>
      </c>
      <c r="F37" s="11">
        <v>11.44</v>
      </c>
      <c r="G37" s="11">
        <v>11.89</v>
      </c>
      <c r="H37" s="11">
        <v>12.33</v>
      </c>
      <c r="I37" s="11">
        <v>13.98</v>
      </c>
      <c r="J37" s="11">
        <v>16.290000000000003</v>
      </c>
      <c r="K37" s="11">
        <v>19.580000000000002</v>
      </c>
      <c r="L37" s="11">
        <v>21.6</v>
      </c>
      <c r="M37" s="11"/>
      <c r="N37" s="6"/>
    </row>
    <row r="38" spans="4:14" ht="13.8" x14ac:dyDescent="0.25">
      <c r="D38" s="6">
        <v>18</v>
      </c>
      <c r="E38" s="11">
        <v>11</v>
      </c>
      <c r="F38" s="11">
        <v>11.59</v>
      </c>
      <c r="G38" s="11">
        <v>12.06</v>
      </c>
      <c r="H38" s="11">
        <v>12.549999999999999</v>
      </c>
      <c r="I38" s="11">
        <v>14.549999999999999</v>
      </c>
      <c r="J38" s="11">
        <v>16.990000000000002</v>
      </c>
      <c r="K38" s="11">
        <v>20.14</v>
      </c>
      <c r="L38" s="11">
        <v>22.8</v>
      </c>
      <c r="M38" s="11"/>
      <c r="N38" s="6"/>
    </row>
    <row r="39" spans="4:14" ht="13.8" x14ac:dyDescent="0.25">
      <c r="D39" s="6">
        <v>19</v>
      </c>
      <c r="E39" s="11">
        <v>11.299999999999999</v>
      </c>
      <c r="F39" s="11">
        <v>11.9</v>
      </c>
      <c r="G39" s="11">
        <v>12.56</v>
      </c>
      <c r="H39" s="11">
        <v>13.06</v>
      </c>
      <c r="I39" s="11">
        <v>15.37</v>
      </c>
      <c r="J39" s="11">
        <v>17.57</v>
      </c>
      <c r="K39" s="11">
        <v>20.89</v>
      </c>
      <c r="L39" s="11">
        <v>23.78</v>
      </c>
      <c r="M39" s="11"/>
      <c r="N39" s="6"/>
    </row>
    <row r="40" spans="4:14" ht="13.8" x14ac:dyDescent="0.25">
      <c r="D40" s="12">
        <v>20</v>
      </c>
      <c r="E40" s="13">
        <v>11.52</v>
      </c>
      <c r="F40" s="13">
        <v>12.15</v>
      </c>
      <c r="G40" s="13">
        <v>12.86</v>
      </c>
      <c r="H40" s="13">
        <v>13.41</v>
      </c>
      <c r="I40" s="13">
        <v>15.83</v>
      </c>
      <c r="J40" s="13">
        <v>18.220000000000002</v>
      </c>
      <c r="K40" s="13">
        <v>21.71</v>
      </c>
      <c r="L40" s="13">
        <v>24.87</v>
      </c>
      <c r="M40" s="13"/>
      <c r="N40" s="6"/>
    </row>
    <row r="41" spans="4:14" ht="13.8" x14ac:dyDescent="0.25">
      <c r="D41" s="6" t="s">
        <v>32</v>
      </c>
      <c r="E41" s="11">
        <v>4.8899999999999997</v>
      </c>
      <c r="F41" s="11">
        <v>4.8899999999999997</v>
      </c>
      <c r="G41" s="11">
        <v>4.92</v>
      </c>
      <c r="H41" s="11">
        <v>5.1099999999999994</v>
      </c>
      <c r="I41" s="11">
        <v>5.34</v>
      </c>
      <c r="J41" s="11">
        <v>5.52</v>
      </c>
      <c r="K41" s="11">
        <v>5.8199999999999994</v>
      </c>
      <c r="L41" s="11">
        <v>6.14</v>
      </c>
      <c r="M41" s="11"/>
      <c r="N41" s="6"/>
    </row>
    <row r="42" spans="4:14" ht="13.8" x14ac:dyDescent="0.25">
      <c r="D42" s="6" t="s">
        <v>33</v>
      </c>
      <c r="E42" s="11">
        <v>6.18</v>
      </c>
      <c r="F42" s="11">
        <v>6.27</v>
      </c>
      <c r="G42" s="11">
        <v>6.38</v>
      </c>
      <c r="H42" s="11">
        <v>6.6899999999999995</v>
      </c>
      <c r="I42" s="11">
        <v>6.99</v>
      </c>
      <c r="J42" s="11">
        <v>7.6</v>
      </c>
      <c r="K42" s="11">
        <v>8.06</v>
      </c>
      <c r="L42" s="11">
        <v>8.58</v>
      </c>
      <c r="M42" s="11"/>
      <c r="N42" s="6"/>
    </row>
    <row r="43" spans="4:14" ht="13.8" x14ac:dyDescent="0.25">
      <c r="D43" s="6" t="s">
        <v>34</v>
      </c>
      <c r="E43" s="11">
        <v>6.38</v>
      </c>
      <c r="F43" s="11">
        <v>6.58</v>
      </c>
      <c r="G43" s="11">
        <v>6.7299999999999995</v>
      </c>
      <c r="H43" s="11">
        <v>7.0699999999999994</v>
      </c>
      <c r="I43" s="11">
        <v>7.52</v>
      </c>
      <c r="J43" s="11">
        <v>8.75</v>
      </c>
      <c r="K43" s="11">
        <v>9.23</v>
      </c>
      <c r="L43" s="11">
        <v>9.9</v>
      </c>
      <c r="M43" s="11"/>
      <c r="N43" s="6"/>
    </row>
    <row r="44" spans="4:14" ht="13.8" x14ac:dyDescent="0.25">
      <c r="D44" s="6" t="s">
        <v>35</v>
      </c>
      <c r="E44" s="11">
        <v>6.64</v>
      </c>
      <c r="F44" s="11">
        <v>6.88</v>
      </c>
      <c r="G44" s="11">
        <v>7.08</v>
      </c>
      <c r="H44" s="11">
        <v>7.52</v>
      </c>
      <c r="I44" s="11">
        <v>8.32</v>
      </c>
      <c r="J44" s="11">
        <v>9.6</v>
      </c>
      <c r="K44" s="11">
        <v>10.23</v>
      </c>
      <c r="L44" s="11">
        <v>11.02</v>
      </c>
      <c r="M44" s="11"/>
      <c r="N44" s="6"/>
    </row>
    <row r="45" spans="4:14" ht="13.8" x14ac:dyDescent="0.25">
      <c r="D45" s="6" t="s">
        <v>36</v>
      </c>
      <c r="E45" s="11">
        <v>6.8199999999999994</v>
      </c>
      <c r="F45" s="11">
        <v>7.06</v>
      </c>
      <c r="G45" s="11">
        <v>7.33</v>
      </c>
      <c r="H45" s="11">
        <v>7.88</v>
      </c>
      <c r="I45" s="11">
        <v>8.89</v>
      </c>
      <c r="J45" s="11">
        <v>10.209999999999999</v>
      </c>
      <c r="K45" s="11">
        <v>10.93</v>
      </c>
      <c r="L45" s="11">
        <v>11.85</v>
      </c>
      <c r="M45" s="11"/>
      <c r="N45" s="6"/>
    </row>
    <row r="46" spans="4:14" ht="13.8" x14ac:dyDescent="0.25">
      <c r="D46" s="6" t="s">
        <v>38</v>
      </c>
      <c r="E46" s="11">
        <v>6.97</v>
      </c>
      <c r="F46" s="11">
        <v>7.21</v>
      </c>
      <c r="G46" s="11">
        <v>7.59</v>
      </c>
      <c r="H46" s="11">
        <v>8.2200000000000006</v>
      </c>
      <c r="I46" s="11">
        <v>9.82</v>
      </c>
      <c r="J46" s="11">
        <v>10.62</v>
      </c>
      <c r="K46" s="11">
        <v>11.379999999999999</v>
      </c>
      <c r="L46" s="11">
        <v>12.35</v>
      </c>
      <c r="M46" s="11"/>
      <c r="N46" s="6"/>
    </row>
    <row r="47" spans="4:14" ht="13.8" x14ac:dyDescent="0.25">
      <c r="D47" s="6" t="s">
        <v>39</v>
      </c>
      <c r="E47" s="11">
        <v>7.26</v>
      </c>
      <c r="F47" s="11">
        <v>7.5</v>
      </c>
      <c r="G47" s="11">
        <v>8.0499999999999989</v>
      </c>
      <c r="H47" s="11">
        <v>8.59</v>
      </c>
      <c r="I47" s="11">
        <v>10.4</v>
      </c>
      <c r="J47" s="11">
        <v>10.94</v>
      </c>
      <c r="K47" s="11">
        <v>11.79</v>
      </c>
      <c r="L47" s="11">
        <v>12.92</v>
      </c>
      <c r="M47" s="11"/>
      <c r="N47" s="6"/>
    </row>
    <row r="48" spans="4:14" ht="13.8" x14ac:dyDescent="0.25">
      <c r="D48" s="6" t="s">
        <v>40</v>
      </c>
      <c r="E48" s="11">
        <v>7.45</v>
      </c>
      <c r="F48" s="11">
        <v>7.67</v>
      </c>
      <c r="G48" s="11">
        <v>8.4700000000000006</v>
      </c>
      <c r="H48" s="11">
        <v>9.31</v>
      </c>
      <c r="I48" s="11">
        <v>10.69</v>
      </c>
      <c r="J48" s="11">
        <v>11.33</v>
      </c>
      <c r="K48" s="11">
        <v>12.22</v>
      </c>
      <c r="L48" s="11">
        <v>13.45</v>
      </c>
      <c r="M48" s="11"/>
      <c r="N48" s="6"/>
    </row>
    <row r="49" spans="4:14" ht="13.8" x14ac:dyDescent="0.25">
      <c r="D49" s="6" t="s">
        <v>41</v>
      </c>
      <c r="E49" s="11">
        <v>7.85</v>
      </c>
      <c r="F49" s="11">
        <v>8.11</v>
      </c>
      <c r="G49" s="11">
        <v>8.7899999999999991</v>
      </c>
      <c r="H49" s="11">
        <v>9.7999999999999989</v>
      </c>
      <c r="I49" s="11">
        <v>10.89</v>
      </c>
      <c r="J49" s="11">
        <v>11.65</v>
      </c>
      <c r="K49" s="11">
        <v>12.709999999999999</v>
      </c>
      <c r="L49" s="11">
        <v>14.11</v>
      </c>
      <c r="M49" s="11"/>
      <c r="N49" s="6"/>
    </row>
    <row r="50" spans="4:14" ht="13.8" x14ac:dyDescent="0.25">
      <c r="D50" s="12" t="s">
        <v>42</v>
      </c>
      <c r="E50" s="13">
        <v>8.16</v>
      </c>
      <c r="F50" s="13">
        <v>8.44</v>
      </c>
      <c r="G50" s="13">
        <v>9.14</v>
      </c>
      <c r="H50" s="13">
        <v>9.98</v>
      </c>
      <c r="I50" s="13">
        <v>11.17</v>
      </c>
      <c r="J50" s="13">
        <v>11.959999999999999</v>
      </c>
      <c r="K50" s="13">
        <v>13.35</v>
      </c>
      <c r="L50" s="13">
        <v>14.92</v>
      </c>
      <c r="M50" s="13"/>
      <c r="N50" s="6"/>
    </row>
    <row r="52" spans="4:14" ht="13.8" x14ac:dyDescent="0.3">
      <c r="D52" s="19" t="s">
        <v>26</v>
      </c>
      <c r="E52" s="19"/>
      <c r="F52" s="19"/>
      <c r="G52" s="19"/>
      <c r="H52" s="19"/>
      <c r="I52" s="19"/>
      <c r="J52" s="19"/>
      <c r="K52" s="19"/>
      <c r="L52" s="19"/>
      <c r="M52" s="19"/>
      <c r="N52" s="19"/>
    </row>
    <row r="53" spans="4:14" ht="13.8" x14ac:dyDescent="0.25">
      <c r="D53" s="4" t="s">
        <v>37</v>
      </c>
      <c r="E53" s="5"/>
      <c r="F53" s="5"/>
      <c r="G53" s="5"/>
      <c r="H53" s="5"/>
      <c r="I53" s="5"/>
      <c r="J53" s="5"/>
      <c r="K53" s="5"/>
      <c r="L53" s="5"/>
      <c r="M53" s="5"/>
      <c r="N53" s="6"/>
    </row>
    <row r="54" spans="4:14" ht="13.8" x14ac:dyDescent="0.25">
      <c r="D54" s="20" t="s">
        <v>18</v>
      </c>
      <c r="E54" s="5"/>
      <c r="F54" s="22" t="s">
        <v>6</v>
      </c>
      <c r="G54" s="22"/>
      <c r="H54" s="22"/>
      <c r="I54" s="22"/>
      <c r="J54" s="22"/>
      <c r="K54" s="22"/>
      <c r="L54" s="22"/>
      <c r="M54" s="22"/>
      <c r="N54" s="6"/>
    </row>
    <row r="55" spans="4:14" ht="14.4" thickBot="1" x14ac:dyDescent="0.3">
      <c r="D55" s="21"/>
      <c r="E55" s="8">
        <v>1</v>
      </c>
      <c r="F55" s="8">
        <v>2</v>
      </c>
      <c r="G55" s="9">
        <v>3</v>
      </c>
      <c r="H55" s="9">
        <v>4</v>
      </c>
      <c r="I55" s="9">
        <v>5</v>
      </c>
      <c r="J55" s="9">
        <v>6</v>
      </c>
      <c r="K55" s="9">
        <v>7</v>
      </c>
      <c r="L55" s="9">
        <v>8</v>
      </c>
      <c r="M55" s="9">
        <v>9</v>
      </c>
      <c r="N55" s="6"/>
    </row>
    <row r="56" spans="4:14" ht="13.8" x14ac:dyDescent="0.25">
      <c r="D56" s="6">
        <v>1</v>
      </c>
      <c r="E56" s="11">
        <v>3.2399999999999998</v>
      </c>
      <c r="F56" s="11">
        <v>3.2899999999999996</v>
      </c>
      <c r="G56" s="11">
        <v>3.3099999999999996</v>
      </c>
      <c r="H56" s="11">
        <v>3.4</v>
      </c>
      <c r="I56" s="11">
        <v>3.4699999999999998</v>
      </c>
      <c r="J56" s="11">
        <v>3.57</v>
      </c>
      <c r="K56" s="11">
        <v>3.6399999999999997</v>
      </c>
      <c r="L56" s="11">
        <v>3.8</v>
      </c>
      <c r="M56" s="11"/>
      <c r="N56" s="6"/>
    </row>
    <row r="57" spans="4:14" ht="13.8" x14ac:dyDescent="0.25">
      <c r="D57" s="6">
        <v>2</v>
      </c>
      <c r="E57" s="11">
        <v>3.2399999999999998</v>
      </c>
      <c r="F57" s="11">
        <v>3.2899999999999996</v>
      </c>
      <c r="G57" s="11">
        <v>3.3099999999999996</v>
      </c>
      <c r="H57" s="11">
        <v>3.4</v>
      </c>
      <c r="I57" s="11">
        <v>3.4699999999999998</v>
      </c>
      <c r="J57" s="11">
        <v>3.57</v>
      </c>
      <c r="K57" s="11">
        <v>3.6399999999999997</v>
      </c>
      <c r="L57" s="11">
        <v>3.8</v>
      </c>
      <c r="M57" s="11"/>
      <c r="N57" s="6"/>
    </row>
    <row r="58" spans="4:14" ht="13.8" x14ac:dyDescent="0.25">
      <c r="D58" s="6">
        <v>3</v>
      </c>
      <c r="E58" s="11">
        <v>3.2399999999999998</v>
      </c>
      <c r="F58" s="11">
        <v>3.2899999999999996</v>
      </c>
      <c r="G58" s="11">
        <v>3.3099999999999996</v>
      </c>
      <c r="H58" s="11">
        <v>3.4</v>
      </c>
      <c r="I58" s="11">
        <v>3.4699999999999998</v>
      </c>
      <c r="J58" s="11">
        <v>3.57</v>
      </c>
      <c r="K58" s="11">
        <v>3.6399999999999997</v>
      </c>
      <c r="L58" s="11">
        <v>3.8</v>
      </c>
      <c r="M58" s="11"/>
      <c r="N58" s="6"/>
    </row>
    <row r="59" spans="4:14" ht="13.8" x14ac:dyDescent="0.25">
      <c r="D59" s="6">
        <v>4</v>
      </c>
      <c r="E59" s="11">
        <v>3.2399999999999998</v>
      </c>
      <c r="F59" s="11">
        <v>3.2899999999999996</v>
      </c>
      <c r="G59" s="11">
        <v>3.3099999999999996</v>
      </c>
      <c r="H59" s="11">
        <v>3.4</v>
      </c>
      <c r="I59" s="11">
        <v>3.4699999999999998</v>
      </c>
      <c r="J59" s="11">
        <v>3.57</v>
      </c>
      <c r="K59" s="11">
        <v>3.6399999999999997</v>
      </c>
      <c r="L59" s="11">
        <v>3.8</v>
      </c>
      <c r="M59" s="11"/>
      <c r="N59" s="6"/>
    </row>
    <row r="60" spans="4:14" ht="13.8" x14ac:dyDescent="0.25">
      <c r="D60" s="6">
        <v>5</v>
      </c>
      <c r="E60" s="11">
        <v>4.0999999999999996</v>
      </c>
      <c r="F60" s="11">
        <v>4.18</v>
      </c>
      <c r="G60" s="11">
        <v>4.22</v>
      </c>
      <c r="H60" s="11">
        <v>4.2799999999999994</v>
      </c>
      <c r="I60" s="11">
        <v>4.33</v>
      </c>
      <c r="J60" s="11">
        <v>4.37</v>
      </c>
      <c r="K60" s="11">
        <v>4.4399999999999995</v>
      </c>
      <c r="L60" s="11">
        <v>4.58</v>
      </c>
      <c r="M60" s="11"/>
      <c r="N60" s="6"/>
    </row>
    <row r="61" spans="4:14" ht="13.8" x14ac:dyDescent="0.25">
      <c r="D61" s="6">
        <v>6</v>
      </c>
      <c r="E61" s="11">
        <v>4.0999999999999996</v>
      </c>
      <c r="F61" s="11">
        <v>4.18</v>
      </c>
      <c r="G61" s="11">
        <v>4.22</v>
      </c>
      <c r="H61" s="11">
        <v>4.2799999999999994</v>
      </c>
      <c r="I61" s="11">
        <v>4.33</v>
      </c>
      <c r="J61" s="11">
        <v>4.37</v>
      </c>
      <c r="K61" s="11">
        <v>4.4399999999999995</v>
      </c>
      <c r="L61" s="11">
        <v>4.58</v>
      </c>
      <c r="M61" s="11"/>
      <c r="N61" s="6"/>
    </row>
    <row r="62" spans="4:14" ht="13.8" x14ac:dyDescent="0.25">
      <c r="D62" s="6">
        <v>7</v>
      </c>
      <c r="E62" s="11">
        <v>4.0999999999999996</v>
      </c>
      <c r="F62" s="11">
        <v>4.18</v>
      </c>
      <c r="G62" s="11">
        <v>4.22</v>
      </c>
      <c r="H62" s="11">
        <v>4.2799999999999994</v>
      </c>
      <c r="I62" s="11">
        <v>4.33</v>
      </c>
      <c r="J62" s="11">
        <v>4.37</v>
      </c>
      <c r="K62" s="11">
        <v>4.4399999999999995</v>
      </c>
      <c r="L62" s="11">
        <v>4.58</v>
      </c>
      <c r="M62" s="11"/>
      <c r="N62" s="6"/>
    </row>
    <row r="63" spans="4:14" ht="13.8" x14ac:dyDescent="0.25">
      <c r="D63" s="6">
        <v>8</v>
      </c>
      <c r="E63" s="11">
        <v>4.0999999999999996</v>
      </c>
      <c r="F63" s="11">
        <v>4.18</v>
      </c>
      <c r="G63" s="11">
        <v>4.22</v>
      </c>
      <c r="H63" s="11">
        <v>4.2799999999999994</v>
      </c>
      <c r="I63" s="11">
        <v>4.33</v>
      </c>
      <c r="J63" s="11">
        <v>4.37</v>
      </c>
      <c r="K63" s="11">
        <v>4.4399999999999995</v>
      </c>
      <c r="L63" s="11">
        <v>4.58</v>
      </c>
      <c r="M63" s="11"/>
      <c r="N63" s="6"/>
    </row>
    <row r="64" spans="4:14" ht="13.8" x14ac:dyDescent="0.25">
      <c r="D64" s="6">
        <v>9</v>
      </c>
      <c r="E64" s="11">
        <v>4.62</v>
      </c>
      <c r="F64" s="11">
        <v>4.6899999999999995</v>
      </c>
      <c r="G64" s="11">
        <v>4.74</v>
      </c>
      <c r="H64" s="11">
        <v>4.8</v>
      </c>
      <c r="I64" s="11">
        <v>4.88</v>
      </c>
      <c r="J64" s="11">
        <v>5.04</v>
      </c>
      <c r="K64" s="11">
        <v>5.16</v>
      </c>
      <c r="L64" s="11">
        <v>5.3199999999999994</v>
      </c>
      <c r="M64" s="11"/>
      <c r="N64" s="6"/>
    </row>
    <row r="65" spans="4:14" ht="13.8" x14ac:dyDescent="0.25">
      <c r="D65" s="6">
        <v>10</v>
      </c>
      <c r="E65" s="11">
        <v>4.62</v>
      </c>
      <c r="F65" s="11">
        <v>4.6899999999999995</v>
      </c>
      <c r="G65" s="11">
        <v>4.74</v>
      </c>
      <c r="H65" s="11">
        <v>4.8</v>
      </c>
      <c r="I65" s="11">
        <v>4.88</v>
      </c>
      <c r="J65" s="11">
        <v>5.04</v>
      </c>
      <c r="K65" s="11">
        <v>5.16</v>
      </c>
      <c r="L65" s="11">
        <v>5.3199999999999994</v>
      </c>
      <c r="M65" s="11"/>
      <c r="N65" s="6"/>
    </row>
    <row r="66" spans="4:14" ht="13.8" x14ac:dyDescent="0.25">
      <c r="D66" s="6">
        <v>11</v>
      </c>
      <c r="E66" s="11">
        <v>4.62</v>
      </c>
      <c r="F66" s="11">
        <v>4.6899999999999995</v>
      </c>
      <c r="G66" s="11">
        <v>4.74</v>
      </c>
      <c r="H66" s="11">
        <v>4.8</v>
      </c>
      <c r="I66" s="11">
        <v>4.88</v>
      </c>
      <c r="J66" s="11">
        <v>5.04</v>
      </c>
      <c r="K66" s="11">
        <v>5.16</v>
      </c>
      <c r="L66" s="11">
        <v>5.3199999999999994</v>
      </c>
      <c r="M66" s="11"/>
      <c r="N66" s="6"/>
    </row>
    <row r="67" spans="4:14" ht="13.8" x14ac:dyDescent="0.25">
      <c r="D67" s="6">
        <v>12</v>
      </c>
      <c r="E67" s="11">
        <v>4.62</v>
      </c>
      <c r="F67" s="11">
        <v>4.6899999999999995</v>
      </c>
      <c r="G67" s="11">
        <v>4.74</v>
      </c>
      <c r="H67" s="11">
        <v>4.8</v>
      </c>
      <c r="I67" s="11">
        <v>4.88</v>
      </c>
      <c r="J67" s="11">
        <v>5.04</v>
      </c>
      <c r="K67" s="11">
        <v>5.16</v>
      </c>
      <c r="L67" s="11">
        <v>5.3199999999999994</v>
      </c>
      <c r="M67" s="11"/>
      <c r="N67" s="6"/>
    </row>
    <row r="68" spans="4:14" ht="13.8" x14ac:dyDescent="0.25">
      <c r="D68" s="6">
        <v>13</v>
      </c>
      <c r="E68" s="11">
        <v>5.1499999999999995</v>
      </c>
      <c r="F68" s="11">
        <v>5.2299999999999995</v>
      </c>
      <c r="G68" s="11">
        <v>5.29</v>
      </c>
      <c r="H68" s="11">
        <v>5.35</v>
      </c>
      <c r="I68" s="11">
        <v>5.47</v>
      </c>
      <c r="J68" s="11">
        <v>5.67</v>
      </c>
      <c r="K68" s="11">
        <v>5.8</v>
      </c>
      <c r="L68" s="11">
        <v>5.97</v>
      </c>
      <c r="M68" s="11"/>
      <c r="N68" s="6"/>
    </row>
    <row r="69" spans="4:14" ht="13.8" x14ac:dyDescent="0.25">
      <c r="D69" s="6">
        <v>14</v>
      </c>
      <c r="E69" s="11">
        <v>5.1499999999999995</v>
      </c>
      <c r="F69" s="11">
        <v>5.2299999999999995</v>
      </c>
      <c r="G69" s="11">
        <v>5.29</v>
      </c>
      <c r="H69" s="11">
        <v>5.35</v>
      </c>
      <c r="I69" s="11">
        <v>5.47</v>
      </c>
      <c r="J69" s="11">
        <v>5.67</v>
      </c>
      <c r="K69" s="11">
        <v>5.8</v>
      </c>
      <c r="L69" s="11">
        <v>5.97</v>
      </c>
      <c r="M69" s="11"/>
      <c r="N69" s="6"/>
    </row>
    <row r="70" spans="4:14" ht="13.8" x14ac:dyDescent="0.25">
      <c r="D70" s="6">
        <v>15</v>
      </c>
      <c r="E70" s="11">
        <v>5.1499999999999995</v>
      </c>
      <c r="F70" s="11">
        <v>5.2299999999999995</v>
      </c>
      <c r="G70" s="11">
        <v>5.29</v>
      </c>
      <c r="H70" s="11">
        <v>5.35</v>
      </c>
      <c r="I70" s="11">
        <v>5.47</v>
      </c>
      <c r="J70" s="11">
        <v>5.67</v>
      </c>
      <c r="K70" s="11">
        <v>5.8</v>
      </c>
      <c r="L70" s="11">
        <v>5.97</v>
      </c>
      <c r="M70" s="11"/>
      <c r="N70" s="6"/>
    </row>
    <row r="71" spans="4:14" ht="13.8" x14ac:dyDescent="0.25">
      <c r="D71" s="12">
        <v>15.999000000000001</v>
      </c>
      <c r="E71" s="13">
        <v>5.1499999999999995</v>
      </c>
      <c r="F71" s="13">
        <v>5.2299999999999995</v>
      </c>
      <c r="G71" s="13">
        <v>5.29</v>
      </c>
      <c r="H71" s="13">
        <v>5.35</v>
      </c>
      <c r="I71" s="13">
        <v>5.47</v>
      </c>
      <c r="J71" s="13">
        <v>5.67</v>
      </c>
      <c r="K71" s="13">
        <v>5.8</v>
      </c>
      <c r="L71" s="13">
        <v>5.97</v>
      </c>
      <c r="M71" s="13"/>
      <c r="N71" s="6"/>
    </row>
    <row r="72" spans="4:14" ht="13.8" x14ac:dyDescent="0.25">
      <c r="D72" s="6">
        <v>1</v>
      </c>
      <c r="E72" s="11">
        <v>6.02</v>
      </c>
      <c r="F72" s="11">
        <v>6.02</v>
      </c>
      <c r="G72" s="11">
        <v>6.05</v>
      </c>
      <c r="H72" s="11">
        <v>6.29</v>
      </c>
      <c r="I72" s="11">
        <v>6.5699999999999994</v>
      </c>
      <c r="J72" s="11">
        <v>6.79</v>
      </c>
      <c r="K72" s="11">
        <v>7.16</v>
      </c>
      <c r="L72" s="11">
        <v>7.55</v>
      </c>
      <c r="M72" s="11"/>
      <c r="N72" s="6"/>
    </row>
    <row r="73" spans="4:14" ht="13.8" x14ac:dyDescent="0.25">
      <c r="D73" s="6">
        <v>2</v>
      </c>
      <c r="E73" s="11">
        <v>6.02</v>
      </c>
      <c r="F73" s="11">
        <v>6.18</v>
      </c>
      <c r="G73" s="11">
        <v>6.3199999999999994</v>
      </c>
      <c r="H73" s="11">
        <v>6.66</v>
      </c>
      <c r="I73" s="11">
        <v>6.97</v>
      </c>
      <c r="J73" s="11">
        <v>7.83</v>
      </c>
      <c r="K73" s="11">
        <v>8.31</v>
      </c>
      <c r="L73" s="11">
        <v>8.9</v>
      </c>
      <c r="M73" s="11"/>
      <c r="N73" s="6"/>
    </row>
    <row r="74" spans="4:14" ht="13.8" x14ac:dyDescent="0.25">
      <c r="D74" s="6">
        <v>3</v>
      </c>
      <c r="E74" s="11">
        <v>6.3599999999999994</v>
      </c>
      <c r="F74" s="11">
        <v>6.6</v>
      </c>
      <c r="G74" s="11">
        <v>6.75</v>
      </c>
      <c r="H74" s="11">
        <v>7.0699999999999994</v>
      </c>
      <c r="I74" s="11">
        <v>7.6</v>
      </c>
      <c r="J74" s="11">
        <v>9.06</v>
      </c>
      <c r="K74" s="11">
        <v>9.52</v>
      </c>
      <c r="L74" s="11">
        <v>10.23</v>
      </c>
      <c r="M74" s="11"/>
      <c r="N74" s="6"/>
    </row>
    <row r="75" spans="4:14" ht="13.8" x14ac:dyDescent="0.25">
      <c r="D75" s="6">
        <v>4</v>
      </c>
      <c r="E75" s="11">
        <v>6.55</v>
      </c>
      <c r="F75" s="11">
        <v>6.8</v>
      </c>
      <c r="G75" s="11">
        <v>7.0299999999999994</v>
      </c>
      <c r="H75" s="11">
        <v>7.52</v>
      </c>
      <c r="I75" s="11">
        <v>8.52</v>
      </c>
      <c r="J75" s="11">
        <v>9.59</v>
      </c>
      <c r="K75" s="11">
        <v>10.32</v>
      </c>
      <c r="L75" s="11">
        <v>11.129999999999999</v>
      </c>
      <c r="M75" s="11"/>
      <c r="N75" s="6"/>
    </row>
    <row r="76" spans="4:14" ht="13.8" x14ac:dyDescent="0.25">
      <c r="D76" s="6">
        <v>5</v>
      </c>
      <c r="E76" s="11">
        <v>6.6899999999999995</v>
      </c>
      <c r="F76" s="11">
        <v>6.95</v>
      </c>
      <c r="G76" s="11">
        <v>7.22</v>
      </c>
      <c r="H76" s="11">
        <v>7.7799999999999994</v>
      </c>
      <c r="I76" s="11">
        <v>8.76</v>
      </c>
      <c r="J76" s="11">
        <v>10.17</v>
      </c>
      <c r="K76" s="11">
        <v>10.86</v>
      </c>
      <c r="L76" s="11">
        <v>11.81</v>
      </c>
      <c r="M76" s="11"/>
      <c r="N76" s="6"/>
    </row>
    <row r="77" spans="4:14" ht="13.8" x14ac:dyDescent="0.25">
      <c r="D77" s="6">
        <v>6</v>
      </c>
      <c r="E77" s="11">
        <v>6.84</v>
      </c>
      <c r="F77" s="11">
        <v>7.05</v>
      </c>
      <c r="G77" s="11">
        <v>7.46</v>
      </c>
      <c r="H77" s="11">
        <v>8.11</v>
      </c>
      <c r="I77" s="11">
        <v>9.879999999999999</v>
      </c>
      <c r="J77" s="11">
        <v>10.43</v>
      </c>
      <c r="K77" s="11">
        <v>11.17</v>
      </c>
      <c r="L77" s="11">
        <v>12.129999999999999</v>
      </c>
      <c r="M77" s="11"/>
      <c r="N77" s="6"/>
    </row>
    <row r="78" spans="4:14" ht="13.8" x14ac:dyDescent="0.25">
      <c r="D78" s="6">
        <v>7</v>
      </c>
      <c r="E78" s="11">
        <v>7.1499999999999995</v>
      </c>
      <c r="F78" s="11">
        <v>7.37</v>
      </c>
      <c r="G78" s="11">
        <v>7.96</v>
      </c>
      <c r="H78" s="11">
        <v>8.4499999999999993</v>
      </c>
      <c r="I78" s="11">
        <v>10.209999999999999</v>
      </c>
      <c r="J78" s="11">
        <v>10.74</v>
      </c>
      <c r="K78" s="11">
        <v>11.59</v>
      </c>
      <c r="L78" s="11">
        <v>12.74</v>
      </c>
      <c r="M78" s="11"/>
      <c r="N78" s="6"/>
    </row>
    <row r="79" spans="4:14" ht="13.8" x14ac:dyDescent="0.25">
      <c r="D79" s="6">
        <v>8</v>
      </c>
      <c r="E79" s="11">
        <v>7.27</v>
      </c>
      <c r="F79" s="11">
        <v>7.51</v>
      </c>
      <c r="G79" s="11">
        <v>8.32</v>
      </c>
      <c r="H79" s="11">
        <v>9.24</v>
      </c>
      <c r="I79" s="11">
        <v>10.47</v>
      </c>
      <c r="J79" s="11">
        <v>11.11</v>
      </c>
      <c r="K79" s="11">
        <v>11.99</v>
      </c>
      <c r="L79" s="11">
        <v>13.2</v>
      </c>
      <c r="M79" s="11"/>
      <c r="N79" s="6"/>
    </row>
    <row r="80" spans="4:14" ht="13.8" x14ac:dyDescent="0.25">
      <c r="D80" s="6">
        <v>9</v>
      </c>
      <c r="E80" s="11">
        <v>7.71</v>
      </c>
      <c r="F80" s="11">
        <v>7.97</v>
      </c>
      <c r="G80" s="11">
        <v>8.61</v>
      </c>
      <c r="H80" s="11">
        <v>9.6</v>
      </c>
      <c r="I80" s="11">
        <v>10.64</v>
      </c>
      <c r="J80" s="11">
        <v>11.39</v>
      </c>
      <c r="K80" s="11">
        <v>12.45</v>
      </c>
      <c r="L80" s="11">
        <v>13.84</v>
      </c>
      <c r="M80" s="11"/>
      <c r="N80" s="6"/>
    </row>
    <row r="81" spans="4:14" ht="13.8" x14ac:dyDescent="0.25">
      <c r="D81" s="6">
        <v>10</v>
      </c>
      <c r="E81" s="11">
        <v>7.9799999999999995</v>
      </c>
      <c r="F81" s="11">
        <v>8.25</v>
      </c>
      <c r="G81" s="11">
        <v>8.93</v>
      </c>
      <c r="H81" s="11">
        <v>9.74</v>
      </c>
      <c r="I81" s="11">
        <v>10.92</v>
      </c>
      <c r="J81" s="11">
        <v>11.68</v>
      </c>
      <c r="K81" s="11">
        <v>13.08</v>
      </c>
      <c r="L81" s="11">
        <v>14.62</v>
      </c>
      <c r="M81" s="11"/>
      <c r="N81" s="6"/>
    </row>
    <row r="82" spans="4:14" ht="13.8" x14ac:dyDescent="0.25">
      <c r="D82" s="6">
        <v>11</v>
      </c>
      <c r="E82" s="11">
        <v>8.9</v>
      </c>
      <c r="F82" s="11">
        <v>9.25</v>
      </c>
      <c r="G82" s="11">
        <v>9.49</v>
      </c>
      <c r="H82" s="11">
        <v>10.32</v>
      </c>
      <c r="I82" s="11">
        <v>11.209999999999999</v>
      </c>
      <c r="J82" s="11">
        <v>12.1</v>
      </c>
      <c r="K82" s="11">
        <v>14.02</v>
      </c>
      <c r="L82" s="11">
        <v>15.47</v>
      </c>
      <c r="M82" s="11"/>
      <c r="N82" s="6"/>
    </row>
    <row r="83" spans="4:14" ht="13.8" x14ac:dyDescent="0.25">
      <c r="D83" s="6">
        <v>12</v>
      </c>
      <c r="E83" s="11">
        <v>9.2799999999999994</v>
      </c>
      <c r="F83" s="11">
        <v>9.57</v>
      </c>
      <c r="G83" s="11">
        <v>9.91</v>
      </c>
      <c r="H83" s="11">
        <v>10.57</v>
      </c>
      <c r="I83" s="11">
        <v>11.51</v>
      </c>
      <c r="J83" s="11">
        <v>12.629999999999999</v>
      </c>
      <c r="K83" s="11">
        <v>14.67</v>
      </c>
      <c r="L83" s="11">
        <v>16.28</v>
      </c>
      <c r="M83" s="11"/>
      <c r="N83" s="6"/>
    </row>
    <row r="84" spans="4:14" ht="13.8" x14ac:dyDescent="0.25">
      <c r="D84" s="6">
        <v>13</v>
      </c>
      <c r="E84" s="11">
        <v>9.5499999999999989</v>
      </c>
      <c r="F84" s="11">
        <v>9.83</v>
      </c>
      <c r="G84" s="11">
        <v>10.26</v>
      </c>
      <c r="H84" s="11">
        <v>10.9</v>
      </c>
      <c r="I84" s="11">
        <v>11.95</v>
      </c>
      <c r="J84" s="11">
        <v>13.12</v>
      </c>
      <c r="K84" s="11">
        <v>15.65</v>
      </c>
      <c r="L84" s="11">
        <v>17.350000000000001</v>
      </c>
      <c r="M84" s="11"/>
      <c r="N84" s="6"/>
    </row>
    <row r="85" spans="4:14" ht="13.8" x14ac:dyDescent="0.25">
      <c r="D85" s="6">
        <v>14</v>
      </c>
      <c r="E85" s="11">
        <v>9.85</v>
      </c>
      <c r="F85" s="11">
        <v>10.11</v>
      </c>
      <c r="G85" s="11">
        <v>10.53</v>
      </c>
      <c r="H85" s="11">
        <v>11.07</v>
      </c>
      <c r="I85" s="11">
        <v>12.24</v>
      </c>
      <c r="J85" s="11">
        <v>13.879999999999999</v>
      </c>
      <c r="K85" s="11">
        <v>16.610000000000003</v>
      </c>
      <c r="L85" s="11">
        <v>18.470000000000002</v>
      </c>
      <c r="M85" s="11"/>
      <c r="N85" s="6"/>
    </row>
    <row r="86" spans="4:14" ht="13.8" x14ac:dyDescent="0.25">
      <c r="D86" s="6">
        <v>15</v>
      </c>
      <c r="E86" s="11">
        <v>10.06</v>
      </c>
      <c r="F86" s="11">
        <v>10.25</v>
      </c>
      <c r="G86" s="11">
        <v>10.91</v>
      </c>
      <c r="H86" s="11">
        <v>11.44</v>
      </c>
      <c r="I86" s="11">
        <v>12.82</v>
      </c>
      <c r="J86" s="11">
        <v>14.629999999999999</v>
      </c>
      <c r="K86" s="11">
        <v>17.270000000000003</v>
      </c>
      <c r="L86" s="11">
        <v>19.59</v>
      </c>
      <c r="M86" s="11"/>
      <c r="N86" s="6"/>
    </row>
    <row r="87" spans="4:14" ht="13.8" x14ac:dyDescent="0.25">
      <c r="D87" s="6">
        <v>16</v>
      </c>
      <c r="E87" s="11">
        <v>10.32</v>
      </c>
      <c r="F87" s="11">
        <v>10.49</v>
      </c>
      <c r="G87" s="11">
        <v>11.2</v>
      </c>
      <c r="H87" s="11">
        <v>11.65</v>
      </c>
      <c r="I87" s="11">
        <v>13.08</v>
      </c>
      <c r="J87" s="11">
        <v>15.2</v>
      </c>
      <c r="K87" s="11">
        <v>18.040000000000003</v>
      </c>
      <c r="L87" s="11">
        <v>20.3</v>
      </c>
      <c r="M87" s="11"/>
      <c r="N87" s="6"/>
    </row>
    <row r="88" spans="4:14" ht="13.8" x14ac:dyDescent="0.25">
      <c r="D88" s="6">
        <v>17</v>
      </c>
      <c r="E88" s="11">
        <v>10.58</v>
      </c>
      <c r="F88" s="11">
        <v>11.15</v>
      </c>
      <c r="G88" s="11">
        <v>11.58</v>
      </c>
      <c r="H88" s="11">
        <v>12.02</v>
      </c>
      <c r="I88" s="11">
        <v>13.629999999999999</v>
      </c>
      <c r="J88" s="11">
        <v>15.87</v>
      </c>
      <c r="K88" s="11">
        <v>19.080000000000002</v>
      </c>
      <c r="L88" s="11">
        <v>21.060000000000002</v>
      </c>
      <c r="M88" s="11"/>
      <c r="N88" s="6"/>
    </row>
    <row r="89" spans="4:14" ht="13.8" x14ac:dyDescent="0.25">
      <c r="D89" s="6">
        <v>18</v>
      </c>
      <c r="E89" s="11">
        <v>10.72</v>
      </c>
      <c r="F89" s="11">
        <v>11.299999999999999</v>
      </c>
      <c r="G89" s="11">
        <v>11.76</v>
      </c>
      <c r="H89" s="11">
        <v>12.23</v>
      </c>
      <c r="I89" s="11">
        <v>14.17</v>
      </c>
      <c r="J89" s="11">
        <v>16.560000000000002</v>
      </c>
      <c r="K89" s="11">
        <v>19.62</v>
      </c>
      <c r="L89" s="11">
        <v>22.220000000000002</v>
      </c>
      <c r="M89" s="11"/>
      <c r="N89" s="6"/>
    </row>
    <row r="90" spans="4:14" ht="13.8" x14ac:dyDescent="0.25">
      <c r="D90" s="6">
        <v>19</v>
      </c>
      <c r="E90" s="11">
        <v>11.01</v>
      </c>
      <c r="F90" s="11">
        <v>11.59</v>
      </c>
      <c r="G90" s="11">
        <v>12.24</v>
      </c>
      <c r="H90" s="11">
        <v>12.73</v>
      </c>
      <c r="I90" s="11">
        <v>14.98</v>
      </c>
      <c r="J90" s="11">
        <v>17.130000000000003</v>
      </c>
      <c r="K90" s="11">
        <v>20.37</v>
      </c>
      <c r="L90" s="11">
        <v>23.17</v>
      </c>
      <c r="M90" s="11"/>
      <c r="N90" s="6"/>
    </row>
    <row r="91" spans="4:14" ht="13.8" x14ac:dyDescent="0.25">
      <c r="D91" s="12">
        <v>20</v>
      </c>
      <c r="E91" s="13">
        <v>11.23</v>
      </c>
      <c r="F91" s="13">
        <v>11.84</v>
      </c>
      <c r="G91" s="13">
        <v>12.53</v>
      </c>
      <c r="H91" s="13">
        <v>13.07</v>
      </c>
      <c r="I91" s="13">
        <v>15.42</v>
      </c>
      <c r="J91" s="13">
        <v>17.760000000000002</v>
      </c>
      <c r="K91" s="13">
        <v>21.16</v>
      </c>
      <c r="L91" s="13">
        <v>24.23</v>
      </c>
      <c r="M91" s="13"/>
      <c r="N91" s="6"/>
    </row>
    <row r="92" spans="4:14" ht="13.8" x14ac:dyDescent="0.25">
      <c r="D92" s="6" t="s">
        <v>32</v>
      </c>
      <c r="E92" s="11">
        <v>4.76</v>
      </c>
      <c r="F92" s="11">
        <v>4.76</v>
      </c>
      <c r="G92" s="11">
        <v>4.79</v>
      </c>
      <c r="H92" s="11">
        <v>4.9799999999999995</v>
      </c>
      <c r="I92" s="11">
        <v>5.21</v>
      </c>
      <c r="J92" s="11">
        <v>5.37</v>
      </c>
      <c r="K92" s="11">
        <v>5.66</v>
      </c>
      <c r="L92" s="11">
        <v>5.9799999999999995</v>
      </c>
      <c r="M92" s="11"/>
      <c r="N92" s="6"/>
    </row>
    <row r="93" spans="4:14" ht="13.8" x14ac:dyDescent="0.25">
      <c r="D93" s="6" t="s">
        <v>33</v>
      </c>
      <c r="E93" s="11">
        <v>6.02</v>
      </c>
      <c r="F93" s="11">
        <v>6.1099999999999994</v>
      </c>
      <c r="G93" s="11">
        <v>6.22</v>
      </c>
      <c r="H93" s="11">
        <v>6.52</v>
      </c>
      <c r="I93" s="11">
        <v>6.8199999999999994</v>
      </c>
      <c r="J93" s="11">
        <v>7.3999999999999995</v>
      </c>
      <c r="K93" s="11">
        <v>7.8599999999999994</v>
      </c>
      <c r="L93" s="11">
        <v>8.35</v>
      </c>
      <c r="M93" s="11"/>
      <c r="N93" s="6"/>
    </row>
    <row r="94" spans="4:14" ht="13.8" x14ac:dyDescent="0.25">
      <c r="D94" s="6" t="s">
        <v>34</v>
      </c>
      <c r="E94" s="11">
        <v>6.22</v>
      </c>
      <c r="F94" s="11">
        <v>6.41</v>
      </c>
      <c r="G94" s="11">
        <v>6.56</v>
      </c>
      <c r="H94" s="11">
        <v>6.8999999999999995</v>
      </c>
      <c r="I94" s="11">
        <v>7.3199999999999994</v>
      </c>
      <c r="J94" s="11">
        <v>8.5299999999999994</v>
      </c>
      <c r="K94" s="11">
        <v>8.99</v>
      </c>
      <c r="L94" s="11">
        <v>9.65</v>
      </c>
      <c r="M94" s="11"/>
      <c r="N94" s="6"/>
    </row>
    <row r="95" spans="4:14" ht="13.8" x14ac:dyDescent="0.25">
      <c r="D95" s="6" t="s">
        <v>35</v>
      </c>
      <c r="E95" s="11">
        <v>6.47</v>
      </c>
      <c r="F95" s="11">
        <v>6.71</v>
      </c>
      <c r="G95" s="11">
        <v>6.91</v>
      </c>
      <c r="H95" s="11">
        <v>7.3199999999999994</v>
      </c>
      <c r="I95" s="11">
        <v>8.11</v>
      </c>
      <c r="J95" s="11">
        <v>9.3699999999999992</v>
      </c>
      <c r="K95" s="11">
        <v>9.9599999999999991</v>
      </c>
      <c r="L95" s="11">
        <v>10.73</v>
      </c>
      <c r="M95" s="11"/>
      <c r="N95" s="6"/>
    </row>
    <row r="96" spans="4:14" ht="13.8" x14ac:dyDescent="0.25">
      <c r="D96" s="6" t="s">
        <v>36</v>
      </c>
      <c r="E96" s="11">
        <v>6.64</v>
      </c>
      <c r="F96" s="11">
        <v>6.89</v>
      </c>
      <c r="G96" s="11">
        <v>7.1499999999999995</v>
      </c>
      <c r="H96" s="11">
        <v>7.68</v>
      </c>
      <c r="I96" s="11">
        <v>8.66</v>
      </c>
      <c r="J96" s="11">
        <v>9.94</v>
      </c>
      <c r="K96" s="11">
        <v>10.66</v>
      </c>
      <c r="L96" s="11">
        <v>11.54</v>
      </c>
      <c r="M96" s="11"/>
      <c r="N96" s="6"/>
    </row>
    <row r="97" spans="4:14" ht="13.8" x14ac:dyDescent="0.25">
      <c r="D97" s="6" t="s">
        <v>38</v>
      </c>
      <c r="E97" s="11">
        <v>6.8</v>
      </c>
      <c r="F97" s="11">
        <v>7.02</v>
      </c>
      <c r="G97" s="11">
        <v>7.39</v>
      </c>
      <c r="H97" s="11">
        <v>8.01</v>
      </c>
      <c r="I97" s="11">
        <v>9.57</v>
      </c>
      <c r="J97" s="11">
        <v>10.36</v>
      </c>
      <c r="K97" s="11">
        <v>11.09</v>
      </c>
      <c r="L97" s="11">
        <v>12.04</v>
      </c>
      <c r="M97" s="11"/>
      <c r="N97" s="6"/>
    </row>
    <row r="98" spans="4:14" ht="13.8" x14ac:dyDescent="0.25">
      <c r="D98" s="6" t="s">
        <v>39</v>
      </c>
      <c r="E98" s="11">
        <v>7.0699999999999994</v>
      </c>
      <c r="F98" s="11">
        <v>7.3</v>
      </c>
      <c r="G98" s="11">
        <v>7.85</v>
      </c>
      <c r="H98" s="11">
        <v>8.36</v>
      </c>
      <c r="I98" s="11">
        <v>10.14</v>
      </c>
      <c r="J98" s="11">
        <v>10.67</v>
      </c>
      <c r="K98" s="11">
        <v>11.49</v>
      </c>
      <c r="L98" s="11">
        <v>12.6</v>
      </c>
      <c r="M98" s="11"/>
      <c r="N98" s="6"/>
    </row>
    <row r="99" spans="4:14" ht="13.8" x14ac:dyDescent="0.25">
      <c r="D99" s="6" t="s">
        <v>40</v>
      </c>
      <c r="E99" s="11">
        <v>7.25</v>
      </c>
      <c r="F99" s="11">
        <v>7.4799999999999995</v>
      </c>
      <c r="G99" s="11">
        <v>8.25</v>
      </c>
      <c r="H99" s="11">
        <v>9.08</v>
      </c>
      <c r="I99" s="11">
        <v>10.42</v>
      </c>
      <c r="J99" s="11">
        <v>11.04</v>
      </c>
      <c r="K99" s="11">
        <v>11.91</v>
      </c>
      <c r="L99" s="11">
        <v>13.11</v>
      </c>
      <c r="M99" s="11"/>
      <c r="N99" s="6"/>
    </row>
    <row r="100" spans="4:14" ht="13.8" x14ac:dyDescent="0.25">
      <c r="D100" s="6" t="s">
        <v>41</v>
      </c>
      <c r="E100" s="11">
        <v>7.6499999999999995</v>
      </c>
      <c r="F100" s="11">
        <v>7.8999999999999995</v>
      </c>
      <c r="G100" s="11">
        <v>8.57</v>
      </c>
      <c r="H100" s="11">
        <v>9.5499999999999989</v>
      </c>
      <c r="I100" s="11">
        <v>10.61</v>
      </c>
      <c r="J100" s="11">
        <v>11.35</v>
      </c>
      <c r="K100" s="11">
        <v>12.379999999999999</v>
      </c>
      <c r="L100" s="11">
        <v>13.75</v>
      </c>
      <c r="M100" s="11"/>
      <c r="N100" s="6"/>
    </row>
    <row r="101" spans="4:14" ht="13.8" x14ac:dyDescent="0.25">
      <c r="D101" s="12" t="s">
        <v>42</v>
      </c>
      <c r="E101" s="13">
        <v>7.95</v>
      </c>
      <c r="F101" s="13">
        <v>8.2200000000000006</v>
      </c>
      <c r="G101" s="13">
        <v>8.9</v>
      </c>
      <c r="H101" s="13">
        <v>9.73</v>
      </c>
      <c r="I101" s="13">
        <v>10.89</v>
      </c>
      <c r="J101" s="13">
        <v>11.65</v>
      </c>
      <c r="K101" s="13">
        <v>13.01</v>
      </c>
      <c r="L101" s="13">
        <v>14.54</v>
      </c>
      <c r="M101" s="13"/>
      <c r="N101" s="6"/>
    </row>
    <row r="103" spans="4:14" ht="13.8" x14ac:dyDescent="0.3">
      <c r="D103" s="19" t="s">
        <v>27</v>
      </c>
      <c r="E103" s="19"/>
      <c r="F103" s="19"/>
      <c r="G103" s="19"/>
      <c r="H103" s="19"/>
      <c r="I103" s="19"/>
      <c r="J103" s="19"/>
      <c r="K103" s="19"/>
      <c r="L103" s="19"/>
      <c r="M103" s="19"/>
      <c r="N103" s="19"/>
    </row>
    <row r="104" spans="4:14" ht="13.8" x14ac:dyDescent="0.25">
      <c r="D104" s="4" t="s">
        <v>37</v>
      </c>
      <c r="E104" s="5"/>
      <c r="F104" s="5"/>
      <c r="G104" s="5"/>
      <c r="H104" s="5"/>
      <c r="I104" s="5"/>
      <c r="J104" s="5"/>
      <c r="K104" s="5"/>
      <c r="L104" s="5"/>
      <c r="M104" s="5"/>
      <c r="N104" s="6"/>
    </row>
    <row r="105" spans="4:14" ht="13.8" x14ac:dyDescent="0.25">
      <c r="D105" s="20" t="s">
        <v>18</v>
      </c>
      <c r="E105" s="5"/>
      <c r="F105" s="22" t="s">
        <v>6</v>
      </c>
      <c r="G105" s="22"/>
      <c r="H105" s="22"/>
      <c r="I105" s="22"/>
      <c r="J105" s="22"/>
      <c r="K105" s="22"/>
      <c r="L105" s="22"/>
      <c r="M105" s="22"/>
      <c r="N105" s="6"/>
    </row>
    <row r="106" spans="4:14" ht="14.4" thickBot="1" x14ac:dyDescent="0.3">
      <c r="D106" s="21"/>
      <c r="E106" s="8">
        <v>1</v>
      </c>
      <c r="F106" s="8">
        <v>2</v>
      </c>
      <c r="G106" s="9">
        <v>3</v>
      </c>
      <c r="H106" s="9">
        <v>4</v>
      </c>
      <c r="I106" s="9">
        <v>5</v>
      </c>
      <c r="J106" s="9">
        <v>6</v>
      </c>
      <c r="K106" s="9">
        <v>7</v>
      </c>
      <c r="L106" s="9">
        <v>8</v>
      </c>
      <c r="M106" s="9">
        <v>9</v>
      </c>
      <c r="N106" s="6"/>
    </row>
    <row r="107" spans="4:14" ht="13.8" x14ac:dyDescent="0.25">
      <c r="D107" s="6">
        <v>1</v>
      </c>
      <c r="E107" s="11">
        <v>3.19</v>
      </c>
      <c r="F107" s="11">
        <v>3.25</v>
      </c>
      <c r="G107" s="11">
        <v>3.2699999999999996</v>
      </c>
      <c r="H107" s="11">
        <v>3.36</v>
      </c>
      <c r="I107" s="11">
        <v>3.42</v>
      </c>
      <c r="J107" s="11">
        <v>3.51</v>
      </c>
      <c r="K107" s="11">
        <v>3.59</v>
      </c>
      <c r="L107" s="11">
        <v>3.75</v>
      </c>
      <c r="M107" s="11"/>
      <c r="N107" s="6"/>
    </row>
    <row r="108" spans="4:14" ht="13.8" x14ac:dyDescent="0.25">
      <c r="D108" s="6">
        <v>2</v>
      </c>
      <c r="E108" s="11">
        <v>3.19</v>
      </c>
      <c r="F108" s="11">
        <v>3.25</v>
      </c>
      <c r="G108" s="11">
        <v>3.2699999999999996</v>
      </c>
      <c r="H108" s="11">
        <v>3.36</v>
      </c>
      <c r="I108" s="11">
        <v>3.42</v>
      </c>
      <c r="J108" s="11">
        <v>3.51</v>
      </c>
      <c r="K108" s="11">
        <v>3.59</v>
      </c>
      <c r="L108" s="11">
        <v>3.75</v>
      </c>
      <c r="M108" s="11"/>
      <c r="N108" s="6"/>
    </row>
    <row r="109" spans="4:14" ht="13.8" x14ac:dyDescent="0.25">
      <c r="D109" s="6">
        <v>3</v>
      </c>
      <c r="E109" s="11">
        <v>3.19</v>
      </c>
      <c r="F109" s="11">
        <v>3.25</v>
      </c>
      <c r="G109" s="11">
        <v>3.2699999999999996</v>
      </c>
      <c r="H109" s="11">
        <v>3.36</v>
      </c>
      <c r="I109" s="11">
        <v>3.42</v>
      </c>
      <c r="J109" s="11">
        <v>3.51</v>
      </c>
      <c r="K109" s="11">
        <v>3.59</v>
      </c>
      <c r="L109" s="11">
        <v>3.75</v>
      </c>
      <c r="M109" s="11"/>
      <c r="N109" s="6"/>
    </row>
    <row r="110" spans="4:14" ht="13.8" x14ac:dyDescent="0.25">
      <c r="D110" s="6">
        <v>4</v>
      </c>
      <c r="E110" s="11">
        <v>3.19</v>
      </c>
      <c r="F110" s="11">
        <v>3.25</v>
      </c>
      <c r="G110" s="11">
        <v>3.2699999999999996</v>
      </c>
      <c r="H110" s="11">
        <v>3.36</v>
      </c>
      <c r="I110" s="11">
        <v>3.42</v>
      </c>
      <c r="J110" s="11">
        <v>3.51</v>
      </c>
      <c r="K110" s="11">
        <v>3.59</v>
      </c>
      <c r="L110" s="11">
        <v>3.75</v>
      </c>
      <c r="M110" s="11"/>
      <c r="N110" s="6"/>
    </row>
    <row r="111" spans="4:14" ht="13.8" x14ac:dyDescent="0.25">
      <c r="D111" s="6">
        <v>5</v>
      </c>
      <c r="E111" s="11">
        <v>4.08</v>
      </c>
      <c r="F111" s="11">
        <v>4.1499999999999995</v>
      </c>
      <c r="G111" s="11">
        <v>4.18</v>
      </c>
      <c r="H111" s="11">
        <v>4.25</v>
      </c>
      <c r="I111" s="11">
        <v>4.3</v>
      </c>
      <c r="J111" s="11">
        <v>4.34</v>
      </c>
      <c r="K111" s="11">
        <v>4.41</v>
      </c>
      <c r="L111" s="11">
        <v>4.55</v>
      </c>
      <c r="M111" s="11"/>
      <c r="N111" s="6"/>
    </row>
    <row r="112" spans="4:14" ht="13.8" x14ac:dyDescent="0.25">
      <c r="D112" s="6">
        <v>6</v>
      </c>
      <c r="E112" s="11">
        <v>4.08</v>
      </c>
      <c r="F112" s="11">
        <v>4.1499999999999995</v>
      </c>
      <c r="G112" s="11">
        <v>4.18</v>
      </c>
      <c r="H112" s="11">
        <v>4.25</v>
      </c>
      <c r="I112" s="11">
        <v>4.3</v>
      </c>
      <c r="J112" s="11">
        <v>4.34</v>
      </c>
      <c r="K112" s="11">
        <v>4.41</v>
      </c>
      <c r="L112" s="11">
        <v>4.55</v>
      </c>
      <c r="M112" s="11"/>
      <c r="N112" s="6"/>
    </row>
    <row r="113" spans="4:14" ht="13.8" x14ac:dyDescent="0.25">
      <c r="D113" s="6">
        <v>7</v>
      </c>
      <c r="E113" s="11">
        <v>4.08</v>
      </c>
      <c r="F113" s="11">
        <v>4.1499999999999995</v>
      </c>
      <c r="G113" s="11">
        <v>4.18</v>
      </c>
      <c r="H113" s="11">
        <v>4.25</v>
      </c>
      <c r="I113" s="11">
        <v>4.3</v>
      </c>
      <c r="J113" s="11">
        <v>4.34</v>
      </c>
      <c r="K113" s="11">
        <v>4.41</v>
      </c>
      <c r="L113" s="11">
        <v>4.55</v>
      </c>
      <c r="M113" s="11"/>
      <c r="N113" s="6"/>
    </row>
    <row r="114" spans="4:14" ht="13.8" x14ac:dyDescent="0.25">
      <c r="D114" s="6">
        <v>8</v>
      </c>
      <c r="E114" s="11">
        <v>4.08</v>
      </c>
      <c r="F114" s="11">
        <v>4.1499999999999995</v>
      </c>
      <c r="G114" s="11">
        <v>4.18</v>
      </c>
      <c r="H114" s="11">
        <v>4.25</v>
      </c>
      <c r="I114" s="11">
        <v>4.3</v>
      </c>
      <c r="J114" s="11">
        <v>4.34</v>
      </c>
      <c r="K114" s="11">
        <v>4.41</v>
      </c>
      <c r="L114" s="11">
        <v>4.55</v>
      </c>
      <c r="M114" s="11"/>
      <c r="N114" s="6"/>
    </row>
    <row r="115" spans="4:14" ht="13.8" x14ac:dyDescent="0.25">
      <c r="D115" s="6">
        <v>9</v>
      </c>
      <c r="E115" s="11">
        <v>4.59</v>
      </c>
      <c r="F115" s="11">
        <v>4.66</v>
      </c>
      <c r="G115" s="11">
        <v>4.71</v>
      </c>
      <c r="H115" s="11">
        <v>4.7699999999999996</v>
      </c>
      <c r="I115" s="11">
        <v>4.8499999999999996</v>
      </c>
      <c r="J115" s="11">
        <v>5.01</v>
      </c>
      <c r="K115" s="11">
        <v>5.13</v>
      </c>
      <c r="L115" s="11">
        <v>5.29</v>
      </c>
      <c r="M115" s="11"/>
      <c r="N115" s="6"/>
    </row>
    <row r="116" spans="4:14" ht="13.8" x14ac:dyDescent="0.25">
      <c r="D116" s="6">
        <v>10</v>
      </c>
      <c r="E116" s="11">
        <v>4.59</v>
      </c>
      <c r="F116" s="11">
        <v>4.66</v>
      </c>
      <c r="G116" s="11">
        <v>4.71</v>
      </c>
      <c r="H116" s="11">
        <v>4.7699999999999996</v>
      </c>
      <c r="I116" s="11">
        <v>4.8499999999999996</v>
      </c>
      <c r="J116" s="11">
        <v>5.01</v>
      </c>
      <c r="K116" s="11">
        <v>5.13</v>
      </c>
      <c r="L116" s="11">
        <v>5.29</v>
      </c>
      <c r="M116" s="11"/>
      <c r="N116" s="6"/>
    </row>
    <row r="117" spans="4:14" ht="13.8" x14ac:dyDescent="0.25">
      <c r="D117" s="6">
        <v>11</v>
      </c>
      <c r="E117" s="11">
        <v>4.59</v>
      </c>
      <c r="F117" s="11">
        <v>4.66</v>
      </c>
      <c r="G117" s="11">
        <v>4.71</v>
      </c>
      <c r="H117" s="11">
        <v>4.7699999999999996</v>
      </c>
      <c r="I117" s="11">
        <v>4.8499999999999996</v>
      </c>
      <c r="J117" s="11">
        <v>5.01</v>
      </c>
      <c r="K117" s="11">
        <v>5.13</v>
      </c>
      <c r="L117" s="11">
        <v>5.29</v>
      </c>
      <c r="M117" s="11"/>
      <c r="N117" s="6"/>
    </row>
    <row r="118" spans="4:14" ht="13.8" x14ac:dyDescent="0.25">
      <c r="D118" s="6">
        <v>12</v>
      </c>
      <c r="E118" s="11">
        <v>4.59</v>
      </c>
      <c r="F118" s="11">
        <v>4.66</v>
      </c>
      <c r="G118" s="11">
        <v>4.71</v>
      </c>
      <c r="H118" s="11">
        <v>4.7699999999999996</v>
      </c>
      <c r="I118" s="11">
        <v>4.8499999999999996</v>
      </c>
      <c r="J118" s="11">
        <v>5.01</v>
      </c>
      <c r="K118" s="11">
        <v>5.13</v>
      </c>
      <c r="L118" s="11">
        <v>5.29</v>
      </c>
      <c r="M118" s="11"/>
      <c r="N118" s="6"/>
    </row>
    <row r="119" spans="4:14" ht="13.8" x14ac:dyDescent="0.25">
      <c r="D119" s="6">
        <v>13</v>
      </c>
      <c r="E119" s="11">
        <v>5.12</v>
      </c>
      <c r="F119" s="11">
        <v>5.2</v>
      </c>
      <c r="G119" s="11">
        <v>5.26</v>
      </c>
      <c r="H119" s="11">
        <v>5.3199999999999994</v>
      </c>
      <c r="I119" s="11">
        <v>5.4399999999999995</v>
      </c>
      <c r="J119" s="11">
        <v>5.64</v>
      </c>
      <c r="K119" s="11">
        <v>5.77</v>
      </c>
      <c r="L119" s="11">
        <v>5.9399999999999995</v>
      </c>
      <c r="M119" s="11"/>
      <c r="N119" s="6"/>
    </row>
    <row r="120" spans="4:14" ht="13.8" x14ac:dyDescent="0.25">
      <c r="D120" s="6">
        <v>14</v>
      </c>
      <c r="E120" s="11">
        <v>5.12</v>
      </c>
      <c r="F120" s="11">
        <v>5.2</v>
      </c>
      <c r="G120" s="11">
        <v>5.26</v>
      </c>
      <c r="H120" s="11">
        <v>5.3199999999999994</v>
      </c>
      <c r="I120" s="11">
        <v>5.4399999999999995</v>
      </c>
      <c r="J120" s="11">
        <v>5.64</v>
      </c>
      <c r="K120" s="11">
        <v>5.77</v>
      </c>
      <c r="L120" s="11">
        <v>5.9399999999999995</v>
      </c>
      <c r="M120" s="11"/>
      <c r="N120" s="6"/>
    </row>
    <row r="121" spans="4:14" ht="13.8" x14ac:dyDescent="0.25">
      <c r="D121" s="6">
        <v>15</v>
      </c>
      <c r="E121" s="11">
        <v>5.12</v>
      </c>
      <c r="F121" s="11">
        <v>5.2</v>
      </c>
      <c r="G121" s="11">
        <v>5.26</v>
      </c>
      <c r="H121" s="11">
        <v>5.3199999999999994</v>
      </c>
      <c r="I121" s="11">
        <v>5.4399999999999995</v>
      </c>
      <c r="J121" s="11">
        <v>5.64</v>
      </c>
      <c r="K121" s="11">
        <v>5.77</v>
      </c>
      <c r="L121" s="11">
        <v>5.9399999999999995</v>
      </c>
      <c r="M121" s="11"/>
      <c r="N121" s="6"/>
    </row>
    <row r="122" spans="4:14" ht="13.8" x14ac:dyDescent="0.25">
      <c r="D122" s="12">
        <v>15.999000000000001</v>
      </c>
      <c r="E122" s="13">
        <v>5.12</v>
      </c>
      <c r="F122" s="13">
        <v>5.2</v>
      </c>
      <c r="G122" s="13">
        <v>5.26</v>
      </c>
      <c r="H122" s="13">
        <v>5.3199999999999994</v>
      </c>
      <c r="I122" s="13">
        <v>5.4399999999999995</v>
      </c>
      <c r="J122" s="13">
        <v>5.64</v>
      </c>
      <c r="K122" s="13">
        <v>5.77</v>
      </c>
      <c r="L122" s="13">
        <v>5.9399999999999995</v>
      </c>
      <c r="M122" s="13"/>
      <c r="N122" s="6"/>
    </row>
    <row r="123" spans="4:14" ht="13.8" x14ac:dyDescent="0.25">
      <c r="D123" s="6">
        <v>1</v>
      </c>
      <c r="E123" s="11">
        <v>5.8599999999999994</v>
      </c>
      <c r="F123" s="11">
        <v>5.8599999999999994</v>
      </c>
      <c r="G123" s="11">
        <v>5.89</v>
      </c>
      <c r="H123" s="11">
        <v>6.1099999999999994</v>
      </c>
      <c r="I123" s="11">
        <v>6.39</v>
      </c>
      <c r="J123" s="11">
        <v>6.6</v>
      </c>
      <c r="K123" s="11">
        <v>6.96</v>
      </c>
      <c r="L123" s="11">
        <v>7.34</v>
      </c>
      <c r="M123" s="11"/>
      <c r="N123" s="6"/>
    </row>
    <row r="124" spans="4:14" ht="13.8" x14ac:dyDescent="0.25">
      <c r="D124" s="6">
        <v>2</v>
      </c>
      <c r="E124" s="11">
        <v>5.8599999999999994</v>
      </c>
      <c r="F124" s="11">
        <v>6.01</v>
      </c>
      <c r="G124" s="11">
        <v>6.1499999999999995</v>
      </c>
      <c r="H124" s="11">
        <v>6.49</v>
      </c>
      <c r="I124" s="11">
        <v>6.79</v>
      </c>
      <c r="J124" s="11">
        <v>7.6099999999999994</v>
      </c>
      <c r="K124" s="11">
        <v>8.1</v>
      </c>
      <c r="L124" s="11">
        <v>8.66</v>
      </c>
      <c r="M124" s="11"/>
      <c r="N124" s="6"/>
    </row>
    <row r="125" spans="4:14" ht="13.8" x14ac:dyDescent="0.25">
      <c r="D125" s="6">
        <v>3</v>
      </c>
      <c r="E125" s="11">
        <v>6.1899999999999995</v>
      </c>
      <c r="F125" s="11">
        <v>6.42</v>
      </c>
      <c r="G125" s="11">
        <v>6.5699999999999994</v>
      </c>
      <c r="H125" s="11">
        <v>6.88</v>
      </c>
      <c r="I125" s="11">
        <v>7.39</v>
      </c>
      <c r="J125" s="11">
        <v>8.82</v>
      </c>
      <c r="K125" s="11">
        <v>9.26</v>
      </c>
      <c r="L125" s="11">
        <v>9.9499999999999993</v>
      </c>
      <c r="M125" s="11"/>
      <c r="N125" s="6"/>
    </row>
    <row r="126" spans="4:14" ht="13.8" x14ac:dyDescent="0.25">
      <c r="D126" s="6">
        <v>4</v>
      </c>
      <c r="E126" s="11">
        <v>6.37</v>
      </c>
      <c r="F126" s="11">
        <v>6.6099999999999994</v>
      </c>
      <c r="G126" s="11">
        <v>6.84</v>
      </c>
      <c r="H126" s="11">
        <v>7.3199999999999994</v>
      </c>
      <c r="I126" s="11">
        <v>8.2799999999999994</v>
      </c>
      <c r="J126" s="11">
        <v>9.33</v>
      </c>
      <c r="K126" s="11">
        <v>10.049999999999999</v>
      </c>
      <c r="L126" s="11">
        <v>10.83</v>
      </c>
      <c r="M126" s="11"/>
      <c r="N126" s="6"/>
    </row>
    <row r="127" spans="4:14" ht="13.8" x14ac:dyDescent="0.25">
      <c r="D127" s="6">
        <v>5</v>
      </c>
      <c r="E127" s="11">
        <v>6.52</v>
      </c>
      <c r="F127" s="11">
        <v>6.76</v>
      </c>
      <c r="G127" s="11">
        <v>7.02</v>
      </c>
      <c r="H127" s="11">
        <v>7.56</v>
      </c>
      <c r="I127" s="11">
        <v>8.52</v>
      </c>
      <c r="J127" s="11">
        <v>9.89</v>
      </c>
      <c r="K127" s="11">
        <v>10.57</v>
      </c>
      <c r="L127" s="11">
        <v>11.49</v>
      </c>
      <c r="M127" s="11"/>
      <c r="N127" s="6"/>
    </row>
    <row r="128" spans="4:14" ht="13.8" x14ac:dyDescent="0.25">
      <c r="D128" s="6">
        <v>6</v>
      </c>
      <c r="E128" s="11">
        <v>6.6499999999999995</v>
      </c>
      <c r="F128" s="11">
        <v>6.8599999999999994</v>
      </c>
      <c r="G128" s="11">
        <v>7.26</v>
      </c>
      <c r="H128" s="11">
        <v>7.89</v>
      </c>
      <c r="I128" s="11">
        <v>9.61</v>
      </c>
      <c r="J128" s="11">
        <v>10.15</v>
      </c>
      <c r="K128" s="11">
        <v>10.86</v>
      </c>
      <c r="L128" s="11">
        <v>11.799999999999999</v>
      </c>
      <c r="M128" s="11"/>
      <c r="N128" s="6"/>
    </row>
    <row r="129" spans="4:14" ht="13.8" x14ac:dyDescent="0.25">
      <c r="D129" s="6">
        <v>7</v>
      </c>
      <c r="E129" s="11">
        <v>6.95</v>
      </c>
      <c r="F129" s="11">
        <v>7.18</v>
      </c>
      <c r="G129" s="11">
        <v>7.74</v>
      </c>
      <c r="H129" s="11">
        <v>8.2099999999999991</v>
      </c>
      <c r="I129" s="11">
        <v>9.93</v>
      </c>
      <c r="J129" s="11">
        <v>10.45</v>
      </c>
      <c r="K129" s="11">
        <v>11.28</v>
      </c>
      <c r="L129" s="11">
        <v>12.39</v>
      </c>
      <c r="M129" s="11"/>
      <c r="N129" s="6"/>
    </row>
    <row r="130" spans="4:14" ht="13.8" x14ac:dyDescent="0.25">
      <c r="D130" s="6">
        <v>8</v>
      </c>
      <c r="E130" s="11">
        <v>7.0699999999999994</v>
      </c>
      <c r="F130" s="11">
        <v>7.31</v>
      </c>
      <c r="G130" s="11">
        <v>8.11</v>
      </c>
      <c r="H130" s="11">
        <v>8.98</v>
      </c>
      <c r="I130" s="11">
        <v>10.18</v>
      </c>
      <c r="J130" s="11">
        <v>10.81</v>
      </c>
      <c r="K130" s="11">
        <v>11.66</v>
      </c>
      <c r="L130" s="11">
        <v>12.85</v>
      </c>
      <c r="M130" s="11"/>
      <c r="N130" s="6"/>
    </row>
    <row r="131" spans="4:14" ht="13.8" x14ac:dyDescent="0.25">
      <c r="D131" s="6">
        <v>9</v>
      </c>
      <c r="E131" s="11">
        <v>7.5</v>
      </c>
      <c r="F131" s="11">
        <v>7.76</v>
      </c>
      <c r="G131" s="11">
        <v>8.3699999999999992</v>
      </c>
      <c r="H131" s="11">
        <v>9.34</v>
      </c>
      <c r="I131" s="11">
        <v>10.36</v>
      </c>
      <c r="J131" s="11">
        <v>11.08</v>
      </c>
      <c r="K131" s="11">
        <v>12.12</v>
      </c>
      <c r="L131" s="11">
        <v>13.47</v>
      </c>
      <c r="M131" s="11"/>
      <c r="N131" s="6"/>
    </row>
    <row r="132" spans="4:14" ht="13.8" x14ac:dyDescent="0.25">
      <c r="D132" s="6">
        <v>10</v>
      </c>
      <c r="E132" s="11">
        <v>7.77</v>
      </c>
      <c r="F132" s="11">
        <v>8.0299999999999994</v>
      </c>
      <c r="G132" s="11">
        <v>8.69</v>
      </c>
      <c r="H132" s="11">
        <v>9.48</v>
      </c>
      <c r="I132" s="11">
        <v>10.62</v>
      </c>
      <c r="J132" s="11">
        <v>11.37</v>
      </c>
      <c r="K132" s="11">
        <v>12.73</v>
      </c>
      <c r="L132" s="11">
        <v>14.23</v>
      </c>
      <c r="M132" s="11"/>
      <c r="N132" s="6"/>
    </row>
    <row r="133" spans="4:14" ht="13.8" x14ac:dyDescent="0.25">
      <c r="D133" s="6">
        <v>11</v>
      </c>
      <c r="E133" s="11">
        <v>8.66</v>
      </c>
      <c r="F133" s="11">
        <v>8.99</v>
      </c>
      <c r="G133" s="11">
        <v>9.23</v>
      </c>
      <c r="H133" s="11">
        <v>10.049999999999999</v>
      </c>
      <c r="I133" s="11">
        <v>10.9</v>
      </c>
      <c r="J133" s="11">
        <v>11.77</v>
      </c>
      <c r="K133" s="11">
        <v>13.64</v>
      </c>
      <c r="L133" s="11">
        <v>15.049999999999999</v>
      </c>
      <c r="M133" s="11"/>
      <c r="N133" s="6"/>
    </row>
    <row r="134" spans="4:14" ht="13.8" x14ac:dyDescent="0.25">
      <c r="D134" s="6">
        <v>12</v>
      </c>
      <c r="E134" s="11">
        <v>9.02</v>
      </c>
      <c r="F134" s="11">
        <v>9.31</v>
      </c>
      <c r="G134" s="11">
        <v>9.64</v>
      </c>
      <c r="H134" s="11">
        <v>10.28</v>
      </c>
      <c r="I134" s="11">
        <v>11.2</v>
      </c>
      <c r="J134" s="11">
        <v>12.28</v>
      </c>
      <c r="K134" s="11">
        <v>14.27</v>
      </c>
      <c r="L134" s="11">
        <v>15.84</v>
      </c>
      <c r="M134" s="11"/>
      <c r="N134" s="6"/>
    </row>
    <row r="135" spans="4:14" ht="13.8" x14ac:dyDescent="0.25">
      <c r="D135" s="6">
        <v>13</v>
      </c>
      <c r="E135" s="11">
        <v>9.2899999999999991</v>
      </c>
      <c r="F135" s="11">
        <v>9.56</v>
      </c>
      <c r="G135" s="11">
        <v>9.98</v>
      </c>
      <c r="H135" s="11">
        <v>10.6</v>
      </c>
      <c r="I135" s="11">
        <v>11.61</v>
      </c>
      <c r="J135" s="11">
        <v>12.77</v>
      </c>
      <c r="K135" s="11">
        <v>15.23</v>
      </c>
      <c r="L135" s="11">
        <v>16.89</v>
      </c>
      <c r="M135" s="11"/>
      <c r="N135" s="6"/>
    </row>
    <row r="136" spans="4:14" ht="13.8" x14ac:dyDescent="0.25">
      <c r="D136" s="6">
        <v>14</v>
      </c>
      <c r="E136" s="11">
        <v>9.58</v>
      </c>
      <c r="F136" s="11">
        <v>9.83</v>
      </c>
      <c r="G136" s="11">
        <v>10.24</v>
      </c>
      <c r="H136" s="11">
        <v>10.77</v>
      </c>
      <c r="I136" s="11">
        <v>11.91</v>
      </c>
      <c r="J136" s="11">
        <v>13.5</v>
      </c>
      <c r="K136" s="11">
        <v>16.170000000000002</v>
      </c>
      <c r="L136" s="11">
        <v>17.96</v>
      </c>
      <c r="M136" s="11"/>
      <c r="N136" s="6"/>
    </row>
    <row r="137" spans="4:14" ht="13.8" x14ac:dyDescent="0.25">
      <c r="D137" s="6">
        <v>15</v>
      </c>
      <c r="E137" s="11">
        <v>9.7799999999999994</v>
      </c>
      <c r="F137" s="11">
        <v>9.9700000000000006</v>
      </c>
      <c r="G137" s="11">
        <v>10.61</v>
      </c>
      <c r="H137" s="11">
        <v>11.129999999999999</v>
      </c>
      <c r="I137" s="11">
        <v>12.47</v>
      </c>
      <c r="J137" s="11">
        <v>14.24</v>
      </c>
      <c r="K137" s="11">
        <v>16.810000000000002</v>
      </c>
      <c r="L137" s="11">
        <v>19.060000000000002</v>
      </c>
      <c r="M137" s="11"/>
      <c r="N137" s="6"/>
    </row>
    <row r="138" spans="4:14" ht="13.8" x14ac:dyDescent="0.25">
      <c r="D138" s="6">
        <v>16</v>
      </c>
      <c r="E138" s="11">
        <v>10.049999999999999</v>
      </c>
      <c r="F138" s="11">
        <v>10.199999999999999</v>
      </c>
      <c r="G138" s="11">
        <v>10.89</v>
      </c>
      <c r="H138" s="11">
        <v>11.34</v>
      </c>
      <c r="I138" s="11">
        <v>12.73</v>
      </c>
      <c r="J138" s="11">
        <v>14.78</v>
      </c>
      <c r="K138" s="11">
        <v>17.560000000000002</v>
      </c>
      <c r="L138" s="11">
        <v>19.75</v>
      </c>
      <c r="M138" s="11"/>
      <c r="N138" s="6"/>
    </row>
    <row r="139" spans="4:14" ht="13.8" x14ac:dyDescent="0.25">
      <c r="D139" s="6">
        <v>17</v>
      </c>
      <c r="E139" s="11">
        <v>10.29</v>
      </c>
      <c r="F139" s="11">
        <v>10.85</v>
      </c>
      <c r="G139" s="11">
        <v>11.27</v>
      </c>
      <c r="H139" s="11">
        <v>11.69</v>
      </c>
      <c r="I139" s="11">
        <v>13.26</v>
      </c>
      <c r="J139" s="11">
        <v>15.44</v>
      </c>
      <c r="K139" s="11">
        <v>18.560000000000002</v>
      </c>
      <c r="L139" s="11">
        <v>20.48</v>
      </c>
      <c r="M139" s="11"/>
      <c r="N139" s="6"/>
    </row>
    <row r="140" spans="4:14" ht="13.8" x14ac:dyDescent="0.25">
      <c r="D140" s="6">
        <v>18</v>
      </c>
      <c r="E140" s="11">
        <v>10.43</v>
      </c>
      <c r="F140" s="11">
        <v>10.99</v>
      </c>
      <c r="G140" s="11">
        <v>11.44</v>
      </c>
      <c r="H140" s="11">
        <v>11.9</v>
      </c>
      <c r="I140" s="11">
        <v>13.79</v>
      </c>
      <c r="J140" s="11">
        <v>16.110000000000003</v>
      </c>
      <c r="K140" s="11">
        <v>19.09</v>
      </c>
      <c r="L140" s="11">
        <v>21.630000000000003</v>
      </c>
      <c r="M140" s="11"/>
      <c r="N140" s="6"/>
    </row>
    <row r="141" spans="4:14" ht="13.8" x14ac:dyDescent="0.25">
      <c r="D141" s="6">
        <v>19</v>
      </c>
      <c r="E141" s="11">
        <v>10.709999999999999</v>
      </c>
      <c r="F141" s="11">
        <v>11.28</v>
      </c>
      <c r="G141" s="11">
        <v>11.91</v>
      </c>
      <c r="H141" s="11">
        <v>12.379999999999999</v>
      </c>
      <c r="I141" s="11">
        <v>14.58</v>
      </c>
      <c r="J141" s="11">
        <v>16.66</v>
      </c>
      <c r="K141" s="11">
        <v>19.810000000000002</v>
      </c>
      <c r="L141" s="11">
        <v>22.540000000000003</v>
      </c>
      <c r="M141" s="11"/>
      <c r="N141" s="6"/>
    </row>
    <row r="142" spans="4:14" ht="13.8" x14ac:dyDescent="0.25">
      <c r="D142" s="12">
        <v>20</v>
      </c>
      <c r="E142" s="13">
        <v>10.92</v>
      </c>
      <c r="F142" s="13">
        <v>11.52</v>
      </c>
      <c r="G142" s="13">
        <v>12.2</v>
      </c>
      <c r="H142" s="13">
        <v>12.72</v>
      </c>
      <c r="I142" s="13">
        <v>15</v>
      </c>
      <c r="J142" s="13">
        <v>17.270000000000003</v>
      </c>
      <c r="K142" s="13">
        <v>20.580000000000002</v>
      </c>
      <c r="L142" s="13">
        <v>23.580000000000002</v>
      </c>
      <c r="M142" s="13"/>
      <c r="N142" s="6"/>
    </row>
    <row r="143" spans="4:14" ht="13.8" x14ac:dyDescent="0.25">
      <c r="D143" s="6" t="s">
        <v>32</v>
      </c>
      <c r="E143" s="11">
        <v>4.6399999999999997</v>
      </c>
      <c r="F143" s="11">
        <v>4.6399999999999997</v>
      </c>
      <c r="G143" s="11">
        <v>4.67</v>
      </c>
      <c r="H143" s="11">
        <v>4.8499999999999996</v>
      </c>
      <c r="I143" s="11">
        <v>5.0599999999999996</v>
      </c>
      <c r="J143" s="11">
        <v>5.2299999999999995</v>
      </c>
      <c r="K143" s="11">
        <v>5.51</v>
      </c>
      <c r="L143" s="11">
        <v>5.8199999999999994</v>
      </c>
      <c r="M143" s="11"/>
      <c r="N143" s="6"/>
    </row>
    <row r="144" spans="4:14" ht="13.8" x14ac:dyDescent="0.25">
      <c r="D144" s="6" t="s">
        <v>33</v>
      </c>
      <c r="E144" s="11">
        <v>5.8599999999999994</v>
      </c>
      <c r="F144" s="11">
        <v>5.95</v>
      </c>
      <c r="G144" s="11">
        <v>6.05</v>
      </c>
      <c r="H144" s="11">
        <v>6.34</v>
      </c>
      <c r="I144" s="11">
        <v>6.63</v>
      </c>
      <c r="J144" s="11">
        <v>7.21</v>
      </c>
      <c r="K144" s="11">
        <v>7.64</v>
      </c>
      <c r="L144" s="11">
        <v>8.14</v>
      </c>
      <c r="M144" s="11"/>
      <c r="N144" s="6"/>
    </row>
    <row r="145" spans="4:14" ht="13.8" x14ac:dyDescent="0.25">
      <c r="D145" s="6" t="s">
        <v>34</v>
      </c>
      <c r="E145" s="11">
        <v>6.05</v>
      </c>
      <c r="F145" s="11">
        <v>6.24</v>
      </c>
      <c r="G145" s="11">
        <v>6.38</v>
      </c>
      <c r="H145" s="11">
        <v>6.71</v>
      </c>
      <c r="I145" s="11">
        <v>7.13</v>
      </c>
      <c r="J145" s="11">
        <v>8.2899999999999991</v>
      </c>
      <c r="K145" s="11">
        <v>8.76</v>
      </c>
      <c r="L145" s="11">
        <v>9.4</v>
      </c>
      <c r="M145" s="11"/>
      <c r="N145" s="6"/>
    </row>
    <row r="146" spans="4:14" ht="13.8" x14ac:dyDescent="0.25">
      <c r="D146" s="6" t="s">
        <v>35</v>
      </c>
      <c r="E146" s="11">
        <v>6.29</v>
      </c>
      <c r="F146" s="11">
        <v>6.5299999999999994</v>
      </c>
      <c r="G146" s="11">
        <v>6.72</v>
      </c>
      <c r="H146" s="11">
        <v>7.13</v>
      </c>
      <c r="I146" s="11">
        <v>7.89</v>
      </c>
      <c r="J146" s="11">
        <v>9.11</v>
      </c>
      <c r="K146" s="11">
        <v>9.6999999999999993</v>
      </c>
      <c r="L146" s="11">
        <v>10.44</v>
      </c>
      <c r="M146" s="11"/>
      <c r="N146" s="6"/>
    </row>
    <row r="147" spans="4:14" ht="13.8" x14ac:dyDescent="0.25">
      <c r="D147" s="6" t="s">
        <v>36</v>
      </c>
      <c r="E147" s="11">
        <v>6.47</v>
      </c>
      <c r="F147" s="11">
        <v>6.7</v>
      </c>
      <c r="G147" s="11">
        <v>6.95</v>
      </c>
      <c r="H147" s="11">
        <v>7.47</v>
      </c>
      <c r="I147" s="11">
        <v>8.43</v>
      </c>
      <c r="J147" s="11">
        <v>9.67</v>
      </c>
      <c r="K147" s="11">
        <v>10.37</v>
      </c>
      <c r="L147" s="11">
        <v>11.23</v>
      </c>
      <c r="M147" s="11"/>
      <c r="N147" s="6"/>
    </row>
    <row r="148" spans="4:14" ht="13.8" x14ac:dyDescent="0.25">
      <c r="D148" s="6" t="s">
        <v>38</v>
      </c>
      <c r="E148" s="11">
        <v>6.6099999999999994</v>
      </c>
      <c r="F148" s="11">
        <v>6.83</v>
      </c>
      <c r="G148" s="11">
        <v>7.2</v>
      </c>
      <c r="H148" s="11">
        <v>7.8</v>
      </c>
      <c r="I148" s="11">
        <v>9.31</v>
      </c>
      <c r="J148" s="11">
        <v>10.08</v>
      </c>
      <c r="K148" s="11">
        <v>10.79</v>
      </c>
      <c r="L148" s="11">
        <v>11.709999999999999</v>
      </c>
      <c r="M148" s="11"/>
      <c r="N148" s="6"/>
    </row>
    <row r="149" spans="4:14" ht="13.8" x14ac:dyDescent="0.25">
      <c r="D149" s="6" t="s">
        <v>39</v>
      </c>
      <c r="E149" s="11">
        <v>6.88</v>
      </c>
      <c r="F149" s="11">
        <v>7.1099999999999994</v>
      </c>
      <c r="G149" s="11">
        <v>7.63</v>
      </c>
      <c r="H149" s="11">
        <v>8.14</v>
      </c>
      <c r="I149" s="11">
        <v>9.86</v>
      </c>
      <c r="J149" s="11">
        <v>10.379999999999999</v>
      </c>
      <c r="K149" s="11">
        <v>11.18</v>
      </c>
      <c r="L149" s="11">
        <v>12.24</v>
      </c>
      <c r="M149" s="11"/>
      <c r="N149" s="6"/>
    </row>
    <row r="150" spans="4:14" ht="13.8" x14ac:dyDescent="0.25">
      <c r="D150" s="6" t="s">
        <v>40</v>
      </c>
      <c r="E150" s="11">
        <v>7.05</v>
      </c>
      <c r="F150" s="11">
        <v>7.2799999999999994</v>
      </c>
      <c r="G150" s="11">
        <v>8.0299999999999994</v>
      </c>
      <c r="H150" s="11">
        <v>8.83</v>
      </c>
      <c r="I150" s="11">
        <v>10.14</v>
      </c>
      <c r="J150" s="11">
        <v>10.74</v>
      </c>
      <c r="K150" s="11">
        <v>11.58</v>
      </c>
      <c r="L150" s="11">
        <v>12.76</v>
      </c>
      <c r="M150" s="11"/>
      <c r="N150" s="6"/>
    </row>
    <row r="151" spans="4:14" ht="13.8" x14ac:dyDescent="0.25">
      <c r="D151" s="6" t="s">
        <v>41</v>
      </c>
      <c r="E151" s="11">
        <v>7.45</v>
      </c>
      <c r="F151" s="11">
        <v>7.68</v>
      </c>
      <c r="G151" s="11">
        <v>8.33</v>
      </c>
      <c r="H151" s="11">
        <v>9.2899999999999991</v>
      </c>
      <c r="I151" s="11">
        <v>10.32</v>
      </c>
      <c r="J151" s="11">
        <v>11.04</v>
      </c>
      <c r="K151" s="11">
        <v>12.049999999999999</v>
      </c>
      <c r="L151" s="11">
        <v>13.379999999999999</v>
      </c>
      <c r="M151" s="11"/>
      <c r="N151" s="6"/>
    </row>
    <row r="152" spans="4:14" ht="13.8" x14ac:dyDescent="0.25">
      <c r="D152" s="12" t="s">
        <v>42</v>
      </c>
      <c r="E152" s="13">
        <v>7.7299999999999995</v>
      </c>
      <c r="F152" s="13">
        <v>8</v>
      </c>
      <c r="G152" s="13">
        <v>8.66</v>
      </c>
      <c r="H152" s="13">
        <v>9.4700000000000006</v>
      </c>
      <c r="I152" s="13">
        <v>10.59</v>
      </c>
      <c r="J152" s="13">
        <v>11.34</v>
      </c>
      <c r="K152" s="13">
        <v>12.66</v>
      </c>
      <c r="L152" s="13">
        <v>14.14</v>
      </c>
      <c r="M152" s="13"/>
      <c r="N152" s="6"/>
    </row>
  </sheetData>
  <mergeCells count="9">
    <mergeCell ref="D103:N103"/>
    <mergeCell ref="D105:D106"/>
    <mergeCell ref="F105:M105"/>
    <mergeCell ref="D1:N1"/>
    <mergeCell ref="D3:D4"/>
    <mergeCell ref="F3:M3"/>
    <mergeCell ref="D52:N52"/>
    <mergeCell ref="D54:D55"/>
    <mergeCell ref="F54:M54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Rate Load</vt:lpstr>
      <vt:lpstr>Copy childid query</vt:lpstr>
      <vt:lpstr>Wedgewood Pharm-PME-Yr2-2025</vt:lpstr>
      <vt:lpstr>Wedgewood Pharm-PM-Yr2-2025</vt:lpstr>
      <vt:lpstr>Wedgewood Pharm-GA-Yr2-2025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Davidson</dc:creator>
  <cp:lastModifiedBy>Ryan Davidson</cp:lastModifiedBy>
  <dcterms:created xsi:type="dcterms:W3CDTF">2025-01-22T19:35:26Z</dcterms:created>
  <dcterms:modified xsi:type="dcterms:W3CDTF">2025-01-22T20:38:57Z</dcterms:modified>
</cp:coreProperties>
</file>