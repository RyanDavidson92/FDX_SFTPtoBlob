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condataglobal-my.sharepoint.com/personal/rdavidson_condata_com/Documents/Documents/"/>
    </mc:Choice>
  </mc:AlternateContent>
  <xr:revisionPtr revIDLastSave="497" documentId="8_{28E92712-6D52-4A5D-ACAE-5233A0E8078C}" xr6:coauthVersionLast="47" xr6:coauthVersionMax="47" xr10:uidLastSave="{DEB6F746-FE51-4B3E-A429-282552D76060}"/>
  <bookViews>
    <workbookView xWindow="-38520" yWindow="-120" windowWidth="38640" windowHeight="15720" xr2:uid="{8889FFB0-0435-4E71-BC0A-19D93D3DAD42}"/>
  </bookViews>
  <sheets>
    <sheet name="Notes for future USPS uploads" sheetId="9" r:id="rId1"/>
    <sheet name="Rate Load" sheetId="7" r:id="rId2"/>
    <sheet name="Copy childid query" sheetId="8" r:id="rId3"/>
    <sheet name="Wedgewood Pharm-PME-Yr2-2025" sheetId="2" r:id="rId4"/>
    <sheet name="Wedgewood Pharm-PM-Yr2-2025" sheetId="3" r:id="rId5"/>
    <sheet name="Wedgewood Pharm-GA-Yr2-2025" sheetId="4" r:id="rId6"/>
  </sheets>
  <definedNames>
    <definedName name="_xlnm._FilterDatabase" localSheetId="1" hidden="1">'Rate Load'!$A$1:$N$2086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445" i="7" l="1" a="1"/>
  <c r="J2445" i="7" s="1"/>
  <c r="N2445" i="7" s="1"/>
  <c r="J2444" i="7" a="1"/>
  <c r="J2444" i="7" s="1"/>
  <c r="N2444" i="7" s="1"/>
  <c r="J2443" i="7" a="1"/>
  <c r="J2443" i="7" s="1"/>
  <c r="N2443" i="7" s="1"/>
  <c r="J2442" i="7" a="1"/>
  <c r="J2442" i="7" s="1"/>
  <c r="N2442" i="7" s="1"/>
  <c r="J2441" i="7" a="1"/>
  <c r="J2441" i="7" s="1"/>
  <c r="N2441" i="7" s="1"/>
  <c r="J2440" i="7" a="1"/>
  <c r="J2440" i="7" s="1"/>
  <c r="N2440" i="7" s="1"/>
  <c r="J2439" i="7" a="1"/>
  <c r="J2439" i="7" s="1"/>
  <c r="N2439" i="7" s="1"/>
  <c r="J2438" i="7" a="1"/>
  <c r="J2438" i="7" s="1"/>
  <c r="N2438" i="7" s="1"/>
  <c r="J2437" i="7" a="1"/>
  <c r="J2437" i="7" s="1"/>
  <c r="N2437" i="7" s="1"/>
  <c r="J2436" i="7" a="1"/>
  <c r="J2436" i="7" s="1"/>
  <c r="N2436" i="7" s="1"/>
  <c r="J2435" i="7" a="1"/>
  <c r="J2435" i="7" s="1"/>
  <c r="N2435" i="7" s="1"/>
  <c r="J2434" i="7" a="1"/>
  <c r="J2434" i="7" s="1"/>
  <c r="N2434" i="7" s="1"/>
  <c r="J2433" i="7" a="1"/>
  <c r="J2433" i="7" s="1"/>
  <c r="N2433" i="7" s="1"/>
  <c r="J2432" i="7" a="1"/>
  <c r="J2432" i="7" s="1"/>
  <c r="N2432" i="7" s="1"/>
  <c r="J2431" i="7" a="1"/>
  <c r="J2431" i="7" s="1"/>
  <c r="N2431" i="7" s="1"/>
  <c r="J2430" i="7" a="1"/>
  <c r="J2430" i="7" s="1"/>
  <c r="N2430" i="7" s="1"/>
  <c r="J2429" i="7" a="1"/>
  <c r="J2429" i="7" s="1"/>
  <c r="N2429" i="7" s="1"/>
  <c r="J2428" i="7" a="1"/>
  <c r="J2428" i="7" s="1"/>
  <c r="N2428" i="7" s="1"/>
  <c r="J2427" i="7" a="1"/>
  <c r="J2427" i="7" s="1"/>
  <c r="N2427" i="7" s="1"/>
  <c r="J2426" i="7" a="1"/>
  <c r="J2426" i="7" s="1"/>
  <c r="N2426" i="7" s="1"/>
  <c r="J2425" i="7" a="1"/>
  <c r="J2425" i="7" s="1"/>
  <c r="N2425" i="7" s="1"/>
  <c r="J2424" i="7" a="1"/>
  <c r="J2424" i="7" s="1"/>
  <c r="N2424" i="7" s="1"/>
  <c r="J2423" i="7" a="1"/>
  <c r="J2423" i="7" s="1"/>
  <c r="N2423" i="7" s="1"/>
  <c r="J2422" i="7" a="1"/>
  <c r="J2422" i="7" s="1"/>
  <c r="N2422" i="7" s="1"/>
  <c r="J2421" i="7" a="1"/>
  <c r="J2421" i="7" s="1"/>
  <c r="N2421" i="7" s="1"/>
  <c r="J2420" i="7" a="1"/>
  <c r="J2420" i="7" s="1"/>
  <c r="N2420" i="7" s="1"/>
  <c r="J2419" i="7" a="1"/>
  <c r="J2419" i="7" s="1"/>
  <c r="N2419" i="7" s="1"/>
  <c r="J2418" i="7" a="1"/>
  <c r="J2418" i="7" s="1"/>
  <c r="N2418" i="7" s="1"/>
  <c r="J2417" i="7" a="1"/>
  <c r="J2417" i="7" s="1"/>
  <c r="N2417" i="7" s="1"/>
  <c r="J2416" i="7" a="1"/>
  <c r="J2416" i="7" s="1"/>
  <c r="N2416" i="7" s="1"/>
  <c r="J2415" i="7" a="1"/>
  <c r="J2415" i="7" s="1"/>
  <c r="N2415" i="7" s="1"/>
  <c r="J2414" i="7" a="1"/>
  <c r="J2414" i="7" s="1"/>
  <c r="N2414" i="7" s="1"/>
  <c r="J2413" i="7" a="1"/>
  <c r="J2413" i="7" s="1"/>
  <c r="N2413" i="7" s="1"/>
  <c r="J2412" i="7" a="1"/>
  <c r="J2412" i="7" s="1"/>
  <c r="N2412" i="7" s="1"/>
  <c r="J2411" i="7" a="1"/>
  <c r="J2411" i="7" s="1"/>
  <c r="N2411" i="7" s="1"/>
  <c r="J2410" i="7" a="1"/>
  <c r="J2410" i="7" s="1"/>
  <c r="N2410" i="7" s="1"/>
  <c r="J2409" i="7" a="1"/>
  <c r="J2409" i="7" s="1"/>
  <c r="N2409" i="7" s="1"/>
  <c r="J2408" i="7" a="1"/>
  <c r="J2408" i="7" s="1"/>
  <c r="N2408" i="7" s="1"/>
  <c r="J2407" i="7" a="1"/>
  <c r="J2407" i="7" s="1"/>
  <c r="N2407" i="7" s="1"/>
  <c r="J2406" i="7" a="1"/>
  <c r="J2406" i="7" s="1"/>
  <c r="N2406" i="7" s="1"/>
  <c r="J2405" i="7" a="1"/>
  <c r="J2405" i="7" s="1"/>
  <c r="N2405" i="7" s="1"/>
  <c r="J2404" i="7" a="1"/>
  <c r="J2404" i="7" s="1"/>
  <c r="N2404" i="7" s="1"/>
  <c r="J2403" i="7" a="1"/>
  <c r="J2403" i="7" s="1"/>
  <c r="N2403" i="7" s="1"/>
  <c r="J2402" i="7" a="1"/>
  <c r="J2402" i="7" s="1"/>
  <c r="N2402" i="7" s="1"/>
  <c r="J2401" i="7" a="1"/>
  <c r="J2401" i="7" s="1"/>
  <c r="N2401" i="7" s="1"/>
  <c r="J2400" i="7" a="1"/>
  <c r="J2400" i="7" s="1"/>
  <c r="N2400" i="7" s="1"/>
  <c r="J2399" i="7" a="1"/>
  <c r="J2399" i="7" s="1"/>
  <c r="N2399" i="7" s="1"/>
  <c r="J2398" i="7" a="1"/>
  <c r="J2398" i="7" s="1"/>
  <c r="N2398" i="7" s="1"/>
  <c r="J2397" i="7" a="1"/>
  <c r="J2397" i="7" s="1"/>
  <c r="N2397" i="7" s="1"/>
  <c r="J2396" i="7" a="1"/>
  <c r="J2396" i="7" s="1"/>
  <c r="N2396" i="7" s="1"/>
  <c r="J2395" i="7" a="1"/>
  <c r="J2395" i="7" s="1"/>
  <c r="N2395" i="7" s="1"/>
  <c r="J2394" i="7" a="1"/>
  <c r="J2394" i="7" s="1"/>
  <c r="N2394" i="7" s="1"/>
  <c r="J2393" i="7" a="1"/>
  <c r="J2393" i="7" s="1"/>
  <c r="N2393" i="7" s="1"/>
  <c r="J2392" i="7" a="1"/>
  <c r="J2392" i="7" s="1"/>
  <c r="N2392" i="7" s="1"/>
  <c r="J2391" i="7" a="1"/>
  <c r="J2391" i="7" s="1"/>
  <c r="N2391" i="7" s="1"/>
  <c r="J2390" i="7" a="1"/>
  <c r="J2390" i="7" s="1"/>
  <c r="N2390" i="7" s="1"/>
  <c r="J2389" i="7" a="1"/>
  <c r="J2389" i="7" s="1"/>
  <c r="N2389" i="7" s="1"/>
  <c r="J2388" i="7" a="1"/>
  <c r="J2388" i="7" s="1"/>
  <c r="N2388" i="7" s="1"/>
  <c r="J2387" i="7" a="1"/>
  <c r="J2387" i="7" s="1"/>
  <c r="N2387" i="7" s="1"/>
  <c r="J2386" i="7" a="1"/>
  <c r="J2386" i="7" s="1"/>
  <c r="N2386" i="7" s="1"/>
  <c r="J2385" i="7" a="1"/>
  <c r="J2385" i="7" s="1"/>
  <c r="N2385" i="7" s="1"/>
  <c r="J2384" i="7" a="1"/>
  <c r="J2384" i="7" s="1"/>
  <c r="N2384" i="7" s="1"/>
  <c r="J2383" i="7" a="1"/>
  <c r="J2383" i="7" s="1"/>
  <c r="N2383" i="7" s="1"/>
  <c r="J2382" i="7" a="1"/>
  <c r="J2382" i="7" s="1"/>
  <c r="N2382" i="7" s="1"/>
  <c r="J2381" i="7" a="1"/>
  <c r="J2381" i="7" s="1"/>
  <c r="N2381" i="7" s="1"/>
  <c r="J2380" i="7" a="1"/>
  <c r="J2380" i="7" s="1"/>
  <c r="N2380" i="7" s="1"/>
  <c r="J2379" i="7" a="1"/>
  <c r="J2379" i="7" s="1"/>
  <c r="N2379" i="7" s="1"/>
  <c r="J2378" i="7" a="1"/>
  <c r="J2378" i="7" s="1"/>
  <c r="N2378" i="7" s="1"/>
  <c r="J2377" i="7" a="1"/>
  <c r="J2377" i="7" s="1"/>
  <c r="N2377" i="7" s="1"/>
  <c r="J2376" i="7" a="1"/>
  <c r="J2376" i="7" s="1"/>
  <c r="N2376" i="7" s="1"/>
  <c r="J2375" i="7" a="1"/>
  <c r="J2375" i="7" s="1"/>
  <c r="N2375" i="7" s="1"/>
  <c r="J2374" i="7" a="1"/>
  <c r="J2374" i="7" s="1"/>
  <c r="N2374" i="7" s="1"/>
  <c r="J2373" i="7" a="1"/>
  <c r="J2373" i="7" s="1"/>
  <c r="N2373" i="7" s="1"/>
  <c r="J2372" i="7" a="1"/>
  <c r="J2372" i="7" s="1"/>
  <c r="N2372" i="7" s="1"/>
  <c r="J2371" i="7" a="1"/>
  <c r="J2371" i="7" s="1"/>
  <c r="N2371" i="7" s="1"/>
  <c r="J2370" i="7" a="1"/>
  <c r="J2370" i="7" s="1"/>
  <c r="N2370" i="7" s="1"/>
  <c r="J2369" i="7" a="1"/>
  <c r="J2369" i="7" s="1"/>
  <c r="N2369" i="7" s="1"/>
  <c r="J2368" i="7" a="1"/>
  <c r="J2368" i="7" s="1"/>
  <c r="N2368" i="7" s="1"/>
  <c r="J2367" i="7" a="1"/>
  <c r="J2367" i="7" s="1"/>
  <c r="N2367" i="7" s="1"/>
  <c r="J2366" i="7" a="1"/>
  <c r="J2366" i="7" s="1"/>
  <c r="N2366" i="7" s="1"/>
  <c r="J2365" i="7" a="1"/>
  <c r="J2365" i="7" s="1"/>
  <c r="N2365" i="7" s="1"/>
  <c r="J2364" i="7" a="1"/>
  <c r="J2364" i="7" s="1"/>
  <c r="N2364" i="7" s="1"/>
  <c r="J2363" i="7" a="1"/>
  <c r="J2363" i="7" s="1"/>
  <c r="N2363" i="7" s="1"/>
  <c r="J2362" i="7" a="1"/>
  <c r="J2362" i="7" s="1"/>
  <c r="N2362" i="7" s="1"/>
  <c r="J2361" i="7" a="1"/>
  <c r="J2361" i="7" s="1"/>
  <c r="N2361" i="7" s="1"/>
  <c r="J2360" i="7" a="1"/>
  <c r="J2360" i="7" s="1"/>
  <c r="N2360" i="7" s="1"/>
  <c r="J2359" i="7" a="1"/>
  <c r="J2359" i="7" s="1"/>
  <c r="N2359" i="7" s="1"/>
  <c r="J2358" i="7" a="1"/>
  <c r="J2358" i="7" s="1"/>
  <c r="N2358" i="7" s="1"/>
  <c r="J2357" i="7" a="1"/>
  <c r="J2357" i="7" s="1"/>
  <c r="N2357" i="7" s="1"/>
  <c r="J2356" i="7" a="1"/>
  <c r="J2356" i="7" s="1"/>
  <c r="N2356" i="7" s="1"/>
  <c r="J2355" i="7" a="1"/>
  <c r="J2355" i="7" s="1"/>
  <c r="N2355" i="7" s="1"/>
  <c r="J2354" i="7" a="1"/>
  <c r="J2354" i="7" s="1"/>
  <c r="N2354" i="7" s="1"/>
  <c r="J2353" i="7" a="1"/>
  <c r="J2353" i="7" s="1"/>
  <c r="N2353" i="7" s="1"/>
  <c r="J2352" i="7" a="1"/>
  <c r="J2352" i="7" s="1"/>
  <c r="N2352" i="7" s="1"/>
  <c r="J2351" i="7" a="1"/>
  <c r="J2351" i="7" s="1"/>
  <c r="N2351" i="7" s="1"/>
  <c r="J2350" i="7" a="1"/>
  <c r="J2350" i="7" s="1"/>
  <c r="N2350" i="7" s="1"/>
  <c r="J2349" i="7" a="1"/>
  <c r="J2349" i="7" s="1"/>
  <c r="N2349" i="7" s="1"/>
  <c r="J2348" i="7" a="1"/>
  <c r="J2348" i="7" s="1"/>
  <c r="N2348" i="7" s="1"/>
  <c r="J2347" i="7" a="1"/>
  <c r="J2347" i="7" s="1"/>
  <c r="N2347" i="7" s="1"/>
  <c r="J2346" i="7" a="1"/>
  <c r="J2346" i="7" s="1"/>
  <c r="N2346" i="7" s="1"/>
  <c r="J2345" i="7" a="1"/>
  <c r="J2345" i="7" s="1"/>
  <c r="N2345" i="7" s="1"/>
  <c r="J2344" i="7" a="1"/>
  <c r="J2344" i="7" s="1"/>
  <c r="N2344" i="7" s="1"/>
  <c r="J2343" i="7" a="1"/>
  <c r="J2343" i="7" s="1"/>
  <c r="N2343" i="7" s="1"/>
  <c r="J2342" i="7" a="1"/>
  <c r="J2342" i="7" s="1"/>
  <c r="N2342" i="7" s="1"/>
  <c r="J2341" i="7" a="1"/>
  <c r="J2341" i="7" s="1"/>
  <c r="N2341" i="7" s="1"/>
  <c r="J2340" i="7" a="1"/>
  <c r="J2340" i="7" s="1"/>
  <c r="N2340" i="7" s="1"/>
  <c r="J2339" i="7" a="1"/>
  <c r="J2339" i="7" s="1"/>
  <c r="N2339" i="7" s="1"/>
  <c r="J2338" i="7" a="1"/>
  <c r="J2338" i="7" s="1"/>
  <c r="N2338" i="7" s="1"/>
  <c r="J2337" i="7" a="1"/>
  <c r="J2337" i="7" s="1"/>
  <c r="N2337" i="7" s="1"/>
  <c r="J2336" i="7" a="1"/>
  <c r="J2336" i="7" s="1"/>
  <c r="N2336" i="7" s="1"/>
  <c r="J2335" i="7" a="1"/>
  <c r="J2335" i="7" s="1"/>
  <c r="N2335" i="7" s="1"/>
  <c r="J2334" i="7" a="1"/>
  <c r="J2334" i="7" s="1"/>
  <c r="N2334" i="7" s="1"/>
  <c r="J2333" i="7" a="1"/>
  <c r="J2333" i="7" s="1"/>
  <c r="N2333" i="7" s="1"/>
  <c r="J2332" i="7" a="1"/>
  <c r="J2332" i="7" s="1"/>
  <c r="N2332" i="7" s="1"/>
  <c r="J2331" i="7" a="1"/>
  <c r="J2331" i="7" s="1"/>
  <c r="N2331" i="7" s="1"/>
  <c r="J2330" i="7" a="1"/>
  <c r="J2330" i="7" s="1"/>
  <c r="N2330" i="7" s="1"/>
  <c r="J2329" i="7" a="1"/>
  <c r="J2329" i="7" s="1"/>
  <c r="N2329" i="7" s="1"/>
  <c r="J2328" i="7" a="1"/>
  <c r="J2328" i="7" s="1"/>
  <c r="N2328" i="7" s="1"/>
  <c r="J2327" i="7" a="1"/>
  <c r="J2327" i="7" s="1"/>
  <c r="N2327" i="7" s="1"/>
  <c r="J2326" i="7" a="1"/>
  <c r="J2326" i="7" s="1"/>
  <c r="N2326" i="7" s="1"/>
  <c r="J2287" i="7" a="1"/>
  <c r="J2287" i="7" s="1"/>
  <c r="N2287" i="7" s="1"/>
  <c r="J2288" i="7" a="1"/>
  <c r="J2288" i="7" s="1"/>
  <c r="N2288" i="7" s="1"/>
  <c r="J2289" i="7" a="1"/>
  <c r="J2289" i="7" s="1"/>
  <c r="N2289" i="7" s="1"/>
  <c r="J2290" i="7" a="1"/>
  <c r="J2290" i="7" s="1"/>
  <c r="N2290" i="7" s="1"/>
  <c r="J2291" i="7" a="1"/>
  <c r="J2291" i="7" s="1"/>
  <c r="N2291" i="7" s="1"/>
  <c r="J2292" i="7" a="1"/>
  <c r="J2292" i="7" s="1"/>
  <c r="N2292" i="7" s="1"/>
  <c r="J2293" i="7" a="1"/>
  <c r="J2293" i="7" s="1"/>
  <c r="N2293" i="7" s="1"/>
  <c r="J2294" i="7" a="1"/>
  <c r="J2294" i="7" s="1"/>
  <c r="N2294" i="7" s="1"/>
  <c r="J2295" i="7" a="1"/>
  <c r="J2295" i="7" s="1"/>
  <c r="N2295" i="7" s="1"/>
  <c r="J2296" i="7" a="1"/>
  <c r="J2296" i="7" s="1"/>
  <c r="N2296" i="7" s="1"/>
  <c r="J2297" i="7" a="1"/>
  <c r="J2297" i="7" s="1"/>
  <c r="N2297" i="7" s="1"/>
  <c r="J2298" i="7" a="1"/>
  <c r="J2298" i="7" s="1"/>
  <c r="N2298" i="7" s="1"/>
  <c r="J2299" i="7" a="1"/>
  <c r="J2299" i="7" s="1"/>
  <c r="N2299" i="7" s="1"/>
  <c r="J2300" i="7" a="1"/>
  <c r="J2300" i="7" s="1"/>
  <c r="N2300" i="7" s="1"/>
  <c r="J2301" i="7" a="1"/>
  <c r="J2301" i="7" s="1"/>
  <c r="N2301" i="7" s="1"/>
  <c r="J2302" i="7" a="1"/>
  <c r="J2302" i="7" s="1"/>
  <c r="N2302" i="7" s="1"/>
  <c r="J2303" i="7" a="1"/>
  <c r="J2303" i="7" s="1"/>
  <c r="N2303" i="7" s="1"/>
  <c r="J2304" i="7" a="1"/>
  <c r="J2304" i="7" s="1"/>
  <c r="N2304" i="7" s="1"/>
  <c r="J2305" i="7" a="1"/>
  <c r="J2305" i="7" s="1"/>
  <c r="N2305" i="7" s="1"/>
  <c r="J2306" i="7" a="1"/>
  <c r="J2306" i="7" s="1"/>
  <c r="N2306" i="7" s="1"/>
  <c r="J2307" i="7" a="1"/>
  <c r="J2307" i="7" s="1"/>
  <c r="N2307" i="7" s="1"/>
  <c r="J2308" i="7" a="1"/>
  <c r="J2308" i="7" s="1"/>
  <c r="N2308" i="7" s="1"/>
  <c r="J2309" i="7" a="1"/>
  <c r="J2309" i="7" s="1"/>
  <c r="N2309" i="7" s="1"/>
  <c r="J2310" i="7" a="1"/>
  <c r="J2310" i="7" s="1"/>
  <c r="N2310" i="7" s="1"/>
  <c r="J2311" i="7" a="1"/>
  <c r="J2311" i="7" s="1"/>
  <c r="N2311" i="7" s="1"/>
  <c r="J2312" i="7" a="1"/>
  <c r="J2312" i="7" s="1"/>
  <c r="N2312" i="7" s="1"/>
  <c r="J2313" i="7" a="1"/>
  <c r="J2313" i="7" s="1"/>
  <c r="N2313" i="7" s="1"/>
  <c r="J2314" i="7" a="1"/>
  <c r="J2314" i="7" s="1"/>
  <c r="N2314" i="7" s="1"/>
  <c r="J2315" i="7" a="1"/>
  <c r="J2315" i="7" s="1"/>
  <c r="N2315" i="7" s="1"/>
  <c r="J2316" i="7" a="1"/>
  <c r="J2316" i="7" s="1"/>
  <c r="N2316" i="7" s="1"/>
  <c r="J2317" i="7" a="1"/>
  <c r="J2317" i="7" s="1"/>
  <c r="N2317" i="7" s="1"/>
  <c r="J2318" i="7" a="1"/>
  <c r="J2318" i="7" s="1"/>
  <c r="N2318" i="7" s="1"/>
  <c r="J2319" i="7" a="1"/>
  <c r="J2319" i="7" s="1"/>
  <c r="N2319" i="7" s="1"/>
  <c r="J2320" i="7" a="1"/>
  <c r="J2320" i="7" s="1"/>
  <c r="N2320" i="7" s="1"/>
  <c r="J2321" i="7" a="1"/>
  <c r="J2321" i="7" s="1"/>
  <c r="N2321" i="7" s="1"/>
  <c r="J2322" i="7" a="1"/>
  <c r="J2322" i="7" s="1"/>
  <c r="N2322" i="7" s="1"/>
  <c r="J2323" i="7" a="1"/>
  <c r="J2323" i="7" s="1"/>
  <c r="N2323" i="7" s="1"/>
  <c r="J2324" i="7" a="1"/>
  <c r="J2324" i="7" s="1"/>
  <c r="N2324" i="7" s="1"/>
  <c r="J2325" i="7" a="1"/>
  <c r="J2325" i="7" s="1"/>
  <c r="N2325" i="7" s="1"/>
  <c r="J2286" i="7" a="1"/>
  <c r="J2286" i="7" s="1"/>
  <c r="N2286" i="7" s="1"/>
  <c r="J2247" i="7" a="1"/>
  <c r="J2247" i="7" s="1"/>
  <c r="N2247" i="7" s="1"/>
  <c r="J2248" i="7" a="1"/>
  <c r="J2248" i="7" s="1"/>
  <c r="N2248" i="7" s="1"/>
  <c r="J2249" i="7" a="1"/>
  <c r="J2249" i="7" s="1"/>
  <c r="N2249" i="7" s="1"/>
  <c r="J2250" i="7" a="1"/>
  <c r="J2250" i="7" s="1"/>
  <c r="N2250" i="7" s="1"/>
  <c r="J2251" i="7" a="1"/>
  <c r="J2251" i="7" s="1"/>
  <c r="N2251" i="7" s="1"/>
  <c r="J2252" i="7" a="1"/>
  <c r="J2252" i="7" s="1"/>
  <c r="N2252" i="7" s="1"/>
  <c r="J2253" i="7" a="1"/>
  <c r="J2253" i="7" s="1"/>
  <c r="N2253" i="7" s="1"/>
  <c r="J2254" i="7" a="1"/>
  <c r="J2254" i="7" s="1"/>
  <c r="N2254" i="7" s="1"/>
  <c r="J2255" i="7" a="1"/>
  <c r="J2255" i="7" s="1"/>
  <c r="N2255" i="7" s="1"/>
  <c r="J2256" i="7" a="1"/>
  <c r="J2256" i="7" s="1"/>
  <c r="N2256" i="7" s="1"/>
  <c r="J2257" i="7" a="1"/>
  <c r="J2257" i="7" s="1"/>
  <c r="N2257" i="7" s="1"/>
  <c r="J2258" i="7" a="1"/>
  <c r="J2258" i="7" s="1"/>
  <c r="N2258" i="7" s="1"/>
  <c r="J2259" i="7" a="1"/>
  <c r="J2259" i="7" s="1"/>
  <c r="N2259" i="7" s="1"/>
  <c r="J2260" i="7" a="1"/>
  <c r="J2260" i="7" s="1"/>
  <c r="N2260" i="7" s="1"/>
  <c r="J2261" i="7" a="1"/>
  <c r="J2261" i="7" s="1"/>
  <c r="N2261" i="7" s="1"/>
  <c r="J2262" i="7" a="1"/>
  <c r="J2262" i="7" s="1"/>
  <c r="N2262" i="7" s="1"/>
  <c r="J2263" i="7" a="1"/>
  <c r="J2263" i="7" s="1"/>
  <c r="N2263" i="7" s="1"/>
  <c r="J2264" i="7" a="1"/>
  <c r="J2264" i="7" s="1"/>
  <c r="N2264" i="7" s="1"/>
  <c r="J2265" i="7" a="1"/>
  <c r="J2265" i="7" s="1"/>
  <c r="N2265" i="7" s="1"/>
  <c r="J2266" i="7" a="1"/>
  <c r="J2266" i="7" s="1"/>
  <c r="N2266" i="7" s="1"/>
  <c r="J2267" i="7" a="1"/>
  <c r="J2267" i="7" s="1"/>
  <c r="N2267" i="7" s="1"/>
  <c r="J2268" i="7" a="1"/>
  <c r="J2268" i="7" s="1"/>
  <c r="N2268" i="7" s="1"/>
  <c r="J2269" i="7" a="1"/>
  <c r="J2269" i="7" s="1"/>
  <c r="N2269" i="7" s="1"/>
  <c r="J2270" i="7" a="1"/>
  <c r="J2270" i="7" s="1"/>
  <c r="N2270" i="7" s="1"/>
  <c r="J2271" i="7" a="1"/>
  <c r="J2271" i="7" s="1"/>
  <c r="N2271" i="7" s="1"/>
  <c r="J2272" i="7" a="1"/>
  <c r="J2272" i="7" s="1"/>
  <c r="N2272" i="7" s="1"/>
  <c r="J2273" i="7" a="1"/>
  <c r="J2273" i="7" s="1"/>
  <c r="N2273" i="7" s="1"/>
  <c r="J2274" i="7" a="1"/>
  <c r="J2274" i="7" s="1"/>
  <c r="N2274" i="7" s="1"/>
  <c r="J2275" i="7" a="1"/>
  <c r="J2275" i="7" s="1"/>
  <c r="N2275" i="7" s="1"/>
  <c r="J2276" i="7" a="1"/>
  <c r="J2276" i="7" s="1"/>
  <c r="N2276" i="7" s="1"/>
  <c r="J2277" i="7" a="1"/>
  <c r="J2277" i="7" s="1"/>
  <c r="N2277" i="7" s="1"/>
  <c r="J2278" i="7" a="1"/>
  <c r="J2278" i="7" s="1"/>
  <c r="N2278" i="7" s="1"/>
  <c r="J2279" i="7" a="1"/>
  <c r="J2279" i="7" s="1"/>
  <c r="N2279" i="7" s="1"/>
  <c r="J2280" i="7" a="1"/>
  <c r="J2280" i="7" s="1"/>
  <c r="N2280" i="7" s="1"/>
  <c r="J2281" i="7" a="1"/>
  <c r="J2281" i="7" s="1"/>
  <c r="N2281" i="7" s="1"/>
  <c r="J2282" i="7" a="1"/>
  <c r="J2282" i="7" s="1"/>
  <c r="N2282" i="7" s="1"/>
  <c r="J2283" i="7" a="1"/>
  <c r="J2283" i="7" s="1"/>
  <c r="N2283" i="7" s="1"/>
  <c r="J2284" i="7" a="1"/>
  <c r="J2284" i="7" s="1"/>
  <c r="N2284" i="7" s="1"/>
  <c r="J2285" i="7" a="1"/>
  <c r="J2285" i="7" s="1"/>
  <c r="N2285" i="7" s="1"/>
  <c r="J2246" i="7" a="1"/>
  <c r="J2246" i="7" s="1"/>
  <c r="N2246" i="7" s="1"/>
  <c r="J2208" i="7" a="1"/>
  <c r="J2208" i="7" s="1"/>
  <c r="N2208" i="7" s="1"/>
  <c r="J2209" i="7" a="1"/>
  <c r="J2209" i="7" s="1"/>
  <c r="N2209" i="7" s="1"/>
  <c r="J2210" i="7" a="1"/>
  <c r="J2210" i="7" s="1"/>
  <c r="N2210" i="7" s="1"/>
  <c r="J2211" i="7" a="1"/>
  <c r="J2211" i="7" s="1"/>
  <c r="N2211" i="7" s="1"/>
  <c r="J2212" i="7" a="1"/>
  <c r="J2212" i="7" s="1"/>
  <c r="N2212" i="7" s="1"/>
  <c r="J2213" i="7" a="1"/>
  <c r="J2213" i="7" s="1"/>
  <c r="N2213" i="7" s="1"/>
  <c r="J2214" i="7" a="1"/>
  <c r="J2214" i="7" s="1"/>
  <c r="N2214" i="7" s="1"/>
  <c r="J2215" i="7" a="1"/>
  <c r="J2215" i="7" s="1"/>
  <c r="N2215" i="7" s="1"/>
  <c r="J2216" i="7" a="1"/>
  <c r="J2216" i="7" s="1"/>
  <c r="N2216" i="7" s="1"/>
  <c r="J2217" i="7" a="1"/>
  <c r="J2217" i="7" s="1"/>
  <c r="N2217" i="7" s="1"/>
  <c r="J2218" i="7" a="1"/>
  <c r="J2218" i="7" s="1"/>
  <c r="N2218" i="7" s="1"/>
  <c r="J2219" i="7" a="1"/>
  <c r="J2219" i="7" s="1"/>
  <c r="N2219" i="7" s="1"/>
  <c r="J2220" i="7" a="1"/>
  <c r="J2220" i="7" s="1"/>
  <c r="N2220" i="7" s="1"/>
  <c r="J2221" i="7" a="1"/>
  <c r="J2221" i="7" s="1"/>
  <c r="N2221" i="7" s="1"/>
  <c r="J2222" i="7" a="1"/>
  <c r="J2222" i="7" s="1"/>
  <c r="N2222" i="7" s="1"/>
  <c r="J2223" i="7" a="1"/>
  <c r="J2223" i="7" s="1"/>
  <c r="N2223" i="7" s="1"/>
  <c r="J2224" i="7" a="1"/>
  <c r="J2224" i="7" s="1"/>
  <c r="N2224" i="7" s="1"/>
  <c r="J2225" i="7" a="1"/>
  <c r="J2225" i="7" s="1"/>
  <c r="N2225" i="7" s="1"/>
  <c r="J2226" i="7" a="1"/>
  <c r="J2226" i="7" s="1"/>
  <c r="N2226" i="7" s="1"/>
  <c r="J2227" i="7" a="1"/>
  <c r="J2227" i="7" s="1"/>
  <c r="N2227" i="7" s="1"/>
  <c r="J2228" i="7" a="1"/>
  <c r="J2228" i="7" s="1"/>
  <c r="N2228" i="7" s="1"/>
  <c r="J2229" i="7" a="1"/>
  <c r="J2229" i="7" s="1"/>
  <c r="N2229" i="7" s="1"/>
  <c r="J2230" i="7" a="1"/>
  <c r="J2230" i="7" s="1"/>
  <c r="N2230" i="7" s="1"/>
  <c r="J2231" i="7" a="1"/>
  <c r="J2231" i="7" s="1"/>
  <c r="N2231" i="7" s="1"/>
  <c r="J2232" i="7" a="1"/>
  <c r="J2232" i="7" s="1"/>
  <c r="N2232" i="7" s="1"/>
  <c r="J2233" i="7" a="1"/>
  <c r="J2233" i="7" s="1"/>
  <c r="N2233" i="7" s="1"/>
  <c r="J2234" i="7" a="1"/>
  <c r="J2234" i="7" s="1"/>
  <c r="N2234" i="7" s="1"/>
  <c r="J2235" i="7" a="1"/>
  <c r="J2235" i="7" s="1"/>
  <c r="N2235" i="7" s="1"/>
  <c r="J2236" i="7" a="1"/>
  <c r="J2236" i="7" s="1"/>
  <c r="N2236" i="7" s="1"/>
  <c r="J2237" i="7" a="1"/>
  <c r="J2237" i="7" s="1"/>
  <c r="N2237" i="7" s="1"/>
  <c r="J2238" i="7" a="1"/>
  <c r="J2238" i="7" s="1"/>
  <c r="N2238" i="7" s="1"/>
  <c r="J2239" i="7" a="1"/>
  <c r="J2239" i="7" s="1"/>
  <c r="N2239" i="7" s="1"/>
  <c r="J2240" i="7" a="1"/>
  <c r="J2240" i="7" s="1"/>
  <c r="N2240" i="7" s="1"/>
  <c r="J2241" i="7" a="1"/>
  <c r="J2241" i="7" s="1"/>
  <c r="N2241" i="7" s="1"/>
  <c r="J2242" i="7" a="1"/>
  <c r="J2242" i="7" s="1"/>
  <c r="N2242" i="7" s="1"/>
  <c r="J2243" i="7" a="1"/>
  <c r="J2243" i="7" s="1"/>
  <c r="N2243" i="7" s="1"/>
  <c r="J2244" i="7" a="1"/>
  <c r="J2244" i="7" s="1"/>
  <c r="N2244" i="7" s="1"/>
  <c r="J2245" i="7" a="1"/>
  <c r="J2245" i="7" s="1"/>
  <c r="N2245" i="7" s="1"/>
  <c r="J2207" i="7" a="1"/>
  <c r="J2207" i="7" s="1"/>
  <c r="N2207" i="7" s="1"/>
  <c r="J2168" i="7" a="1"/>
  <c r="J2168" i="7" s="1"/>
  <c r="N2168" i="7" s="1"/>
  <c r="J2169" i="7" a="1"/>
  <c r="J2169" i="7" s="1"/>
  <c r="N2169" i="7" s="1"/>
  <c r="J2170" i="7" a="1"/>
  <c r="J2170" i="7" s="1"/>
  <c r="N2170" i="7" s="1"/>
  <c r="J2171" i="7" a="1"/>
  <c r="J2171" i="7" s="1"/>
  <c r="N2171" i="7" s="1"/>
  <c r="J2172" i="7" a="1"/>
  <c r="J2172" i="7" s="1"/>
  <c r="N2172" i="7" s="1"/>
  <c r="J2173" i="7" a="1"/>
  <c r="J2173" i="7" s="1"/>
  <c r="N2173" i="7" s="1"/>
  <c r="J2174" i="7" a="1"/>
  <c r="J2174" i="7" s="1"/>
  <c r="N2174" i="7" s="1"/>
  <c r="J2175" i="7" a="1"/>
  <c r="J2175" i="7" s="1"/>
  <c r="N2175" i="7" s="1"/>
  <c r="J2176" i="7" a="1"/>
  <c r="J2176" i="7" s="1"/>
  <c r="N2176" i="7" s="1"/>
  <c r="J2177" i="7" a="1"/>
  <c r="J2177" i="7" s="1"/>
  <c r="N2177" i="7" s="1"/>
  <c r="J2178" i="7" a="1"/>
  <c r="J2178" i="7" s="1"/>
  <c r="N2178" i="7" s="1"/>
  <c r="J2179" i="7" a="1"/>
  <c r="J2179" i="7" s="1"/>
  <c r="N2179" i="7" s="1"/>
  <c r="J2180" i="7" a="1"/>
  <c r="J2180" i="7" s="1"/>
  <c r="N2180" i="7" s="1"/>
  <c r="J2181" i="7" a="1"/>
  <c r="J2181" i="7" s="1"/>
  <c r="N2181" i="7" s="1"/>
  <c r="J2182" i="7" a="1"/>
  <c r="J2182" i="7" s="1"/>
  <c r="N2182" i="7" s="1"/>
  <c r="J2183" i="7" a="1"/>
  <c r="J2183" i="7" s="1"/>
  <c r="N2183" i="7" s="1"/>
  <c r="J2184" i="7" a="1"/>
  <c r="J2184" i="7" s="1"/>
  <c r="N2184" i="7" s="1"/>
  <c r="J2185" i="7" a="1"/>
  <c r="J2185" i="7" s="1"/>
  <c r="N2185" i="7" s="1"/>
  <c r="J2186" i="7" a="1"/>
  <c r="J2186" i="7" s="1"/>
  <c r="N2186" i="7" s="1"/>
  <c r="J2187" i="7" a="1"/>
  <c r="J2187" i="7" s="1"/>
  <c r="N2187" i="7" s="1"/>
  <c r="J2188" i="7" a="1"/>
  <c r="J2188" i="7" s="1"/>
  <c r="N2188" i="7" s="1"/>
  <c r="J2189" i="7" a="1"/>
  <c r="J2189" i="7" s="1"/>
  <c r="N2189" i="7" s="1"/>
  <c r="J2190" i="7" a="1"/>
  <c r="J2190" i="7" s="1"/>
  <c r="N2190" i="7" s="1"/>
  <c r="J2191" i="7" a="1"/>
  <c r="J2191" i="7" s="1"/>
  <c r="N2191" i="7" s="1"/>
  <c r="J2192" i="7" a="1"/>
  <c r="J2192" i="7" s="1"/>
  <c r="N2192" i="7" s="1"/>
  <c r="J2193" i="7" a="1"/>
  <c r="J2193" i="7" s="1"/>
  <c r="N2193" i="7" s="1"/>
  <c r="J2194" i="7" a="1"/>
  <c r="J2194" i="7" s="1"/>
  <c r="N2194" i="7" s="1"/>
  <c r="J2195" i="7" a="1"/>
  <c r="J2195" i="7" s="1"/>
  <c r="N2195" i="7" s="1"/>
  <c r="J2196" i="7" a="1"/>
  <c r="J2196" i="7" s="1"/>
  <c r="N2196" i="7" s="1"/>
  <c r="J2197" i="7" a="1"/>
  <c r="J2197" i="7" s="1"/>
  <c r="N2197" i="7" s="1"/>
  <c r="J2198" i="7" a="1"/>
  <c r="J2198" i="7" s="1"/>
  <c r="N2198" i="7" s="1"/>
  <c r="J2199" i="7" a="1"/>
  <c r="J2199" i="7" s="1"/>
  <c r="N2199" i="7" s="1"/>
  <c r="J2200" i="7" a="1"/>
  <c r="J2200" i="7" s="1"/>
  <c r="N2200" i="7" s="1"/>
  <c r="J2201" i="7" a="1"/>
  <c r="J2201" i="7" s="1"/>
  <c r="N2201" i="7" s="1"/>
  <c r="J2202" i="7" a="1"/>
  <c r="J2202" i="7" s="1"/>
  <c r="N2202" i="7" s="1"/>
  <c r="J2203" i="7" a="1"/>
  <c r="J2203" i="7" s="1"/>
  <c r="N2203" i="7" s="1"/>
  <c r="J2204" i="7" a="1"/>
  <c r="J2204" i="7" s="1"/>
  <c r="N2204" i="7" s="1"/>
  <c r="J2205" i="7" a="1"/>
  <c r="J2205" i="7" s="1"/>
  <c r="N2205" i="7" s="1"/>
  <c r="J2206" i="7" a="1"/>
  <c r="J2206" i="7" s="1"/>
  <c r="N2206" i="7" s="1"/>
  <c r="J2167" i="7" a="1"/>
  <c r="J2167" i="7" s="1"/>
  <c r="N2167" i="7" s="1"/>
  <c r="J2128" i="7" a="1"/>
  <c r="J2128" i="7" s="1"/>
  <c r="N2128" i="7" s="1"/>
  <c r="J2129" i="7" a="1"/>
  <c r="J2129" i="7" s="1"/>
  <c r="N2129" i="7" s="1"/>
  <c r="J2130" i="7" a="1"/>
  <c r="J2130" i="7" s="1"/>
  <c r="N2130" i="7" s="1"/>
  <c r="J2131" i="7" a="1"/>
  <c r="J2131" i="7" s="1"/>
  <c r="N2131" i="7" s="1"/>
  <c r="J2132" i="7" a="1"/>
  <c r="J2132" i="7" s="1"/>
  <c r="N2132" i="7" s="1"/>
  <c r="J2133" i="7" a="1"/>
  <c r="J2133" i="7" s="1"/>
  <c r="N2133" i="7" s="1"/>
  <c r="J2134" i="7" a="1"/>
  <c r="J2134" i="7" s="1"/>
  <c r="N2134" i="7" s="1"/>
  <c r="J2135" i="7" a="1"/>
  <c r="J2135" i="7" s="1"/>
  <c r="N2135" i="7" s="1"/>
  <c r="J2136" i="7" a="1"/>
  <c r="J2136" i="7" s="1"/>
  <c r="N2136" i="7" s="1"/>
  <c r="J2137" i="7" a="1"/>
  <c r="J2137" i="7" s="1"/>
  <c r="N2137" i="7" s="1"/>
  <c r="J2138" i="7" a="1"/>
  <c r="J2138" i="7" s="1"/>
  <c r="N2138" i="7" s="1"/>
  <c r="J2139" i="7" a="1"/>
  <c r="J2139" i="7" s="1"/>
  <c r="N2139" i="7" s="1"/>
  <c r="J2140" i="7" a="1"/>
  <c r="J2140" i="7" s="1"/>
  <c r="N2140" i="7" s="1"/>
  <c r="J2141" i="7" a="1"/>
  <c r="J2141" i="7" s="1"/>
  <c r="N2141" i="7" s="1"/>
  <c r="J2142" i="7" a="1"/>
  <c r="J2142" i="7" s="1"/>
  <c r="N2142" i="7" s="1"/>
  <c r="J2143" i="7" a="1"/>
  <c r="J2143" i="7" s="1"/>
  <c r="N2143" i="7" s="1"/>
  <c r="J2144" i="7" a="1"/>
  <c r="J2144" i="7" s="1"/>
  <c r="N2144" i="7" s="1"/>
  <c r="J2145" i="7" a="1"/>
  <c r="J2145" i="7" s="1"/>
  <c r="N2145" i="7" s="1"/>
  <c r="J2146" i="7" a="1"/>
  <c r="J2146" i="7" s="1"/>
  <c r="N2146" i="7" s="1"/>
  <c r="J2147" i="7" a="1"/>
  <c r="J2147" i="7" s="1"/>
  <c r="N2147" i="7" s="1"/>
  <c r="J2148" i="7" a="1"/>
  <c r="J2148" i="7" s="1"/>
  <c r="N2148" i="7" s="1"/>
  <c r="J2149" i="7" a="1"/>
  <c r="J2149" i="7" s="1"/>
  <c r="N2149" i="7" s="1"/>
  <c r="J2150" i="7" a="1"/>
  <c r="J2150" i="7" s="1"/>
  <c r="N2150" i="7" s="1"/>
  <c r="J2151" i="7" a="1"/>
  <c r="J2151" i="7" s="1"/>
  <c r="N2151" i="7" s="1"/>
  <c r="J2152" i="7" a="1"/>
  <c r="J2152" i="7" s="1"/>
  <c r="N2152" i="7" s="1"/>
  <c r="J2153" i="7" a="1"/>
  <c r="J2153" i="7" s="1"/>
  <c r="N2153" i="7" s="1"/>
  <c r="J2154" i="7" a="1"/>
  <c r="J2154" i="7" s="1"/>
  <c r="N2154" i="7" s="1"/>
  <c r="J2155" i="7" a="1"/>
  <c r="J2155" i="7" s="1"/>
  <c r="N2155" i="7" s="1"/>
  <c r="J2156" i="7" a="1"/>
  <c r="J2156" i="7" s="1"/>
  <c r="N2156" i="7" s="1"/>
  <c r="J2157" i="7" a="1"/>
  <c r="J2157" i="7" s="1"/>
  <c r="N2157" i="7" s="1"/>
  <c r="J2158" i="7" a="1"/>
  <c r="J2158" i="7" s="1"/>
  <c r="N2158" i="7" s="1"/>
  <c r="J2159" i="7" a="1"/>
  <c r="J2159" i="7" s="1"/>
  <c r="N2159" i="7" s="1"/>
  <c r="J2160" i="7" a="1"/>
  <c r="J2160" i="7" s="1"/>
  <c r="N2160" i="7" s="1"/>
  <c r="J2161" i="7" a="1"/>
  <c r="J2161" i="7" s="1"/>
  <c r="N2161" i="7" s="1"/>
  <c r="J2162" i="7" a="1"/>
  <c r="J2162" i="7" s="1"/>
  <c r="N2162" i="7" s="1"/>
  <c r="J2163" i="7" a="1"/>
  <c r="J2163" i="7" s="1"/>
  <c r="N2163" i="7" s="1"/>
  <c r="J2164" i="7" a="1"/>
  <c r="J2164" i="7" s="1"/>
  <c r="N2164" i="7" s="1"/>
  <c r="J2165" i="7" a="1"/>
  <c r="J2165" i="7" s="1"/>
  <c r="N2165" i="7" s="1"/>
  <c r="J2166" i="7" a="1"/>
  <c r="J2166" i="7" s="1"/>
  <c r="N2166" i="7" s="1"/>
  <c r="J2127" i="7" a="1"/>
  <c r="J2127" i="7" s="1"/>
  <c r="N2127" i="7" s="1"/>
  <c r="J2088" i="7" a="1"/>
  <c r="J2088" i="7" s="1"/>
  <c r="N2088" i="7" s="1"/>
  <c r="J2089" i="7" a="1"/>
  <c r="J2089" i="7" s="1"/>
  <c r="N2089" i="7" s="1"/>
  <c r="J2090" i="7" a="1"/>
  <c r="J2090" i="7" s="1"/>
  <c r="N2090" i="7" s="1"/>
  <c r="J2091" i="7" a="1"/>
  <c r="J2091" i="7" s="1"/>
  <c r="N2091" i="7" s="1"/>
  <c r="J2092" i="7" a="1"/>
  <c r="J2092" i="7" s="1"/>
  <c r="N2092" i="7" s="1"/>
  <c r="J2093" i="7" a="1"/>
  <c r="J2093" i="7" s="1"/>
  <c r="N2093" i="7" s="1"/>
  <c r="J2094" i="7" a="1"/>
  <c r="J2094" i="7" s="1"/>
  <c r="N2094" i="7" s="1"/>
  <c r="J2095" i="7" a="1"/>
  <c r="J2095" i="7" s="1"/>
  <c r="N2095" i="7" s="1"/>
  <c r="J2096" i="7" a="1"/>
  <c r="J2096" i="7" s="1"/>
  <c r="N2096" i="7" s="1"/>
  <c r="J2097" i="7" a="1"/>
  <c r="J2097" i="7" s="1"/>
  <c r="N2097" i="7" s="1"/>
  <c r="J2098" i="7" a="1"/>
  <c r="J2098" i="7" s="1"/>
  <c r="N2098" i="7" s="1"/>
  <c r="J2099" i="7" a="1"/>
  <c r="J2099" i="7" s="1"/>
  <c r="N2099" i="7" s="1"/>
  <c r="J2100" i="7" a="1"/>
  <c r="J2100" i="7" s="1"/>
  <c r="N2100" i="7" s="1"/>
  <c r="J2101" i="7" a="1"/>
  <c r="J2101" i="7" s="1"/>
  <c r="N2101" i="7" s="1"/>
  <c r="J2102" i="7" a="1"/>
  <c r="J2102" i="7" s="1"/>
  <c r="N2102" i="7" s="1"/>
  <c r="J2103" i="7" a="1"/>
  <c r="J2103" i="7" s="1"/>
  <c r="N2103" i="7" s="1"/>
  <c r="J2104" i="7" a="1"/>
  <c r="J2104" i="7" s="1"/>
  <c r="N2104" i="7" s="1"/>
  <c r="J2105" i="7" a="1"/>
  <c r="J2105" i="7" s="1"/>
  <c r="N2105" i="7" s="1"/>
  <c r="J2106" i="7" a="1"/>
  <c r="J2106" i="7" s="1"/>
  <c r="N2106" i="7" s="1"/>
  <c r="J2107" i="7" a="1"/>
  <c r="J2107" i="7" s="1"/>
  <c r="N2107" i="7" s="1"/>
  <c r="J2108" i="7" a="1"/>
  <c r="J2108" i="7" s="1"/>
  <c r="N2108" i="7" s="1"/>
  <c r="J2109" i="7" a="1"/>
  <c r="J2109" i="7" s="1"/>
  <c r="N2109" i="7" s="1"/>
  <c r="J2110" i="7" a="1"/>
  <c r="J2110" i="7" s="1"/>
  <c r="N2110" i="7" s="1"/>
  <c r="J2111" i="7" a="1"/>
  <c r="J2111" i="7" s="1"/>
  <c r="N2111" i="7" s="1"/>
  <c r="J2112" i="7" a="1"/>
  <c r="J2112" i="7" s="1"/>
  <c r="N2112" i="7" s="1"/>
  <c r="J2113" i="7" a="1"/>
  <c r="J2113" i="7" s="1"/>
  <c r="N2113" i="7" s="1"/>
  <c r="J2114" i="7" a="1"/>
  <c r="J2114" i="7" s="1"/>
  <c r="N2114" i="7" s="1"/>
  <c r="J2115" i="7" a="1"/>
  <c r="J2115" i="7" s="1"/>
  <c r="N2115" i="7" s="1"/>
  <c r="J2116" i="7" a="1"/>
  <c r="J2116" i="7" s="1"/>
  <c r="N2116" i="7" s="1"/>
  <c r="J2117" i="7" a="1"/>
  <c r="J2117" i="7" s="1"/>
  <c r="N2117" i="7" s="1"/>
  <c r="J2118" i="7" a="1"/>
  <c r="J2118" i="7" s="1"/>
  <c r="N2118" i="7" s="1"/>
  <c r="J2119" i="7" a="1"/>
  <c r="J2119" i="7" s="1"/>
  <c r="N2119" i="7" s="1"/>
  <c r="J2120" i="7" a="1"/>
  <c r="J2120" i="7" s="1"/>
  <c r="N2120" i="7" s="1"/>
  <c r="J2121" i="7" a="1"/>
  <c r="J2121" i="7" s="1"/>
  <c r="N2121" i="7" s="1"/>
  <c r="J2122" i="7" a="1"/>
  <c r="J2122" i="7" s="1"/>
  <c r="N2122" i="7" s="1"/>
  <c r="J2123" i="7" a="1"/>
  <c r="J2123" i="7" s="1"/>
  <c r="N2123" i="7" s="1"/>
  <c r="J2124" i="7" a="1"/>
  <c r="J2124" i="7" s="1"/>
  <c r="N2124" i="7" s="1"/>
  <c r="J2125" i="7" a="1"/>
  <c r="J2125" i="7" s="1"/>
  <c r="N2125" i="7" s="1"/>
  <c r="J2126" i="7" a="1"/>
  <c r="J2126" i="7" s="1"/>
  <c r="N2126" i="7" s="1"/>
  <c r="J2087" i="7" a="1"/>
  <c r="J2087" i="7" s="1"/>
  <c r="N2087" i="7" s="1"/>
  <c r="J2086" i="7" a="1"/>
  <c r="J2086" i="7" s="1"/>
  <c r="N2086" i="7" s="1"/>
  <c r="J1961" i="7" a="1"/>
  <c r="J1961" i="7" s="1"/>
  <c r="N1961" i="7" s="1"/>
  <c r="J1962" i="7" a="1"/>
  <c r="J1962" i="7" s="1"/>
  <c r="N1962" i="7" s="1"/>
  <c r="J1963" i="7" a="1"/>
  <c r="J1963" i="7" s="1"/>
  <c r="N1963" i="7" s="1"/>
  <c r="J1964" i="7" a="1"/>
  <c r="J1964" i="7" s="1"/>
  <c r="N1964" i="7" s="1"/>
  <c r="J1965" i="7" a="1"/>
  <c r="J1965" i="7" s="1"/>
  <c r="N1965" i="7" s="1"/>
  <c r="J1966" i="7" a="1"/>
  <c r="J1966" i="7" s="1"/>
  <c r="N1966" i="7" s="1"/>
  <c r="J1967" i="7" a="1"/>
  <c r="J1967" i="7" s="1"/>
  <c r="N1967" i="7" s="1"/>
  <c r="J1968" i="7" a="1"/>
  <c r="J1968" i="7" s="1"/>
  <c r="N1968" i="7" s="1"/>
  <c r="J1969" i="7" a="1"/>
  <c r="J1969" i="7" s="1"/>
  <c r="N1969" i="7" s="1"/>
  <c r="J1970" i="7" a="1"/>
  <c r="J1970" i="7" s="1"/>
  <c r="N1970" i="7" s="1"/>
  <c r="J1971" i="7" a="1"/>
  <c r="J1971" i="7" s="1"/>
  <c r="N1971" i="7" s="1"/>
  <c r="J1972" i="7" a="1"/>
  <c r="J1972" i="7" s="1"/>
  <c r="N1972" i="7" s="1"/>
  <c r="J1973" i="7" a="1"/>
  <c r="J1973" i="7" s="1"/>
  <c r="N1973" i="7" s="1"/>
  <c r="J1974" i="7" a="1"/>
  <c r="J1974" i="7" s="1"/>
  <c r="N1974" i="7" s="1"/>
  <c r="J1975" i="7" a="1"/>
  <c r="J1975" i="7" s="1"/>
  <c r="N1975" i="7" s="1"/>
  <c r="J1976" i="7" a="1"/>
  <c r="J1976" i="7" s="1"/>
  <c r="N1976" i="7" s="1"/>
  <c r="J1977" i="7" a="1"/>
  <c r="J1977" i="7" s="1"/>
  <c r="N1977" i="7" s="1"/>
  <c r="J1978" i="7" a="1"/>
  <c r="J1978" i="7" s="1"/>
  <c r="N1978" i="7" s="1"/>
  <c r="J1979" i="7" a="1"/>
  <c r="J1979" i="7" s="1"/>
  <c r="N1979" i="7" s="1"/>
  <c r="J1980" i="7" a="1"/>
  <c r="J1980" i="7" s="1"/>
  <c r="N1980" i="7" s="1"/>
  <c r="J1981" i="7" a="1"/>
  <c r="J1981" i="7" s="1"/>
  <c r="N1981" i="7" s="1"/>
  <c r="J1982" i="7" a="1"/>
  <c r="J1982" i="7" s="1"/>
  <c r="N1982" i="7" s="1"/>
  <c r="J1983" i="7" a="1"/>
  <c r="J1983" i="7" s="1"/>
  <c r="N1983" i="7" s="1"/>
  <c r="J1984" i="7" a="1"/>
  <c r="J1984" i="7" s="1"/>
  <c r="N1984" i="7" s="1"/>
  <c r="J1985" i="7" a="1"/>
  <c r="J1985" i="7" s="1"/>
  <c r="N1985" i="7" s="1"/>
  <c r="J1986" i="7" a="1"/>
  <c r="J1986" i="7" s="1"/>
  <c r="N1986" i="7" s="1"/>
  <c r="J1987" i="7" a="1"/>
  <c r="J1987" i="7" s="1"/>
  <c r="N1987" i="7" s="1"/>
  <c r="J1988" i="7" a="1"/>
  <c r="J1988" i="7" s="1"/>
  <c r="N1988" i="7" s="1"/>
  <c r="J1989" i="7" a="1"/>
  <c r="J1989" i="7" s="1"/>
  <c r="N1989" i="7" s="1"/>
  <c r="J1990" i="7" a="1"/>
  <c r="J1990" i="7" s="1"/>
  <c r="N1990" i="7" s="1"/>
  <c r="J1991" i="7" a="1"/>
  <c r="J1991" i="7" s="1"/>
  <c r="N1991" i="7" s="1"/>
  <c r="J1992" i="7" a="1"/>
  <c r="J1992" i="7" s="1"/>
  <c r="N1992" i="7" s="1"/>
  <c r="J1993" i="7" a="1"/>
  <c r="J1993" i="7" s="1"/>
  <c r="N1993" i="7" s="1"/>
  <c r="J1994" i="7" a="1"/>
  <c r="J1994" i="7" s="1"/>
  <c r="N1994" i="7" s="1"/>
  <c r="J1995" i="7" a="1"/>
  <c r="J1995" i="7" s="1"/>
  <c r="N1995" i="7" s="1"/>
  <c r="J1996" i="7" a="1"/>
  <c r="J1996" i="7" s="1"/>
  <c r="N1996" i="7" s="1"/>
  <c r="J1997" i="7" a="1"/>
  <c r="J1997" i="7" s="1"/>
  <c r="N1997" i="7" s="1"/>
  <c r="J1998" i="7" a="1"/>
  <c r="J1998" i="7" s="1"/>
  <c r="N1998" i="7" s="1"/>
  <c r="J1999" i="7" a="1"/>
  <c r="J1999" i="7" s="1"/>
  <c r="N1999" i="7" s="1"/>
  <c r="J2000" i="7" a="1"/>
  <c r="J2000" i="7" s="1"/>
  <c r="N2000" i="7" s="1"/>
  <c r="J2001" i="7" a="1"/>
  <c r="J2001" i="7" s="1"/>
  <c r="N2001" i="7" s="1"/>
  <c r="J2002" i="7" a="1"/>
  <c r="J2002" i="7" s="1"/>
  <c r="N2002" i="7" s="1"/>
  <c r="J2003" i="7" a="1"/>
  <c r="J2003" i="7" s="1"/>
  <c r="N2003" i="7" s="1"/>
  <c r="J2004" i="7" a="1"/>
  <c r="J2004" i="7" s="1"/>
  <c r="N2004" i="7" s="1"/>
  <c r="J2005" i="7" a="1"/>
  <c r="J2005" i="7" s="1"/>
  <c r="N2005" i="7" s="1"/>
  <c r="J2006" i="7" a="1"/>
  <c r="J2006" i="7" s="1"/>
  <c r="N2006" i="7" s="1"/>
  <c r="J2007" i="7" a="1"/>
  <c r="J2007" i="7" s="1"/>
  <c r="N2007" i="7" s="1"/>
  <c r="J2008" i="7" a="1"/>
  <c r="J2008" i="7" s="1"/>
  <c r="N2008" i="7" s="1"/>
  <c r="J2009" i="7" a="1"/>
  <c r="J2009" i="7" s="1"/>
  <c r="N2009" i="7" s="1"/>
  <c r="J2010" i="7" a="1"/>
  <c r="J2010" i="7" s="1"/>
  <c r="N2010" i="7" s="1"/>
  <c r="J2011" i="7" a="1"/>
  <c r="J2011" i="7" s="1"/>
  <c r="N2011" i="7" s="1"/>
  <c r="J2012" i="7" a="1"/>
  <c r="J2012" i="7" s="1"/>
  <c r="N2012" i="7" s="1"/>
  <c r="J2013" i="7" a="1"/>
  <c r="J2013" i="7" s="1"/>
  <c r="N2013" i="7" s="1"/>
  <c r="J2014" i="7" a="1"/>
  <c r="J2014" i="7" s="1"/>
  <c r="N2014" i="7" s="1"/>
  <c r="J2015" i="7" a="1"/>
  <c r="J2015" i="7" s="1"/>
  <c r="N2015" i="7" s="1"/>
  <c r="J2016" i="7" a="1"/>
  <c r="J2016" i="7" s="1"/>
  <c r="N2016" i="7" s="1"/>
  <c r="J2017" i="7" a="1"/>
  <c r="J2017" i="7" s="1"/>
  <c r="N2017" i="7" s="1"/>
  <c r="J2018" i="7" a="1"/>
  <c r="J2018" i="7" s="1"/>
  <c r="N2018" i="7" s="1"/>
  <c r="J2019" i="7" a="1"/>
  <c r="J2019" i="7" s="1"/>
  <c r="N2019" i="7" s="1"/>
  <c r="J2020" i="7" a="1"/>
  <c r="J2020" i="7" s="1"/>
  <c r="N2020" i="7" s="1"/>
  <c r="J2021" i="7" a="1"/>
  <c r="J2021" i="7" s="1"/>
  <c r="N2021" i="7" s="1"/>
  <c r="J2022" i="7" a="1"/>
  <c r="J2022" i="7" s="1"/>
  <c r="N2022" i="7" s="1"/>
  <c r="J2023" i="7" a="1"/>
  <c r="J2023" i="7" s="1"/>
  <c r="N2023" i="7" s="1"/>
  <c r="J2024" i="7" a="1"/>
  <c r="J2024" i="7" s="1"/>
  <c r="N2024" i="7" s="1"/>
  <c r="J2025" i="7" a="1"/>
  <c r="J2025" i="7" s="1"/>
  <c r="N2025" i="7" s="1"/>
  <c r="J2026" i="7" a="1"/>
  <c r="J2026" i="7" s="1"/>
  <c r="N2026" i="7" s="1"/>
  <c r="J2027" i="7" a="1"/>
  <c r="J2027" i="7" s="1"/>
  <c r="N2027" i="7" s="1"/>
  <c r="J2028" i="7" a="1"/>
  <c r="J2028" i="7" s="1"/>
  <c r="N2028" i="7" s="1"/>
  <c r="J2029" i="7" a="1"/>
  <c r="J2029" i="7" s="1"/>
  <c r="N2029" i="7" s="1"/>
  <c r="J2030" i="7" a="1"/>
  <c r="J2030" i="7" s="1"/>
  <c r="N2030" i="7" s="1"/>
  <c r="J2031" i="7" a="1"/>
  <c r="J2031" i="7" s="1"/>
  <c r="N2031" i="7" s="1"/>
  <c r="J2032" i="7" a="1"/>
  <c r="J2032" i="7" s="1"/>
  <c r="N2032" i="7" s="1"/>
  <c r="J2033" i="7" a="1"/>
  <c r="J2033" i="7" s="1"/>
  <c r="N2033" i="7" s="1"/>
  <c r="J2034" i="7" a="1"/>
  <c r="J2034" i="7" s="1"/>
  <c r="N2034" i="7" s="1"/>
  <c r="J2035" i="7" a="1"/>
  <c r="J2035" i="7" s="1"/>
  <c r="N2035" i="7" s="1"/>
  <c r="J2036" i="7" a="1"/>
  <c r="J2036" i="7" s="1"/>
  <c r="N2036" i="7" s="1"/>
  <c r="J2037" i="7" a="1"/>
  <c r="J2037" i="7" s="1"/>
  <c r="N2037" i="7" s="1"/>
  <c r="J2038" i="7" a="1"/>
  <c r="J2038" i="7" s="1"/>
  <c r="N2038" i="7" s="1"/>
  <c r="J2039" i="7" a="1"/>
  <c r="J2039" i="7" s="1"/>
  <c r="N2039" i="7" s="1"/>
  <c r="J2040" i="7" a="1"/>
  <c r="J2040" i="7" s="1"/>
  <c r="N2040" i="7" s="1"/>
  <c r="J2041" i="7" a="1"/>
  <c r="J2041" i="7" s="1"/>
  <c r="N2041" i="7" s="1"/>
  <c r="J2042" i="7" a="1"/>
  <c r="J2042" i="7" s="1"/>
  <c r="N2042" i="7" s="1"/>
  <c r="J2043" i="7" a="1"/>
  <c r="J2043" i="7" s="1"/>
  <c r="N2043" i="7" s="1"/>
  <c r="J2044" i="7" a="1"/>
  <c r="J2044" i="7" s="1"/>
  <c r="N2044" i="7" s="1"/>
  <c r="J2045" i="7" a="1"/>
  <c r="J2045" i="7" s="1"/>
  <c r="N2045" i="7" s="1"/>
  <c r="J2046" i="7" a="1"/>
  <c r="J2046" i="7" s="1"/>
  <c r="N2046" i="7" s="1"/>
  <c r="J2047" i="7" a="1"/>
  <c r="J2047" i="7" s="1"/>
  <c r="N2047" i="7" s="1"/>
  <c r="J2048" i="7" a="1"/>
  <c r="J2048" i="7" s="1"/>
  <c r="N2048" i="7" s="1"/>
  <c r="J2049" i="7" a="1"/>
  <c r="J2049" i="7" s="1"/>
  <c r="N2049" i="7" s="1"/>
  <c r="J2050" i="7" a="1"/>
  <c r="J2050" i="7" s="1"/>
  <c r="N2050" i="7" s="1"/>
  <c r="J2051" i="7" a="1"/>
  <c r="J2051" i="7" s="1"/>
  <c r="N2051" i="7" s="1"/>
  <c r="J2052" i="7" a="1"/>
  <c r="J2052" i="7" s="1"/>
  <c r="N2052" i="7" s="1"/>
  <c r="J2053" i="7" a="1"/>
  <c r="J2053" i="7" s="1"/>
  <c r="N2053" i="7" s="1"/>
  <c r="J2054" i="7" a="1"/>
  <c r="J2054" i="7" s="1"/>
  <c r="N2054" i="7" s="1"/>
  <c r="J2055" i="7" a="1"/>
  <c r="J2055" i="7" s="1"/>
  <c r="N2055" i="7" s="1"/>
  <c r="J2056" i="7" a="1"/>
  <c r="J2056" i="7" s="1"/>
  <c r="N2056" i="7" s="1"/>
  <c r="J2057" i="7" a="1"/>
  <c r="J2057" i="7" s="1"/>
  <c r="N2057" i="7" s="1"/>
  <c r="J2058" i="7" a="1"/>
  <c r="J2058" i="7" s="1"/>
  <c r="N2058" i="7" s="1"/>
  <c r="J2059" i="7" a="1"/>
  <c r="J2059" i="7" s="1"/>
  <c r="N2059" i="7" s="1"/>
  <c r="J2060" i="7" a="1"/>
  <c r="J2060" i="7" s="1"/>
  <c r="N2060" i="7" s="1"/>
  <c r="J2061" i="7" a="1"/>
  <c r="J2061" i="7" s="1"/>
  <c r="N2061" i="7" s="1"/>
  <c r="J2062" i="7" a="1"/>
  <c r="J2062" i="7" s="1"/>
  <c r="N2062" i="7" s="1"/>
  <c r="J2063" i="7" a="1"/>
  <c r="J2063" i="7" s="1"/>
  <c r="N2063" i="7" s="1"/>
  <c r="J2064" i="7" a="1"/>
  <c r="J2064" i="7" s="1"/>
  <c r="N2064" i="7" s="1"/>
  <c r="J2065" i="7" a="1"/>
  <c r="J2065" i="7" s="1"/>
  <c r="N2065" i="7" s="1"/>
  <c r="J2066" i="7" a="1"/>
  <c r="J2066" i="7" s="1"/>
  <c r="N2066" i="7" s="1"/>
  <c r="J2067" i="7" a="1"/>
  <c r="J2067" i="7" s="1"/>
  <c r="N2067" i="7" s="1"/>
  <c r="J2068" i="7" a="1"/>
  <c r="J2068" i="7" s="1"/>
  <c r="N2068" i="7" s="1"/>
  <c r="J2069" i="7" a="1"/>
  <c r="J2069" i="7" s="1"/>
  <c r="N2069" i="7" s="1"/>
  <c r="J2070" i="7" a="1"/>
  <c r="J2070" i="7" s="1"/>
  <c r="N2070" i="7" s="1"/>
  <c r="J2071" i="7" a="1"/>
  <c r="J2071" i="7" s="1"/>
  <c r="N2071" i="7" s="1"/>
  <c r="J2072" i="7" a="1"/>
  <c r="J2072" i="7" s="1"/>
  <c r="N2072" i="7" s="1"/>
  <c r="J2073" i="7" a="1"/>
  <c r="J2073" i="7" s="1"/>
  <c r="N2073" i="7" s="1"/>
  <c r="J2074" i="7" a="1"/>
  <c r="J2074" i="7" s="1"/>
  <c r="N2074" i="7" s="1"/>
  <c r="J2075" i="7" a="1"/>
  <c r="J2075" i="7" s="1"/>
  <c r="N2075" i="7" s="1"/>
  <c r="J2076" i="7" a="1"/>
  <c r="J2076" i="7" s="1"/>
  <c r="N2076" i="7" s="1"/>
  <c r="J2077" i="7" a="1"/>
  <c r="J2077" i="7" s="1"/>
  <c r="N2077" i="7" s="1"/>
  <c r="J2078" i="7" a="1"/>
  <c r="J2078" i="7" s="1"/>
  <c r="N2078" i="7" s="1"/>
  <c r="J2079" i="7" a="1"/>
  <c r="J2079" i="7" s="1"/>
  <c r="N2079" i="7" s="1"/>
  <c r="J2080" i="7" a="1"/>
  <c r="J2080" i="7" s="1"/>
  <c r="N2080" i="7" s="1"/>
  <c r="J2081" i="7" a="1"/>
  <c r="J2081" i="7" s="1"/>
  <c r="N2081" i="7" s="1"/>
  <c r="J2082" i="7" a="1"/>
  <c r="J2082" i="7" s="1"/>
  <c r="N2082" i="7" s="1"/>
  <c r="J2083" i="7" a="1"/>
  <c r="J2083" i="7" s="1"/>
  <c r="N2083" i="7" s="1"/>
  <c r="J2084" i="7" a="1"/>
  <c r="J2084" i="7" s="1"/>
  <c r="N2084" i="7" s="1"/>
  <c r="J2085" i="7" a="1"/>
  <c r="J2085" i="7" s="1"/>
  <c r="N2085" i="7" s="1"/>
  <c r="J1960" i="7" a="1"/>
  <c r="J1960" i="7" s="1"/>
  <c r="N1960" i="7" s="1"/>
  <c r="J1834" i="7" a="1"/>
  <c r="J1834" i="7" s="1"/>
  <c r="N1834" i="7" s="1"/>
  <c r="J1835" i="7" a="1"/>
  <c r="J1835" i="7" s="1"/>
  <c r="N1835" i="7" s="1"/>
  <c r="J1836" i="7" a="1"/>
  <c r="J1836" i="7" s="1"/>
  <c r="N1836" i="7" s="1"/>
  <c r="J1837" i="7" a="1"/>
  <c r="J1837" i="7" s="1"/>
  <c r="N1837" i="7" s="1"/>
  <c r="J1838" i="7" a="1"/>
  <c r="J1838" i="7" s="1"/>
  <c r="N1838" i="7" s="1"/>
  <c r="J1839" i="7" a="1"/>
  <c r="J1839" i="7" s="1"/>
  <c r="N1839" i="7" s="1"/>
  <c r="J1840" i="7" a="1"/>
  <c r="J1840" i="7" s="1"/>
  <c r="N1840" i="7" s="1"/>
  <c r="J1841" i="7" a="1"/>
  <c r="J1841" i="7" s="1"/>
  <c r="N1841" i="7" s="1"/>
  <c r="J1842" i="7" a="1"/>
  <c r="J1842" i="7" s="1"/>
  <c r="N1842" i="7" s="1"/>
  <c r="J1843" i="7" a="1"/>
  <c r="J1843" i="7" s="1"/>
  <c r="N1843" i="7" s="1"/>
  <c r="J1844" i="7" a="1"/>
  <c r="J1844" i="7" s="1"/>
  <c r="N1844" i="7" s="1"/>
  <c r="J1845" i="7" a="1"/>
  <c r="J1845" i="7" s="1"/>
  <c r="N1845" i="7" s="1"/>
  <c r="J1846" i="7" a="1"/>
  <c r="J1846" i="7" s="1"/>
  <c r="N1846" i="7" s="1"/>
  <c r="J1847" i="7" a="1"/>
  <c r="J1847" i="7" s="1"/>
  <c r="N1847" i="7" s="1"/>
  <c r="J1848" i="7" a="1"/>
  <c r="J1848" i="7" s="1"/>
  <c r="N1848" i="7" s="1"/>
  <c r="J1849" i="7" a="1"/>
  <c r="J1849" i="7" s="1"/>
  <c r="N1849" i="7" s="1"/>
  <c r="J1850" i="7" a="1"/>
  <c r="J1850" i="7" s="1"/>
  <c r="N1850" i="7" s="1"/>
  <c r="J1851" i="7" a="1"/>
  <c r="J1851" i="7" s="1"/>
  <c r="N1851" i="7" s="1"/>
  <c r="J1852" i="7" a="1"/>
  <c r="J1852" i="7" s="1"/>
  <c r="N1852" i="7" s="1"/>
  <c r="J1853" i="7" a="1"/>
  <c r="J1853" i="7" s="1"/>
  <c r="N1853" i="7" s="1"/>
  <c r="J1854" i="7" a="1"/>
  <c r="J1854" i="7" s="1"/>
  <c r="N1854" i="7" s="1"/>
  <c r="J1855" i="7" a="1"/>
  <c r="J1855" i="7" s="1"/>
  <c r="N1855" i="7" s="1"/>
  <c r="J1856" i="7" a="1"/>
  <c r="J1856" i="7" s="1"/>
  <c r="N1856" i="7" s="1"/>
  <c r="J1857" i="7" a="1"/>
  <c r="J1857" i="7" s="1"/>
  <c r="N1857" i="7" s="1"/>
  <c r="J1858" i="7" a="1"/>
  <c r="J1858" i="7" s="1"/>
  <c r="N1858" i="7" s="1"/>
  <c r="J1859" i="7" a="1"/>
  <c r="J1859" i="7" s="1"/>
  <c r="N1859" i="7" s="1"/>
  <c r="J1860" i="7" a="1"/>
  <c r="J1860" i="7" s="1"/>
  <c r="N1860" i="7" s="1"/>
  <c r="J1861" i="7" a="1"/>
  <c r="J1861" i="7" s="1"/>
  <c r="N1861" i="7" s="1"/>
  <c r="J1862" i="7" a="1"/>
  <c r="J1862" i="7" s="1"/>
  <c r="N1862" i="7" s="1"/>
  <c r="J1863" i="7" a="1"/>
  <c r="J1863" i="7" s="1"/>
  <c r="N1863" i="7" s="1"/>
  <c r="J1864" i="7" a="1"/>
  <c r="J1864" i="7" s="1"/>
  <c r="N1864" i="7" s="1"/>
  <c r="J1865" i="7" a="1"/>
  <c r="J1865" i="7" s="1"/>
  <c r="N1865" i="7" s="1"/>
  <c r="J1866" i="7" a="1"/>
  <c r="J1866" i="7" s="1"/>
  <c r="N1866" i="7" s="1"/>
  <c r="J1867" i="7" a="1"/>
  <c r="J1867" i="7" s="1"/>
  <c r="N1867" i="7" s="1"/>
  <c r="J1868" i="7" a="1"/>
  <c r="J1868" i="7" s="1"/>
  <c r="N1868" i="7" s="1"/>
  <c r="J1869" i="7" a="1"/>
  <c r="J1869" i="7" s="1"/>
  <c r="N1869" i="7" s="1"/>
  <c r="J1870" i="7" a="1"/>
  <c r="J1870" i="7" s="1"/>
  <c r="N1870" i="7" s="1"/>
  <c r="J1871" i="7" a="1"/>
  <c r="J1871" i="7" s="1"/>
  <c r="N1871" i="7" s="1"/>
  <c r="J1872" i="7" a="1"/>
  <c r="J1872" i="7" s="1"/>
  <c r="N1872" i="7" s="1"/>
  <c r="J1873" i="7" a="1"/>
  <c r="J1873" i="7" s="1"/>
  <c r="N1873" i="7" s="1"/>
  <c r="J1874" i="7" a="1"/>
  <c r="J1874" i="7" s="1"/>
  <c r="N1874" i="7" s="1"/>
  <c r="J1875" i="7" a="1"/>
  <c r="J1875" i="7" s="1"/>
  <c r="N1875" i="7" s="1"/>
  <c r="J1876" i="7" a="1"/>
  <c r="J1876" i="7" s="1"/>
  <c r="N1876" i="7" s="1"/>
  <c r="J1877" i="7" a="1"/>
  <c r="J1877" i="7" s="1"/>
  <c r="N1877" i="7" s="1"/>
  <c r="J1878" i="7" a="1"/>
  <c r="J1878" i="7" s="1"/>
  <c r="N1878" i="7" s="1"/>
  <c r="J1879" i="7" a="1"/>
  <c r="J1879" i="7" s="1"/>
  <c r="N1879" i="7" s="1"/>
  <c r="J1880" i="7" a="1"/>
  <c r="J1880" i="7" s="1"/>
  <c r="N1880" i="7" s="1"/>
  <c r="J1881" i="7" a="1"/>
  <c r="J1881" i="7" s="1"/>
  <c r="N1881" i="7" s="1"/>
  <c r="J1882" i="7" a="1"/>
  <c r="J1882" i="7" s="1"/>
  <c r="N1882" i="7" s="1"/>
  <c r="J1883" i="7" a="1"/>
  <c r="J1883" i="7" s="1"/>
  <c r="N1883" i="7" s="1"/>
  <c r="J1884" i="7" a="1"/>
  <c r="J1884" i="7" s="1"/>
  <c r="N1884" i="7" s="1"/>
  <c r="J1885" i="7" a="1"/>
  <c r="J1885" i="7" s="1"/>
  <c r="N1885" i="7" s="1"/>
  <c r="J1886" i="7" a="1"/>
  <c r="J1886" i="7" s="1"/>
  <c r="N1886" i="7" s="1"/>
  <c r="J1887" i="7" a="1"/>
  <c r="J1887" i="7" s="1"/>
  <c r="N1887" i="7" s="1"/>
  <c r="J1888" i="7" a="1"/>
  <c r="J1888" i="7" s="1"/>
  <c r="N1888" i="7" s="1"/>
  <c r="J1889" i="7" a="1"/>
  <c r="J1889" i="7" s="1"/>
  <c r="N1889" i="7" s="1"/>
  <c r="J1890" i="7" a="1"/>
  <c r="J1890" i="7" s="1"/>
  <c r="N1890" i="7" s="1"/>
  <c r="J1891" i="7" a="1"/>
  <c r="J1891" i="7" s="1"/>
  <c r="N1891" i="7" s="1"/>
  <c r="J1892" i="7" a="1"/>
  <c r="J1892" i="7" s="1"/>
  <c r="N1892" i="7" s="1"/>
  <c r="J1893" i="7" a="1"/>
  <c r="J1893" i="7" s="1"/>
  <c r="N1893" i="7" s="1"/>
  <c r="J1894" i="7" a="1"/>
  <c r="J1894" i="7" s="1"/>
  <c r="N1894" i="7" s="1"/>
  <c r="J1895" i="7" a="1"/>
  <c r="J1895" i="7" s="1"/>
  <c r="N1895" i="7" s="1"/>
  <c r="J1896" i="7" a="1"/>
  <c r="J1896" i="7" s="1"/>
  <c r="N1896" i="7" s="1"/>
  <c r="J1897" i="7" a="1"/>
  <c r="J1897" i="7" s="1"/>
  <c r="N1897" i="7" s="1"/>
  <c r="J1898" i="7" a="1"/>
  <c r="J1898" i="7" s="1"/>
  <c r="N1898" i="7" s="1"/>
  <c r="J1899" i="7" a="1"/>
  <c r="J1899" i="7" s="1"/>
  <c r="N1899" i="7" s="1"/>
  <c r="J1900" i="7" a="1"/>
  <c r="J1900" i="7" s="1"/>
  <c r="N1900" i="7" s="1"/>
  <c r="J1901" i="7" a="1"/>
  <c r="J1901" i="7" s="1"/>
  <c r="N1901" i="7" s="1"/>
  <c r="J1902" i="7" a="1"/>
  <c r="J1902" i="7" s="1"/>
  <c r="N1902" i="7" s="1"/>
  <c r="J1903" i="7" a="1"/>
  <c r="J1903" i="7" s="1"/>
  <c r="N1903" i="7" s="1"/>
  <c r="J1904" i="7" a="1"/>
  <c r="J1904" i="7" s="1"/>
  <c r="N1904" i="7" s="1"/>
  <c r="J1905" i="7" a="1"/>
  <c r="J1905" i="7" s="1"/>
  <c r="N1905" i="7" s="1"/>
  <c r="J1906" i="7" a="1"/>
  <c r="J1906" i="7" s="1"/>
  <c r="N1906" i="7" s="1"/>
  <c r="J1907" i="7" a="1"/>
  <c r="J1907" i="7" s="1"/>
  <c r="N1907" i="7" s="1"/>
  <c r="J1908" i="7" a="1"/>
  <c r="J1908" i="7" s="1"/>
  <c r="N1908" i="7" s="1"/>
  <c r="J1909" i="7" a="1"/>
  <c r="J1909" i="7" s="1"/>
  <c r="N1909" i="7" s="1"/>
  <c r="J1910" i="7" a="1"/>
  <c r="J1910" i="7" s="1"/>
  <c r="N1910" i="7" s="1"/>
  <c r="J1911" i="7" a="1"/>
  <c r="J1911" i="7" s="1"/>
  <c r="N1911" i="7" s="1"/>
  <c r="J1912" i="7" a="1"/>
  <c r="J1912" i="7" s="1"/>
  <c r="N1912" i="7" s="1"/>
  <c r="J1913" i="7" a="1"/>
  <c r="J1913" i="7" s="1"/>
  <c r="N1913" i="7" s="1"/>
  <c r="J1914" i="7" a="1"/>
  <c r="J1914" i="7" s="1"/>
  <c r="N1914" i="7" s="1"/>
  <c r="J1915" i="7" a="1"/>
  <c r="J1915" i="7" s="1"/>
  <c r="N1915" i="7" s="1"/>
  <c r="J1916" i="7" a="1"/>
  <c r="J1916" i="7" s="1"/>
  <c r="N1916" i="7" s="1"/>
  <c r="J1917" i="7" a="1"/>
  <c r="J1917" i="7" s="1"/>
  <c r="N1917" i="7" s="1"/>
  <c r="J1918" i="7" a="1"/>
  <c r="J1918" i="7" s="1"/>
  <c r="N1918" i="7" s="1"/>
  <c r="J1919" i="7" a="1"/>
  <c r="J1919" i="7" s="1"/>
  <c r="N1919" i="7" s="1"/>
  <c r="J1920" i="7" a="1"/>
  <c r="J1920" i="7" s="1"/>
  <c r="N1920" i="7" s="1"/>
  <c r="J1921" i="7" a="1"/>
  <c r="J1921" i="7" s="1"/>
  <c r="N1921" i="7" s="1"/>
  <c r="J1922" i="7" a="1"/>
  <c r="J1922" i="7" s="1"/>
  <c r="N1922" i="7" s="1"/>
  <c r="J1923" i="7" a="1"/>
  <c r="J1923" i="7" s="1"/>
  <c r="N1923" i="7" s="1"/>
  <c r="J1924" i="7" a="1"/>
  <c r="J1924" i="7" s="1"/>
  <c r="N1924" i="7" s="1"/>
  <c r="J1925" i="7" a="1"/>
  <c r="J1925" i="7" s="1"/>
  <c r="N1925" i="7" s="1"/>
  <c r="J1926" i="7" a="1"/>
  <c r="J1926" i="7" s="1"/>
  <c r="N1926" i="7" s="1"/>
  <c r="J1927" i="7" a="1"/>
  <c r="J1927" i="7" s="1"/>
  <c r="N1927" i="7" s="1"/>
  <c r="J1928" i="7" a="1"/>
  <c r="J1928" i="7" s="1"/>
  <c r="N1928" i="7" s="1"/>
  <c r="J1929" i="7" a="1"/>
  <c r="J1929" i="7" s="1"/>
  <c r="N1929" i="7" s="1"/>
  <c r="J1930" i="7" a="1"/>
  <c r="J1930" i="7" s="1"/>
  <c r="N1930" i="7" s="1"/>
  <c r="J1931" i="7" a="1"/>
  <c r="J1931" i="7" s="1"/>
  <c r="N1931" i="7" s="1"/>
  <c r="J1932" i="7" a="1"/>
  <c r="J1932" i="7" s="1"/>
  <c r="N1932" i="7" s="1"/>
  <c r="J1933" i="7" a="1"/>
  <c r="J1933" i="7" s="1"/>
  <c r="N1933" i="7" s="1"/>
  <c r="J1934" i="7" a="1"/>
  <c r="J1934" i="7" s="1"/>
  <c r="N1934" i="7" s="1"/>
  <c r="J1935" i="7" a="1"/>
  <c r="J1935" i="7" s="1"/>
  <c r="N1935" i="7" s="1"/>
  <c r="J1936" i="7" a="1"/>
  <c r="J1936" i="7" s="1"/>
  <c r="N1936" i="7" s="1"/>
  <c r="J1937" i="7" a="1"/>
  <c r="J1937" i="7" s="1"/>
  <c r="N1937" i="7" s="1"/>
  <c r="J1938" i="7" a="1"/>
  <c r="J1938" i="7" s="1"/>
  <c r="N1938" i="7" s="1"/>
  <c r="J1939" i="7" a="1"/>
  <c r="J1939" i="7" s="1"/>
  <c r="N1939" i="7" s="1"/>
  <c r="J1940" i="7" a="1"/>
  <c r="J1940" i="7" s="1"/>
  <c r="N1940" i="7" s="1"/>
  <c r="J1941" i="7" a="1"/>
  <c r="J1941" i="7" s="1"/>
  <c r="N1941" i="7" s="1"/>
  <c r="J1942" i="7" a="1"/>
  <c r="J1942" i="7" s="1"/>
  <c r="N1942" i="7" s="1"/>
  <c r="J1943" i="7" a="1"/>
  <c r="J1943" i="7" s="1"/>
  <c r="N1943" i="7" s="1"/>
  <c r="J1944" i="7" a="1"/>
  <c r="J1944" i="7" s="1"/>
  <c r="N1944" i="7" s="1"/>
  <c r="J1945" i="7" a="1"/>
  <c r="J1945" i="7" s="1"/>
  <c r="N1945" i="7" s="1"/>
  <c r="J1946" i="7" a="1"/>
  <c r="J1946" i="7" s="1"/>
  <c r="N1946" i="7" s="1"/>
  <c r="J1947" i="7" a="1"/>
  <c r="J1947" i="7" s="1"/>
  <c r="N1947" i="7" s="1"/>
  <c r="J1948" i="7" a="1"/>
  <c r="J1948" i="7" s="1"/>
  <c r="N1948" i="7" s="1"/>
  <c r="J1949" i="7" a="1"/>
  <c r="J1949" i="7" s="1"/>
  <c r="N1949" i="7" s="1"/>
  <c r="J1950" i="7" a="1"/>
  <c r="J1950" i="7" s="1"/>
  <c r="N1950" i="7" s="1"/>
  <c r="J1951" i="7" a="1"/>
  <c r="J1951" i="7" s="1"/>
  <c r="N1951" i="7" s="1"/>
  <c r="J1952" i="7" a="1"/>
  <c r="J1952" i="7" s="1"/>
  <c r="N1952" i="7" s="1"/>
  <c r="J1953" i="7" a="1"/>
  <c r="J1953" i="7" s="1"/>
  <c r="N1953" i="7" s="1"/>
  <c r="J1954" i="7" a="1"/>
  <c r="J1954" i="7" s="1"/>
  <c r="N1954" i="7" s="1"/>
  <c r="J1955" i="7" a="1"/>
  <c r="J1955" i="7" s="1"/>
  <c r="N1955" i="7" s="1"/>
  <c r="J1956" i="7" a="1"/>
  <c r="J1956" i="7" s="1"/>
  <c r="N1956" i="7" s="1"/>
  <c r="J1957" i="7" a="1"/>
  <c r="J1957" i="7" s="1"/>
  <c r="N1957" i="7" s="1"/>
  <c r="J1958" i="7" a="1"/>
  <c r="J1958" i="7" s="1"/>
  <c r="N1958" i="7" s="1"/>
  <c r="J1959" i="7" a="1"/>
  <c r="J1959" i="7" s="1"/>
  <c r="N1959" i="7" s="1"/>
  <c r="J1833" i="7" a="1"/>
  <c r="J1833" i="7" s="1"/>
  <c r="N1833" i="7" s="1"/>
  <c r="J1769" i="7" a="1"/>
  <c r="J1769" i="7" s="1"/>
  <c r="N1769" i="7" s="1"/>
  <c r="J1785" i="7" a="1"/>
  <c r="J1785" i="7" s="1"/>
  <c r="N1785" i="7" s="1"/>
  <c r="J1801" i="7" a="1"/>
  <c r="J1801" i="7" s="1"/>
  <c r="N1801" i="7" s="1"/>
  <c r="J1817" i="7" a="1"/>
  <c r="J1817" i="7" s="1"/>
  <c r="N1817" i="7" s="1"/>
  <c r="J1753" i="7" a="1"/>
  <c r="J1753" i="7" s="1"/>
  <c r="N1753" i="7" s="1"/>
  <c r="J1737" i="7" a="1"/>
  <c r="J1737" i="7" s="1"/>
  <c r="N1737" i="7" s="1"/>
  <c r="J1721" i="7" a="1"/>
  <c r="J1721" i="7" s="1"/>
  <c r="N1721" i="7" s="1"/>
  <c r="J1707" i="7" a="1"/>
  <c r="J1707" i="7" s="1"/>
  <c r="N1707" i="7" s="1"/>
  <c r="J1708" i="7" a="1"/>
  <c r="J1708" i="7" s="1"/>
  <c r="N1708" i="7" s="1"/>
  <c r="J1709" i="7" a="1"/>
  <c r="J1709" i="7" s="1"/>
  <c r="N1709" i="7" s="1"/>
  <c r="J1710" i="7" a="1"/>
  <c r="J1710" i="7" s="1"/>
  <c r="N1710" i="7" s="1"/>
  <c r="J1711" i="7" a="1"/>
  <c r="J1711" i="7" s="1"/>
  <c r="N1711" i="7" s="1"/>
  <c r="J1712" i="7" a="1"/>
  <c r="J1712" i="7" s="1"/>
  <c r="N1712" i="7" s="1"/>
  <c r="J1713" i="7" a="1"/>
  <c r="J1713" i="7" s="1"/>
  <c r="N1713" i="7" s="1"/>
  <c r="J1714" i="7" a="1"/>
  <c r="J1714" i="7" s="1"/>
  <c r="N1714" i="7" s="1"/>
  <c r="J1715" i="7" a="1"/>
  <c r="J1715" i="7" s="1"/>
  <c r="N1715" i="7" s="1"/>
  <c r="J1716" i="7" a="1"/>
  <c r="J1716" i="7" s="1"/>
  <c r="N1716" i="7" s="1"/>
  <c r="J1717" i="7" a="1"/>
  <c r="J1717" i="7" s="1"/>
  <c r="N1717" i="7" s="1"/>
  <c r="J1718" i="7" a="1"/>
  <c r="J1718" i="7" s="1"/>
  <c r="N1718" i="7" s="1"/>
  <c r="J1719" i="7" a="1"/>
  <c r="J1719" i="7" s="1"/>
  <c r="N1719" i="7" s="1"/>
  <c r="J1720" i="7" a="1"/>
  <c r="J1720" i="7" s="1"/>
  <c r="N1720" i="7" s="1"/>
  <c r="J1722" i="7" a="1"/>
  <c r="J1722" i="7" s="1"/>
  <c r="N1722" i="7" s="1"/>
  <c r="J1723" i="7" a="1"/>
  <c r="J1723" i="7" s="1"/>
  <c r="N1723" i="7" s="1"/>
  <c r="J1724" i="7" a="1"/>
  <c r="J1724" i="7" s="1"/>
  <c r="N1724" i="7" s="1"/>
  <c r="J1725" i="7" a="1"/>
  <c r="J1725" i="7" s="1"/>
  <c r="N1725" i="7" s="1"/>
  <c r="J1726" i="7" a="1"/>
  <c r="J1726" i="7" s="1"/>
  <c r="N1726" i="7" s="1"/>
  <c r="J1727" i="7" a="1"/>
  <c r="J1727" i="7" s="1"/>
  <c r="N1727" i="7" s="1"/>
  <c r="J1728" i="7" a="1"/>
  <c r="J1728" i="7" s="1"/>
  <c r="N1728" i="7" s="1"/>
  <c r="J1729" i="7" a="1"/>
  <c r="J1729" i="7" s="1"/>
  <c r="N1729" i="7" s="1"/>
  <c r="J1730" i="7" a="1"/>
  <c r="J1730" i="7" s="1"/>
  <c r="N1730" i="7" s="1"/>
  <c r="J1731" i="7" a="1"/>
  <c r="J1731" i="7" s="1"/>
  <c r="N1731" i="7" s="1"/>
  <c r="J1732" i="7" a="1"/>
  <c r="J1732" i="7" s="1"/>
  <c r="N1732" i="7" s="1"/>
  <c r="J1733" i="7" a="1"/>
  <c r="J1733" i="7" s="1"/>
  <c r="N1733" i="7" s="1"/>
  <c r="J1734" i="7" a="1"/>
  <c r="J1734" i="7" s="1"/>
  <c r="N1734" i="7" s="1"/>
  <c r="J1735" i="7" a="1"/>
  <c r="J1735" i="7" s="1"/>
  <c r="N1735" i="7" s="1"/>
  <c r="J1736" i="7" a="1"/>
  <c r="J1736" i="7" s="1"/>
  <c r="N1736" i="7" s="1"/>
  <c r="J1738" i="7" a="1"/>
  <c r="J1738" i="7" s="1"/>
  <c r="N1738" i="7" s="1"/>
  <c r="J1739" i="7" a="1"/>
  <c r="J1739" i="7" s="1"/>
  <c r="N1739" i="7" s="1"/>
  <c r="J1740" i="7" a="1"/>
  <c r="J1740" i="7" s="1"/>
  <c r="N1740" i="7" s="1"/>
  <c r="J1741" i="7" a="1"/>
  <c r="J1741" i="7" s="1"/>
  <c r="N1741" i="7" s="1"/>
  <c r="J1742" i="7" a="1"/>
  <c r="J1742" i="7" s="1"/>
  <c r="N1742" i="7" s="1"/>
  <c r="J1743" i="7" a="1"/>
  <c r="J1743" i="7" s="1"/>
  <c r="N1743" i="7" s="1"/>
  <c r="J1744" i="7" a="1"/>
  <c r="J1744" i="7" s="1"/>
  <c r="N1744" i="7" s="1"/>
  <c r="J1745" i="7" a="1"/>
  <c r="J1745" i="7" s="1"/>
  <c r="N1745" i="7" s="1"/>
  <c r="J1746" i="7" a="1"/>
  <c r="J1746" i="7" s="1"/>
  <c r="N1746" i="7" s="1"/>
  <c r="J1747" i="7" a="1"/>
  <c r="J1747" i="7" s="1"/>
  <c r="N1747" i="7" s="1"/>
  <c r="J1748" i="7" a="1"/>
  <c r="J1748" i="7" s="1"/>
  <c r="N1748" i="7" s="1"/>
  <c r="J1749" i="7" a="1"/>
  <c r="J1749" i="7" s="1"/>
  <c r="N1749" i="7" s="1"/>
  <c r="J1750" i="7" a="1"/>
  <c r="J1750" i="7" s="1"/>
  <c r="N1750" i="7" s="1"/>
  <c r="J1751" i="7" a="1"/>
  <c r="J1751" i="7" s="1"/>
  <c r="N1751" i="7" s="1"/>
  <c r="J1752" i="7" a="1"/>
  <c r="J1752" i="7" s="1"/>
  <c r="N1752" i="7" s="1"/>
  <c r="J1754" i="7" a="1"/>
  <c r="J1754" i="7" s="1"/>
  <c r="N1754" i="7" s="1"/>
  <c r="J1755" i="7" a="1"/>
  <c r="J1755" i="7" s="1"/>
  <c r="N1755" i="7" s="1"/>
  <c r="J1756" i="7" a="1"/>
  <c r="J1756" i="7" s="1"/>
  <c r="N1756" i="7" s="1"/>
  <c r="J1757" i="7" a="1"/>
  <c r="J1757" i="7" s="1"/>
  <c r="N1757" i="7" s="1"/>
  <c r="J1758" i="7" a="1"/>
  <c r="J1758" i="7" s="1"/>
  <c r="N1758" i="7" s="1"/>
  <c r="J1759" i="7" a="1"/>
  <c r="J1759" i="7" s="1"/>
  <c r="N1759" i="7" s="1"/>
  <c r="J1760" i="7" a="1"/>
  <c r="J1760" i="7" s="1"/>
  <c r="N1760" i="7" s="1"/>
  <c r="J1761" i="7" a="1"/>
  <c r="J1761" i="7" s="1"/>
  <c r="N1761" i="7" s="1"/>
  <c r="J1762" i="7" a="1"/>
  <c r="J1762" i="7" s="1"/>
  <c r="N1762" i="7" s="1"/>
  <c r="J1763" i="7" a="1"/>
  <c r="J1763" i="7" s="1"/>
  <c r="N1763" i="7" s="1"/>
  <c r="J1764" i="7" a="1"/>
  <c r="J1764" i="7" s="1"/>
  <c r="N1764" i="7" s="1"/>
  <c r="J1765" i="7" a="1"/>
  <c r="J1765" i="7" s="1"/>
  <c r="N1765" i="7" s="1"/>
  <c r="J1766" i="7" a="1"/>
  <c r="J1766" i="7" s="1"/>
  <c r="N1766" i="7" s="1"/>
  <c r="J1767" i="7" a="1"/>
  <c r="J1767" i="7" s="1"/>
  <c r="N1767" i="7" s="1"/>
  <c r="J1768" i="7" a="1"/>
  <c r="J1768" i="7" s="1"/>
  <c r="N1768" i="7" s="1"/>
  <c r="J1770" i="7" a="1"/>
  <c r="J1770" i="7" s="1"/>
  <c r="N1770" i="7" s="1"/>
  <c r="J1771" i="7" a="1"/>
  <c r="J1771" i="7" s="1"/>
  <c r="N1771" i="7" s="1"/>
  <c r="J1772" i="7" a="1"/>
  <c r="J1772" i="7" s="1"/>
  <c r="N1772" i="7" s="1"/>
  <c r="J1773" i="7" a="1"/>
  <c r="J1773" i="7" s="1"/>
  <c r="N1773" i="7" s="1"/>
  <c r="J1774" i="7" a="1"/>
  <c r="J1774" i="7" s="1"/>
  <c r="N1774" i="7" s="1"/>
  <c r="J1775" i="7" a="1"/>
  <c r="J1775" i="7" s="1"/>
  <c r="N1775" i="7" s="1"/>
  <c r="J1776" i="7" a="1"/>
  <c r="J1776" i="7" s="1"/>
  <c r="N1776" i="7" s="1"/>
  <c r="J1777" i="7" a="1"/>
  <c r="J1777" i="7" s="1"/>
  <c r="N1777" i="7" s="1"/>
  <c r="J1778" i="7" a="1"/>
  <c r="J1778" i="7" s="1"/>
  <c r="N1778" i="7" s="1"/>
  <c r="J1779" i="7" a="1"/>
  <c r="J1779" i="7" s="1"/>
  <c r="N1779" i="7" s="1"/>
  <c r="J1780" i="7" a="1"/>
  <c r="J1780" i="7" s="1"/>
  <c r="N1780" i="7" s="1"/>
  <c r="J1781" i="7" a="1"/>
  <c r="J1781" i="7" s="1"/>
  <c r="N1781" i="7" s="1"/>
  <c r="J1782" i="7" a="1"/>
  <c r="J1782" i="7" s="1"/>
  <c r="N1782" i="7" s="1"/>
  <c r="J1783" i="7" a="1"/>
  <c r="J1783" i="7" s="1"/>
  <c r="N1783" i="7" s="1"/>
  <c r="J1784" i="7" a="1"/>
  <c r="J1784" i="7" s="1"/>
  <c r="N1784" i="7" s="1"/>
  <c r="J1786" i="7" a="1"/>
  <c r="J1786" i="7" s="1"/>
  <c r="N1786" i="7" s="1"/>
  <c r="J1787" i="7" a="1"/>
  <c r="J1787" i="7" s="1"/>
  <c r="N1787" i="7" s="1"/>
  <c r="J1788" i="7" a="1"/>
  <c r="J1788" i="7" s="1"/>
  <c r="N1788" i="7" s="1"/>
  <c r="J1789" i="7" a="1"/>
  <c r="J1789" i="7" s="1"/>
  <c r="N1789" i="7" s="1"/>
  <c r="J1790" i="7" a="1"/>
  <c r="J1790" i="7" s="1"/>
  <c r="N1790" i="7" s="1"/>
  <c r="J1791" i="7" a="1"/>
  <c r="J1791" i="7" s="1"/>
  <c r="N1791" i="7" s="1"/>
  <c r="J1792" i="7" a="1"/>
  <c r="J1792" i="7" s="1"/>
  <c r="N1792" i="7" s="1"/>
  <c r="J1793" i="7" a="1"/>
  <c r="J1793" i="7" s="1"/>
  <c r="N1793" i="7" s="1"/>
  <c r="J1794" i="7" a="1"/>
  <c r="J1794" i="7" s="1"/>
  <c r="N1794" i="7" s="1"/>
  <c r="J1795" i="7" a="1"/>
  <c r="J1795" i="7" s="1"/>
  <c r="N1795" i="7" s="1"/>
  <c r="J1796" i="7" a="1"/>
  <c r="J1796" i="7" s="1"/>
  <c r="N1796" i="7" s="1"/>
  <c r="J1797" i="7" a="1"/>
  <c r="J1797" i="7" s="1"/>
  <c r="N1797" i="7" s="1"/>
  <c r="J1798" i="7" a="1"/>
  <c r="J1798" i="7" s="1"/>
  <c r="N1798" i="7" s="1"/>
  <c r="J1799" i="7" a="1"/>
  <c r="J1799" i="7" s="1"/>
  <c r="N1799" i="7" s="1"/>
  <c r="J1800" i="7" a="1"/>
  <c r="J1800" i="7" s="1"/>
  <c r="N1800" i="7" s="1"/>
  <c r="J1802" i="7" a="1"/>
  <c r="J1802" i="7" s="1"/>
  <c r="N1802" i="7" s="1"/>
  <c r="J1803" i="7" a="1"/>
  <c r="J1803" i="7" s="1"/>
  <c r="N1803" i="7" s="1"/>
  <c r="J1804" i="7" a="1"/>
  <c r="J1804" i="7" s="1"/>
  <c r="N1804" i="7" s="1"/>
  <c r="J1805" i="7" a="1"/>
  <c r="J1805" i="7" s="1"/>
  <c r="N1805" i="7" s="1"/>
  <c r="J1806" i="7" a="1"/>
  <c r="J1806" i="7" s="1"/>
  <c r="N1806" i="7" s="1"/>
  <c r="J1807" i="7" a="1"/>
  <c r="J1807" i="7" s="1"/>
  <c r="N1807" i="7" s="1"/>
  <c r="J1808" i="7" a="1"/>
  <c r="J1808" i="7" s="1"/>
  <c r="N1808" i="7" s="1"/>
  <c r="J1809" i="7" a="1"/>
  <c r="J1809" i="7" s="1"/>
  <c r="N1809" i="7" s="1"/>
  <c r="J1810" i="7" a="1"/>
  <c r="J1810" i="7" s="1"/>
  <c r="N1810" i="7" s="1"/>
  <c r="J1811" i="7" a="1"/>
  <c r="J1811" i="7" s="1"/>
  <c r="N1811" i="7" s="1"/>
  <c r="J1812" i="7" a="1"/>
  <c r="J1812" i="7" s="1"/>
  <c r="N1812" i="7" s="1"/>
  <c r="J1813" i="7" a="1"/>
  <c r="J1813" i="7" s="1"/>
  <c r="N1813" i="7" s="1"/>
  <c r="J1814" i="7" a="1"/>
  <c r="J1814" i="7" s="1"/>
  <c r="N1814" i="7" s="1"/>
  <c r="J1815" i="7" a="1"/>
  <c r="J1815" i="7" s="1"/>
  <c r="N1815" i="7" s="1"/>
  <c r="J1816" i="7" a="1"/>
  <c r="J1816" i="7" s="1"/>
  <c r="N1816" i="7" s="1"/>
  <c r="J1818" i="7" a="1"/>
  <c r="J1818" i="7" s="1"/>
  <c r="N1818" i="7" s="1"/>
  <c r="J1819" i="7" a="1"/>
  <c r="J1819" i="7" s="1"/>
  <c r="N1819" i="7" s="1"/>
  <c r="J1820" i="7" a="1"/>
  <c r="J1820" i="7" s="1"/>
  <c r="N1820" i="7" s="1"/>
  <c r="J1821" i="7" a="1"/>
  <c r="J1821" i="7" s="1"/>
  <c r="N1821" i="7" s="1"/>
  <c r="J1822" i="7" a="1"/>
  <c r="J1822" i="7" s="1"/>
  <c r="N1822" i="7" s="1"/>
  <c r="J1823" i="7" a="1"/>
  <c r="J1823" i="7" s="1"/>
  <c r="N1823" i="7" s="1"/>
  <c r="J1824" i="7" a="1"/>
  <c r="J1824" i="7" s="1"/>
  <c r="N1824" i="7" s="1"/>
  <c r="J1825" i="7" a="1"/>
  <c r="J1825" i="7" s="1"/>
  <c r="N1825" i="7" s="1"/>
  <c r="J1826" i="7" a="1"/>
  <c r="J1826" i="7" s="1"/>
  <c r="N1826" i="7" s="1"/>
  <c r="J1827" i="7" a="1"/>
  <c r="J1827" i="7" s="1"/>
  <c r="N1827" i="7" s="1"/>
  <c r="J1828" i="7" a="1"/>
  <c r="J1828" i="7" s="1"/>
  <c r="N1828" i="7" s="1"/>
  <c r="J1829" i="7" a="1"/>
  <c r="J1829" i="7" s="1"/>
  <c r="N1829" i="7" s="1"/>
  <c r="J1830" i="7" a="1"/>
  <c r="J1830" i="7" s="1"/>
  <c r="N1830" i="7" s="1"/>
  <c r="J1831" i="7" a="1"/>
  <c r="J1831" i="7" s="1"/>
  <c r="N1831" i="7" s="1"/>
  <c r="J1832" i="7" a="1"/>
  <c r="J1832" i="7" s="1"/>
  <c r="N1832" i="7" s="1"/>
  <c r="J1706" i="7" a="1"/>
  <c r="J1706" i="7" s="1"/>
  <c r="N1706" i="7" s="1"/>
  <c r="J1547" i="7" a="1"/>
  <c r="J1547" i="7" s="1"/>
  <c r="N1547" i="7" s="1"/>
  <c r="J1548" i="7" a="1"/>
  <c r="J1548" i="7" s="1"/>
  <c r="N1548" i="7" s="1"/>
  <c r="J1549" i="7" a="1"/>
  <c r="J1549" i="7" s="1"/>
  <c r="N1549" i="7" s="1"/>
  <c r="J1550" i="7" a="1"/>
  <c r="J1550" i="7" s="1"/>
  <c r="N1550" i="7" s="1"/>
  <c r="J1551" i="7" a="1"/>
  <c r="J1551" i="7" s="1"/>
  <c r="N1551" i="7" s="1"/>
  <c r="J1552" i="7" a="1"/>
  <c r="J1552" i="7" s="1"/>
  <c r="N1552" i="7" s="1"/>
  <c r="J1553" i="7" a="1"/>
  <c r="J1553" i="7" s="1"/>
  <c r="N1553" i="7" s="1"/>
  <c r="J1554" i="7" a="1"/>
  <c r="J1554" i="7" s="1"/>
  <c r="N1554" i="7" s="1"/>
  <c r="J1555" i="7" a="1"/>
  <c r="J1555" i="7" s="1"/>
  <c r="N1555" i="7" s="1"/>
  <c r="J1556" i="7" a="1"/>
  <c r="J1556" i="7" s="1"/>
  <c r="N1556" i="7" s="1"/>
  <c r="J1557" i="7" a="1"/>
  <c r="J1557" i="7" s="1"/>
  <c r="N1557" i="7" s="1"/>
  <c r="J1558" i="7" a="1"/>
  <c r="J1558" i="7" s="1"/>
  <c r="N1558" i="7" s="1"/>
  <c r="J1559" i="7" a="1"/>
  <c r="J1559" i="7" s="1"/>
  <c r="N1559" i="7" s="1"/>
  <c r="J1560" i="7" a="1"/>
  <c r="J1560" i="7" s="1"/>
  <c r="N1560" i="7" s="1"/>
  <c r="J1561" i="7" a="1"/>
  <c r="J1561" i="7" s="1"/>
  <c r="N1561" i="7" s="1"/>
  <c r="J1562" i="7" a="1"/>
  <c r="J1562" i="7" s="1"/>
  <c r="N1562" i="7" s="1"/>
  <c r="J1563" i="7" a="1"/>
  <c r="J1563" i="7" s="1"/>
  <c r="N1563" i="7" s="1"/>
  <c r="J1564" i="7" a="1"/>
  <c r="J1564" i="7" s="1"/>
  <c r="N1564" i="7" s="1"/>
  <c r="J1565" i="7" a="1"/>
  <c r="J1565" i="7" s="1"/>
  <c r="N1565" i="7" s="1"/>
  <c r="J1566" i="7" a="1"/>
  <c r="J1566" i="7" s="1"/>
  <c r="N1566" i="7" s="1"/>
  <c r="J1567" i="7" a="1"/>
  <c r="J1567" i="7" s="1"/>
  <c r="N1567" i="7" s="1"/>
  <c r="J1568" i="7" a="1"/>
  <c r="J1568" i="7" s="1"/>
  <c r="N1568" i="7" s="1"/>
  <c r="J1569" i="7" a="1"/>
  <c r="J1569" i="7" s="1"/>
  <c r="N1569" i="7" s="1"/>
  <c r="J1570" i="7" a="1"/>
  <c r="J1570" i="7" s="1"/>
  <c r="N1570" i="7" s="1"/>
  <c r="J1571" i="7" a="1"/>
  <c r="J1571" i="7" s="1"/>
  <c r="N1571" i="7" s="1"/>
  <c r="J1572" i="7" a="1"/>
  <c r="J1572" i="7" s="1"/>
  <c r="N1572" i="7" s="1"/>
  <c r="J1573" i="7" a="1"/>
  <c r="J1573" i="7" s="1"/>
  <c r="N1573" i="7" s="1"/>
  <c r="J1574" i="7" a="1"/>
  <c r="J1574" i="7" s="1"/>
  <c r="N1574" i="7" s="1"/>
  <c r="J1575" i="7" a="1"/>
  <c r="J1575" i="7" s="1"/>
  <c r="N1575" i="7" s="1"/>
  <c r="J1576" i="7" a="1"/>
  <c r="J1576" i="7" s="1"/>
  <c r="N1576" i="7" s="1"/>
  <c r="J1577" i="7" a="1"/>
  <c r="J1577" i="7" s="1"/>
  <c r="N1577" i="7" s="1"/>
  <c r="J1578" i="7" a="1"/>
  <c r="J1578" i="7" s="1"/>
  <c r="N1578" i="7" s="1"/>
  <c r="J1579" i="7" a="1"/>
  <c r="J1579" i="7" s="1"/>
  <c r="N1579" i="7" s="1"/>
  <c r="J1580" i="7" a="1"/>
  <c r="J1580" i="7" s="1"/>
  <c r="N1580" i="7" s="1"/>
  <c r="J1581" i="7" a="1"/>
  <c r="J1581" i="7" s="1"/>
  <c r="N1581" i="7" s="1"/>
  <c r="J1582" i="7" a="1"/>
  <c r="J1582" i="7" s="1"/>
  <c r="N1582" i="7" s="1"/>
  <c r="J1583" i="7" a="1"/>
  <c r="J1583" i="7" s="1"/>
  <c r="N1583" i="7" s="1"/>
  <c r="J1584" i="7" a="1"/>
  <c r="J1584" i="7" s="1"/>
  <c r="N1584" i="7" s="1"/>
  <c r="J1585" i="7" a="1"/>
  <c r="J1585" i="7" s="1"/>
  <c r="N1585" i="7" s="1"/>
  <c r="J1586" i="7" a="1"/>
  <c r="J1586" i="7" s="1"/>
  <c r="N1586" i="7" s="1"/>
  <c r="J1587" i="7" a="1"/>
  <c r="J1587" i="7" s="1"/>
  <c r="N1587" i="7" s="1"/>
  <c r="J1588" i="7" a="1"/>
  <c r="J1588" i="7" s="1"/>
  <c r="N1588" i="7" s="1"/>
  <c r="J1589" i="7" a="1"/>
  <c r="J1589" i="7" s="1"/>
  <c r="N1589" i="7" s="1"/>
  <c r="J1590" i="7" a="1"/>
  <c r="J1590" i="7" s="1"/>
  <c r="N1590" i="7" s="1"/>
  <c r="J1591" i="7" a="1"/>
  <c r="J1591" i="7" s="1"/>
  <c r="N1591" i="7" s="1"/>
  <c r="J1592" i="7" a="1"/>
  <c r="J1592" i="7" s="1"/>
  <c r="N1592" i="7" s="1"/>
  <c r="J1593" i="7" a="1"/>
  <c r="J1593" i="7" s="1"/>
  <c r="N1593" i="7" s="1"/>
  <c r="J1594" i="7" a="1"/>
  <c r="J1594" i="7" s="1"/>
  <c r="N1594" i="7" s="1"/>
  <c r="J1595" i="7" a="1"/>
  <c r="J1595" i="7" s="1"/>
  <c r="N1595" i="7" s="1"/>
  <c r="J1596" i="7" a="1"/>
  <c r="J1596" i="7" s="1"/>
  <c r="N1596" i="7" s="1"/>
  <c r="J1597" i="7" a="1"/>
  <c r="J1597" i="7" s="1"/>
  <c r="N1597" i="7" s="1"/>
  <c r="J1598" i="7" a="1"/>
  <c r="J1598" i="7" s="1"/>
  <c r="N1598" i="7" s="1"/>
  <c r="J1599" i="7" a="1"/>
  <c r="J1599" i="7" s="1"/>
  <c r="N1599" i="7" s="1"/>
  <c r="J1600" i="7" a="1"/>
  <c r="J1600" i="7" s="1"/>
  <c r="N1600" i="7" s="1"/>
  <c r="J1601" i="7" a="1"/>
  <c r="J1601" i="7" s="1"/>
  <c r="N1601" i="7" s="1"/>
  <c r="J1602" i="7" a="1"/>
  <c r="J1602" i="7" s="1"/>
  <c r="N1602" i="7" s="1"/>
  <c r="J1603" i="7" a="1"/>
  <c r="J1603" i="7" s="1"/>
  <c r="N1603" i="7" s="1"/>
  <c r="J1604" i="7" a="1"/>
  <c r="J1604" i="7" s="1"/>
  <c r="N1604" i="7" s="1"/>
  <c r="J1605" i="7" a="1"/>
  <c r="J1605" i="7" s="1"/>
  <c r="N1605" i="7" s="1"/>
  <c r="J1606" i="7" a="1"/>
  <c r="J1606" i="7" s="1"/>
  <c r="N1606" i="7" s="1"/>
  <c r="J1607" i="7" a="1"/>
  <c r="J1607" i="7" s="1"/>
  <c r="N1607" i="7" s="1"/>
  <c r="J1608" i="7" a="1"/>
  <c r="J1608" i="7" s="1"/>
  <c r="N1608" i="7" s="1"/>
  <c r="J1609" i="7" a="1"/>
  <c r="J1609" i="7" s="1"/>
  <c r="N1609" i="7" s="1"/>
  <c r="J1610" i="7" a="1"/>
  <c r="J1610" i="7" s="1"/>
  <c r="N1610" i="7" s="1"/>
  <c r="J1611" i="7" a="1"/>
  <c r="J1611" i="7" s="1"/>
  <c r="N1611" i="7" s="1"/>
  <c r="J1612" i="7" a="1"/>
  <c r="J1612" i="7" s="1"/>
  <c r="N1612" i="7" s="1"/>
  <c r="J1613" i="7" a="1"/>
  <c r="J1613" i="7" s="1"/>
  <c r="N1613" i="7" s="1"/>
  <c r="J1614" i="7" a="1"/>
  <c r="J1614" i="7" s="1"/>
  <c r="N1614" i="7" s="1"/>
  <c r="J1615" i="7" a="1"/>
  <c r="J1615" i="7" s="1"/>
  <c r="N1615" i="7" s="1"/>
  <c r="J1616" i="7" a="1"/>
  <c r="J1616" i="7" s="1"/>
  <c r="N1616" i="7" s="1"/>
  <c r="J1617" i="7" a="1"/>
  <c r="J1617" i="7" s="1"/>
  <c r="N1617" i="7" s="1"/>
  <c r="J1618" i="7" a="1"/>
  <c r="J1618" i="7" s="1"/>
  <c r="N1618" i="7" s="1"/>
  <c r="J1619" i="7" a="1"/>
  <c r="J1619" i="7" s="1"/>
  <c r="N1619" i="7" s="1"/>
  <c r="J1620" i="7" a="1"/>
  <c r="J1620" i="7" s="1"/>
  <c r="N1620" i="7" s="1"/>
  <c r="J1621" i="7" a="1"/>
  <c r="J1621" i="7" s="1"/>
  <c r="N1621" i="7" s="1"/>
  <c r="J1622" i="7" a="1"/>
  <c r="J1622" i="7" s="1"/>
  <c r="N1622" i="7" s="1"/>
  <c r="J1623" i="7" a="1"/>
  <c r="J1623" i="7" s="1"/>
  <c r="N1623" i="7" s="1"/>
  <c r="J1624" i="7" a="1"/>
  <c r="J1624" i="7" s="1"/>
  <c r="N1624" i="7" s="1"/>
  <c r="J1625" i="7" a="1"/>
  <c r="J1625" i="7" s="1"/>
  <c r="N1625" i="7" s="1"/>
  <c r="J1626" i="7" a="1"/>
  <c r="J1626" i="7" s="1"/>
  <c r="N1626" i="7" s="1"/>
  <c r="J1627" i="7" a="1"/>
  <c r="J1627" i="7" s="1"/>
  <c r="N1627" i="7" s="1"/>
  <c r="J1628" i="7" a="1"/>
  <c r="J1628" i="7" s="1"/>
  <c r="N1628" i="7" s="1"/>
  <c r="J1629" i="7" a="1"/>
  <c r="J1629" i="7" s="1"/>
  <c r="N1629" i="7" s="1"/>
  <c r="J1630" i="7" a="1"/>
  <c r="J1630" i="7" s="1"/>
  <c r="N1630" i="7" s="1"/>
  <c r="J1631" i="7" a="1"/>
  <c r="J1631" i="7" s="1"/>
  <c r="N1631" i="7" s="1"/>
  <c r="J1632" i="7" a="1"/>
  <c r="J1632" i="7" s="1"/>
  <c r="N1632" i="7" s="1"/>
  <c r="J1633" i="7" a="1"/>
  <c r="J1633" i="7" s="1"/>
  <c r="N1633" i="7" s="1"/>
  <c r="J1634" i="7" a="1"/>
  <c r="J1634" i="7" s="1"/>
  <c r="N1634" i="7" s="1"/>
  <c r="J1635" i="7" a="1"/>
  <c r="J1635" i="7" s="1"/>
  <c r="N1635" i="7" s="1"/>
  <c r="J1636" i="7" a="1"/>
  <c r="J1636" i="7" s="1"/>
  <c r="N1636" i="7" s="1"/>
  <c r="J1637" i="7" a="1"/>
  <c r="J1637" i="7" s="1"/>
  <c r="N1637" i="7" s="1"/>
  <c r="J1638" i="7" a="1"/>
  <c r="J1638" i="7" s="1"/>
  <c r="N1638" i="7" s="1"/>
  <c r="J1639" i="7" a="1"/>
  <c r="J1639" i="7" s="1"/>
  <c r="N1639" i="7" s="1"/>
  <c r="J1640" i="7" a="1"/>
  <c r="J1640" i="7" s="1"/>
  <c r="N1640" i="7" s="1"/>
  <c r="J1641" i="7" a="1"/>
  <c r="J1641" i="7" s="1"/>
  <c r="N1641" i="7" s="1"/>
  <c r="J1642" i="7" a="1"/>
  <c r="J1642" i="7" s="1"/>
  <c r="N1642" i="7" s="1"/>
  <c r="J1643" i="7" a="1"/>
  <c r="J1643" i="7" s="1"/>
  <c r="N1643" i="7" s="1"/>
  <c r="J1644" i="7" a="1"/>
  <c r="J1644" i="7" s="1"/>
  <c r="N1644" i="7" s="1"/>
  <c r="J1645" i="7" a="1"/>
  <c r="J1645" i="7" s="1"/>
  <c r="N1645" i="7" s="1"/>
  <c r="J1646" i="7" a="1"/>
  <c r="J1646" i="7" s="1"/>
  <c r="N1646" i="7" s="1"/>
  <c r="J1647" i="7" a="1"/>
  <c r="J1647" i="7" s="1"/>
  <c r="N1647" i="7" s="1"/>
  <c r="J1648" i="7" a="1"/>
  <c r="J1648" i="7" s="1"/>
  <c r="N1648" i="7" s="1"/>
  <c r="J1649" i="7" a="1"/>
  <c r="J1649" i="7" s="1"/>
  <c r="N1649" i="7" s="1"/>
  <c r="J1650" i="7" a="1"/>
  <c r="J1650" i="7" s="1"/>
  <c r="N1650" i="7" s="1"/>
  <c r="J1651" i="7" a="1"/>
  <c r="J1651" i="7" s="1"/>
  <c r="N1651" i="7" s="1"/>
  <c r="J1652" i="7" a="1"/>
  <c r="J1652" i="7" s="1"/>
  <c r="N1652" i="7" s="1"/>
  <c r="J1653" i="7" a="1"/>
  <c r="J1653" i="7" s="1"/>
  <c r="N1653" i="7" s="1"/>
  <c r="J1654" i="7" a="1"/>
  <c r="J1654" i="7" s="1"/>
  <c r="N1654" i="7" s="1"/>
  <c r="J1655" i="7" a="1"/>
  <c r="J1655" i="7" s="1"/>
  <c r="N1655" i="7" s="1"/>
  <c r="J1656" i="7" a="1"/>
  <c r="J1656" i="7" s="1"/>
  <c r="N1656" i="7" s="1"/>
  <c r="J1657" i="7" a="1"/>
  <c r="J1657" i="7" s="1"/>
  <c r="N1657" i="7" s="1"/>
  <c r="J1658" i="7" a="1"/>
  <c r="J1658" i="7" s="1"/>
  <c r="N1658" i="7" s="1"/>
  <c r="J1659" i="7" a="1"/>
  <c r="J1659" i="7" s="1"/>
  <c r="N1659" i="7" s="1"/>
  <c r="J1660" i="7" a="1"/>
  <c r="J1660" i="7" s="1"/>
  <c r="N1660" i="7" s="1"/>
  <c r="J1661" i="7" a="1"/>
  <c r="J1661" i="7" s="1"/>
  <c r="N1661" i="7" s="1"/>
  <c r="J1662" i="7" a="1"/>
  <c r="J1662" i="7" s="1"/>
  <c r="N1662" i="7" s="1"/>
  <c r="J1663" i="7" a="1"/>
  <c r="J1663" i="7" s="1"/>
  <c r="N1663" i="7" s="1"/>
  <c r="J1664" i="7" a="1"/>
  <c r="J1664" i="7" s="1"/>
  <c r="N1664" i="7" s="1"/>
  <c r="J1665" i="7" a="1"/>
  <c r="J1665" i="7" s="1"/>
  <c r="N1665" i="7" s="1"/>
  <c r="J1666" i="7" a="1"/>
  <c r="J1666" i="7" s="1"/>
  <c r="N1666" i="7" s="1"/>
  <c r="J1667" i="7" a="1"/>
  <c r="J1667" i="7" s="1"/>
  <c r="N1667" i="7" s="1"/>
  <c r="J1668" i="7" a="1"/>
  <c r="J1668" i="7" s="1"/>
  <c r="N1668" i="7" s="1"/>
  <c r="J1669" i="7" a="1"/>
  <c r="J1669" i="7" s="1"/>
  <c r="N1669" i="7" s="1"/>
  <c r="J1670" i="7" a="1"/>
  <c r="J1670" i="7" s="1"/>
  <c r="N1670" i="7" s="1"/>
  <c r="J1671" i="7" a="1"/>
  <c r="J1671" i="7" s="1"/>
  <c r="N1671" i="7" s="1"/>
  <c r="J1672" i="7" a="1"/>
  <c r="J1672" i="7" s="1"/>
  <c r="N1672" i="7" s="1"/>
  <c r="J1673" i="7" a="1"/>
  <c r="J1673" i="7" s="1"/>
  <c r="N1673" i="7" s="1"/>
  <c r="J1674" i="7" a="1"/>
  <c r="J1674" i="7" s="1"/>
  <c r="N1674" i="7" s="1"/>
  <c r="J1675" i="7" a="1"/>
  <c r="J1675" i="7" s="1"/>
  <c r="N1675" i="7" s="1"/>
  <c r="J1676" i="7" a="1"/>
  <c r="J1676" i="7" s="1"/>
  <c r="N1676" i="7" s="1"/>
  <c r="J1677" i="7" a="1"/>
  <c r="J1677" i="7" s="1"/>
  <c r="N1677" i="7" s="1"/>
  <c r="J1678" i="7" a="1"/>
  <c r="J1678" i="7" s="1"/>
  <c r="N1678" i="7" s="1"/>
  <c r="J1679" i="7" a="1"/>
  <c r="J1679" i="7" s="1"/>
  <c r="N1679" i="7" s="1"/>
  <c r="J1680" i="7" a="1"/>
  <c r="J1680" i="7" s="1"/>
  <c r="N1680" i="7" s="1"/>
  <c r="J1681" i="7" a="1"/>
  <c r="J1681" i="7" s="1"/>
  <c r="N1681" i="7" s="1"/>
  <c r="J1682" i="7" a="1"/>
  <c r="J1682" i="7" s="1"/>
  <c r="N1682" i="7" s="1"/>
  <c r="J1683" i="7" a="1"/>
  <c r="J1683" i="7" s="1"/>
  <c r="N1683" i="7" s="1"/>
  <c r="J1684" i="7" a="1"/>
  <c r="J1684" i="7" s="1"/>
  <c r="N1684" i="7" s="1"/>
  <c r="J1685" i="7" a="1"/>
  <c r="J1685" i="7" s="1"/>
  <c r="N1685" i="7" s="1"/>
  <c r="J1686" i="7" a="1"/>
  <c r="J1686" i="7" s="1"/>
  <c r="N1686" i="7" s="1"/>
  <c r="J1687" i="7" a="1"/>
  <c r="J1687" i="7" s="1"/>
  <c r="N1687" i="7" s="1"/>
  <c r="J1688" i="7" a="1"/>
  <c r="J1688" i="7" s="1"/>
  <c r="N1688" i="7" s="1"/>
  <c r="J1689" i="7" a="1"/>
  <c r="J1689" i="7" s="1"/>
  <c r="N1689" i="7" s="1"/>
  <c r="J1690" i="7" a="1"/>
  <c r="J1690" i="7" s="1"/>
  <c r="N1690" i="7" s="1"/>
  <c r="J1691" i="7" a="1"/>
  <c r="J1691" i="7" s="1"/>
  <c r="N1691" i="7" s="1"/>
  <c r="J1692" i="7" a="1"/>
  <c r="J1692" i="7" s="1"/>
  <c r="N1692" i="7" s="1"/>
  <c r="J1693" i="7" a="1"/>
  <c r="J1693" i="7" s="1"/>
  <c r="N1693" i="7" s="1"/>
  <c r="J1694" i="7" a="1"/>
  <c r="J1694" i="7" s="1"/>
  <c r="N1694" i="7" s="1"/>
  <c r="J1695" i="7" a="1"/>
  <c r="J1695" i="7" s="1"/>
  <c r="N1695" i="7" s="1"/>
  <c r="J1696" i="7" a="1"/>
  <c r="J1696" i="7" s="1"/>
  <c r="N1696" i="7" s="1"/>
  <c r="J1697" i="7" a="1"/>
  <c r="J1697" i="7" s="1"/>
  <c r="N1697" i="7" s="1"/>
  <c r="J1698" i="7" a="1"/>
  <c r="J1698" i="7" s="1"/>
  <c r="N1698" i="7" s="1"/>
  <c r="J1699" i="7" a="1"/>
  <c r="J1699" i="7" s="1"/>
  <c r="N1699" i="7" s="1"/>
  <c r="J1700" i="7" a="1"/>
  <c r="J1700" i="7" s="1"/>
  <c r="N1700" i="7" s="1"/>
  <c r="J1701" i="7" a="1"/>
  <c r="J1701" i="7" s="1"/>
  <c r="N1701" i="7" s="1"/>
  <c r="J1702" i="7" a="1"/>
  <c r="J1702" i="7" s="1"/>
  <c r="N1702" i="7" s="1"/>
  <c r="J1703" i="7" a="1"/>
  <c r="J1703" i="7" s="1"/>
  <c r="N1703" i="7" s="1"/>
  <c r="J1704" i="7" a="1"/>
  <c r="J1704" i="7" s="1"/>
  <c r="N1704" i="7" s="1"/>
  <c r="J1705" i="7" a="1"/>
  <c r="J1705" i="7" s="1"/>
  <c r="N1705" i="7" s="1"/>
  <c r="J1546" i="7" a="1"/>
  <c r="J1546" i="7" s="1"/>
  <c r="N1546" i="7" s="1"/>
  <c r="J1331" i="7" a="1"/>
  <c r="J1331" i="7" s="1"/>
  <c r="N1331" i="7" s="1"/>
  <c r="J1332" i="7" a="1"/>
  <c r="J1332" i="7" s="1"/>
  <c r="N1332" i="7" s="1"/>
  <c r="J1333" i="7" a="1"/>
  <c r="J1333" i="7" s="1"/>
  <c r="N1333" i="7" s="1"/>
  <c r="J1334" i="7" a="1"/>
  <c r="J1334" i="7" s="1"/>
  <c r="N1334" i="7" s="1"/>
  <c r="J1335" i="7" a="1"/>
  <c r="J1335" i="7" s="1"/>
  <c r="N1335" i="7" s="1"/>
  <c r="J1336" i="7" a="1"/>
  <c r="J1336" i="7" s="1"/>
  <c r="N1336" i="7" s="1"/>
  <c r="J1337" i="7" a="1"/>
  <c r="J1337" i="7" s="1"/>
  <c r="N1337" i="7" s="1"/>
  <c r="J1338" i="7" a="1"/>
  <c r="J1338" i="7" s="1"/>
  <c r="N1338" i="7" s="1"/>
  <c r="J1339" i="7" a="1"/>
  <c r="J1339" i="7" s="1"/>
  <c r="N1339" i="7" s="1"/>
  <c r="J1340" i="7" a="1"/>
  <c r="J1340" i="7" s="1"/>
  <c r="N1340" i="7" s="1"/>
  <c r="J1341" i="7" a="1"/>
  <c r="J1341" i="7" s="1"/>
  <c r="N1341" i="7" s="1"/>
  <c r="J1342" i="7" a="1"/>
  <c r="J1342" i="7" s="1"/>
  <c r="N1342" i="7" s="1"/>
  <c r="J1343" i="7" a="1"/>
  <c r="J1343" i="7" s="1"/>
  <c r="N1343" i="7" s="1"/>
  <c r="J1344" i="7" a="1"/>
  <c r="J1344" i="7" s="1"/>
  <c r="N1344" i="7" s="1"/>
  <c r="J1345" i="7" a="1"/>
  <c r="J1345" i="7" s="1"/>
  <c r="N1345" i="7" s="1"/>
  <c r="J1346" i="7" a="1"/>
  <c r="J1346" i="7" s="1"/>
  <c r="N1346" i="7" s="1"/>
  <c r="J1347" i="7" a="1"/>
  <c r="J1347" i="7" s="1"/>
  <c r="N1347" i="7" s="1"/>
  <c r="J1348" i="7" a="1"/>
  <c r="J1348" i="7" s="1"/>
  <c r="N1348" i="7" s="1"/>
  <c r="J1349" i="7" a="1"/>
  <c r="J1349" i="7" s="1"/>
  <c r="N1349" i="7" s="1"/>
  <c r="J1350" i="7" a="1"/>
  <c r="J1350" i="7" s="1"/>
  <c r="N1350" i="7" s="1"/>
  <c r="J1351" i="7" a="1"/>
  <c r="J1351" i="7" s="1"/>
  <c r="N1351" i="7" s="1"/>
  <c r="J1352" i="7" a="1"/>
  <c r="J1352" i="7" s="1"/>
  <c r="N1352" i="7" s="1"/>
  <c r="J1353" i="7" a="1"/>
  <c r="J1353" i="7" s="1"/>
  <c r="N1353" i="7" s="1"/>
  <c r="J1354" i="7" a="1"/>
  <c r="J1354" i="7" s="1"/>
  <c r="N1354" i="7" s="1"/>
  <c r="J1355" i="7" a="1"/>
  <c r="J1355" i="7" s="1"/>
  <c r="N1355" i="7" s="1"/>
  <c r="J1356" i="7" a="1"/>
  <c r="J1356" i="7" s="1"/>
  <c r="N1356" i="7" s="1"/>
  <c r="J1357" i="7" a="1"/>
  <c r="J1357" i="7" s="1"/>
  <c r="N1357" i="7" s="1"/>
  <c r="J1358" i="7" a="1"/>
  <c r="J1358" i="7" s="1"/>
  <c r="N1358" i="7" s="1"/>
  <c r="J1359" i="7" a="1"/>
  <c r="J1359" i="7" s="1"/>
  <c r="N1359" i="7" s="1"/>
  <c r="J1360" i="7" a="1"/>
  <c r="J1360" i="7" s="1"/>
  <c r="N1360" i="7" s="1"/>
  <c r="J1361" i="7" a="1"/>
  <c r="J1361" i="7" s="1"/>
  <c r="N1361" i="7" s="1"/>
  <c r="J1362" i="7" a="1"/>
  <c r="J1362" i="7" s="1"/>
  <c r="N1362" i="7" s="1"/>
  <c r="J1363" i="7" a="1"/>
  <c r="J1363" i="7" s="1"/>
  <c r="N1363" i="7" s="1"/>
  <c r="J1364" i="7" a="1"/>
  <c r="J1364" i="7" s="1"/>
  <c r="N1364" i="7" s="1"/>
  <c r="J1365" i="7" a="1"/>
  <c r="J1365" i="7" s="1"/>
  <c r="N1365" i="7" s="1"/>
  <c r="J1366" i="7" a="1"/>
  <c r="J1366" i="7" s="1"/>
  <c r="N1366" i="7" s="1"/>
  <c r="J1367" i="7" a="1"/>
  <c r="J1367" i="7" s="1"/>
  <c r="N1367" i="7" s="1"/>
  <c r="J1368" i="7" a="1"/>
  <c r="J1368" i="7" s="1"/>
  <c r="N1368" i="7" s="1"/>
  <c r="J1369" i="7" a="1"/>
  <c r="J1369" i="7" s="1"/>
  <c r="N1369" i="7" s="1"/>
  <c r="J1370" i="7" a="1"/>
  <c r="J1370" i="7" s="1"/>
  <c r="N1370" i="7" s="1"/>
  <c r="J1371" i="7" a="1"/>
  <c r="J1371" i="7" s="1"/>
  <c r="N1371" i="7" s="1"/>
  <c r="J1372" i="7" a="1"/>
  <c r="J1372" i="7" s="1"/>
  <c r="N1372" i="7" s="1"/>
  <c r="J1373" i="7" a="1"/>
  <c r="J1373" i="7" s="1"/>
  <c r="N1373" i="7" s="1"/>
  <c r="J1374" i="7" a="1"/>
  <c r="J1374" i="7" s="1"/>
  <c r="N1374" i="7" s="1"/>
  <c r="J1375" i="7" a="1"/>
  <c r="J1375" i="7" s="1"/>
  <c r="N1375" i="7" s="1"/>
  <c r="J1376" i="7" a="1"/>
  <c r="J1376" i="7" s="1"/>
  <c r="N1376" i="7" s="1"/>
  <c r="J1377" i="7" a="1"/>
  <c r="J1377" i="7" s="1"/>
  <c r="N1377" i="7" s="1"/>
  <c r="J1378" i="7" a="1"/>
  <c r="J1378" i="7" s="1"/>
  <c r="N1378" i="7" s="1"/>
  <c r="J1379" i="7" a="1"/>
  <c r="J1379" i="7" s="1"/>
  <c r="N1379" i="7" s="1"/>
  <c r="J1380" i="7" a="1"/>
  <c r="J1380" i="7" s="1"/>
  <c r="N1380" i="7" s="1"/>
  <c r="J1381" i="7" a="1"/>
  <c r="J1381" i="7" s="1"/>
  <c r="N1381" i="7" s="1"/>
  <c r="J1382" i="7" a="1"/>
  <c r="J1382" i="7" s="1"/>
  <c r="N1382" i="7" s="1"/>
  <c r="J1383" i="7" a="1"/>
  <c r="J1383" i="7" s="1"/>
  <c r="N1383" i="7" s="1"/>
  <c r="J1384" i="7" a="1"/>
  <c r="J1384" i="7" s="1"/>
  <c r="N1384" i="7" s="1"/>
  <c r="J1385" i="7" a="1"/>
  <c r="J1385" i="7" s="1"/>
  <c r="N1385" i="7" s="1"/>
  <c r="J1386" i="7" a="1"/>
  <c r="J1386" i="7" s="1"/>
  <c r="N1386" i="7" s="1"/>
  <c r="J1387" i="7" a="1"/>
  <c r="J1387" i="7" s="1"/>
  <c r="N1387" i="7" s="1"/>
  <c r="J1388" i="7" a="1"/>
  <c r="J1388" i="7" s="1"/>
  <c r="N1388" i="7" s="1"/>
  <c r="J1389" i="7" a="1"/>
  <c r="J1389" i="7" s="1"/>
  <c r="N1389" i="7" s="1"/>
  <c r="J1390" i="7" a="1"/>
  <c r="J1390" i="7" s="1"/>
  <c r="N1390" i="7" s="1"/>
  <c r="J1391" i="7" a="1"/>
  <c r="J1391" i="7" s="1"/>
  <c r="N1391" i="7" s="1"/>
  <c r="J1392" i="7" a="1"/>
  <c r="J1392" i="7" s="1"/>
  <c r="N1392" i="7" s="1"/>
  <c r="J1393" i="7" a="1"/>
  <c r="J1393" i="7" s="1"/>
  <c r="N1393" i="7" s="1"/>
  <c r="J1394" i="7" a="1"/>
  <c r="J1394" i="7" s="1"/>
  <c r="N1394" i="7" s="1"/>
  <c r="J1395" i="7" a="1"/>
  <c r="J1395" i="7" s="1"/>
  <c r="N1395" i="7" s="1"/>
  <c r="J1396" i="7" a="1"/>
  <c r="J1396" i="7" s="1"/>
  <c r="N1396" i="7" s="1"/>
  <c r="J1397" i="7" a="1"/>
  <c r="J1397" i="7" s="1"/>
  <c r="N1397" i="7" s="1"/>
  <c r="J1398" i="7" a="1"/>
  <c r="J1398" i="7" s="1"/>
  <c r="N1398" i="7" s="1"/>
  <c r="J1399" i="7" a="1"/>
  <c r="J1399" i="7" s="1"/>
  <c r="N1399" i="7" s="1"/>
  <c r="J1400" i="7" a="1"/>
  <c r="J1400" i="7" s="1"/>
  <c r="N1400" i="7" s="1"/>
  <c r="J1401" i="7" a="1"/>
  <c r="J1401" i="7" s="1"/>
  <c r="N1401" i="7" s="1"/>
  <c r="J1402" i="7" a="1"/>
  <c r="J1402" i="7" s="1"/>
  <c r="N1402" i="7" s="1"/>
  <c r="J1403" i="7" a="1"/>
  <c r="J1403" i="7" s="1"/>
  <c r="N1403" i="7" s="1"/>
  <c r="J1404" i="7" a="1"/>
  <c r="J1404" i="7" s="1"/>
  <c r="N1404" i="7" s="1"/>
  <c r="J1405" i="7" a="1"/>
  <c r="J1405" i="7" s="1"/>
  <c r="N1405" i="7" s="1"/>
  <c r="J1406" i="7" a="1"/>
  <c r="J1406" i="7" s="1"/>
  <c r="N1406" i="7" s="1"/>
  <c r="J1407" i="7" a="1"/>
  <c r="J1407" i="7" s="1"/>
  <c r="N1407" i="7" s="1"/>
  <c r="J1408" i="7" a="1"/>
  <c r="J1408" i="7" s="1"/>
  <c r="N1408" i="7" s="1"/>
  <c r="J1409" i="7" a="1"/>
  <c r="J1409" i="7" s="1"/>
  <c r="N1409" i="7" s="1"/>
  <c r="J1410" i="7" a="1"/>
  <c r="J1410" i="7" s="1"/>
  <c r="N1410" i="7" s="1"/>
  <c r="J1411" i="7" a="1"/>
  <c r="J1411" i="7" s="1"/>
  <c r="N1411" i="7" s="1"/>
  <c r="J1412" i="7" a="1"/>
  <c r="J1412" i="7" s="1"/>
  <c r="N1412" i="7" s="1"/>
  <c r="J1413" i="7" a="1"/>
  <c r="J1413" i="7" s="1"/>
  <c r="N1413" i="7" s="1"/>
  <c r="J1414" i="7" a="1"/>
  <c r="J1414" i="7" s="1"/>
  <c r="N1414" i="7" s="1"/>
  <c r="J1415" i="7" a="1"/>
  <c r="J1415" i="7" s="1"/>
  <c r="N1415" i="7" s="1"/>
  <c r="J1416" i="7" a="1"/>
  <c r="J1416" i="7" s="1"/>
  <c r="N1416" i="7" s="1"/>
  <c r="J1417" i="7" a="1"/>
  <c r="J1417" i="7" s="1"/>
  <c r="N1417" i="7" s="1"/>
  <c r="J1418" i="7" a="1"/>
  <c r="J1418" i="7" s="1"/>
  <c r="N1418" i="7" s="1"/>
  <c r="J1419" i="7" a="1"/>
  <c r="J1419" i="7" s="1"/>
  <c r="N1419" i="7" s="1"/>
  <c r="J1420" i="7" a="1"/>
  <c r="J1420" i="7" s="1"/>
  <c r="N1420" i="7" s="1"/>
  <c r="J1421" i="7" a="1"/>
  <c r="J1421" i="7" s="1"/>
  <c r="N1421" i="7" s="1"/>
  <c r="J1422" i="7" a="1"/>
  <c r="J1422" i="7" s="1"/>
  <c r="N1422" i="7" s="1"/>
  <c r="J1423" i="7" a="1"/>
  <c r="J1423" i="7" s="1"/>
  <c r="N1423" i="7" s="1"/>
  <c r="J1424" i="7" a="1"/>
  <c r="J1424" i="7" s="1"/>
  <c r="N1424" i="7" s="1"/>
  <c r="J1425" i="7" a="1"/>
  <c r="J1425" i="7" s="1"/>
  <c r="N1425" i="7" s="1"/>
  <c r="J1426" i="7" a="1"/>
  <c r="J1426" i="7" s="1"/>
  <c r="N1426" i="7" s="1"/>
  <c r="J1427" i="7" a="1"/>
  <c r="J1427" i="7" s="1"/>
  <c r="N1427" i="7" s="1"/>
  <c r="J1428" i="7" a="1"/>
  <c r="J1428" i="7" s="1"/>
  <c r="N1428" i="7" s="1"/>
  <c r="J1429" i="7" a="1"/>
  <c r="J1429" i="7" s="1"/>
  <c r="N1429" i="7" s="1"/>
  <c r="J1430" i="7" a="1"/>
  <c r="J1430" i="7" s="1"/>
  <c r="N1430" i="7" s="1"/>
  <c r="J1431" i="7" a="1"/>
  <c r="J1431" i="7" s="1"/>
  <c r="N1431" i="7" s="1"/>
  <c r="J1432" i="7" a="1"/>
  <c r="J1432" i="7" s="1"/>
  <c r="N1432" i="7" s="1"/>
  <c r="J1433" i="7" a="1"/>
  <c r="J1433" i="7" s="1"/>
  <c r="N1433" i="7" s="1"/>
  <c r="J1434" i="7" a="1"/>
  <c r="J1434" i="7" s="1"/>
  <c r="N1434" i="7" s="1"/>
  <c r="J1435" i="7" a="1"/>
  <c r="J1435" i="7" s="1"/>
  <c r="N1435" i="7" s="1"/>
  <c r="J1436" i="7" a="1"/>
  <c r="J1436" i="7" s="1"/>
  <c r="N1436" i="7" s="1"/>
  <c r="J1437" i="7" a="1"/>
  <c r="J1437" i="7" s="1"/>
  <c r="N1437" i="7" s="1"/>
  <c r="J1438" i="7" a="1"/>
  <c r="J1438" i="7" s="1"/>
  <c r="N1438" i="7" s="1"/>
  <c r="J1439" i="7" a="1"/>
  <c r="J1439" i="7" s="1"/>
  <c r="N1439" i="7" s="1"/>
  <c r="J1440" i="7" a="1"/>
  <c r="J1440" i="7" s="1"/>
  <c r="N1440" i="7" s="1"/>
  <c r="J1441" i="7" a="1"/>
  <c r="J1441" i="7" s="1"/>
  <c r="N1441" i="7" s="1"/>
  <c r="J1442" i="7" a="1"/>
  <c r="J1442" i="7" s="1"/>
  <c r="N1442" i="7" s="1"/>
  <c r="J1443" i="7" a="1"/>
  <c r="J1443" i="7" s="1"/>
  <c r="N1443" i="7" s="1"/>
  <c r="J1444" i="7" a="1"/>
  <c r="J1444" i="7" s="1"/>
  <c r="N1444" i="7" s="1"/>
  <c r="J1445" i="7" a="1"/>
  <c r="J1445" i="7" s="1"/>
  <c r="N1445" i="7" s="1"/>
  <c r="J1446" i="7" a="1"/>
  <c r="J1446" i="7" s="1"/>
  <c r="N1446" i="7" s="1"/>
  <c r="J1447" i="7" a="1"/>
  <c r="J1447" i="7" s="1"/>
  <c r="N1447" i="7" s="1"/>
  <c r="J1448" i="7" a="1"/>
  <c r="J1448" i="7" s="1"/>
  <c r="N1448" i="7" s="1"/>
  <c r="J1449" i="7" a="1"/>
  <c r="J1449" i="7" s="1"/>
  <c r="N1449" i="7" s="1"/>
  <c r="J1450" i="7" a="1"/>
  <c r="J1450" i="7" s="1"/>
  <c r="N1450" i="7" s="1"/>
  <c r="J1451" i="7" a="1"/>
  <c r="J1451" i="7" s="1"/>
  <c r="N1451" i="7" s="1"/>
  <c r="J1452" i="7" a="1"/>
  <c r="J1452" i="7" s="1"/>
  <c r="N1452" i="7" s="1"/>
  <c r="J1453" i="7" a="1"/>
  <c r="J1453" i="7" s="1"/>
  <c r="N1453" i="7" s="1"/>
  <c r="J1454" i="7" a="1"/>
  <c r="J1454" i="7" s="1"/>
  <c r="N1454" i="7" s="1"/>
  <c r="J1455" i="7" a="1"/>
  <c r="J1455" i="7" s="1"/>
  <c r="N1455" i="7" s="1"/>
  <c r="J1456" i="7" a="1"/>
  <c r="J1456" i="7" s="1"/>
  <c r="N1456" i="7" s="1"/>
  <c r="J1457" i="7" a="1"/>
  <c r="J1457" i="7" s="1"/>
  <c r="N1457" i="7" s="1"/>
  <c r="J1458" i="7" a="1"/>
  <c r="J1458" i="7" s="1"/>
  <c r="N1458" i="7" s="1"/>
  <c r="J1459" i="7" a="1"/>
  <c r="J1459" i="7" s="1"/>
  <c r="N1459" i="7" s="1"/>
  <c r="J1460" i="7" a="1"/>
  <c r="J1460" i="7" s="1"/>
  <c r="N1460" i="7" s="1"/>
  <c r="J1461" i="7" a="1"/>
  <c r="J1461" i="7" s="1"/>
  <c r="N1461" i="7" s="1"/>
  <c r="J1462" i="7" a="1"/>
  <c r="J1462" i="7" s="1"/>
  <c r="N1462" i="7" s="1"/>
  <c r="J1463" i="7" a="1"/>
  <c r="J1463" i="7" s="1"/>
  <c r="N1463" i="7" s="1"/>
  <c r="J1464" i="7" a="1"/>
  <c r="J1464" i="7" s="1"/>
  <c r="N1464" i="7" s="1"/>
  <c r="J1465" i="7" a="1"/>
  <c r="J1465" i="7" s="1"/>
  <c r="N1465" i="7" s="1"/>
  <c r="J1466" i="7" a="1"/>
  <c r="J1466" i="7" s="1"/>
  <c r="N1466" i="7" s="1"/>
  <c r="J1467" i="7" a="1"/>
  <c r="J1467" i="7" s="1"/>
  <c r="N1467" i="7" s="1"/>
  <c r="J1468" i="7" a="1"/>
  <c r="J1468" i="7" s="1"/>
  <c r="N1468" i="7" s="1"/>
  <c r="J1469" i="7" a="1"/>
  <c r="J1469" i="7" s="1"/>
  <c r="N1469" i="7" s="1"/>
  <c r="J1470" i="7" a="1"/>
  <c r="J1470" i="7" s="1"/>
  <c r="N1470" i="7" s="1"/>
  <c r="J1471" i="7" a="1"/>
  <c r="J1471" i="7" s="1"/>
  <c r="N1471" i="7" s="1"/>
  <c r="J1472" i="7" a="1"/>
  <c r="J1472" i="7" s="1"/>
  <c r="N1472" i="7" s="1"/>
  <c r="J1473" i="7" a="1"/>
  <c r="J1473" i="7" s="1"/>
  <c r="N1473" i="7" s="1"/>
  <c r="J1474" i="7" a="1"/>
  <c r="J1474" i="7" s="1"/>
  <c r="N1474" i="7" s="1"/>
  <c r="J1475" i="7" a="1"/>
  <c r="J1475" i="7" s="1"/>
  <c r="N1475" i="7" s="1"/>
  <c r="J1476" i="7" a="1"/>
  <c r="J1476" i="7" s="1"/>
  <c r="N1476" i="7" s="1"/>
  <c r="J1477" i="7" a="1"/>
  <c r="J1477" i="7" s="1"/>
  <c r="N1477" i="7" s="1"/>
  <c r="J1478" i="7" a="1"/>
  <c r="J1478" i="7" s="1"/>
  <c r="N1478" i="7" s="1"/>
  <c r="J1479" i="7" a="1"/>
  <c r="J1479" i="7" s="1"/>
  <c r="N1479" i="7" s="1"/>
  <c r="J1480" i="7" a="1"/>
  <c r="J1480" i="7" s="1"/>
  <c r="N1480" i="7" s="1"/>
  <c r="J1481" i="7" a="1"/>
  <c r="J1481" i="7" s="1"/>
  <c r="N1481" i="7" s="1"/>
  <c r="J1482" i="7" a="1"/>
  <c r="J1482" i="7" s="1"/>
  <c r="N1482" i="7" s="1"/>
  <c r="J1483" i="7" a="1"/>
  <c r="J1483" i="7" s="1"/>
  <c r="N1483" i="7" s="1"/>
  <c r="J1484" i="7" a="1"/>
  <c r="J1484" i="7" s="1"/>
  <c r="N1484" i="7" s="1"/>
  <c r="J1485" i="7" a="1"/>
  <c r="J1485" i="7" s="1"/>
  <c r="N1485" i="7" s="1"/>
  <c r="J1486" i="7" a="1"/>
  <c r="J1486" i="7" s="1"/>
  <c r="N1486" i="7" s="1"/>
  <c r="J1487" i="7" a="1"/>
  <c r="J1487" i="7" s="1"/>
  <c r="N1487" i="7" s="1"/>
  <c r="J1488" i="7" a="1"/>
  <c r="J1488" i="7" s="1"/>
  <c r="N1488" i="7" s="1"/>
  <c r="J1489" i="7" a="1"/>
  <c r="J1489" i="7" s="1"/>
  <c r="N1489" i="7" s="1"/>
  <c r="J1490" i="7" a="1"/>
  <c r="J1490" i="7" s="1"/>
  <c r="N1490" i="7" s="1"/>
  <c r="J1491" i="7" a="1"/>
  <c r="J1491" i="7" s="1"/>
  <c r="N1491" i="7" s="1"/>
  <c r="J1492" i="7" a="1"/>
  <c r="J1492" i="7" s="1"/>
  <c r="N1492" i="7" s="1"/>
  <c r="J1493" i="7" a="1"/>
  <c r="J1493" i="7" s="1"/>
  <c r="N1493" i="7" s="1"/>
  <c r="J1494" i="7" a="1"/>
  <c r="J1494" i="7" s="1"/>
  <c r="N1494" i="7" s="1"/>
  <c r="J1495" i="7" a="1"/>
  <c r="J1495" i="7" s="1"/>
  <c r="N1495" i="7" s="1"/>
  <c r="J1496" i="7" a="1"/>
  <c r="J1496" i="7" s="1"/>
  <c r="N1496" i="7" s="1"/>
  <c r="J1497" i="7" a="1"/>
  <c r="J1497" i="7" s="1"/>
  <c r="N1497" i="7" s="1"/>
  <c r="J1498" i="7" a="1"/>
  <c r="J1498" i="7" s="1"/>
  <c r="N1498" i="7" s="1"/>
  <c r="J1499" i="7" a="1"/>
  <c r="J1499" i="7" s="1"/>
  <c r="N1499" i="7" s="1"/>
  <c r="J1500" i="7" a="1"/>
  <c r="J1500" i="7" s="1"/>
  <c r="N1500" i="7" s="1"/>
  <c r="J1501" i="7" a="1"/>
  <c r="J1501" i="7" s="1"/>
  <c r="N1501" i="7" s="1"/>
  <c r="J1502" i="7" a="1"/>
  <c r="J1502" i="7" s="1"/>
  <c r="N1502" i="7" s="1"/>
  <c r="J1503" i="7" a="1"/>
  <c r="J1503" i="7" s="1"/>
  <c r="N1503" i="7" s="1"/>
  <c r="J1504" i="7" a="1"/>
  <c r="J1504" i="7" s="1"/>
  <c r="N1504" i="7" s="1"/>
  <c r="J1505" i="7" a="1"/>
  <c r="J1505" i="7" s="1"/>
  <c r="N1505" i="7" s="1"/>
  <c r="J1506" i="7" a="1"/>
  <c r="J1506" i="7" s="1"/>
  <c r="N1506" i="7" s="1"/>
  <c r="J1507" i="7" a="1"/>
  <c r="J1507" i="7" s="1"/>
  <c r="N1507" i="7" s="1"/>
  <c r="J1508" i="7" a="1"/>
  <c r="J1508" i="7" s="1"/>
  <c r="N1508" i="7" s="1"/>
  <c r="J1509" i="7" a="1"/>
  <c r="J1509" i="7" s="1"/>
  <c r="N1509" i="7" s="1"/>
  <c r="J1510" i="7" a="1"/>
  <c r="J1510" i="7" s="1"/>
  <c r="N1510" i="7" s="1"/>
  <c r="J1511" i="7" a="1"/>
  <c r="J1511" i="7" s="1"/>
  <c r="N1511" i="7" s="1"/>
  <c r="J1512" i="7" a="1"/>
  <c r="J1512" i="7" s="1"/>
  <c r="N1512" i="7" s="1"/>
  <c r="J1513" i="7" a="1"/>
  <c r="J1513" i="7" s="1"/>
  <c r="N1513" i="7" s="1"/>
  <c r="J1514" i="7" a="1"/>
  <c r="J1514" i="7" s="1"/>
  <c r="N1514" i="7" s="1"/>
  <c r="J1515" i="7" a="1"/>
  <c r="J1515" i="7" s="1"/>
  <c r="N1515" i="7" s="1"/>
  <c r="J1516" i="7" a="1"/>
  <c r="J1516" i="7" s="1"/>
  <c r="N1516" i="7" s="1"/>
  <c r="J1517" i="7" a="1"/>
  <c r="J1517" i="7" s="1"/>
  <c r="N1517" i="7" s="1"/>
  <c r="J1518" i="7" a="1"/>
  <c r="J1518" i="7" s="1"/>
  <c r="N1518" i="7" s="1"/>
  <c r="J1519" i="7" a="1"/>
  <c r="J1519" i="7" s="1"/>
  <c r="N1519" i="7" s="1"/>
  <c r="J1520" i="7" a="1"/>
  <c r="J1520" i="7" s="1"/>
  <c r="N1520" i="7" s="1"/>
  <c r="J1521" i="7" a="1"/>
  <c r="J1521" i="7" s="1"/>
  <c r="N1521" i="7" s="1"/>
  <c r="J1522" i="7" a="1"/>
  <c r="J1522" i="7" s="1"/>
  <c r="N1522" i="7" s="1"/>
  <c r="J1523" i="7" a="1"/>
  <c r="J1523" i="7" s="1"/>
  <c r="N1523" i="7" s="1"/>
  <c r="J1524" i="7" a="1"/>
  <c r="J1524" i="7" s="1"/>
  <c r="N1524" i="7" s="1"/>
  <c r="J1525" i="7" a="1"/>
  <c r="J1525" i="7" s="1"/>
  <c r="N1525" i="7" s="1"/>
  <c r="J1526" i="7" a="1"/>
  <c r="J1526" i="7" s="1"/>
  <c r="N1526" i="7" s="1"/>
  <c r="J1527" i="7" a="1"/>
  <c r="J1527" i="7" s="1"/>
  <c r="N1527" i="7" s="1"/>
  <c r="J1528" i="7" a="1"/>
  <c r="J1528" i="7" s="1"/>
  <c r="N1528" i="7" s="1"/>
  <c r="J1529" i="7" a="1"/>
  <c r="J1529" i="7" s="1"/>
  <c r="N1529" i="7" s="1"/>
  <c r="J1530" i="7" a="1"/>
  <c r="J1530" i="7" s="1"/>
  <c r="N1530" i="7" s="1"/>
  <c r="J1531" i="7" a="1"/>
  <c r="J1531" i="7" s="1"/>
  <c r="N1531" i="7" s="1"/>
  <c r="J1532" i="7" a="1"/>
  <c r="J1532" i="7" s="1"/>
  <c r="N1532" i="7" s="1"/>
  <c r="J1533" i="7" a="1"/>
  <c r="J1533" i="7" s="1"/>
  <c r="N1533" i="7" s="1"/>
  <c r="J1534" i="7" a="1"/>
  <c r="J1534" i="7" s="1"/>
  <c r="N1534" i="7" s="1"/>
  <c r="J1535" i="7" a="1"/>
  <c r="J1535" i="7" s="1"/>
  <c r="N1535" i="7" s="1"/>
  <c r="J1536" i="7" a="1"/>
  <c r="J1536" i="7" s="1"/>
  <c r="N1536" i="7" s="1"/>
  <c r="J1537" i="7" a="1"/>
  <c r="J1537" i="7" s="1"/>
  <c r="N1537" i="7" s="1"/>
  <c r="J1538" i="7" a="1"/>
  <c r="J1538" i="7" s="1"/>
  <c r="N1538" i="7" s="1"/>
  <c r="J1539" i="7" a="1"/>
  <c r="J1539" i="7" s="1"/>
  <c r="N1539" i="7" s="1"/>
  <c r="J1540" i="7" a="1"/>
  <c r="J1540" i="7" s="1"/>
  <c r="N1540" i="7" s="1"/>
  <c r="J1541" i="7" a="1"/>
  <c r="J1541" i="7" s="1"/>
  <c r="N1541" i="7" s="1"/>
  <c r="J1542" i="7" a="1"/>
  <c r="J1542" i="7" s="1"/>
  <c r="N1542" i="7" s="1"/>
  <c r="J1543" i="7" a="1"/>
  <c r="J1543" i="7" s="1"/>
  <c r="N1543" i="7" s="1"/>
  <c r="J1544" i="7" a="1"/>
  <c r="J1544" i="7" s="1"/>
  <c r="N1544" i="7" s="1"/>
  <c r="J1545" i="7" a="1"/>
  <c r="J1545" i="7" s="1"/>
  <c r="N1545" i="7" s="1"/>
  <c r="J1330" i="7" a="1"/>
  <c r="J1330" i="7" s="1"/>
  <c r="N1330" i="7" s="1"/>
  <c r="J1139" i="7" a="1"/>
  <c r="J1139" i="7" s="1"/>
  <c r="N1139" i="7" s="1"/>
  <c r="J1140" i="7" a="1"/>
  <c r="J1140" i="7" s="1"/>
  <c r="N1140" i="7" s="1"/>
  <c r="J1141" i="7" a="1"/>
  <c r="J1141" i="7" s="1"/>
  <c r="N1141" i="7" s="1"/>
  <c r="J1142" i="7" a="1"/>
  <c r="J1142" i="7" s="1"/>
  <c r="N1142" i="7" s="1"/>
  <c r="J1143" i="7" a="1"/>
  <c r="J1143" i="7" s="1"/>
  <c r="N1143" i="7" s="1"/>
  <c r="J1144" i="7" a="1"/>
  <c r="J1144" i="7" s="1"/>
  <c r="N1144" i="7" s="1"/>
  <c r="J1145" i="7" a="1"/>
  <c r="J1145" i="7" s="1"/>
  <c r="N1145" i="7" s="1"/>
  <c r="J1146" i="7" a="1"/>
  <c r="J1146" i="7" s="1"/>
  <c r="N1146" i="7" s="1"/>
  <c r="J1147" i="7" a="1"/>
  <c r="J1147" i="7" s="1"/>
  <c r="N1147" i="7" s="1"/>
  <c r="J1148" i="7" a="1"/>
  <c r="J1148" i="7" s="1"/>
  <c r="N1148" i="7" s="1"/>
  <c r="J1149" i="7" a="1"/>
  <c r="J1149" i="7" s="1"/>
  <c r="N1149" i="7" s="1"/>
  <c r="J1150" i="7" a="1"/>
  <c r="J1150" i="7" s="1"/>
  <c r="N1150" i="7" s="1"/>
  <c r="J1151" i="7" a="1"/>
  <c r="J1151" i="7" s="1"/>
  <c r="N1151" i="7" s="1"/>
  <c r="J1152" i="7" a="1"/>
  <c r="J1152" i="7" s="1"/>
  <c r="N1152" i="7" s="1"/>
  <c r="J1153" i="7" a="1"/>
  <c r="J1153" i="7" s="1"/>
  <c r="N1153" i="7" s="1"/>
  <c r="J1154" i="7" a="1"/>
  <c r="J1154" i="7" s="1"/>
  <c r="N1154" i="7" s="1"/>
  <c r="J1155" i="7" a="1"/>
  <c r="J1155" i="7" s="1"/>
  <c r="N1155" i="7" s="1"/>
  <c r="J1156" i="7" a="1"/>
  <c r="J1156" i="7" s="1"/>
  <c r="N1156" i="7" s="1"/>
  <c r="J1157" i="7" a="1"/>
  <c r="J1157" i="7" s="1"/>
  <c r="N1157" i="7" s="1"/>
  <c r="J1158" i="7" a="1"/>
  <c r="J1158" i="7" s="1"/>
  <c r="N1158" i="7" s="1"/>
  <c r="J1159" i="7" a="1"/>
  <c r="J1159" i="7" s="1"/>
  <c r="N1159" i="7" s="1"/>
  <c r="J1160" i="7" a="1"/>
  <c r="J1160" i="7" s="1"/>
  <c r="N1160" i="7" s="1"/>
  <c r="J1161" i="7" a="1"/>
  <c r="J1161" i="7" s="1"/>
  <c r="N1161" i="7" s="1"/>
  <c r="J1162" i="7" a="1"/>
  <c r="J1162" i="7" s="1"/>
  <c r="N1162" i="7" s="1"/>
  <c r="J1163" i="7" a="1"/>
  <c r="J1163" i="7" s="1"/>
  <c r="N1163" i="7" s="1"/>
  <c r="J1164" i="7" a="1"/>
  <c r="J1164" i="7" s="1"/>
  <c r="N1164" i="7" s="1"/>
  <c r="J1165" i="7" a="1"/>
  <c r="J1165" i="7" s="1"/>
  <c r="N1165" i="7" s="1"/>
  <c r="J1166" i="7" a="1"/>
  <c r="J1166" i="7" s="1"/>
  <c r="N1166" i="7" s="1"/>
  <c r="J1167" i="7" a="1"/>
  <c r="J1167" i="7" s="1"/>
  <c r="N1167" i="7" s="1"/>
  <c r="J1168" i="7" a="1"/>
  <c r="J1168" i="7" s="1"/>
  <c r="N1168" i="7" s="1"/>
  <c r="J1169" i="7" a="1"/>
  <c r="J1169" i="7" s="1"/>
  <c r="N1169" i="7" s="1"/>
  <c r="J1170" i="7" a="1"/>
  <c r="J1170" i="7" s="1"/>
  <c r="N1170" i="7" s="1"/>
  <c r="J1171" i="7" a="1"/>
  <c r="J1171" i="7" s="1"/>
  <c r="N1171" i="7" s="1"/>
  <c r="J1172" i="7" a="1"/>
  <c r="J1172" i="7" s="1"/>
  <c r="N1172" i="7" s="1"/>
  <c r="J1173" i="7" a="1"/>
  <c r="J1173" i="7" s="1"/>
  <c r="N1173" i="7" s="1"/>
  <c r="J1174" i="7" a="1"/>
  <c r="J1174" i="7" s="1"/>
  <c r="N1174" i="7" s="1"/>
  <c r="J1175" i="7" a="1"/>
  <c r="J1175" i="7" s="1"/>
  <c r="N1175" i="7" s="1"/>
  <c r="J1176" i="7" a="1"/>
  <c r="J1176" i="7" s="1"/>
  <c r="N1176" i="7" s="1"/>
  <c r="J1177" i="7" a="1"/>
  <c r="J1177" i="7" s="1"/>
  <c r="N1177" i="7" s="1"/>
  <c r="J1178" i="7" a="1"/>
  <c r="J1178" i="7" s="1"/>
  <c r="N1178" i="7" s="1"/>
  <c r="J1179" i="7" a="1"/>
  <c r="J1179" i="7" s="1"/>
  <c r="N1179" i="7" s="1"/>
  <c r="J1180" i="7" a="1"/>
  <c r="J1180" i="7" s="1"/>
  <c r="N1180" i="7" s="1"/>
  <c r="J1181" i="7" a="1"/>
  <c r="J1181" i="7" s="1"/>
  <c r="N1181" i="7" s="1"/>
  <c r="J1182" i="7" a="1"/>
  <c r="J1182" i="7" s="1"/>
  <c r="N1182" i="7" s="1"/>
  <c r="J1183" i="7" a="1"/>
  <c r="J1183" i="7" s="1"/>
  <c r="N1183" i="7" s="1"/>
  <c r="J1184" i="7" a="1"/>
  <c r="J1184" i="7" s="1"/>
  <c r="N1184" i="7" s="1"/>
  <c r="J1185" i="7" a="1"/>
  <c r="J1185" i="7" s="1"/>
  <c r="N1185" i="7" s="1"/>
  <c r="J1186" i="7" a="1"/>
  <c r="J1186" i="7" s="1"/>
  <c r="N1186" i="7" s="1"/>
  <c r="J1187" i="7" a="1"/>
  <c r="J1187" i="7" s="1"/>
  <c r="N1187" i="7" s="1"/>
  <c r="J1188" i="7" a="1"/>
  <c r="J1188" i="7" s="1"/>
  <c r="N1188" i="7" s="1"/>
  <c r="J1189" i="7" a="1"/>
  <c r="J1189" i="7" s="1"/>
  <c r="N1189" i="7" s="1"/>
  <c r="J1190" i="7" a="1"/>
  <c r="J1190" i="7" s="1"/>
  <c r="N1190" i="7" s="1"/>
  <c r="J1191" i="7" a="1"/>
  <c r="J1191" i="7" s="1"/>
  <c r="N1191" i="7" s="1"/>
  <c r="J1192" i="7" a="1"/>
  <c r="J1192" i="7" s="1"/>
  <c r="N1192" i="7" s="1"/>
  <c r="J1193" i="7" a="1"/>
  <c r="J1193" i="7" s="1"/>
  <c r="N1193" i="7" s="1"/>
  <c r="J1194" i="7" a="1"/>
  <c r="J1194" i="7" s="1"/>
  <c r="N1194" i="7" s="1"/>
  <c r="J1195" i="7" a="1"/>
  <c r="J1195" i="7" s="1"/>
  <c r="N1195" i="7" s="1"/>
  <c r="J1196" i="7" a="1"/>
  <c r="J1196" i="7" s="1"/>
  <c r="N1196" i="7" s="1"/>
  <c r="J1197" i="7" a="1"/>
  <c r="J1197" i="7" s="1"/>
  <c r="N1197" i="7" s="1"/>
  <c r="J1198" i="7" a="1"/>
  <c r="J1198" i="7" s="1"/>
  <c r="N1198" i="7" s="1"/>
  <c r="J1199" i="7" a="1"/>
  <c r="J1199" i="7" s="1"/>
  <c r="N1199" i="7" s="1"/>
  <c r="J1200" i="7" a="1"/>
  <c r="J1200" i="7" s="1"/>
  <c r="N1200" i="7" s="1"/>
  <c r="J1201" i="7" a="1"/>
  <c r="J1201" i="7" s="1"/>
  <c r="N1201" i="7" s="1"/>
  <c r="J1202" i="7" a="1"/>
  <c r="J1202" i="7" s="1"/>
  <c r="N1202" i="7" s="1"/>
  <c r="J1203" i="7" a="1"/>
  <c r="J1203" i="7" s="1"/>
  <c r="N1203" i="7" s="1"/>
  <c r="J1204" i="7" a="1"/>
  <c r="J1204" i="7" s="1"/>
  <c r="N1204" i="7" s="1"/>
  <c r="J1205" i="7" a="1"/>
  <c r="J1205" i="7" s="1"/>
  <c r="N1205" i="7" s="1"/>
  <c r="J1206" i="7" a="1"/>
  <c r="J1206" i="7" s="1"/>
  <c r="N1206" i="7" s="1"/>
  <c r="J1207" i="7" a="1"/>
  <c r="J1207" i="7" s="1"/>
  <c r="N1207" i="7" s="1"/>
  <c r="J1208" i="7" a="1"/>
  <c r="J1208" i="7" s="1"/>
  <c r="N1208" i="7" s="1"/>
  <c r="J1209" i="7" a="1"/>
  <c r="J1209" i="7" s="1"/>
  <c r="N1209" i="7" s="1"/>
  <c r="J1210" i="7" a="1"/>
  <c r="J1210" i="7" s="1"/>
  <c r="N1210" i="7" s="1"/>
  <c r="J1211" i="7" a="1"/>
  <c r="J1211" i="7" s="1"/>
  <c r="N1211" i="7" s="1"/>
  <c r="J1212" i="7" a="1"/>
  <c r="J1212" i="7" s="1"/>
  <c r="N1212" i="7" s="1"/>
  <c r="J1213" i="7" a="1"/>
  <c r="J1213" i="7" s="1"/>
  <c r="N1213" i="7" s="1"/>
  <c r="J1214" i="7" a="1"/>
  <c r="J1214" i="7" s="1"/>
  <c r="N1214" i="7" s="1"/>
  <c r="J1215" i="7" a="1"/>
  <c r="J1215" i="7" s="1"/>
  <c r="N1215" i="7" s="1"/>
  <c r="J1216" i="7" a="1"/>
  <c r="J1216" i="7" s="1"/>
  <c r="N1216" i="7" s="1"/>
  <c r="J1217" i="7" a="1"/>
  <c r="J1217" i="7" s="1"/>
  <c r="N1217" i="7" s="1"/>
  <c r="J1218" i="7" a="1"/>
  <c r="J1218" i="7" s="1"/>
  <c r="N1218" i="7" s="1"/>
  <c r="J1219" i="7" a="1"/>
  <c r="J1219" i="7" s="1"/>
  <c r="N1219" i="7" s="1"/>
  <c r="J1220" i="7" a="1"/>
  <c r="J1220" i="7" s="1"/>
  <c r="N1220" i="7" s="1"/>
  <c r="J1221" i="7" a="1"/>
  <c r="J1221" i="7" s="1"/>
  <c r="N1221" i="7" s="1"/>
  <c r="J1222" i="7" a="1"/>
  <c r="J1222" i="7" s="1"/>
  <c r="N1222" i="7" s="1"/>
  <c r="J1223" i="7" a="1"/>
  <c r="J1223" i="7" s="1"/>
  <c r="N1223" i="7" s="1"/>
  <c r="J1224" i="7" a="1"/>
  <c r="J1224" i="7" s="1"/>
  <c r="N1224" i="7" s="1"/>
  <c r="J1225" i="7" a="1"/>
  <c r="J1225" i="7" s="1"/>
  <c r="N1225" i="7" s="1"/>
  <c r="J1226" i="7" a="1"/>
  <c r="J1226" i="7" s="1"/>
  <c r="N1226" i="7" s="1"/>
  <c r="J1227" i="7" a="1"/>
  <c r="J1227" i="7" s="1"/>
  <c r="N1227" i="7" s="1"/>
  <c r="J1228" i="7" a="1"/>
  <c r="J1228" i="7" s="1"/>
  <c r="N1228" i="7" s="1"/>
  <c r="J1229" i="7" a="1"/>
  <c r="J1229" i="7" s="1"/>
  <c r="N1229" i="7" s="1"/>
  <c r="J1230" i="7" a="1"/>
  <c r="J1230" i="7" s="1"/>
  <c r="N1230" i="7" s="1"/>
  <c r="J1231" i="7" a="1"/>
  <c r="J1231" i="7" s="1"/>
  <c r="N1231" i="7" s="1"/>
  <c r="J1232" i="7" a="1"/>
  <c r="J1232" i="7" s="1"/>
  <c r="N1232" i="7" s="1"/>
  <c r="J1233" i="7" a="1"/>
  <c r="J1233" i="7" s="1"/>
  <c r="N1233" i="7" s="1"/>
  <c r="J1234" i="7" a="1"/>
  <c r="J1234" i="7" s="1"/>
  <c r="N1234" i="7" s="1"/>
  <c r="J1235" i="7" a="1"/>
  <c r="J1235" i="7" s="1"/>
  <c r="N1235" i="7" s="1"/>
  <c r="J1236" i="7" a="1"/>
  <c r="J1236" i="7" s="1"/>
  <c r="N1236" i="7" s="1"/>
  <c r="J1237" i="7" a="1"/>
  <c r="J1237" i="7" s="1"/>
  <c r="N1237" i="7" s="1"/>
  <c r="J1238" i="7" a="1"/>
  <c r="J1238" i="7" s="1"/>
  <c r="N1238" i="7" s="1"/>
  <c r="J1239" i="7" a="1"/>
  <c r="J1239" i="7" s="1"/>
  <c r="N1239" i="7" s="1"/>
  <c r="J1240" i="7" a="1"/>
  <c r="J1240" i="7" s="1"/>
  <c r="N1240" i="7" s="1"/>
  <c r="J1241" i="7" a="1"/>
  <c r="J1241" i="7" s="1"/>
  <c r="N1241" i="7" s="1"/>
  <c r="J1242" i="7" a="1"/>
  <c r="J1242" i="7" s="1"/>
  <c r="N1242" i="7" s="1"/>
  <c r="J1243" i="7" a="1"/>
  <c r="J1243" i="7" s="1"/>
  <c r="N1243" i="7" s="1"/>
  <c r="J1244" i="7" a="1"/>
  <c r="J1244" i="7" s="1"/>
  <c r="N1244" i="7" s="1"/>
  <c r="J1245" i="7" a="1"/>
  <c r="J1245" i="7" s="1"/>
  <c r="N1245" i="7" s="1"/>
  <c r="J1246" i="7" a="1"/>
  <c r="J1246" i="7" s="1"/>
  <c r="N1246" i="7" s="1"/>
  <c r="J1247" i="7" a="1"/>
  <c r="J1247" i="7" s="1"/>
  <c r="N1247" i="7" s="1"/>
  <c r="J1248" i="7" a="1"/>
  <c r="J1248" i="7" s="1"/>
  <c r="N1248" i="7" s="1"/>
  <c r="J1249" i="7" a="1"/>
  <c r="J1249" i="7" s="1"/>
  <c r="N1249" i="7" s="1"/>
  <c r="J1250" i="7" a="1"/>
  <c r="J1250" i="7" s="1"/>
  <c r="N1250" i="7" s="1"/>
  <c r="J1251" i="7" a="1"/>
  <c r="J1251" i="7" s="1"/>
  <c r="N1251" i="7" s="1"/>
  <c r="J1252" i="7" a="1"/>
  <c r="J1252" i="7" s="1"/>
  <c r="N1252" i="7" s="1"/>
  <c r="J1253" i="7" a="1"/>
  <c r="J1253" i="7" s="1"/>
  <c r="N1253" i="7" s="1"/>
  <c r="J1254" i="7" a="1"/>
  <c r="J1254" i="7" s="1"/>
  <c r="N1254" i="7" s="1"/>
  <c r="J1255" i="7" a="1"/>
  <c r="J1255" i="7" s="1"/>
  <c r="N1255" i="7" s="1"/>
  <c r="J1256" i="7" a="1"/>
  <c r="J1256" i="7" s="1"/>
  <c r="N1256" i="7" s="1"/>
  <c r="J1257" i="7" a="1"/>
  <c r="J1257" i="7" s="1"/>
  <c r="N1257" i="7" s="1"/>
  <c r="J1258" i="7" a="1"/>
  <c r="J1258" i="7" s="1"/>
  <c r="N1258" i="7" s="1"/>
  <c r="J1259" i="7" a="1"/>
  <c r="J1259" i="7" s="1"/>
  <c r="N1259" i="7" s="1"/>
  <c r="J1260" i="7" a="1"/>
  <c r="J1260" i="7" s="1"/>
  <c r="N1260" i="7" s="1"/>
  <c r="J1261" i="7" a="1"/>
  <c r="J1261" i="7" s="1"/>
  <c r="N1261" i="7" s="1"/>
  <c r="J1262" i="7" a="1"/>
  <c r="J1262" i="7" s="1"/>
  <c r="N1262" i="7" s="1"/>
  <c r="J1263" i="7" a="1"/>
  <c r="J1263" i="7" s="1"/>
  <c r="N1263" i="7" s="1"/>
  <c r="J1264" i="7" a="1"/>
  <c r="J1264" i="7" s="1"/>
  <c r="N1264" i="7" s="1"/>
  <c r="J1265" i="7" a="1"/>
  <c r="J1265" i="7" s="1"/>
  <c r="N1265" i="7" s="1"/>
  <c r="J1266" i="7" a="1"/>
  <c r="J1266" i="7" s="1"/>
  <c r="N1266" i="7" s="1"/>
  <c r="J1267" i="7" a="1"/>
  <c r="J1267" i="7" s="1"/>
  <c r="N1267" i="7" s="1"/>
  <c r="J1268" i="7" a="1"/>
  <c r="J1268" i="7" s="1"/>
  <c r="N1268" i="7" s="1"/>
  <c r="J1269" i="7" a="1"/>
  <c r="J1269" i="7" s="1"/>
  <c r="N1269" i="7" s="1"/>
  <c r="J1270" i="7" a="1"/>
  <c r="J1270" i="7" s="1"/>
  <c r="N1270" i="7" s="1"/>
  <c r="J1271" i="7" a="1"/>
  <c r="J1271" i="7" s="1"/>
  <c r="N1271" i="7" s="1"/>
  <c r="J1272" i="7" a="1"/>
  <c r="J1272" i="7" s="1"/>
  <c r="N1272" i="7" s="1"/>
  <c r="J1273" i="7" a="1"/>
  <c r="J1273" i="7" s="1"/>
  <c r="N1273" i="7" s="1"/>
  <c r="J1274" i="7" a="1"/>
  <c r="J1274" i="7" s="1"/>
  <c r="N1274" i="7" s="1"/>
  <c r="J1275" i="7" a="1"/>
  <c r="J1275" i="7" s="1"/>
  <c r="N1275" i="7" s="1"/>
  <c r="J1276" i="7" a="1"/>
  <c r="J1276" i="7" s="1"/>
  <c r="N1276" i="7" s="1"/>
  <c r="J1277" i="7" a="1"/>
  <c r="J1277" i="7" s="1"/>
  <c r="N1277" i="7" s="1"/>
  <c r="J1278" i="7" a="1"/>
  <c r="J1278" i="7" s="1"/>
  <c r="N1278" i="7" s="1"/>
  <c r="J1279" i="7" a="1"/>
  <c r="J1279" i="7" s="1"/>
  <c r="N1279" i="7" s="1"/>
  <c r="J1280" i="7" a="1"/>
  <c r="J1280" i="7" s="1"/>
  <c r="N1280" i="7" s="1"/>
  <c r="J1281" i="7" a="1"/>
  <c r="J1281" i="7" s="1"/>
  <c r="N1281" i="7" s="1"/>
  <c r="J1282" i="7" a="1"/>
  <c r="J1282" i="7" s="1"/>
  <c r="N1282" i="7" s="1"/>
  <c r="J1283" i="7" a="1"/>
  <c r="J1283" i="7" s="1"/>
  <c r="N1283" i="7" s="1"/>
  <c r="J1284" i="7" a="1"/>
  <c r="J1284" i="7" s="1"/>
  <c r="N1284" i="7" s="1"/>
  <c r="J1285" i="7" a="1"/>
  <c r="J1285" i="7" s="1"/>
  <c r="N1285" i="7" s="1"/>
  <c r="J1286" i="7" a="1"/>
  <c r="J1286" i="7" s="1"/>
  <c r="N1286" i="7" s="1"/>
  <c r="J1287" i="7" a="1"/>
  <c r="J1287" i="7" s="1"/>
  <c r="N1287" i="7" s="1"/>
  <c r="J1288" i="7" a="1"/>
  <c r="J1288" i="7" s="1"/>
  <c r="N1288" i="7" s="1"/>
  <c r="J1289" i="7" a="1"/>
  <c r="J1289" i="7" s="1"/>
  <c r="N1289" i="7" s="1"/>
  <c r="J1290" i="7" a="1"/>
  <c r="J1290" i="7" s="1"/>
  <c r="N1290" i="7" s="1"/>
  <c r="J1291" i="7" a="1"/>
  <c r="J1291" i="7" s="1"/>
  <c r="N1291" i="7" s="1"/>
  <c r="J1292" i="7" a="1"/>
  <c r="J1292" i="7" s="1"/>
  <c r="N1292" i="7" s="1"/>
  <c r="J1293" i="7" a="1"/>
  <c r="J1293" i="7" s="1"/>
  <c r="N1293" i="7" s="1"/>
  <c r="J1294" i="7" a="1"/>
  <c r="J1294" i="7" s="1"/>
  <c r="N1294" i="7" s="1"/>
  <c r="J1295" i="7" a="1"/>
  <c r="J1295" i="7" s="1"/>
  <c r="N1295" i="7" s="1"/>
  <c r="J1296" i="7" a="1"/>
  <c r="J1296" i="7" s="1"/>
  <c r="N1296" i="7" s="1"/>
  <c r="J1297" i="7" a="1"/>
  <c r="J1297" i="7" s="1"/>
  <c r="N1297" i="7" s="1"/>
  <c r="J1298" i="7" a="1"/>
  <c r="J1298" i="7" s="1"/>
  <c r="N1298" i="7" s="1"/>
  <c r="J1299" i="7" a="1"/>
  <c r="J1299" i="7" s="1"/>
  <c r="N1299" i="7" s="1"/>
  <c r="J1300" i="7" a="1"/>
  <c r="J1300" i="7" s="1"/>
  <c r="N1300" i="7" s="1"/>
  <c r="J1301" i="7" a="1"/>
  <c r="J1301" i="7" s="1"/>
  <c r="N1301" i="7" s="1"/>
  <c r="J1302" i="7" a="1"/>
  <c r="J1302" i="7" s="1"/>
  <c r="N1302" i="7" s="1"/>
  <c r="J1303" i="7" a="1"/>
  <c r="J1303" i="7" s="1"/>
  <c r="N1303" i="7" s="1"/>
  <c r="J1304" i="7" a="1"/>
  <c r="J1304" i="7" s="1"/>
  <c r="N1304" i="7" s="1"/>
  <c r="J1305" i="7" a="1"/>
  <c r="J1305" i="7" s="1"/>
  <c r="N1305" i="7" s="1"/>
  <c r="J1306" i="7" a="1"/>
  <c r="J1306" i="7" s="1"/>
  <c r="N1306" i="7" s="1"/>
  <c r="J1307" i="7" a="1"/>
  <c r="J1307" i="7" s="1"/>
  <c r="N1307" i="7" s="1"/>
  <c r="J1308" i="7" a="1"/>
  <c r="J1308" i="7" s="1"/>
  <c r="N1308" i="7" s="1"/>
  <c r="J1309" i="7" a="1"/>
  <c r="J1309" i="7" s="1"/>
  <c r="N1309" i="7" s="1"/>
  <c r="J1310" i="7" a="1"/>
  <c r="J1310" i="7" s="1"/>
  <c r="N1310" i="7" s="1"/>
  <c r="J1311" i="7" a="1"/>
  <c r="J1311" i="7" s="1"/>
  <c r="N1311" i="7" s="1"/>
  <c r="J1312" i="7" a="1"/>
  <c r="J1312" i="7" s="1"/>
  <c r="N1312" i="7" s="1"/>
  <c r="J1313" i="7" a="1"/>
  <c r="J1313" i="7" s="1"/>
  <c r="N1313" i="7" s="1"/>
  <c r="J1314" i="7" a="1"/>
  <c r="J1314" i="7" s="1"/>
  <c r="N1314" i="7" s="1"/>
  <c r="J1315" i="7" a="1"/>
  <c r="J1315" i="7" s="1"/>
  <c r="N1315" i="7" s="1"/>
  <c r="J1316" i="7" a="1"/>
  <c r="J1316" i="7" s="1"/>
  <c r="N1316" i="7" s="1"/>
  <c r="J1317" i="7" a="1"/>
  <c r="J1317" i="7" s="1"/>
  <c r="N1317" i="7" s="1"/>
  <c r="J1318" i="7" a="1"/>
  <c r="J1318" i="7" s="1"/>
  <c r="N1318" i="7" s="1"/>
  <c r="J1319" i="7" a="1"/>
  <c r="J1319" i="7" s="1"/>
  <c r="N1319" i="7" s="1"/>
  <c r="J1320" i="7" a="1"/>
  <c r="J1320" i="7" s="1"/>
  <c r="N1320" i="7" s="1"/>
  <c r="J1321" i="7" a="1"/>
  <c r="J1321" i="7" s="1"/>
  <c r="N1321" i="7" s="1"/>
  <c r="J1322" i="7" a="1"/>
  <c r="J1322" i="7" s="1"/>
  <c r="N1322" i="7" s="1"/>
  <c r="J1323" i="7" a="1"/>
  <c r="J1323" i="7" s="1"/>
  <c r="N1323" i="7" s="1"/>
  <c r="J1324" i="7" a="1"/>
  <c r="J1324" i="7" s="1"/>
  <c r="N1324" i="7" s="1"/>
  <c r="J1325" i="7" a="1"/>
  <c r="J1325" i="7" s="1"/>
  <c r="N1325" i="7" s="1"/>
  <c r="J1326" i="7" a="1"/>
  <c r="J1326" i="7" s="1"/>
  <c r="N1326" i="7" s="1"/>
  <c r="J1327" i="7" a="1"/>
  <c r="J1327" i="7" s="1"/>
  <c r="N1327" i="7" s="1"/>
  <c r="J1328" i="7" a="1"/>
  <c r="J1328" i="7" s="1"/>
  <c r="N1328" i="7" s="1"/>
  <c r="J1329" i="7" a="1"/>
  <c r="J1329" i="7" s="1"/>
  <c r="N1329" i="7" s="1"/>
  <c r="J1138" i="7" a="1"/>
  <c r="J1138" i="7" s="1"/>
  <c r="N1138" i="7" s="1"/>
  <c r="J979" i="7" a="1"/>
  <c r="J979" i="7" s="1"/>
  <c r="N979" i="7" s="1"/>
  <c r="J980" i="7" a="1"/>
  <c r="J980" i="7" s="1"/>
  <c r="N980" i="7" s="1"/>
  <c r="J981" i="7" a="1"/>
  <c r="J981" i="7" s="1"/>
  <c r="N981" i="7" s="1"/>
  <c r="J982" i="7" a="1"/>
  <c r="J982" i="7" s="1"/>
  <c r="N982" i="7" s="1"/>
  <c r="J983" i="7" a="1"/>
  <c r="J983" i="7" s="1"/>
  <c r="N983" i="7" s="1"/>
  <c r="J984" i="7" a="1"/>
  <c r="J984" i="7" s="1"/>
  <c r="N984" i="7" s="1"/>
  <c r="J985" i="7" a="1"/>
  <c r="J985" i="7" s="1"/>
  <c r="N985" i="7" s="1"/>
  <c r="J986" i="7" a="1"/>
  <c r="J986" i="7" s="1"/>
  <c r="N986" i="7" s="1"/>
  <c r="J987" i="7" a="1"/>
  <c r="J987" i="7" s="1"/>
  <c r="N987" i="7" s="1"/>
  <c r="J988" i="7" a="1"/>
  <c r="J988" i="7" s="1"/>
  <c r="N988" i="7" s="1"/>
  <c r="J989" i="7" a="1"/>
  <c r="J989" i="7" s="1"/>
  <c r="N989" i="7" s="1"/>
  <c r="J990" i="7" a="1"/>
  <c r="J990" i="7" s="1"/>
  <c r="N990" i="7" s="1"/>
  <c r="J991" i="7" a="1"/>
  <c r="J991" i="7" s="1"/>
  <c r="N991" i="7" s="1"/>
  <c r="J992" i="7" a="1"/>
  <c r="J992" i="7" s="1"/>
  <c r="N992" i="7" s="1"/>
  <c r="J993" i="7" a="1"/>
  <c r="J993" i="7" s="1"/>
  <c r="N993" i="7" s="1"/>
  <c r="J994" i="7" a="1"/>
  <c r="J994" i="7" s="1"/>
  <c r="N994" i="7" s="1"/>
  <c r="J995" i="7" a="1"/>
  <c r="J995" i="7" s="1"/>
  <c r="N995" i="7" s="1"/>
  <c r="J996" i="7" a="1"/>
  <c r="J996" i="7" s="1"/>
  <c r="N996" i="7" s="1"/>
  <c r="J997" i="7" a="1"/>
  <c r="J997" i="7" s="1"/>
  <c r="N997" i="7" s="1"/>
  <c r="J998" i="7" a="1"/>
  <c r="J998" i="7" s="1"/>
  <c r="N998" i="7" s="1"/>
  <c r="J999" i="7" a="1"/>
  <c r="J999" i="7" s="1"/>
  <c r="N999" i="7" s="1"/>
  <c r="J1000" i="7" a="1"/>
  <c r="J1000" i="7" s="1"/>
  <c r="N1000" i="7" s="1"/>
  <c r="J1001" i="7" a="1"/>
  <c r="J1001" i="7" s="1"/>
  <c r="N1001" i="7" s="1"/>
  <c r="J1002" i="7" a="1"/>
  <c r="J1002" i="7" s="1"/>
  <c r="N1002" i="7" s="1"/>
  <c r="J1003" i="7" a="1"/>
  <c r="J1003" i="7" s="1"/>
  <c r="N1003" i="7" s="1"/>
  <c r="J1004" i="7" a="1"/>
  <c r="J1004" i="7" s="1"/>
  <c r="N1004" i="7" s="1"/>
  <c r="J1005" i="7" a="1"/>
  <c r="J1005" i="7" s="1"/>
  <c r="N1005" i="7" s="1"/>
  <c r="J1006" i="7" a="1"/>
  <c r="J1006" i="7" s="1"/>
  <c r="N1006" i="7" s="1"/>
  <c r="J1007" i="7" a="1"/>
  <c r="J1007" i="7" s="1"/>
  <c r="N1007" i="7" s="1"/>
  <c r="J1008" i="7" a="1"/>
  <c r="J1008" i="7" s="1"/>
  <c r="N1008" i="7" s="1"/>
  <c r="J1009" i="7" a="1"/>
  <c r="J1009" i="7" s="1"/>
  <c r="N1009" i="7" s="1"/>
  <c r="J1010" i="7" a="1"/>
  <c r="J1010" i="7" s="1"/>
  <c r="N1010" i="7" s="1"/>
  <c r="J1011" i="7" a="1"/>
  <c r="J1011" i="7" s="1"/>
  <c r="N1011" i="7" s="1"/>
  <c r="J1012" i="7" a="1"/>
  <c r="J1012" i="7" s="1"/>
  <c r="N1012" i="7" s="1"/>
  <c r="J1013" i="7" a="1"/>
  <c r="J1013" i="7" s="1"/>
  <c r="N1013" i="7" s="1"/>
  <c r="J1014" i="7" a="1"/>
  <c r="J1014" i="7" s="1"/>
  <c r="N1014" i="7" s="1"/>
  <c r="J1015" i="7" a="1"/>
  <c r="J1015" i="7" s="1"/>
  <c r="N1015" i="7" s="1"/>
  <c r="J1016" i="7" a="1"/>
  <c r="J1016" i="7" s="1"/>
  <c r="N1016" i="7" s="1"/>
  <c r="J1017" i="7" a="1"/>
  <c r="J1017" i="7" s="1"/>
  <c r="N1017" i="7" s="1"/>
  <c r="J1018" i="7" a="1"/>
  <c r="J1018" i="7" s="1"/>
  <c r="N1018" i="7" s="1"/>
  <c r="J1019" i="7" a="1"/>
  <c r="J1019" i="7" s="1"/>
  <c r="N1019" i="7" s="1"/>
  <c r="J1020" i="7" a="1"/>
  <c r="J1020" i="7" s="1"/>
  <c r="N1020" i="7" s="1"/>
  <c r="J1021" i="7" a="1"/>
  <c r="J1021" i="7" s="1"/>
  <c r="N1021" i="7" s="1"/>
  <c r="J1022" i="7" a="1"/>
  <c r="J1022" i="7" s="1"/>
  <c r="N1022" i="7" s="1"/>
  <c r="J1023" i="7" a="1"/>
  <c r="J1023" i="7" s="1"/>
  <c r="N1023" i="7" s="1"/>
  <c r="J1024" i="7" a="1"/>
  <c r="J1024" i="7" s="1"/>
  <c r="N1024" i="7" s="1"/>
  <c r="J1025" i="7" a="1"/>
  <c r="J1025" i="7" s="1"/>
  <c r="N1025" i="7" s="1"/>
  <c r="J1026" i="7" a="1"/>
  <c r="J1026" i="7" s="1"/>
  <c r="N1026" i="7" s="1"/>
  <c r="J1027" i="7" a="1"/>
  <c r="J1027" i="7" s="1"/>
  <c r="N1027" i="7" s="1"/>
  <c r="J1028" i="7" a="1"/>
  <c r="J1028" i="7" s="1"/>
  <c r="N1028" i="7" s="1"/>
  <c r="J1029" i="7" a="1"/>
  <c r="J1029" i="7" s="1"/>
  <c r="N1029" i="7" s="1"/>
  <c r="J1030" i="7" a="1"/>
  <c r="J1030" i="7" s="1"/>
  <c r="N1030" i="7" s="1"/>
  <c r="J1031" i="7" a="1"/>
  <c r="J1031" i="7" s="1"/>
  <c r="N1031" i="7" s="1"/>
  <c r="J1032" i="7" a="1"/>
  <c r="J1032" i="7" s="1"/>
  <c r="N1032" i="7" s="1"/>
  <c r="J1033" i="7" a="1"/>
  <c r="J1033" i="7" s="1"/>
  <c r="N1033" i="7" s="1"/>
  <c r="J1034" i="7" a="1"/>
  <c r="J1034" i="7" s="1"/>
  <c r="N1034" i="7" s="1"/>
  <c r="J1035" i="7" a="1"/>
  <c r="J1035" i="7" s="1"/>
  <c r="N1035" i="7" s="1"/>
  <c r="J1036" i="7" a="1"/>
  <c r="J1036" i="7" s="1"/>
  <c r="N1036" i="7" s="1"/>
  <c r="J1037" i="7" a="1"/>
  <c r="J1037" i="7" s="1"/>
  <c r="N1037" i="7" s="1"/>
  <c r="J1038" i="7" a="1"/>
  <c r="J1038" i="7" s="1"/>
  <c r="N1038" i="7" s="1"/>
  <c r="J1039" i="7" a="1"/>
  <c r="J1039" i="7" s="1"/>
  <c r="N1039" i="7" s="1"/>
  <c r="J1040" i="7" a="1"/>
  <c r="J1040" i="7" s="1"/>
  <c r="N1040" i="7" s="1"/>
  <c r="J1041" i="7" a="1"/>
  <c r="J1041" i="7" s="1"/>
  <c r="N1041" i="7" s="1"/>
  <c r="J1042" i="7" a="1"/>
  <c r="J1042" i="7" s="1"/>
  <c r="N1042" i="7" s="1"/>
  <c r="J1043" i="7" a="1"/>
  <c r="J1043" i="7" s="1"/>
  <c r="N1043" i="7" s="1"/>
  <c r="J1044" i="7" a="1"/>
  <c r="J1044" i="7" s="1"/>
  <c r="N1044" i="7" s="1"/>
  <c r="J1045" i="7" a="1"/>
  <c r="J1045" i="7" s="1"/>
  <c r="N1045" i="7" s="1"/>
  <c r="J1046" i="7" a="1"/>
  <c r="J1046" i="7" s="1"/>
  <c r="N1046" i="7" s="1"/>
  <c r="J1047" i="7" a="1"/>
  <c r="J1047" i="7" s="1"/>
  <c r="N1047" i="7" s="1"/>
  <c r="J1048" i="7" a="1"/>
  <c r="J1048" i="7" s="1"/>
  <c r="N1048" i="7" s="1"/>
  <c r="J1049" i="7" a="1"/>
  <c r="J1049" i="7" s="1"/>
  <c r="N1049" i="7" s="1"/>
  <c r="J1050" i="7" a="1"/>
  <c r="J1050" i="7" s="1"/>
  <c r="N1050" i="7" s="1"/>
  <c r="J1051" i="7" a="1"/>
  <c r="J1051" i="7" s="1"/>
  <c r="N1051" i="7" s="1"/>
  <c r="J1052" i="7" a="1"/>
  <c r="J1052" i="7" s="1"/>
  <c r="N1052" i="7" s="1"/>
  <c r="J1053" i="7" a="1"/>
  <c r="J1053" i="7" s="1"/>
  <c r="N1053" i="7" s="1"/>
  <c r="J1054" i="7" a="1"/>
  <c r="J1054" i="7" s="1"/>
  <c r="N1054" i="7" s="1"/>
  <c r="J1055" i="7" a="1"/>
  <c r="J1055" i="7" s="1"/>
  <c r="N1055" i="7" s="1"/>
  <c r="J1056" i="7" a="1"/>
  <c r="J1056" i="7" s="1"/>
  <c r="N1056" i="7" s="1"/>
  <c r="J1057" i="7" a="1"/>
  <c r="J1057" i="7" s="1"/>
  <c r="N1057" i="7" s="1"/>
  <c r="J1058" i="7" a="1"/>
  <c r="J1058" i="7" s="1"/>
  <c r="N1058" i="7" s="1"/>
  <c r="J1059" i="7" a="1"/>
  <c r="J1059" i="7" s="1"/>
  <c r="N1059" i="7" s="1"/>
  <c r="J1060" i="7" a="1"/>
  <c r="J1060" i="7" s="1"/>
  <c r="N1060" i="7" s="1"/>
  <c r="J1061" i="7" a="1"/>
  <c r="J1061" i="7" s="1"/>
  <c r="N1061" i="7" s="1"/>
  <c r="J1062" i="7" a="1"/>
  <c r="J1062" i="7" s="1"/>
  <c r="N1062" i="7" s="1"/>
  <c r="J1063" i="7" a="1"/>
  <c r="J1063" i="7" s="1"/>
  <c r="N1063" i="7" s="1"/>
  <c r="J1064" i="7" a="1"/>
  <c r="J1064" i="7" s="1"/>
  <c r="N1064" i="7" s="1"/>
  <c r="J1065" i="7" a="1"/>
  <c r="J1065" i="7" s="1"/>
  <c r="N1065" i="7" s="1"/>
  <c r="J1066" i="7" a="1"/>
  <c r="J1066" i="7" s="1"/>
  <c r="N1066" i="7" s="1"/>
  <c r="J1067" i="7" a="1"/>
  <c r="J1067" i="7" s="1"/>
  <c r="N1067" i="7" s="1"/>
  <c r="J1068" i="7" a="1"/>
  <c r="J1068" i="7" s="1"/>
  <c r="N1068" i="7" s="1"/>
  <c r="J1069" i="7" a="1"/>
  <c r="J1069" i="7" s="1"/>
  <c r="N1069" i="7" s="1"/>
  <c r="J1070" i="7" a="1"/>
  <c r="J1070" i="7" s="1"/>
  <c r="N1070" i="7" s="1"/>
  <c r="J1071" i="7" a="1"/>
  <c r="J1071" i="7" s="1"/>
  <c r="N1071" i="7" s="1"/>
  <c r="J1072" i="7" a="1"/>
  <c r="J1072" i="7" s="1"/>
  <c r="N1072" i="7" s="1"/>
  <c r="J1073" i="7" a="1"/>
  <c r="J1073" i="7" s="1"/>
  <c r="N1073" i="7" s="1"/>
  <c r="J1074" i="7" a="1"/>
  <c r="J1074" i="7" s="1"/>
  <c r="N1074" i="7" s="1"/>
  <c r="J1075" i="7" a="1"/>
  <c r="J1075" i="7" s="1"/>
  <c r="N1075" i="7" s="1"/>
  <c r="J1076" i="7" a="1"/>
  <c r="J1076" i="7" s="1"/>
  <c r="N1076" i="7" s="1"/>
  <c r="J1077" i="7" a="1"/>
  <c r="J1077" i="7" s="1"/>
  <c r="N1077" i="7" s="1"/>
  <c r="J1078" i="7" a="1"/>
  <c r="J1078" i="7" s="1"/>
  <c r="N1078" i="7" s="1"/>
  <c r="J1079" i="7" a="1"/>
  <c r="J1079" i="7" s="1"/>
  <c r="N1079" i="7" s="1"/>
  <c r="J1080" i="7" a="1"/>
  <c r="J1080" i="7" s="1"/>
  <c r="N1080" i="7" s="1"/>
  <c r="J1081" i="7" a="1"/>
  <c r="J1081" i="7" s="1"/>
  <c r="N1081" i="7" s="1"/>
  <c r="J1082" i="7" a="1"/>
  <c r="J1082" i="7" s="1"/>
  <c r="N1082" i="7" s="1"/>
  <c r="J1083" i="7" a="1"/>
  <c r="J1083" i="7" s="1"/>
  <c r="N1083" i="7" s="1"/>
  <c r="J1084" i="7" a="1"/>
  <c r="J1084" i="7" s="1"/>
  <c r="N1084" i="7" s="1"/>
  <c r="J1085" i="7" a="1"/>
  <c r="J1085" i="7" s="1"/>
  <c r="N1085" i="7" s="1"/>
  <c r="J1086" i="7" a="1"/>
  <c r="J1086" i="7" s="1"/>
  <c r="N1086" i="7" s="1"/>
  <c r="J1087" i="7" a="1"/>
  <c r="J1087" i="7" s="1"/>
  <c r="N1087" i="7" s="1"/>
  <c r="J1088" i="7" a="1"/>
  <c r="J1088" i="7" s="1"/>
  <c r="N1088" i="7" s="1"/>
  <c r="J1089" i="7" a="1"/>
  <c r="J1089" i="7" s="1"/>
  <c r="N1089" i="7" s="1"/>
  <c r="J1090" i="7" a="1"/>
  <c r="J1090" i="7" s="1"/>
  <c r="N1090" i="7" s="1"/>
  <c r="J1091" i="7" a="1"/>
  <c r="J1091" i="7" s="1"/>
  <c r="N1091" i="7" s="1"/>
  <c r="J1092" i="7" a="1"/>
  <c r="J1092" i="7" s="1"/>
  <c r="N1092" i="7" s="1"/>
  <c r="J1093" i="7" a="1"/>
  <c r="J1093" i="7" s="1"/>
  <c r="N1093" i="7" s="1"/>
  <c r="J1094" i="7" a="1"/>
  <c r="J1094" i="7" s="1"/>
  <c r="N1094" i="7" s="1"/>
  <c r="J1095" i="7" a="1"/>
  <c r="J1095" i="7" s="1"/>
  <c r="N1095" i="7" s="1"/>
  <c r="J1096" i="7" a="1"/>
  <c r="J1096" i="7" s="1"/>
  <c r="N1096" i="7" s="1"/>
  <c r="J1097" i="7" a="1"/>
  <c r="J1097" i="7" s="1"/>
  <c r="N1097" i="7" s="1"/>
  <c r="J1098" i="7" a="1"/>
  <c r="J1098" i="7" s="1"/>
  <c r="N1098" i="7" s="1"/>
  <c r="J1099" i="7" a="1"/>
  <c r="J1099" i="7" s="1"/>
  <c r="N1099" i="7" s="1"/>
  <c r="J1100" i="7" a="1"/>
  <c r="J1100" i="7" s="1"/>
  <c r="N1100" i="7" s="1"/>
  <c r="J1101" i="7" a="1"/>
  <c r="J1101" i="7" s="1"/>
  <c r="N1101" i="7" s="1"/>
  <c r="J1102" i="7" a="1"/>
  <c r="J1102" i="7" s="1"/>
  <c r="N1102" i="7" s="1"/>
  <c r="J1103" i="7" a="1"/>
  <c r="J1103" i="7" s="1"/>
  <c r="N1103" i="7" s="1"/>
  <c r="J1104" i="7" a="1"/>
  <c r="J1104" i="7" s="1"/>
  <c r="N1104" i="7" s="1"/>
  <c r="J1105" i="7" a="1"/>
  <c r="J1105" i="7" s="1"/>
  <c r="N1105" i="7" s="1"/>
  <c r="J1106" i="7" a="1"/>
  <c r="J1106" i="7" s="1"/>
  <c r="N1106" i="7" s="1"/>
  <c r="J1107" i="7" a="1"/>
  <c r="J1107" i="7" s="1"/>
  <c r="N1107" i="7" s="1"/>
  <c r="J1108" i="7" a="1"/>
  <c r="J1108" i="7" s="1"/>
  <c r="N1108" i="7" s="1"/>
  <c r="J1109" i="7" a="1"/>
  <c r="J1109" i="7" s="1"/>
  <c r="N1109" i="7" s="1"/>
  <c r="J1110" i="7" a="1"/>
  <c r="J1110" i="7" s="1"/>
  <c r="N1110" i="7" s="1"/>
  <c r="J1111" i="7" a="1"/>
  <c r="J1111" i="7" s="1"/>
  <c r="N1111" i="7" s="1"/>
  <c r="J1112" i="7" a="1"/>
  <c r="J1112" i="7" s="1"/>
  <c r="N1112" i="7" s="1"/>
  <c r="J1113" i="7" a="1"/>
  <c r="J1113" i="7" s="1"/>
  <c r="N1113" i="7" s="1"/>
  <c r="J1114" i="7" a="1"/>
  <c r="J1114" i="7" s="1"/>
  <c r="N1114" i="7" s="1"/>
  <c r="J1115" i="7" a="1"/>
  <c r="J1115" i="7" s="1"/>
  <c r="N1115" i="7" s="1"/>
  <c r="J1116" i="7" a="1"/>
  <c r="J1116" i="7" s="1"/>
  <c r="N1116" i="7" s="1"/>
  <c r="J1117" i="7" a="1"/>
  <c r="J1117" i="7" s="1"/>
  <c r="N1117" i="7" s="1"/>
  <c r="J1118" i="7" a="1"/>
  <c r="J1118" i="7" s="1"/>
  <c r="N1118" i="7" s="1"/>
  <c r="J1119" i="7" a="1"/>
  <c r="J1119" i="7" s="1"/>
  <c r="N1119" i="7" s="1"/>
  <c r="J1120" i="7" a="1"/>
  <c r="J1120" i="7" s="1"/>
  <c r="N1120" i="7" s="1"/>
  <c r="J1121" i="7" a="1"/>
  <c r="J1121" i="7" s="1"/>
  <c r="N1121" i="7" s="1"/>
  <c r="J1122" i="7" a="1"/>
  <c r="J1122" i="7" s="1"/>
  <c r="N1122" i="7" s="1"/>
  <c r="J1123" i="7" a="1"/>
  <c r="J1123" i="7" s="1"/>
  <c r="N1123" i="7" s="1"/>
  <c r="J1124" i="7" a="1"/>
  <c r="J1124" i="7" s="1"/>
  <c r="N1124" i="7" s="1"/>
  <c r="J1125" i="7" a="1"/>
  <c r="J1125" i="7" s="1"/>
  <c r="N1125" i="7" s="1"/>
  <c r="J1126" i="7" a="1"/>
  <c r="J1126" i="7" s="1"/>
  <c r="N1126" i="7" s="1"/>
  <c r="J1127" i="7" a="1"/>
  <c r="J1127" i="7" s="1"/>
  <c r="N1127" i="7" s="1"/>
  <c r="J1128" i="7" a="1"/>
  <c r="J1128" i="7" s="1"/>
  <c r="N1128" i="7" s="1"/>
  <c r="J1129" i="7" a="1"/>
  <c r="J1129" i="7" s="1"/>
  <c r="N1129" i="7" s="1"/>
  <c r="J1130" i="7" a="1"/>
  <c r="J1130" i="7" s="1"/>
  <c r="N1130" i="7" s="1"/>
  <c r="J1131" i="7" a="1"/>
  <c r="J1131" i="7" s="1"/>
  <c r="N1131" i="7" s="1"/>
  <c r="J1132" i="7" a="1"/>
  <c r="J1132" i="7" s="1"/>
  <c r="N1132" i="7" s="1"/>
  <c r="J1133" i="7" a="1"/>
  <c r="J1133" i="7" s="1"/>
  <c r="N1133" i="7" s="1"/>
  <c r="J1134" i="7" a="1"/>
  <c r="J1134" i="7" s="1"/>
  <c r="N1134" i="7" s="1"/>
  <c r="J1135" i="7" a="1"/>
  <c r="J1135" i="7" s="1"/>
  <c r="N1135" i="7" s="1"/>
  <c r="J1136" i="7" a="1"/>
  <c r="J1136" i="7" s="1"/>
  <c r="N1136" i="7" s="1"/>
  <c r="J1137" i="7" a="1"/>
  <c r="J1137" i="7" s="1"/>
  <c r="N1137" i="7" s="1"/>
  <c r="J978" i="7" a="1"/>
  <c r="J978" i="7" s="1"/>
  <c r="N978" i="7" s="1"/>
  <c r="J770" i="7" a="1"/>
  <c r="J770" i="7" s="1"/>
  <c r="N770" i="7" s="1"/>
  <c r="J771" i="7" a="1"/>
  <c r="J771" i="7" s="1"/>
  <c r="N771" i="7" s="1"/>
  <c r="J772" i="7" a="1"/>
  <c r="J772" i="7" s="1"/>
  <c r="N772" i="7" s="1"/>
  <c r="J773" i="7" a="1"/>
  <c r="J773" i="7" s="1"/>
  <c r="N773" i="7" s="1"/>
  <c r="J774" i="7" a="1"/>
  <c r="J774" i="7" s="1"/>
  <c r="N774" i="7" s="1"/>
  <c r="J775" i="7" a="1"/>
  <c r="J775" i="7" s="1"/>
  <c r="N775" i="7" s="1"/>
  <c r="J776" i="7" a="1"/>
  <c r="J776" i="7" s="1"/>
  <c r="N776" i="7" s="1"/>
  <c r="J777" i="7" a="1"/>
  <c r="J777" i="7" s="1"/>
  <c r="N777" i="7" s="1"/>
  <c r="J778" i="7" a="1"/>
  <c r="J778" i="7" s="1"/>
  <c r="N778" i="7" s="1"/>
  <c r="J779" i="7" a="1"/>
  <c r="J779" i="7" s="1"/>
  <c r="N779" i="7" s="1"/>
  <c r="J780" i="7" a="1"/>
  <c r="J780" i="7" s="1"/>
  <c r="N780" i="7" s="1"/>
  <c r="J781" i="7" a="1"/>
  <c r="J781" i="7" s="1"/>
  <c r="N781" i="7" s="1"/>
  <c r="J782" i="7" a="1"/>
  <c r="J782" i="7" s="1"/>
  <c r="N782" i="7" s="1"/>
  <c r="J783" i="7" a="1"/>
  <c r="J783" i="7" s="1"/>
  <c r="N783" i="7" s="1"/>
  <c r="J784" i="7" a="1"/>
  <c r="J784" i="7" s="1"/>
  <c r="N784" i="7" s="1"/>
  <c r="J785" i="7" a="1"/>
  <c r="J785" i="7" s="1"/>
  <c r="N785" i="7" s="1"/>
  <c r="J786" i="7" a="1"/>
  <c r="J786" i="7" s="1"/>
  <c r="N786" i="7" s="1"/>
  <c r="J787" i="7" a="1"/>
  <c r="J787" i="7" s="1"/>
  <c r="N787" i="7" s="1"/>
  <c r="J788" i="7" a="1"/>
  <c r="J788" i="7" s="1"/>
  <c r="N788" i="7" s="1"/>
  <c r="J789" i="7" a="1"/>
  <c r="J789" i="7" s="1"/>
  <c r="N789" i="7" s="1"/>
  <c r="J790" i="7" a="1"/>
  <c r="J790" i="7" s="1"/>
  <c r="N790" i="7" s="1"/>
  <c r="J791" i="7" a="1"/>
  <c r="J791" i="7" s="1"/>
  <c r="N791" i="7" s="1"/>
  <c r="J792" i="7" a="1"/>
  <c r="J792" i="7" s="1"/>
  <c r="N792" i="7" s="1"/>
  <c r="J793" i="7" a="1"/>
  <c r="J793" i="7" s="1"/>
  <c r="N793" i="7" s="1"/>
  <c r="J794" i="7" a="1"/>
  <c r="J794" i="7" s="1"/>
  <c r="N794" i="7" s="1"/>
  <c r="J795" i="7" a="1"/>
  <c r="J795" i="7" s="1"/>
  <c r="N795" i="7" s="1"/>
  <c r="J796" i="7" a="1"/>
  <c r="J796" i="7" s="1"/>
  <c r="N796" i="7" s="1"/>
  <c r="J797" i="7" a="1"/>
  <c r="J797" i="7" s="1"/>
  <c r="N797" i="7" s="1"/>
  <c r="J798" i="7" a="1"/>
  <c r="J798" i="7" s="1"/>
  <c r="N798" i="7" s="1"/>
  <c r="J799" i="7" a="1"/>
  <c r="J799" i="7" s="1"/>
  <c r="N799" i="7" s="1"/>
  <c r="J800" i="7" a="1"/>
  <c r="J800" i="7" s="1"/>
  <c r="N800" i="7" s="1"/>
  <c r="J801" i="7" a="1"/>
  <c r="J801" i="7" s="1"/>
  <c r="N801" i="7" s="1"/>
  <c r="J802" i="7" a="1"/>
  <c r="J802" i="7" s="1"/>
  <c r="N802" i="7" s="1"/>
  <c r="J803" i="7" a="1"/>
  <c r="J803" i="7" s="1"/>
  <c r="N803" i="7" s="1"/>
  <c r="J804" i="7" a="1"/>
  <c r="J804" i="7" s="1"/>
  <c r="N804" i="7" s="1"/>
  <c r="J805" i="7" a="1"/>
  <c r="J805" i="7" s="1"/>
  <c r="N805" i="7" s="1"/>
  <c r="J806" i="7" a="1"/>
  <c r="J806" i="7" s="1"/>
  <c r="N806" i="7" s="1"/>
  <c r="J807" i="7" a="1"/>
  <c r="J807" i="7" s="1"/>
  <c r="N807" i="7" s="1"/>
  <c r="J808" i="7" a="1"/>
  <c r="J808" i="7" s="1"/>
  <c r="N808" i="7" s="1"/>
  <c r="J809" i="7" a="1"/>
  <c r="J809" i="7" s="1"/>
  <c r="N809" i="7" s="1"/>
  <c r="J810" i="7" a="1"/>
  <c r="J810" i="7" s="1"/>
  <c r="N810" i="7" s="1"/>
  <c r="J811" i="7" a="1"/>
  <c r="J811" i="7" s="1"/>
  <c r="N811" i="7" s="1"/>
  <c r="J812" i="7" a="1"/>
  <c r="J812" i="7" s="1"/>
  <c r="N812" i="7" s="1"/>
  <c r="J813" i="7" a="1"/>
  <c r="J813" i="7" s="1"/>
  <c r="N813" i="7" s="1"/>
  <c r="J814" i="7" a="1"/>
  <c r="J814" i="7" s="1"/>
  <c r="N814" i="7" s="1"/>
  <c r="J815" i="7" a="1"/>
  <c r="J815" i="7" s="1"/>
  <c r="N815" i="7" s="1"/>
  <c r="J816" i="7" a="1"/>
  <c r="J816" i="7" s="1"/>
  <c r="N816" i="7" s="1"/>
  <c r="J817" i="7" a="1"/>
  <c r="J817" i="7" s="1"/>
  <c r="N817" i="7" s="1"/>
  <c r="J818" i="7" a="1"/>
  <c r="J818" i="7" s="1"/>
  <c r="N818" i="7" s="1"/>
  <c r="J819" i="7" a="1"/>
  <c r="J819" i="7" s="1"/>
  <c r="N819" i="7" s="1"/>
  <c r="J820" i="7" a="1"/>
  <c r="J820" i="7" s="1"/>
  <c r="N820" i="7" s="1"/>
  <c r="J821" i="7" a="1"/>
  <c r="J821" i="7" s="1"/>
  <c r="N821" i="7" s="1"/>
  <c r="J822" i="7" a="1"/>
  <c r="J822" i="7" s="1"/>
  <c r="N822" i="7" s="1"/>
  <c r="J823" i="7" a="1"/>
  <c r="J823" i="7" s="1"/>
  <c r="N823" i="7" s="1"/>
  <c r="J824" i="7" a="1"/>
  <c r="J824" i="7" s="1"/>
  <c r="N824" i="7" s="1"/>
  <c r="J825" i="7" a="1"/>
  <c r="J825" i="7" s="1"/>
  <c r="N825" i="7" s="1"/>
  <c r="J826" i="7" a="1"/>
  <c r="J826" i="7" s="1"/>
  <c r="N826" i="7" s="1"/>
  <c r="J827" i="7" a="1"/>
  <c r="J827" i="7" s="1"/>
  <c r="N827" i="7" s="1"/>
  <c r="J828" i="7" a="1"/>
  <c r="J828" i="7" s="1"/>
  <c r="N828" i="7" s="1"/>
  <c r="J829" i="7" a="1"/>
  <c r="J829" i="7" s="1"/>
  <c r="N829" i="7" s="1"/>
  <c r="J830" i="7" a="1"/>
  <c r="J830" i="7" s="1"/>
  <c r="N830" i="7" s="1"/>
  <c r="J831" i="7" a="1"/>
  <c r="J831" i="7" s="1"/>
  <c r="N831" i="7" s="1"/>
  <c r="J832" i="7" a="1"/>
  <c r="J832" i="7" s="1"/>
  <c r="N832" i="7" s="1"/>
  <c r="J833" i="7" a="1"/>
  <c r="J833" i="7" s="1"/>
  <c r="N833" i="7" s="1"/>
  <c r="J834" i="7" a="1"/>
  <c r="J834" i="7" s="1"/>
  <c r="N834" i="7" s="1"/>
  <c r="J835" i="7" a="1"/>
  <c r="J835" i="7" s="1"/>
  <c r="N835" i="7" s="1"/>
  <c r="J836" i="7" a="1"/>
  <c r="J836" i="7" s="1"/>
  <c r="N836" i="7" s="1"/>
  <c r="J837" i="7" a="1"/>
  <c r="J837" i="7" s="1"/>
  <c r="N837" i="7" s="1"/>
  <c r="J838" i="7" a="1"/>
  <c r="J838" i="7" s="1"/>
  <c r="N838" i="7" s="1"/>
  <c r="J839" i="7" a="1"/>
  <c r="J839" i="7" s="1"/>
  <c r="N839" i="7" s="1"/>
  <c r="J840" i="7" a="1"/>
  <c r="J840" i="7" s="1"/>
  <c r="N840" i="7" s="1"/>
  <c r="J841" i="7" a="1"/>
  <c r="J841" i="7" s="1"/>
  <c r="N841" i="7" s="1"/>
  <c r="J842" i="7" a="1"/>
  <c r="J842" i="7" s="1"/>
  <c r="N842" i="7" s="1"/>
  <c r="J843" i="7" a="1"/>
  <c r="J843" i="7" s="1"/>
  <c r="N843" i="7" s="1"/>
  <c r="J844" i="7" a="1"/>
  <c r="J844" i="7" s="1"/>
  <c r="N844" i="7" s="1"/>
  <c r="J845" i="7" a="1"/>
  <c r="J845" i="7" s="1"/>
  <c r="N845" i="7" s="1"/>
  <c r="J846" i="7" a="1"/>
  <c r="J846" i="7" s="1"/>
  <c r="N846" i="7" s="1"/>
  <c r="J847" i="7" a="1"/>
  <c r="J847" i="7" s="1"/>
  <c r="N847" i="7" s="1"/>
  <c r="J848" i="7" a="1"/>
  <c r="J848" i="7" s="1"/>
  <c r="N848" i="7" s="1"/>
  <c r="J849" i="7" a="1"/>
  <c r="J849" i="7" s="1"/>
  <c r="N849" i="7" s="1"/>
  <c r="J850" i="7" a="1"/>
  <c r="J850" i="7" s="1"/>
  <c r="N850" i="7" s="1"/>
  <c r="J851" i="7" a="1"/>
  <c r="J851" i="7" s="1"/>
  <c r="N851" i="7" s="1"/>
  <c r="J852" i="7" a="1"/>
  <c r="J852" i="7" s="1"/>
  <c r="N852" i="7" s="1"/>
  <c r="J853" i="7" a="1"/>
  <c r="J853" i="7" s="1"/>
  <c r="N853" i="7" s="1"/>
  <c r="J854" i="7" a="1"/>
  <c r="J854" i="7" s="1"/>
  <c r="N854" i="7" s="1"/>
  <c r="J855" i="7" a="1"/>
  <c r="J855" i="7" s="1"/>
  <c r="N855" i="7" s="1"/>
  <c r="J856" i="7" a="1"/>
  <c r="J856" i="7" s="1"/>
  <c r="N856" i="7" s="1"/>
  <c r="J857" i="7" a="1"/>
  <c r="J857" i="7" s="1"/>
  <c r="N857" i="7" s="1"/>
  <c r="J858" i="7" a="1"/>
  <c r="J858" i="7" s="1"/>
  <c r="N858" i="7" s="1"/>
  <c r="J859" i="7" a="1"/>
  <c r="J859" i="7" s="1"/>
  <c r="N859" i="7" s="1"/>
  <c r="J860" i="7" a="1"/>
  <c r="J860" i="7" s="1"/>
  <c r="N860" i="7" s="1"/>
  <c r="J861" i="7" a="1"/>
  <c r="J861" i="7" s="1"/>
  <c r="N861" i="7" s="1"/>
  <c r="J862" i="7" a="1"/>
  <c r="J862" i="7" s="1"/>
  <c r="N862" i="7" s="1"/>
  <c r="J863" i="7" a="1"/>
  <c r="J863" i="7" s="1"/>
  <c r="N863" i="7" s="1"/>
  <c r="J864" i="7" a="1"/>
  <c r="J864" i="7" s="1"/>
  <c r="N864" i="7" s="1"/>
  <c r="J865" i="7" a="1"/>
  <c r="J865" i="7" s="1"/>
  <c r="N865" i="7" s="1"/>
  <c r="J866" i="7" a="1"/>
  <c r="J866" i="7" s="1"/>
  <c r="N866" i="7" s="1"/>
  <c r="J867" i="7" a="1"/>
  <c r="J867" i="7" s="1"/>
  <c r="N867" i="7" s="1"/>
  <c r="J868" i="7" a="1"/>
  <c r="J868" i="7" s="1"/>
  <c r="N868" i="7" s="1"/>
  <c r="J869" i="7" a="1"/>
  <c r="J869" i="7" s="1"/>
  <c r="N869" i="7" s="1"/>
  <c r="J870" i="7" a="1"/>
  <c r="J870" i="7" s="1"/>
  <c r="N870" i="7" s="1"/>
  <c r="J871" i="7" a="1"/>
  <c r="J871" i="7" s="1"/>
  <c r="N871" i="7" s="1"/>
  <c r="J872" i="7" a="1"/>
  <c r="J872" i="7" s="1"/>
  <c r="N872" i="7" s="1"/>
  <c r="J873" i="7" a="1"/>
  <c r="J873" i="7" s="1"/>
  <c r="N873" i="7" s="1"/>
  <c r="J874" i="7" a="1"/>
  <c r="J874" i="7" s="1"/>
  <c r="N874" i="7" s="1"/>
  <c r="J875" i="7" a="1"/>
  <c r="J875" i="7" s="1"/>
  <c r="N875" i="7" s="1"/>
  <c r="J876" i="7" a="1"/>
  <c r="J876" i="7" s="1"/>
  <c r="N876" i="7" s="1"/>
  <c r="J877" i="7" a="1"/>
  <c r="J877" i="7" s="1"/>
  <c r="N877" i="7" s="1"/>
  <c r="J878" i="7" a="1"/>
  <c r="J878" i="7" s="1"/>
  <c r="N878" i="7" s="1"/>
  <c r="J879" i="7" a="1"/>
  <c r="J879" i="7" s="1"/>
  <c r="N879" i="7" s="1"/>
  <c r="J880" i="7" a="1"/>
  <c r="J880" i="7" s="1"/>
  <c r="N880" i="7" s="1"/>
  <c r="J881" i="7" a="1"/>
  <c r="J881" i="7" s="1"/>
  <c r="N881" i="7" s="1"/>
  <c r="J882" i="7" a="1"/>
  <c r="J882" i="7" s="1"/>
  <c r="N882" i="7" s="1"/>
  <c r="J883" i="7" a="1"/>
  <c r="J883" i="7" s="1"/>
  <c r="N883" i="7" s="1"/>
  <c r="J884" i="7" a="1"/>
  <c r="J884" i="7" s="1"/>
  <c r="N884" i="7" s="1"/>
  <c r="J885" i="7" a="1"/>
  <c r="J885" i="7" s="1"/>
  <c r="N885" i="7" s="1"/>
  <c r="J886" i="7" a="1"/>
  <c r="J886" i="7" s="1"/>
  <c r="N886" i="7" s="1"/>
  <c r="J887" i="7" a="1"/>
  <c r="J887" i="7" s="1"/>
  <c r="N887" i="7" s="1"/>
  <c r="J888" i="7" a="1"/>
  <c r="J888" i="7" s="1"/>
  <c r="N888" i="7" s="1"/>
  <c r="J889" i="7" a="1"/>
  <c r="J889" i="7" s="1"/>
  <c r="N889" i="7" s="1"/>
  <c r="J890" i="7" a="1"/>
  <c r="J890" i="7" s="1"/>
  <c r="N890" i="7" s="1"/>
  <c r="J891" i="7" a="1"/>
  <c r="J891" i="7" s="1"/>
  <c r="N891" i="7" s="1"/>
  <c r="J892" i="7" a="1"/>
  <c r="J892" i="7" s="1"/>
  <c r="N892" i="7" s="1"/>
  <c r="J893" i="7" a="1"/>
  <c r="J893" i="7" s="1"/>
  <c r="N893" i="7" s="1"/>
  <c r="J894" i="7" a="1"/>
  <c r="J894" i="7" s="1"/>
  <c r="N894" i="7" s="1"/>
  <c r="J895" i="7" a="1"/>
  <c r="J895" i="7" s="1"/>
  <c r="N895" i="7" s="1"/>
  <c r="J896" i="7" a="1"/>
  <c r="J896" i="7" s="1"/>
  <c r="N896" i="7" s="1"/>
  <c r="J897" i="7" a="1"/>
  <c r="J897" i="7" s="1"/>
  <c r="N897" i="7" s="1"/>
  <c r="J898" i="7" a="1"/>
  <c r="J898" i="7" s="1"/>
  <c r="N898" i="7" s="1"/>
  <c r="J899" i="7" a="1"/>
  <c r="J899" i="7" s="1"/>
  <c r="N899" i="7" s="1"/>
  <c r="J900" i="7" a="1"/>
  <c r="J900" i="7" s="1"/>
  <c r="N900" i="7" s="1"/>
  <c r="J901" i="7" a="1"/>
  <c r="J901" i="7" s="1"/>
  <c r="N901" i="7" s="1"/>
  <c r="J902" i="7" a="1"/>
  <c r="J902" i="7" s="1"/>
  <c r="N902" i="7" s="1"/>
  <c r="J903" i="7" a="1"/>
  <c r="J903" i="7" s="1"/>
  <c r="N903" i="7" s="1"/>
  <c r="J904" i="7" a="1"/>
  <c r="J904" i="7" s="1"/>
  <c r="N904" i="7" s="1"/>
  <c r="J905" i="7" a="1"/>
  <c r="J905" i="7" s="1"/>
  <c r="N905" i="7" s="1"/>
  <c r="J906" i="7" a="1"/>
  <c r="J906" i="7" s="1"/>
  <c r="N906" i="7" s="1"/>
  <c r="J907" i="7" a="1"/>
  <c r="J907" i="7" s="1"/>
  <c r="N907" i="7" s="1"/>
  <c r="J908" i="7" a="1"/>
  <c r="J908" i="7" s="1"/>
  <c r="N908" i="7" s="1"/>
  <c r="J909" i="7" a="1"/>
  <c r="J909" i="7" s="1"/>
  <c r="N909" i="7" s="1"/>
  <c r="J910" i="7" a="1"/>
  <c r="J910" i="7" s="1"/>
  <c r="N910" i="7" s="1"/>
  <c r="J911" i="7" a="1"/>
  <c r="J911" i="7" s="1"/>
  <c r="N911" i="7" s="1"/>
  <c r="J912" i="7" a="1"/>
  <c r="J912" i="7" s="1"/>
  <c r="N912" i="7" s="1"/>
  <c r="J913" i="7" a="1"/>
  <c r="J913" i="7" s="1"/>
  <c r="N913" i="7" s="1"/>
  <c r="J914" i="7" a="1"/>
  <c r="J914" i="7" s="1"/>
  <c r="N914" i="7" s="1"/>
  <c r="J915" i="7" a="1"/>
  <c r="J915" i="7" s="1"/>
  <c r="N915" i="7" s="1"/>
  <c r="J916" i="7" a="1"/>
  <c r="J916" i="7" s="1"/>
  <c r="N916" i="7" s="1"/>
  <c r="J917" i="7" a="1"/>
  <c r="J917" i="7" s="1"/>
  <c r="N917" i="7" s="1"/>
  <c r="J918" i="7" a="1"/>
  <c r="J918" i="7" s="1"/>
  <c r="N918" i="7" s="1"/>
  <c r="J919" i="7" a="1"/>
  <c r="J919" i="7" s="1"/>
  <c r="N919" i="7" s="1"/>
  <c r="J920" i="7" a="1"/>
  <c r="J920" i="7" s="1"/>
  <c r="N920" i="7" s="1"/>
  <c r="J921" i="7" a="1"/>
  <c r="J921" i="7" s="1"/>
  <c r="N921" i="7" s="1"/>
  <c r="J922" i="7" a="1"/>
  <c r="J922" i="7" s="1"/>
  <c r="N922" i="7" s="1"/>
  <c r="J923" i="7" a="1"/>
  <c r="J923" i="7" s="1"/>
  <c r="N923" i="7" s="1"/>
  <c r="J924" i="7" a="1"/>
  <c r="J924" i="7" s="1"/>
  <c r="N924" i="7" s="1"/>
  <c r="J925" i="7" a="1"/>
  <c r="J925" i="7" s="1"/>
  <c r="N925" i="7" s="1"/>
  <c r="J926" i="7" a="1"/>
  <c r="J926" i="7" s="1"/>
  <c r="N926" i="7" s="1"/>
  <c r="J927" i="7" a="1"/>
  <c r="J927" i="7" s="1"/>
  <c r="N927" i="7" s="1"/>
  <c r="J928" i="7" a="1"/>
  <c r="J928" i="7" s="1"/>
  <c r="N928" i="7" s="1"/>
  <c r="J929" i="7" a="1"/>
  <c r="J929" i="7" s="1"/>
  <c r="N929" i="7" s="1"/>
  <c r="J930" i="7" a="1"/>
  <c r="J930" i="7" s="1"/>
  <c r="N930" i="7" s="1"/>
  <c r="J931" i="7" a="1"/>
  <c r="J931" i="7" s="1"/>
  <c r="N931" i="7" s="1"/>
  <c r="J932" i="7" a="1"/>
  <c r="J932" i="7" s="1"/>
  <c r="N932" i="7" s="1"/>
  <c r="J933" i="7" a="1"/>
  <c r="J933" i="7" s="1"/>
  <c r="N933" i="7" s="1"/>
  <c r="J934" i="7" a="1"/>
  <c r="J934" i="7" s="1"/>
  <c r="N934" i="7" s="1"/>
  <c r="J935" i="7" a="1"/>
  <c r="J935" i="7" s="1"/>
  <c r="N935" i="7" s="1"/>
  <c r="J936" i="7" a="1"/>
  <c r="J936" i="7" s="1"/>
  <c r="N936" i="7" s="1"/>
  <c r="J937" i="7" a="1"/>
  <c r="J937" i="7" s="1"/>
  <c r="N937" i="7" s="1"/>
  <c r="J938" i="7" a="1"/>
  <c r="J938" i="7" s="1"/>
  <c r="N938" i="7" s="1"/>
  <c r="J939" i="7" a="1"/>
  <c r="J939" i="7" s="1"/>
  <c r="N939" i="7" s="1"/>
  <c r="J940" i="7" a="1"/>
  <c r="J940" i="7" s="1"/>
  <c r="N940" i="7" s="1"/>
  <c r="J941" i="7" a="1"/>
  <c r="J941" i="7" s="1"/>
  <c r="N941" i="7" s="1"/>
  <c r="J942" i="7" a="1"/>
  <c r="J942" i="7" s="1"/>
  <c r="N942" i="7" s="1"/>
  <c r="J943" i="7" a="1"/>
  <c r="J943" i="7" s="1"/>
  <c r="N943" i="7" s="1"/>
  <c r="J944" i="7" a="1"/>
  <c r="J944" i="7" s="1"/>
  <c r="N944" i="7" s="1"/>
  <c r="J945" i="7" a="1"/>
  <c r="J945" i="7" s="1"/>
  <c r="N945" i="7" s="1"/>
  <c r="J946" i="7" a="1"/>
  <c r="J946" i="7" s="1"/>
  <c r="N946" i="7" s="1"/>
  <c r="J947" i="7" a="1"/>
  <c r="J947" i="7" s="1"/>
  <c r="N947" i="7" s="1"/>
  <c r="J948" i="7" a="1"/>
  <c r="J948" i="7" s="1"/>
  <c r="N948" i="7" s="1"/>
  <c r="J949" i="7" a="1"/>
  <c r="J949" i="7" s="1"/>
  <c r="N949" i="7" s="1"/>
  <c r="J950" i="7" a="1"/>
  <c r="J950" i="7" s="1"/>
  <c r="N950" i="7" s="1"/>
  <c r="J951" i="7" a="1"/>
  <c r="J951" i="7" s="1"/>
  <c r="N951" i="7" s="1"/>
  <c r="J952" i="7" a="1"/>
  <c r="J952" i="7" s="1"/>
  <c r="N952" i="7" s="1"/>
  <c r="J953" i="7" a="1"/>
  <c r="J953" i="7" s="1"/>
  <c r="N953" i="7" s="1"/>
  <c r="J954" i="7" a="1"/>
  <c r="J954" i="7" s="1"/>
  <c r="N954" i="7" s="1"/>
  <c r="J955" i="7" a="1"/>
  <c r="J955" i="7" s="1"/>
  <c r="N955" i="7" s="1"/>
  <c r="J956" i="7" a="1"/>
  <c r="J956" i="7" s="1"/>
  <c r="N956" i="7" s="1"/>
  <c r="J957" i="7" a="1"/>
  <c r="J957" i="7" s="1"/>
  <c r="N957" i="7" s="1"/>
  <c r="J958" i="7" a="1"/>
  <c r="J958" i="7" s="1"/>
  <c r="N958" i="7" s="1"/>
  <c r="J959" i="7" a="1"/>
  <c r="J959" i="7" s="1"/>
  <c r="N959" i="7" s="1"/>
  <c r="J960" i="7" a="1"/>
  <c r="J960" i="7" s="1"/>
  <c r="N960" i="7" s="1"/>
  <c r="J961" i="7" a="1"/>
  <c r="J961" i="7" s="1"/>
  <c r="N961" i="7" s="1"/>
  <c r="J962" i="7" a="1"/>
  <c r="J962" i="7" s="1"/>
  <c r="N962" i="7" s="1"/>
  <c r="J963" i="7" a="1"/>
  <c r="J963" i="7" s="1"/>
  <c r="N963" i="7" s="1"/>
  <c r="J964" i="7" a="1"/>
  <c r="J964" i="7" s="1"/>
  <c r="N964" i="7" s="1"/>
  <c r="J965" i="7" a="1"/>
  <c r="J965" i="7" s="1"/>
  <c r="N965" i="7" s="1"/>
  <c r="J966" i="7" a="1"/>
  <c r="J966" i="7" s="1"/>
  <c r="N966" i="7" s="1"/>
  <c r="J967" i="7" a="1"/>
  <c r="J967" i="7" s="1"/>
  <c r="N967" i="7" s="1"/>
  <c r="J968" i="7" a="1"/>
  <c r="J968" i="7" s="1"/>
  <c r="N968" i="7" s="1"/>
  <c r="J969" i="7" a="1"/>
  <c r="J969" i="7" s="1"/>
  <c r="N969" i="7" s="1"/>
  <c r="J970" i="7" a="1"/>
  <c r="J970" i="7" s="1"/>
  <c r="N970" i="7" s="1"/>
  <c r="J971" i="7" a="1"/>
  <c r="J971" i="7" s="1"/>
  <c r="N971" i="7" s="1"/>
  <c r="J972" i="7" a="1"/>
  <c r="J972" i="7" s="1"/>
  <c r="N972" i="7" s="1"/>
  <c r="J973" i="7" a="1"/>
  <c r="J973" i="7" s="1"/>
  <c r="N973" i="7" s="1"/>
  <c r="J974" i="7" a="1"/>
  <c r="J974" i="7" s="1"/>
  <c r="N974" i="7" s="1"/>
  <c r="J975" i="7" a="1"/>
  <c r="J975" i="7" s="1"/>
  <c r="N975" i="7" s="1"/>
  <c r="J976" i="7" a="1"/>
  <c r="J976" i="7" s="1"/>
  <c r="N976" i="7" s="1"/>
  <c r="J977" i="7" a="1"/>
  <c r="J977" i="7" s="1"/>
  <c r="N977" i="7" s="1"/>
  <c r="J763" i="7" a="1"/>
  <c r="J763" i="7" s="1"/>
  <c r="N763" i="7" s="1"/>
  <c r="J764" i="7" a="1"/>
  <c r="J764" i="7" s="1"/>
  <c r="N764" i="7" s="1"/>
  <c r="J765" i="7" a="1"/>
  <c r="J765" i="7" s="1"/>
  <c r="N765" i="7" s="1"/>
  <c r="J766" i="7" a="1"/>
  <c r="J766" i="7" s="1"/>
  <c r="N766" i="7" s="1"/>
  <c r="J767" i="7" a="1"/>
  <c r="J767" i="7" s="1"/>
  <c r="N767" i="7" s="1"/>
  <c r="J768" i="7" a="1"/>
  <c r="J768" i="7" s="1"/>
  <c r="N768" i="7" s="1"/>
  <c r="J769" i="7" a="1"/>
  <c r="J769" i="7" s="1"/>
  <c r="N769" i="7" s="1"/>
  <c r="J762" i="7" a="1"/>
  <c r="J762" i="7" s="1"/>
  <c r="N762" i="7" s="1"/>
  <c r="J761" i="7" a="1"/>
  <c r="J761" i="7" s="1"/>
  <c r="N761" i="7" s="1"/>
  <c r="J571" i="7" a="1"/>
  <c r="J571" i="7" s="1"/>
  <c r="N571" i="7" s="1"/>
  <c r="J572" i="7" a="1"/>
  <c r="J572" i="7" s="1"/>
  <c r="N572" i="7" s="1"/>
  <c r="J573" i="7" a="1"/>
  <c r="J573" i="7" s="1"/>
  <c r="N573" i="7" s="1"/>
  <c r="J574" i="7" a="1"/>
  <c r="J574" i="7" s="1"/>
  <c r="N574" i="7" s="1"/>
  <c r="J575" i="7" a="1"/>
  <c r="J575" i="7" s="1"/>
  <c r="N575" i="7" s="1"/>
  <c r="J576" i="7" a="1"/>
  <c r="J576" i="7" s="1"/>
  <c r="N576" i="7" s="1"/>
  <c r="J577" i="7" a="1"/>
  <c r="J577" i="7" s="1"/>
  <c r="N577" i="7" s="1"/>
  <c r="J578" i="7" a="1"/>
  <c r="J578" i="7" s="1"/>
  <c r="N578" i="7" s="1"/>
  <c r="J579" i="7" a="1"/>
  <c r="J579" i="7" s="1"/>
  <c r="N579" i="7" s="1"/>
  <c r="J580" i="7" a="1"/>
  <c r="J580" i="7" s="1"/>
  <c r="N580" i="7" s="1"/>
  <c r="J581" i="7" a="1"/>
  <c r="J581" i="7" s="1"/>
  <c r="N581" i="7" s="1"/>
  <c r="J582" i="7" a="1"/>
  <c r="J582" i="7" s="1"/>
  <c r="N582" i="7" s="1"/>
  <c r="J583" i="7" a="1"/>
  <c r="J583" i="7" s="1"/>
  <c r="N583" i="7" s="1"/>
  <c r="J584" i="7" a="1"/>
  <c r="J584" i="7" s="1"/>
  <c r="N584" i="7" s="1"/>
  <c r="J585" i="7" a="1"/>
  <c r="J585" i="7" s="1"/>
  <c r="N585" i="7" s="1"/>
  <c r="J586" i="7" a="1"/>
  <c r="J586" i="7" s="1"/>
  <c r="N586" i="7" s="1"/>
  <c r="J587" i="7" a="1"/>
  <c r="J587" i="7" s="1"/>
  <c r="N587" i="7" s="1"/>
  <c r="J588" i="7" a="1"/>
  <c r="J588" i="7" s="1"/>
  <c r="N588" i="7" s="1"/>
  <c r="J589" i="7" a="1"/>
  <c r="J589" i="7" s="1"/>
  <c r="N589" i="7" s="1"/>
  <c r="J590" i="7" a="1"/>
  <c r="J590" i="7" s="1"/>
  <c r="N590" i="7" s="1"/>
  <c r="J591" i="7" a="1"/>
  <c r="J591" i="7" s="1"/>
  <c r="N591" i="7" s="1"/>
  <c r="J592" i="7" a="1"/>
  <c r="J592" i="7" s="1"/>
  <c r="N592" i="7" s="1"/>
  <c r="J593" i="7" a="1"/>
  <c r="J593" i="7" s="1"/>
  <c r="N593" i="7" s="1"/>
  <c r="J594" i="7" a="1"/>
  <c r="J594" i="7" s="1"/>
  <c r="N594" i="7" s="1"/>
  <c r="J595" i="7" a="1"/>
  <c r="J595" i="7" s="1"/>
  <c r="N595" i="7" s="1"/>
  <c r="J596" i="7" a="1"/>
  <c r="J596" i="7" s="1"/>
  <c r="N596" i="7" s="1"/>
  <c r="J597" i="7" a="1"/>
  <c r="J597" i="7" s="1"/>
  <c r="N597" i="7" s="1"/>
  <c r="J598" i="7" a="1"/>
  <c r="J598" i="7" s="1"/>
  <c r="N598" i="7" s="1"/>
  <c r="J599" i="7" a="1"/>
  <c r="J599" i="7" s="1"/>
  <c r="N599" i="7" s="1"/>
  <c r="J600" i="7" a="1"/>
  <c r="J600" i="7" s="1"/>
  <c r="N600" i="7" s="1"/>
  <c r="J601" i="7" a="1"/>
  <c r="J601" i="7" s="1"/>
  <c r="N601" i="7" s="1"/>
  <c r="J602" i="7" a="1"/>
  <c r="J602" i="7" s="1"/>
  <c r="N602" i="7" s="1"/>
  <c r="J603" i="7" a="1"/>
  <c r="J603" i="7" s="1"/>
  <c r="N603" i="7" s="1"/>
  <c r="J604" i="7" a="1"/>
  <c r="J604" i="7" s="1"/>
  <c r="N604" i="7" s="1"/>
  <c r="J605" i="7" a="1"/>
  <c r="J605" i="7" s="1"/>
  <c r="N605" i="7" s="1"/>
  <c r="J606" i="7" a="1"/>
  <c r="J606" i="7" s="1"/>
  <c r="N606" i="7" s="1"/>
  <c r="J607" i="7" a="1"/>
  <c r="J607" i="7" s="1"/>
  <c r="N607" i="7" s="1"/>
  <c r="J608" i="7" a="1"/>
  <c r="J608" i="7" s="1"/>
  <c r="N608" i="7" s="1"/>
  <c r="J609" i="7" a="1"/>
  <c r="J609" i="7" s="1"/>
  <c r="N609" i="7" s="1"/>
  <c r="J610" i="7" a="1"/>
  <c r="J610" i="7" s="1"/>
  <c r="N610" i="7" s="1"/>
  <c r="J611" i="7" a="1"/>
  <c r="J611" i="7" s="1"/>
  <c r="N611" i="7" s="1"/>
  <c r="J612" i="7" a="1"/>
  <c r="J612" i="7" s="1"/>
  <c r="N612" i="7" s="1"/>
  <c r="J613" i="7" a="1"/>
  <c r="J613" i="7" s="1"/>
  <c r="N613" i="7" s="1"/>
  <c r="J614" i="7" a="1"/>
  <c r="J614" i="7" s="1"/>
  <c r="N614" i="7" s="1"/>
  <c r="J615" i="7" a="1"/>
  <c r="J615" i="7" s="1"/>
  <c r="N615" i="7" s="1"/>
  <c r="J616" i="7" a="1"/>
  <c r="J616" i="7" s="1"/>
  <c r="N616" i="7" s="1"/>
  <c r="J617" i="7" a="1"/>
  <c r="J617" i="7" s="1"/>
  <c r="N617" i="7" s="1"/>
  <c r="J618" i="7" a="1"/>
  <c r="J618" i="7" s="1"/>
  <c r="N618" i="7" s="1"/>
  <c r="J619" i="7" a="1"/>
  <c r="J619" i="7" s="1"/>
  <c r="N619" i="7" s="1"/>
  <c r="J620" i="7" a="1"/>
  <c r="J620" i="7" s="1"/>
  <c r="N620" i="7" s="1"/>
  <c r="J621" i="7" a="1"/>
  <c r="J621" i="7" s="1"/>
  <c r="N621" i="7" s="1"/>
  <c r="J622" i="7" a="1"/>
  <c r="J622" i="7" s="1"/>
  <c r="N622" i="7" s="1"/>
  <c r="J623" i="7" a="1"/>
  <c r="J623" i="7" s="1"/>
  <c r="N623" i="7" s="1"/>
  <c r="J624" i="7" a="1"/>
  <c r="J624" i="7" s="1"/>
  <c r="N624" i="7" s="1"/>
  <c r="J625" i="7" a="1"/>
  <c r="J625" i="7" s="1"/>
  <c r="N625" i="7" s="1"/>
  <c r="J626" i="7" a="1"/>
  <c r="J626" i="7" s="1"/>
  <c r="N626" i="7" s="1"/>
  <c r="J627" i="7" a="1"/>
  <c r="J627" i="7" s="1"/>
  <c r="N627" i="7" s="1"/>
  <c r="J628" i="7" a="1"/>
  <c r="J628" i="7" s="1"/>
  <c r="N628" i="7" s="1"/>
  <c r="J629" i="7" a="1"/>
  <c r="J629" i="7" s="1"/>
  <c r="N629" i="7" s="1"/>
  <c r="J630" i="7" a="1"/>
  <c r="J630" i="7" s="1"/>
  <c r="N630" i="7" s="1"/>
  <c r="J631" i="7" a="1"/>
  <c r="J631" i="7" s="1"/>
  <c r="N631" i="7" s="1"/>
  <c r="J632" i="7" a="1"/>
  <c r="J632" i="7" s="1"/>
  <c r="N632" i="7" s="1"/>
  <c r="J633" i="7" a="1"/>
  <c r="J633" i="7" s="1"/>
  <c r="N633" i="7" s="1"/>
  <c r="J634" i="7" a="1"/>
  <c r="J634" i="7" s="1"/>
  <c r="N634" i="7" s="1"/>
  <c r="J635" i="7" a="1"/>
  <c r="J635" i="7" s="1"/>
  <c r="N635" i="7" s="1"/>
  <c r="J636" i="7" a="1"/>
  <c r="J636" i="7" s="1"/>
  <c r="N636" i="7" s="1"/>
  <c r="J637" i="7" a="1"/>
  <c r="J637" i="7" s="1"/>
  <c r="N637" i="7" s="1"/>
  <c r="J638" i="7" a="1"/>
  <c r="J638" i="7" s="1"/>
  <c r="N638" i="7" s="1"/>
  <c r="J639" i="7" a="1"/>
  <c r="J639" i="7" s="1"/>
  <c r="N639" i="7" s="1"/>
  <c r="J640" i="7" a="1"/>
  <c r="J640" i="7" s="1"/>
  <c r="N640" i="7" s="1"/>
  <c r="J641" i="7" a="1"/>
  <c r="J641" i="7" s="1"/>
  <c r="N641" i="7" s="1"/>
  <c r="J642" i="7" a="1"/>
  <c r="J642" i="7" s="1"/>
  <c r="N642" i="7" s="1"/>
  <c r="J643" i="7" a="1"/>
  <c r="J643" i="7" s="1"/>
  <c r="N643" i="7" s="1"/>
  <c r="J644" i="7" a="1"/>
  <c r="J644" i="7" s="1"/>
  <c r="N644" i="7" s="1"/>
  <c r="J645" i="7" a="1"/>
  <c r="J645" i="7" s="1"/>
  <c r="N645" i="7" s="1"/>
  <c r="J646" i="7" a="1"/>
  <c r="J646" i="7" s="1"/>
  <c r="N646" i="7" s="1"/>
  <c r="J647" i="7" a="1"/>
  <c r="J647" i="7" s="1"/>
  <c r="N647" i="7" s="1"/>
  <c r="J648" i="7" a="1"/>
  <c r="J648" i="7" s="1"/>
  <c r="N648" i="7" s="1"/>
  <c r="J649" i="7" a="1"/>
  <c r="J649" i="7" s="1"/>
  <c r="N649" i="7" s="1"/>
  <c r="J650" i="7" a="1"/>
  <c r="J650" i="7" s="1"/>
  <c r="N650" i="7" s="1"/>
  <c r="J651" i="7" a="1"/>
  <c r="J651" i="7" s="1"/>
  <c r="N651" i="7" s="1"/>
  <c r="J652" i="7" a="1"/>
  <c r="J652" i="7" s="1"/>
  <c r="N652" i="7" s="1"/>
  <c r="J653" i="7" a="1"/>
  <c r="J653" i="7" s="1"/>
  <c r="N653" i="7" s="1"/>
  <c r="J654" i="7" a="1"/>
  <c r="J654" i="7" s="1"/>
  <c r="N654" i="7" s="1"/>
  <c r="J655" i="7" a="1"/>
  <c r="J655" i="7" s="1"/>
  <c r="N655" i="7" s="1"/>
  <c r="J656" i="7" a="1"/>
  <c r="J656" i="7" s="1"/>
  <c r="N656" i="7" s="1"/>
  <c r="J657" i="7" a="1"/>
  <c r="J657" i="7" s="1"/>
  <c r="N657" i="7" s="1"/>
  <c r="J658" i="7" a="1"/>
  <c r="J658" i="7" s="1"/>
  <c r="N658" i="7" s="1"/>
  <c r="J659" i="7" a="1"/>
  <c r="J659" i="7" s="1"/>
  <c r="N659" i="7" s="1"/>
  <c r="J660" i="7" a="1"/>
  <c r="J660" i="7" s="1"/>
  <c r="N660" i="7" s="1"/>
  <c r="J661" i="7" a="1"/>
  <c r="J661" i="7" s="1"/>
  <c r="N661" i="7" s="1"/>
  <c r="J662" i="7" a="1"/>
  <c r="J662" i="7" s="1"/>
  <c r="N662" i="7" s="1"/>
  <c r="J663" i="7" a="1"/>
  <c r="J663" i="7" s="1"/>
  <c r="N663" i="7" s="1"/>
  <c r="J664" i="7" a="1"/>
  <c r="J664" i="7" s="1"/>
  <c r="N664" i="7" s="1"/>
  <c r="J665" i="7" a="1"/>
  <c r="J665" i="7" s="1"/>
  <c r="N665" i="7" s="1"/>
  <c r="J666" i="7" a="1"/>
  <c r="J666" i="7" s="1"/>
  <c r="N666" i="7" s="1"/>
  <c r="J667" i="7" a="1"/>
  <c r="J667" i="7" s="1"/>
  <c r="N667" i="7" s="1"/>
  <c r="J668" i="7" a="1"/>
  <c r="J668" i="7" s="1"/>
  <c r="N668" i="7" s="1"/>
  <c r="J669" i="7" a="1"/>
  <c r="J669" i="7" s="1"/>
  <c r="N669" i="7" s="1"/>
  <c r="J670" i="7" a="1"/>
  <c r="J670" i="7" s="1"/>
  <c r="N670" i="7" s="1"/>
  <c r="J671" i="7" a="1"/>
  <c r="J671" i="7" s="1"/>
  <c r="N671" i="7" s="1"/>
  <c r="J672" i="7" a="1"/>
  <c r="J672" i="7" s="1"/>
  <c r="N672" i="7" s="1"/>
  <c r="J673" i="7" a="1"/>
  <c r="J673" i="7" s="1"/>
  <c r="N673" i="7" s="1"/>
  <c r="J674" i="7" a="1"/>
  <c r="J674" i="7" s="1"/>
  <c r="N674" i="7" s="1"/>
  <c r="J675" i="7" a="1"/>
  <c r="J675" i="7" s="1"/>
  <c r="N675" i="7" s="1"/>
  <c r="J676" i="7" a="1"/>
  <c r="J676" i="7" s="1"/>
  <c r="N676" i="7" s="1"/>
  <c r="J677" i="7" a="1"/>
  <c r="J677" i="7" s="1"/>
  <c r="N677" i="7" s="1"/>
  <c r="J678" i="7" a="1"/>
  <c r="J678" i="7" s="1"/>
  <c r="N678" i="7" s="1"/>
  <c r="J679" i="7" a="1"/>
  <c r="J679" i="7" s="1"/>
  <c r="N679" i="7" s="1"/>
  <c r="J680" i="7" a="1"/>
  <c r="J680" i="7" s="1"/>
  <c r="N680" i="7" s="1"/>
  <c r="J681" i="7" a="1"/>
  <c r="J681" i="7" s="1"/>
  <c r="N681" i="7" s="1"/>
  <c r="J682" i="7" a="1"/>
  <c r="J682" i="7" s="1"/>
  <c r="N682" i="7" s="1"/>
  <c r="J683" i="7" a="1"/>
  <c r="J683" i="7" s="1"/>
  <c r="N683" i="7" s="1"/>
  <c r="J684" i="7" a="1"/>
  <c r="J684" i="7" s="1"/>
  <c r="N684" i="7" s="1"/>
  <c r="J685" i="7" a="1"/>
  <c r="J685" i="7" s="1"/>
  <c r="N685" i="7" s="1"/>
  <c r="J686" i="7" a="1"/>
  <c r="J686" i="7" s="1"/>
  <c r="N686" i="7" s="1"/>
  <c r="J687" i="7" a="1"/>
  <c r="J687" i="7" s="1"/>
  <c r="N687" i="7" s="1"/>
  <c r="J688" i="7" a="1"/>
  <c r="J688" i="7" s="1"/>
  <c r="N688" i="7" s="1"/>
  <c r="J689" i="7" a="1"/>
  <c r="J689" i="7" s="1"/>
  <c r="N689" i="7" s="1"/>
  <c r="J690" i="7" a="1"/>
  <c r="J690" i="7" s="1"/>
  <c r="N690" i="7" s="1"/>
  <c r="J691" i="7" a="1"/>
  <c r="J691" i="7" s="1"/>
  <c r="N691" i="7" s="1"/>
  <c r="J692" i="7" a="1"/>
  <c r="J692" i="7" s="1"/>
  <c r="N692" i="7" s="1"/>
  <c r="J693" i="7" a="1"/>
  <c r="J693" i="7" s="1"/>
  <c r="N693" i="7" s="1"/>
  <c r="J694" i="7" a="1"/>
  <c r="J694" i="7" s="1"/>
  <c r="N694" i="7" s="1"/>
  <c r="J695" i="7" a="1"/>
  <c r="J695" i="7" s="1"/>
  <c r="N695" i="7" s="1"/>
  <c r="J696" i="7" a="1"/>
  <c r="J696" i="7" s="1"/>
  <c r="N696" i="7" s="1"/>
  <c r="J697" i="7" a="1"/>
  <c r="J697" i="7" s="1"/>
  <c r="N697" i="7" s="1"/>
  <c r="J698" i="7" a="1"/>
  <c r="J698" i="7" s="1"/>
  <c r="N698" i="7" s="1"/>
  <c r="J699" i="7" a="1"/>
  <c r="J699" i="7" s="1"/>
  <c r="N699" i="7" s="1"/>
  <c r="J700" i="7" a="1"/>
  <c r="J700" i="7" s="1"/>
  <c r="N700" i="7" s="1"/>
  <c r="J701" i="7" a="1"/>
  <c r="J701" i="7" s="1"/>
  <c r="N701" i="7" s="1"/>
  <c r="J702" i="7" a="1"/>
  <c r="J702" i="7" s="1"/>
  <c r="N702" i="7" s="1"/>
  <c r="J703" i="7" a="1"/>
  <c r="J703" i="7" s="1"/>
  <c r="N703" i="7" s="1"/>
  <c r="J704" i="7" a="1"/>
  <c r="J704" i="7" s="1"/>
  <c r="N704" i="7" s="1"/>
  <c r="J705" i="7" a="1"/>
  <c r="J705" i="7" s="1"/>
  <c r="N705" i="7" s="1"/>
  <c r="J706" i="7" a="1"/>
  <c r="J706" i="7" s="1"/>
  <c r="N706" i="7" s="1"/>
  <c r="J707" i="7" a="1"/>
  <c r="J707" i="7" s="1"/>
  <c r="N707" i="7" s="1"/>
  <c r="J708" i="7" a="1"/>
  <c r="J708" i="7" s="1"/>
  <c r="N708" i="7" s="1"/>
  <c r="J709" i="7" a="1"/>
  <c r="J709" i="7" s="1"/>
  <c r="N709" i="7" s="1"/>
  <c r="J710" i="7" a="1"/>
  <c r="J710" i="7" s="1"/>
  <c r="N710" i="7" s="1"/>
  <c r="J711" i="7" a="1"/>
  <c r="J711" i="7" s="1"/>
  <c r="N711" i="7" s="1"/>
  <c r="J712" i="7" a="1"/>
  <c r="J712" i="7" s="1"/>
  <c r="N712" i="7" s="1"/>
  <c r="J713" i="7" a="1"/>
  <c r="J713" i="7" s="1"/>
  <c r="N713" i="7" s="1"/>
  <c r="J714" i="7" a="1"/>
  <c r="J714" i="7" s="1"/>
  <c r="N714" i="7" s="1"/>
  <c r="J715" i="7" a="1"/>
  <c r="J715" i="7" s="1"/>
  <c r="N715" i="7" s="1"/>
  <c r="J716" i="7" a="1"/>
  <c r="J716" i="7" s="1"/>
  <c r="N716" i="7" s="1"/>
  <c r="J717" i="7" a="1"/>
  <c r="J717" i="7" s="1"/>
  <c r="N717" i="7" s="1"/>
  <c r="J718" i="7" a="1"/>
  <c r="J718" i="7" s="1"/>
  <c r="N718" i="7" s="1"/>
  <c r="J719" i="7" a="1"/>
  <c r="J719" i="7" s="1"/>
  <c r="N719" i="7" s="1"/>
  <c r="J720" i="7" a="1"/>
  <c r="J720" i="7" s="1"/>
  <c r="N720" i="7" s="1"/>
  <c r="J721" i="7" a="1"/>
  <c r="J721" i="7" s="1"/>
  <c r="N721" i="7" s="1"/>
  <c r="J722" i="7" a="1"/>
  <c r="J722" i="7" s="1"/>
  <c r="N722" i="7" s="1"/>
  <c r="J723" i="7" a="1"/>
  <c r="J723" i="7" s="1"/>
  <c r="N723" i="7" s="1"/>
  <c r="J724" i="7" a="1"/>
  <c r="J724" i="7" s="1"/>
  <c r="N724" i="7" s="1"/>
  <c r="J725" i="7" a="1"/>
  <c r="J725" i="7" s="1"/>
  <c r="N725" i="7" s="1"/>
  <c r="J726" i="7" a="1"/>
  <c r="J726" i="7" s="1"/>
  <c r="N726" i="7" s="1"/>
  <c r="J727" i="7" a="1"/>
  <c r="J727" i="7" s="1"/>
  <c r="N727" i="7" s="1"/>
  <c r="J728" i="7" a="1"/>
  <c r="J728" i="7" s="1"/>
  <c r="N728" i="7" s="1"/>
  <c r="J729" i="7" a="1"/>
  <c r="J729" i="7" s="1"/>
  <c r="N729" i="7" s="1"/>
  <c r="J730" i="7" a="1"/>
  <c r="J730" i="7" s="1"/>
  <c r="N730" i="7" s="1"/>
  <c r="J731" i="7" a="1"/>
  <c r="J731" i="7" s="1"/>
  <c r="N731" i="7" s="1"/>
  <c r="J732" i="7" a="1"/>
  <c r="J732" i="7" s="1"/>
  <c r="N732" i="7" s="1"/>
  <c r="J733" i="7" a="1"/>
  <c r="J733" i="7" s="1"/>
  <c r="N733" i="7" s="1"/>
  <c r="J734" i="7" a="1"/>
  <c r="J734" i="7" s="1"/>
  <c r="N734" i="7" s="1"/>
  <c r="J735" i="7" a="1"/>
  <c r="J735" i="7" s="1"/>
  <c r="N735" i="7" s="1"/>
  <c r="J736" i="7" a="1"/>
  <c r="J736" i="7" s="1"/>
  <c r="N736" i="7" s="1"/>
  <c r="J737" i="7" a="1"/>
  <c r="J737" i="7" s="1"/>
  <c r="N737" i="7" s="1"/>
  <c r="J738" i="7" a="1"/>
  <c r="J738" i="7" s="1"/>
  <c r="N738" i="7" s="1"/>
  <c r="J739" i="7" a="1"/>
  <c r="J739" i="7" s="1"/>
  <c r="N739" i="7" s="1"/>
  <c r="J740" i="7" a="1"/>
  <c r="J740" i="7" s="1"/>
  <c r="N740" i="7" s="1"/>
  <c r="J741" i="7" a="1"/>
  <c r="J741" i="7" s="1"/>
  <c r="N741" i="7" s="1"/>
  <c r="J742" i="7" a="1"/>
  <c r="J742" i="7" s="1"/>
  <c r="N742" i="7" s="1"/>
  <c r="J743" i="7" a="1"/>
  <c r="J743" i="7" s="1"/>
  <c r="N743" i="7" s="1"/>
  <c r="J744" i="7" a="1"/>
  <c r="J744" i="7" s="1"/>
  <c r="N744" i="7" s="1"/>
  <c r="J745" i="7" a="1"/>
  <c r="J745" i="7" s="1"/>
  <c r="N745" i="7" s="1"/>
  <c r="J746" i="7" a="1"/>
  <c r="J746" i="7" s="1"/>
  <c r="N746" i="7" s="1"/>
  <c r="J747" i="7" a="1"/>
  <c r="J747" i="7" s="1"/>
  <c r="N747" i="7" s="1"/>
  <c r="J748" i="7" a="1"/>
  <c r="J748" i="7" s="1"/>
  <c r="N748" i="7" s="1"/>
  <c r="J749" i="7" a="1"/>
  <c r="J749" i="7" s="1"/>
  <c r="N749" i="7" s="1"/>
  <c r="J750" i="7" a="1"/>
  <c r="J750" i="7" s="1"/>
  <c r="N750" i="7" s="1"/>
  <c r="J751" i="7" a="1"/>
  <c r="J751" i="7" s="1"/>
  <c r="N751" i="7" s="1"/>
  <c r="J752" i="7" a="1"/>
  <c r="J752" i="7" s="1"/>
  <c r="N752" i="7" s="1"/>
  <c r="J753" i="7" a="1"/>
  <c r="J753" i="7" s="1"/>
  <c r="N753" i="7" s="1"/>
  <c r="J754" i="7" a="1"/>
  <c r="J754" i="7" s="1"/>
  <c r="N754" i="7" s="1"/>
  <c r="J755" i="7" a="1"/>
  <c r="J755" i="7" s="1"/>
  <c r="N755" i="7" s="1"/>
  <c r="J756" i="7" a="1"/>
  <c r="J756" i="7" s="1"/>
  <c r="N756" i="7" s="1"/>
  <c r="J757" i="7" a="1"/>
  <c r="J757" i="7" s="1"/>
  <c r="N757" i="7" s="1"/>
  <c r="J758" i="7" a="1"/>
  <c r="J758" i="7" s="1"/>
  <c r="N758" i="7" s="1"/>
  <c r="J759" i="7" a="1"/>
  <c r="J759" i="7" s="1"/>
  <c r="N759" i="7" s="1"/>
  <c r="J760" i="7" a="1"/>
  <c r="J760" i="7" s="1"/>
  <c r="N760" i="7" s="1"/>
  <c r="J570" i="7" a="1"/>
  <c r="J570" i="7" s="1"/>
  <c r="N570" i="7" s="1"/>
  <c r="J2" i="7" a="1"/>
  <c r="J2" i="7" s="1"/>
  <c r="N2" i="7" s="1"/>
  <c r="J414" i="7" a="1"/>
  <c r="J414" i="7" s="1"/>
  <c r="N414" i="7" s="1"/>
  <c r="J415" i="7" a="1"/>
  <c r="J415" i="7" s="1"/>
  <c r="N415" i="7" s="1"/>
  <c r="J416" i="7" a="1"/>
  <c r="J416" i="7" s="1"/>
  <c r="N416" i="7" s="1"/>
  <c r="J417" i="7" a="1"/>
  <c r="J417" i="7" s="1"/>
  <c r="N417" i="7" s="1"/>
  <c r="J418" i="7" a="1"/>
  <c r="J418" i="7" s="1"/>
  <c r="N418" i="7" s="1"/>
  <c r="J419" i="7" a="1"/>
  <c r="J419" i="7" s="1"/>
  <c r="N419" i="7" s="1"/>
  <c r="J420" i="7" a="1"/>
  <c r="J420" i="7" s="1"/>
  <c r="N420" i="7" s="1"/>
  <c r="J421" i="7" a="1"/>
  <c r="J421" i="7" s="1"/>
  <c r="N421" i="7" s="1"/>
  <c r="J422" i="7" a="1"/>
  <c r="J422" i="7" s="1"/>
  <c r="N422" i="7" s="1"/>
  <c r="J423" i="7" a="1"/>
  <c r="J423" i="7" s="1"/>
  <c r="N423" i="7" s="1"/>
  <c r="J424" i="7" a="1"/>
  <c r="J424" i="7" s="1"/>
  <c r="N424" i="7" s="1"/>
  <c r="J425" i="7" a="1"/>
  <c r="J425" i="7" s="1"/>
  <c r="N425" i="7" s="1"/>
  <c r="J426" i="7" a="1"/>
  <c r="J426" i="7" s="1"/>
  <c r="N426" i="7" s="1"/>
  <c r="J427" i="7" a="1"/>
  <c r="J427" i="7" s="1"/>
  <c r="N427" i="7" s="1"/>
  <c r="J428" i="7" a="1"/>
  <c r="J428" i="7" s="1"/>
  <c r="N428" i="7" s="1"/>
  <c r="J429" i="7" a="1"/>
  <c r="J429" i="7" s="1"/>
  <c r="N429" i="7" s="1"/>
  <c r="J430" i="7" a="1"/>
  <c r="J430" i="7" s="1"/>
  <c r="N430" i="7" s="1"/>
  <c r="J431" i="7" a="1"/>
  <c r="J431" i="7" s="1"/>
  <c r="N431" i="7" s="1"/>
  <c r="J432" i="7" a="1"/>
  <c r="J432" i="7" s="1"/>
  <c r="N432" i="7" s="1"/>
  <c r="J433" i="7" a="1"/>
  <c r="J433" i="7" s="1"/>
  <c r="N433" i="7" s="1"/>
  <c r="J434" i="7" a="1"/>
  <c r="J434" i="7" s="1"/>
  <c r="N434" i="7" s="1"/>
  <c r="J435" i="7" a="1"/>
  <c r="J435" i="7" s="1"/>
  <c r="N435" i="7" s="1"/>
  <c r="J436" i="7" a="1"/>
  <c r="J436" i="7" s="1"/>
  <c r="N436" i="7" s="1"/>
  <c r="J437" i="7" a="1"/>
  <c r="J437" i="7" s="1"/>
  <c r="N437" i="7" s="1"/>
  <c r="J438" i="7" a="1"/>
  <c r="J438" i="7" s="1"/>
  <c r="N438" i="7" s="1"/>
  <c r="J439" i="7" a="1"/>
  <c r="J439" i="7" s="1"/>
  <c r="N439" i="7" s="1"/>
  <c r="J440" i="7" a="1"/>
  <c r="J440" i="7" s="1"/>
  <c r="N440" i="7" s="1"/>
  <c r="J441" i="7" a="1"/>
  <c r="J441" i="7" s="1"/>
  <c r="N441" i="7" s="1"/>
  <c r="J442" i="7" a="1"/>
  <c r="J442" i="7" s="1"/>
  <c r="N442" i="7" s="1"/>
  <c r="J443" i="7" a="1"/>
  <c r="J443" i="7" s="1"/>
  <c r="N443" i="7" s="1"/>
  <c r="J444" i="7" a="1"/>
  <c r="J444" i="7" s="1"/>
  <c r="N444" i="7" s="1"/>
  <c r="J445" i="7" a="1"/>
  <c r="J445" i="7" s="1"/>
  <c r="N445" i="7" s="1"/>
  <c r="J446" i="7" a="1"/>
  <c r="J446" i="7" s="1"/>
  <c r="N446" i="7" s="1"/>
  <c r="J447" i="7" a="1"/>
  <c r="J447" i="7" s="1"/>
  <c r="N447" i="7" s="1"/>
  <c r="J448" i="7" a="1"/>
  <c r="J448" i="7" s="1"/>
  <c r="N448" i="7" s="1"/>
  <c r="J449" i="7" a="1"/>
  <c r="J449" i="7" s="1"/>
  <c r="N449" i="7" s="1"/>
  <c r="J450" i="7" a="1"/>
  <c r="J450" i="7" s="1"/>
  <c r="N450" i="7" s="1"/>
  <c r="J451" i="7" a="1"/>
  <c r="J451" i="7" s="1"/>
  <c r="N451" i="7" s="1"/>
  <c r="J452" i="7" a="1"/>
  <c r="J452" i="7" s="1"/>
  <c r="N452" i="7" s="1"/>
  <c r="J453" i="7" a="1"/>
  <c r="J453" i="7" s="1"/>
  <c r="N453" i="7" s="1"/>
  <c r="J454" i="7" a="1"/>
  <c r="J454" i="7" s="1"/>
  <c r="N454" i="7" s="1"/>
  <c r="J455" i="7" a="1"/>
  <c r="J455" i="7" s="1"/>
  <c r="N455" i="7" s="1"/>
  <c r="J456" i="7" a="1"/>
  <c r="J456" i="7" s="1"/>
  <c r="N456" i="7" s="1"/>
  <c r="J457" i="7" a="1"/>
  <c r="J457" i="7" s="1"/>
  <c r="N457" i="7" s="1"/>
  <c r="J458" i="7" a="1"/>
  <c r="J458" i="7" s="1"/>
  <c r="N458" i="7" s="1"/>
  <c r="J459" i="7" a="1"/>
  <c r="J459" i="7" s="1"/>
  <c r="N459" i="7" s="1"/>
  <c r="J460" i="7" a="1"/>
  <c r="J460" i="7" s="1"/>
  <c r="N460" i="7" s="1"/>
  <c r="J461" i="7" a="1"/>
  <c r="J461" i="7" s="1"/>
  <c r="N461" i="7" s="1"/>
  <c r="J462" i="7" a="1"/>
  <c r="J462" i="7" s="1"/>
  <c r="N462" i="7" s="1"/>
  <c r="J463" i="7" a="1"/>
  <c r="J463" i="7" s="1"/>
  <c r="N463" i="7" s="1"/>
  <c r="J464" i="7" a="1"/>
  <c r="J464" i="7" s="1"/>
  <c r="N464" i="7" s="1"/>
  <c r="J465" i="7" a="1"/>
  <c r="J465" i="7" s="1"/>
  <c r="N465" i="7" s="1"/>
  <c r="J466" i="7" a="1"/>
  <c r="J466" i="7" s="1"/>
  <c r="N466" i="7" s="1"/>
  <c r="J467" i="7" a="1"/>
  <c r="J467" i="7" s="1"/>
  <c r="N467" i="7" s="1"/>
  <c r="J468" i="7" a="1"/>
  <c r="J468" i="7" s="1"/>
  <c r="N468" i="7" s="1"/>
  <c r="J469" i="7" a="1"/>
  <c r="J469" i="7" s="1"/>
  <c r="N469" i="7" s="1"/>
  <c r="J470" i="7" a="1"/>
  <c r="J470" i="7" s="1"/>
  <c r="N470" i="7" s="1"/>
  <c r="J471" i="7" a="1"/>
  <c r="J471" i="7" s="1"/>
  <c r="N471" i="7" s="1"/>
  <c r="J472" i="7" a="1"/>
  <c r="J472" i="7" s="1"/>
  <c r="N472" i="7" s="1"/>
  <c r="J473" i="7" a="1"/>
  <c r="J473" i="7" s="1"/>
  <c r="N473" i="7" s="1"/>
  <c r="J474" i="7" a="1"/>
  <c r="J474" i="7" s="1"/>
  <c r="N474" i="7" s="1"/>
  <c r="J475" i="7" a="1"/>
  <c r="J475" i="7" s="1"/>
  <c r="N475" i="7" s="1"/>
  <c r="J476" i="7" a="1"/>
  <c r="J476" i="7" s="1"/>
  <c r="N476" i="7" s="1"/>
  <c r="J477" i="7" a="1"/>
  <c r="J477" i="7" s="1"/>
  <c r="N477" i="7" s="1"/>
  <c r="J478" i="7" a="1"/>
  <c r="J478" i="7" s="1"/>
  <c r="N478" i="7" s="1"/>
  <c r="J479" i="7" a="1"/>
  <c r="J479" i="7" s="1"/>
  <c r="N479" i="7" s="1"/>
  <c r="J480" i="7" a="1"/>
  <c r="J480" i="7" s="1"/>
  <c r="N480" i="7" s="1"/>
  <c r="J481" i="7" a="1"/>
  <c r="J481" i="7" s="1"/>
  <c r="N481" i="7" s="1"/>
  <c r="J482" i="7" a="1"/>
  <c r="J482" i="7" s="1"/>
  <c r="N482" i="7" s="1"/>
  <c r="J483" i="7" a="1"/>
  <c r="J483" i="7" s="1"/>
  <c r="N483" i="7" s="1"/>
  <c r="J484" i="7" a="1"/>
  <c r="J484" i="7" s="1"/>
  <c r="N484" i="7" s="1"/>
  <c r="J485" i="7" a="1"/>
  <c r="J485" i="7" s="1"/>
  <c r="N485" i="7" s="1"/>
  <c r="J486" i="7" a="1"/>
  <c r="J486" i="7" s="1"/>
  <c r="N486" i="7" s="1"/>
  <c r="J487" i="7" a="1"/>
  <c r="J487" i="7" s="1"/>
  <c r="N487" i="7" s="1"/>
  <c r="J488" i="7" a="1"/>
  <c r="J488" i="7" s="1"/>
  <c r="N488" i="7" s="1"/>
  <c r="J489" i="7" a="1"/>
  <c r="J489" i="7" s="1"/>
  <c r="N489" i="7" s="1"/>
  <c r="J490" i="7" a="1"/>
  <c r="J490" i="7" s="1"/>
  <c r="N490" i="7" s="1"/>
  <c r="J491" i="7" a="1"/>
  <c r="J491" i="7" s="1"/>
  <c r="N491" i="7" s="1"/>
  <c r="J492" i="7" a="1"/>
  <c r="J492" i="7" s="1"/>
  <c r="N492" i="7" s="1"/>
  <c r="J493" i="7" a="1"/>
  <c r="J493" i="7" s="1"/>
  <c r="N493" i="7" s="1"/>
  <c r="J494" i="7" a="1"/>
  <c r="J494" i="7" s="1"/>
  <c r="N494" i="7" s="1"/>
  <c r="J495" i="7" a="1"/>
  <c r="J495" i="7" s="1"/>
  <c r="N495" i="7" s="1"/>
  <c r="J496" i="7" a="1"/>
  <c r="J496" i="7" s="1"/>
  <c r="N496" i="7" s="1"/>
  <c r="J497" i="7" a="1"/>
  <c r="J497" i="7" s="1"/>
  <c r="N497" i="7" s="1"/>
  <c r="J498" i="7" a="1"/>
  <c r="J498" i="7" s="1"/>
  <c r="N498" i="7" s="1"/>
  <c r="J499" i="7" a="1"/>
  <c r="J499" i="7" s="1"/>
  <c r="N499" i="7" s="1"/>
  <c r="J500" i="7" a="1"/>
  <c r="J500" i="7" s="1"/>
  <c r="N500" i="7" s="1"/>
  <c r="J501" i="7" a="1"/>
  <c r="J501" i="7" s="1"/>
  <c r="N501" i="7" s="1"/>
  <c r="J502" i="7" a="1"/>
  <c r="J502" i="7" s="1"/>
  <c r="N502" i="7" s="1"/>
  <c r="J503" i="7" a="1"/>
  <c r="J503" i="7" s="1"/>
  <c r="N503" i="7" s="1"/>
  <c r="J504" i="7" a="1"/>
  <c r="J504" i="7" s="1"/>
  <c r="N504" i="7" s="1"/>
  <c r="J505" i="7" a="1"/>
  <c r="J505" i="7" s="1"/>
  <c r="N505" i="7" s="1"/>
  <c r="J506" i="7" a="1"/>
  <c r="J506" i="7" s="1"/>
  <c r="N506" i="7" s="1"/>
  <c r="J507" i="7" a="1"/>
  <c r="J507" i="7" s="1"/>
  <c r="N507" i="7" s="1"/>
  <c r="J508" i="7" a="1"/>
  <c r="J508" i="7" s="1"/>
  <c r="N508" i="7" s="1"/>
  <c r="J509" i="7" a="1"/>
  <c r="J509" i="7" s="1"/>
  <c r="N509" i="7" s="1"/>
  <c r="J510" i="7" a="1"/>
  <c r="J510" i="7" s="1"/>
  <c r="N510" i="7" s="1"/>
  <c r="J511" i="7" a="1"/>
  <c r="J511" i="7" s="1"/>
  <c r="N511" i="7" s="1"/>
  <c r="J512" i="7" a="1"/>
  <c r="J512" i="7" s="1"/>
  <c r="N512" i="7" s="1"/>
  <c r="J513" i="7" a="1"/>
  <c r="J513" i="7" s="1"/>
  <c r="N513" i="7" s="1"/>
  <c r="J514" i="7" a="1"/>
  <c r="J514" i="7" s="1"/>
  <c r="N514" i="7" s="1"/>
  <c r="J515" i="7" a="1"/>
  <c r="J515" i="7" s="1"/>
  <c r="N515" i="7" s="1"/>
  <c r="J516" i="7" a="1"/>
  <c r="J516" i="7" s="1"/>
  <c r="N516" i="7" s="1"/>
  <c r="J517" i="7" a="1"/>
  <c r="J517" i="7" s="1"/>
  <c r="N517" i="7" s="1"/>
  <c r="J518" i="7" a="1"/>
  <c r="J518" i="7" s="1"/>
  <c r="N518" i="7" s="1"/>
  <c r="J519" i="7" a="1"/>
  <c r="J519" i="7" s="1"/>
  <c r="N519" i="7" s="1"/>
  <c r="J520" i="7" a="1"/>
  <c r="J520" i="7" s="1"/>
  <c r="N520" i="7" s="1"/>
  <c r="J521" i="7" a="1"/>
  <c r="J521" i="7" s="1"/>
  <c r="N521" i="7" s="1"/>
  <c r="J522" i="7" a="1"/>
  <c r="J522" i="7" s="1"/>
  <c r="N522" i="7" s="1"/>
  <c r="J523" i="7" a="1"/>
  <c r="J523" i="7" s="1"/>
  <c r="N523" i="7" s="1"/>
  <c r="J524" i="7" a="1"/>
  <c r="J524" i="7" s="1"/>
  <c r="N524" i="7" s="1"/>
  <c r="J525" i="7" a="1"/>
  <c r="J525" i="7" s="1"/>
  <c r="N525" i="7" s="1"/>
  <c r="J526" i="7" a="1"/>
  <c r="J526" i="7" s="1"/>
  <c r="N526" i="7" s="1"/>
  <c r="J527" i="7" a="1"/>
  <c r="J527" i="7" s="1"/>
  <c r="N527" i="7" s="1"/>
  <c r="J528" i="7" a="1"/>
  <c r="J528" i="7" s="1"/>
  <c r="N528" i="7" s="1"/>
  <c r="J529" i="7" a="1"/>
  <c r="J529" i="7" s="1"/>
  <c r="N529" i="7" s="1"/>
  <c r="J530" i="7" a="1"/>
  <c r="J530" i="7" s="1"/>
  <c r="N530" i="7" s="1"/>
  <c r="J531" i="7" a="1"/>
  <c r="J531" i="7" s="1"/>
  <c r="N531" i="7" s="1"/>
  <c r="J532" i="7" a="1"/>
  <c r="J532" i="7" s="1"/>
  <c r="N532" i="7" s="1"/>
  <c r="J533" i="7" a="1"/>
  <c r="J533" i="7" s="1"/>
  <c r="N533" i="7" s="1"/>
  <c r="J534" i="7" a="1"/>
  <c r="J534" i="7" s="1"/>
  <c r="N534" i="7" s="1"/>
  <c r="J535" i="7" a="1"/>
  <c r="J535" i="7" s="1"/>
  <c r="N535" i="7" s="1"/>
  <c r="J536" i="7" a="1"/>
  <c r="J536" i="7" s="1"/>
  <c r="N536" i="7" s="1"/>
  <c r="J537" i="7" a="1"/>
  <c r="J537" i="7" s="1"/>
  <c r="N537" i="7" s="1"/>
  <c r="J538" i="7" a="1"/>
  <c r="J538" i="7" s="1"/>
  <c r="N538" i="7" s="1"/>
  <c r="J539" i="7" a="1"/>
  <c r="J539" i="7" s="1"/>
  <c r="N539" i="7" s="1"/>
  <c r="J540" i="7" a="1"/>
  <c r="J540" i="7" s="1"/>
  <c r="N540" i="7" s="1"/>
  <c r="J541" i="7" a="1"/>
  <c r="J541" i="7" s="1"/>
  <c r="N541" i="7" s="1"/>
  <c r="J542" i="7" a="1"/>
  <c r="J542" i="7" s="1"/>
  <c r="N542" i="7" s="1"/>
  <c r="J543" i="7" a="1"/>
  <c r="J543" i="7" s="1"/>
  <c r="N543" i="7" s="1"/>
  <c r="J544" i="7" a="1"/>
  <c r="J544" i="7" s="1"/>
  <c r="N544" i="7" s="1"/>
  <c r="J545" i="7" a="1"/>
  <c r="J545" i="7" s="1"/>
  <c r="N545" i="7" s="1"/>
  <c r="J546" i="7" a="1"/>
  <c r="J546" i="7" s="1"/>
  <c r="N546" i="7" s="1"/>
  <c r="J547" i="7" a="1"/>
  <c r="J547" i="7" s="1"/>
  <c r="N547" i="7" s="1"/>
  <c r="J548" i="7" a="1"/>
  <c r="J548" i="7" s="1"/>
  <c r="N548" i="7" s="1"/>
  <c r="J549" i="7" a="1"/>
  <c r="J549" i="7" s="1"/>
  <c r="N549" i="7" s="1"/>
  <c r="J550" i="7" a="1"/>
  <c r="J550" i="7" s="1"/>
  <c r="N550" i="7" s="1"/>
  <c r="J551" i="7" a="1"/>
  <c r="J551" i="7" s="1"/>
  <c r="N551" i="7" s="1"/>
  <c r="J552" i="7" a="1"/>
  <c r="J552" i="7" s="1"/>
  <c r="N552" i="7" s="1"/>
  <c r="J553" i="7" a="1"/>
  <c r="J553" i="7" s="1"/>
  <c r="N553" i="7" s="1"/>
  <c r="J554" i="7" a="1"/>
  <c r="J554" i="7" s="1"/>
  <c r="N554" i="7" s="1"/>
  <c r="J555" i="7" a="1"/>
  <c r="J555" i="7" s="1"/>
  <c r="N555" i="7" s="1"/>
  <c r="J556" i="7" a="1"/>
  <c r="J556" i="7" s="1"/>
  <c r="N556" i="7" s="1"/>
  <c r="J557" i="7" a="1"/>
  <c r="J557" i="7" s="1"/>
  <c r="N557" i="7" s="1"/>
  <c r="J558" i="7" a="1"/>
  <c r="J558" i="7" s="1"/>
  <c r="N558" i="7" s="1"/>
  <c r="J559" i="7" a="1"/>
  <c r="J559" i="7" s="1"/>
  <c r="N559" i="7" s="1"/>
  <c r="J560" i="7" a="1"/>
  <c r="J560" i="7" s="1"/>
  <c r="N560" i="7" s="1"/>
  <c r="J561" i="7" a="1"/>
  <c r="J561" i="7" s="1"/>
  <c r="N561" i="7" s="1"/>
  <c r="J562" i="7" a="1"/>
  <c r="J562" i="7" s="1"/>
  <c r="N562" i="7" s="1"/>
  <c r="J563" i="7" a="1"/>
  <c r="J563" i="7" s="1"/>
  <c r="N563" i="7" s="1"/>
  <c r="J564" i="7" a="1"/>
  <c r="J564" i="7" s="1"/>
  <c r="N564" i="7" s="1"/>
  <c r="J565" i="7" a="1"/>
  <c r="J565" i="7" s="1"/>
  <c r="N565" i="7" s="1"/>
  <c r="J566" i="7" a="1"/>
  <c r="J566" i="7" s="1"/>
  <c r="N566" i="7" s="1"/>
  <c r="J567" i="7" a="1"/>
  <c r="J567" i="7" s="1"/>
  <c r="N567" i="7" s="1"/>
  <c r="J568" i="7" a="1"/>
  <c r="J568" i="7" s="1"/>
  <c r="N568" i="7" s="1"/>
  <c r="J569" i="7" a="1"/>
  <c r="J569" i="7" s="1"/>
  <c r="N569" i="7" s="1"/>
  <c r="J410" i="7" a="1"/>
  <c r="J410" i="7" s="1"/>
  <c r="N410" i="7" s="1"/>
  <c r="J411" i="7" a="1"/>
  <c r="J411" i="7" s="1"/>
  <c r="N411" i="7" s="1"/>
  <c r="J412" i="7" a="1"/>
  <c r="J412" i="7" s="1"/>
  <c r="N412" i="7" s="1"/>
  <c r="J413" i="7" a="1"/>
  <c r="J413" i="7" s="1"/>
  <c r="N413" i="7" s="1"/>
  <c r="J386" i="7" a="1"/>
  <c r="J386" i="7" s="1"/>
  <c r="N386" i="7" s="1"/>
  <c r="J387" i="7" a="1"/>
  <c r="J387" i="7" s="1"/>
  <c r="N387" i="7" s="1"/>
  <c r="J388" i="7" a="1"/>
  <c r="J388" i="7" s="1"/>
  <c r="N388" i="7" s="1"/>
  <c r="J389" i="7" a="1"/>
  <c r="J389" i="7" s="1"/>
  <c r="N389" i="7" s="1"/>
  <c r="J390" i="7" a="1"/>
  <c r="J390" i="7" s="1"/>
  <c r="N390" i="7" s="1"/>
  <c r="J391" i="7" a="1"/>
  <c r="J391" i="7" s="1"/>
  <c r="N391" i="7" s="1"/>
  <c r="J392" i="7" a="1"/>
  <c r="J392" i="7" s="1"/>
  <c r="N392" i="7" s="1"/>
  <c r="J393" i="7" a="1"/>
  <c r="J393" i="7" s="1"/>
  <c r="N393" i="7" s="1"/>
  <c r="J394" i="7" a="1"/>
  <c r="J394" i="7" s="1"/>
  <c r="N394" i="7" s="1"/>
  <c r="J395" i="7" a="1"/>
  <c r="J395" i="7" s="1"/>
  <c r="N395" i="7" s="1"/>
  <c r="J396" i="7" a="1"/>
  <c r="J396" i="7" s="1"/>
  <c r="N396" i="7" s="1"/>
  <c r="J397" i="7" a="1"/>
  <c r="J397" i="7" s="1"/>
  <c r="N397" i="7" s="1"/>
  <c r="J398" i="7" a="1"/>
  <c r="J398" i="7" s="1"/>
  <c r="N398" i="7" s="1"/>
  <c r="J399" i="7" a="1"/>
  <c r="J399" i="7" s="1"/>
  <c r="N399" i="7" s="1"/>
  <c r="J400" i="7" a="1"/>
  <c r="J400" i="7" s="1"/>
  <c r="N400" i="7" s="1"/>
  <c r="J401" i="7" a="1"/>
  <c r="J401" i="7" s="1"/>
  <c r="N401" i="7" s="1"/>
  <c r="J402" i="7" a="1"/>
  <c r="J402" i="7" s="1"/>
  <c r="N402" i="7" s="1"/>
  <c r="J403" i="7" a="1"/>
  <c r="J403" i="7" s="1"/>
  <c r="N403" i="7" s="1"/>
  <c r="J404" i="7" a="1"/>
  <c r="J404" i="7" s="1"/>
  <c r="N404" i="7" s="1"/>
  <c r="J405" i="7" a="1"/>
  <c r="J405" i="7" s="1"/>
  <c r="N405" i="7" s="1"/>
  <c r="J406" i="7" a="1"/>
  <c r="J406" i="7" s="1"/>
  <c r="N406" i="7" s="1"/>
  <c r="J407" i="7" a="1"/>
  <c r="J407" i="7" s="1"/>
  <c r="N407" i="7" s="1"/>
  <c r="J408" i="7" a="1"/>
  <c r="J408" i="7" s="1"/>
  <c r="N408" i="7" s="1"/>
  <c r="J409" i="7" a="1"/>
  <c r="J409" i="7" s="1"/>
  <c r="N409" i="7" s="1"/>
  <c r="J195" i="7" a="1"/>
  <c r="J195" i="7" s="1"/>
  <c r="N195" i="7" s="1"/>
  <c r="J196" i="7" a="1"/>
  <c r="J196" i="7" s="1"/>
  <c r="N196" i="7" s="1"/>
  <c r="J197" i="7" a="1"/>
  <c r="J197" i="7" s="1"/>
  <c r="N197" i="7" s="1"/>
  <c r="J198" i="7" a="1"/>
  <c r="J198" i="7" s="1"/>
  <c r="N198" i="7" s="1"/>
  <c r="J199" i="7" a="1"/>
  <c r="J199" i="7" s="1"/>
  <c r="N199" i="7" s="1"/>
  <c r="J200" i="7" a="1"/>
  <c r="J200" i="7" s="1"/>
  <c r="N200" i="7" s="1"/>
  <c r="J201" i="7" a="1"/>
  <c r="J201" i="7" s="1"/>
  <c r="N201" i="7" s="1"/>
  <c r="J202" i="7" a="1"/>
  <c r="J202" i="7" s="1"/>
  <c r="N202" i="7" s="1"/>
  <c r="J203" i="7" a="1"/>
  <c r="J203" i="7" s="1"/>
  <c r="N203" i="7" s="1"/>
  <c r="J204" i="7" a="1"/>
  <c r="J204" i="7" s="1"/>
  <c r="N204" i="7" s="1"/>
  <c r="J205" i="7" a="1"/>
  <c r="J205" i="7" s="1"/>
  <c r="N205" i="7" s="1"/>
  <c r="J206" i="7" a="1"/>
  <c r="J206" i="7" s="1"/>
  <c r="N206" i="7" s="1"/>
  <c r="J207" i="7" a="1"/>
  <c r="J207" i="7" s="1"/>
  <c r="N207" i="7" s="1"/>
  <c r="J208" i="7" a="1"/>
  <c r="J208" i="7" s="1"/>
  <c r="N208" i="7" s="1"/>
  <c r="J209" i="7" a="1"/>
  <c r="J209" i="7" s="1"/>
  <c r="N209" i="7" s="1"/>
  <c r="J210" i="7" a="1"/>
  <c r="J210" i="7" s="1"/>
  <c r="N210" i="7" s="1"/>
  <c r="J211" i="7" a="1"/>
  <c r="J211" i="7" s="1"/>
  <c r="N211" i="7" s="1"/>
  <c r="J212" i="7" a="1"/>
  <c r="J212" i="7" s="1"/>
  <c r="N212" i="7" s="1"/>
  <c r="J213" i="7" a="1"/>
  <c r="J213" i="7" s="1"/>
  <c r="N213" i="7" s="1"/>
  <c r="J214" i="7" a="1"/>
  <c r="J214" i="7" s="1"/>
  <c r="N214" i="7" s="1"/>
  <c r="J215" i="7" a="1"/>
  <c r="J215" i="7" s="1"/>
  <c r="N215" i="7" s="1"/>
  <c r="J216" i="7" a="1"/>
  <c r="J216" i="7" s="1"/>
  <c r="N216" i="7" s="1"/>
  <c r="J217" i="7" a="1"/>
  <c r="J217" i="7" s="1"/>
  <c r="N217" i="7" s="1"/>
  <c r="J218" i="7" a="1"/>
  <c r="J218" i="7" s="1"/>
  <c r="N218" i="7" s="1"/>
  <c r="J219" i="7" a="1"/>
  <c r="J219" i="7" s="1"/>
  <c r="N219" i="7" s="1"/>
  <c r="J220" i="7" a="1"/>
  <c r="J220" i="7" s="1"/>
  <c r="N220" i="7" s="1"/>
  <c r="J221" i="7" a="1"/>
  <c r="J221" i="7" s="1"/>
  <c r="N221" i="7" s="1"/>
  <c r="J222" i="7" a="1"/>
  <c r="J222" i="7" s="1"/>
  <c r="N222" i="7" s="1"/>
  <c r="J223" i="7" a="1"/>
  <c r="J223" i="7" s="1"/>
  <c r="N223" i="7" s="1"/>
  <c r="J224" i="7" a="1"/>
  <c r="J224" i="7" s="1"/>
  <c r="N224" i="7" s="1"/>
  <c r="J225" i="7" a="1"/>
  <c r="J225" i="7" s="1"/>
  <c r="N225" i="7" s="1"/>
  <c r="J226" i="7" a="1"/>
  <c r="J226" i="7" s="1"/>
  <c r="N226" i="7" s="1"/>
  <c r="J227" i="7" a="1"/>
  <c r="J227" i="7" s="1"/>
  <c r="N227" i="7" s="1"/>
  <c r="J228" i="7" a="1"/>
  <c r="J228" i="7" s="1"/>
  <c r="N228" i="7" s="1"/>
  <c r="J229" i="7" a="1"/>
  <c r="J229" i="7" s="1"/>
  <c r="N229" i="7" s="1"/>
  <c r="J230" i="7" a="1"/>
  <c r="J230" i="7" s="1"/>
  <c r="N230" i="7" s="1"/>
  <c r="J231" i="7" a="1"/>
  <c r="J231" i="7" s="1"/>
  <c r="N231" i="7" s="1"/>
  <c r="J232" i="7" a="1"/>
  <c r="J232" i="7" s="1"/>
  <c r="N232" i="7" s="1"/>
  <c r="J233" i="7" a="1"/>
  <c r="J233" i="7" s="1"/>
  <c r="N233" i="7" s="1"/>
  <c r="J234" i="7" a="1"/>
  <c r="J234" i="7" s="1"/>
  <c r="N234" i="7" s="1"/>
  <c r="J235" i="7" a="1"/>
  <c r="J235" i="7" s="1"/>
  <c r="N235" i="7" s="1"/>
  <c r="J236" i="7" a="1"/>
  <c r="J236" i="7" s="1"/>
  <c r="N236" i="7" s="1"/>
  <c r="J237" i="7" a="1"/>
  <c r="J237" i="7" s="1"/>
  <c r="N237" i="7" s="1"/>
  <c r="J238" i="7" a="1"/>
  <c r="J238" i="7" s="1"/>
  <c r="N238" i="7" s="1"/>
  <c r="J239" i="7" a="1"/>
  <c r="J239" i="7" s="1"/>
  <c r="N239" i="7" s="1"/>
  <c r="J240" i="7" a="1"/>
  <c r="J240" i="7" s="1"/>
  <c r="N240" i="7" s="1"/>
  <c r="J241" i="7" a="1"/>
  <c r="J241" i="7" s="1"/>
  <c r="N241" i="7" s="1"/>
  <c r="J242" i="7" a="1"/>
  <c r="J242" i="7" s="1"/>
  <c r="N242" i="7" s="1"/>
  <c r="J243" i="7" a="1"/>
  <c r="J243" i="7" s="1"/>
  <c r="N243" i="7" s="1"/>
  <c r="J244" i="7" a="1"/>
  <c r="J244" i="7" s="1"/>
  <c r="N244" i="7" s="1"/>
  <c r="J245" i="7" a="1"/>
  <c r="J245" i="7" s="1"/>
  <c r="N245" i="7" s="1"/>
  <c r="J246" i="7" a="1"/>
  <c r="J246" i="7" s="1"/>
  <c r="N246" i="7" s="1"/>
  <c r="J247" i="7" a="1"/>
  <c r="J247" i="7" s="1"/>
  <c r="N247" i="7" s="1"/>
  <c r="J248" i="7" a="1"/>
  <c r="J248" i="7" s="1"/>
  <c r="N248" i="7" s="1"/>
  <c r="J249" i="7" a="1"/>
  <c r="J249" i="7" s="1"/>
  <c r="N249" i="7" s="1"/>
  <c r="J250" i="7" a="1"/>
  <c r="J250" i="7" s="1"/>
  <c r="N250" i="7" s="1"/>
  <c r="J251" i="7" a="1"/>
  <c r="J251" i="7" s="1"/>
  <c r="N251" i="7" s="1"/>
  <c r="J252" i="7" a="1"/>
  <c r="J252" i="7" s="1"/>
  <c r="N252" i="7" s="1"/>
  <c r="J253" i="7" a="1"/>
  <c r="J253" i="7" s="1"/>
  <c r="N253" i="7" s="1"/>
  <c r="J254" i="7" a="1"/>
  <c r="J254" i="7" s="1"/>
  <c r="N254" i="7" s="1"/>
  <c r="J255" i="7" a="1"/>
  <c r="J255" i="7" s="1"/>
  <c r="N255" i="7" s="1"/>
  <c r="J256" i="7" a="1"/>
  <c r="J256" i="7" s="1"/>
  <c r="N256" i="7" s="1"/>
  <c r="J257" i="7" a="1"/>
  <c r="J257" i="7" s="1"/>
  <c r="N257" i="7" s="1"/>
  <c r="J258" i="7" a="1"/>
  <c r="J258" i="7" s="1"/>
  <c r="N258" i="7" s="1"/>
  <c r="J259" i="7" a="1"/>
  <c r="J259" i="7" s="1"/>
  <c r="N259" i="7" s="1"/>
  <c r="J260" i="7" a="1"/>
  <c r="J260" i="7" s="1"/>
  <c r="N260" i="7" s="1"/>
  <c r="J261" i="7" a="1"/>
  <c r="J261" i="7" s="1"/>
  <c r="N261" i="7" s="1"/>
  <c r="J262" i="7" a="1"/>
  <c r="J262" i="7" s="1"/>
  <c r="N262" i="7" s="1"/>
  <c r="J263" i="7" a="1"/>
  <c r="J263" i="7" s="1"/>
  <c r="N263" i="7" s="1"/>
  <c r="J264" i="7" a="1"/>
  <c r="J264" i="7" s="1"/>
  <c r="N264" i="7" s="1"/>
  <c r="J265" i="7" a="1"/>
  <c r="J265" i="7" s="1"/>
  <c r="N265" i="7" s="1"/>
  <c r="J266" i="7" a="1"/>
  <c r="J266" i="7" s="1"/>
  <c r="N266" i="7" s="1"/>
  <c r="J267" i="7" a="1"/>
  <c r="J267" i="7" s="1"/>
  <c r="N267" i="7" s="1"/>
  <c r="J268" i="7" a="1"/>
  <c r="J268" i="7" s="1"/>
  <c r="N268" i="7" s="1"/>
  <c r="J269" i="7" a="1"/>
  <c r="J269" i="7" s="1"/>
  <c r="N269" i="7" s="1"/>
  <c r="J270" i="7" a="1"/>
  <c r="J270" i="7" s="1"/>
  <c r="N270" i="7" s="1"/>
  <c r="J271" i="7" a="1"/>
  <c r="J271" i="7" s="1"/>
  <c r="N271" i="7" s="1"/>
  <c r="J272" i="7" a="1"/>
  <c r="J272" i="7" s="1"/>
  <c r="N272" i="7" s="1"/>
  <c r="J273" i="7" a="1"/>
  <c r="J273" i="7" s="1"/>
  <c r="N273" i="7" s="1"/>
  <c r="J274" i="7" a="1"/>
  <c r="J274" i="7" s="1"/>
  <c r="N274" i="7" s="1"/>
  <c r="J275" i="7" a="1"/>
  <c r="J275" i="7" s="1"/>
  <c r="N275" i="7" s="1"/>
  <c r="J276" i="7" a="1"/>
  <c r="J276" i="7" s="1"/>
  <c r="N276" i="7" s="1"/>
  <c r="J277" i="7" a="1"/>
  <c r="J277" i="7" s="1"/>
  <c r="N277" i="7" s="1"/>
  <c r="J278" i="7" a="1"/>
  <c r="J278" i="7" s="1"/>
  <c r="N278" i="7" s="1"/>
  <c r="J279" i="7" a="1"/>
  <c r="J279" i="7" s="1"/>
  <c r="N279" i="7" s="1"/>
  <c r="J280" i="7" a="1"/>
  <c r="J280" i="7" s="1"/>
  <c r="N280" i="7" s="1"/>
  <c r="J281" i="7" a="1"/>
  <c r="J281" i="7" s="1"/>
  <c r="N281" i="7" s="1"/>
  <c r="J282" i="7" a="1"/>
  <c r="J282" i="7" s="1"/>
  <c r="N282" i="7" s="1"/>
  <c r="J283" i="7" a="1"/>
  <c r="J283" i="7" s="1"/>
  <c r="N283" i="7" s="1"/>
  <c r="J284" i="7" a="1"/>
  <c r="J284" i="7" s="1"/>
  <c r="N284" i="7" s="1"/>
  <c r="J285" i="7" a="1"/>
  <c r="J285" i="7" s="1"/>
  <c r="N285" i="7" s="1"/>
  <c r="J286" i="7" a="1"/>
  <c r="J286" i="7" s="1"/>
  <c r="N286" i="7" s="1"/>
  <c r="J287" i="7" a="1"/>
  <c r="J287" i="7" s="1"/>
  <c r="N287" i="7" s="1"/>
  <c r="J288" i="7" a="1"/>
  <c r="J288" i="7" s="1"/>
  <c r="N288" i="7" s="1"/>
  <c r="J289" i="7" a="1"/>
  <c r="J289" i="7" s="1"/>
  <c r="N289" i="7" s="1"/>
  <c r="J290" i="7" a="1"/>
  <c r="J290" i="7" s="1"/>
  <c r="N290" i="7" s="1"/>
  <c r="J291" i="7" a="1"/>
  <c r="J291" i="7" s="1"/>
  <c r="N291" i="7" s="1"/>
  <c r="J292" i="7" a="1"/>
  <c r="J292" i="7" s="1"/>
  <c r="N292" i="7" s="1"/>
  <c r="J293" i="7" a="1"/>
  <c r="J293" i="7" s="1"/>
  <c r="N293" i="7" s="1"/>
  <c r="J294" i="7" a="1"/>
  <c r="J294" i="7" s="1"/>
  <c r="N294" i="7" s="1"/>
  <c r="J295" i="7" a="1"/>
  <c r="J295" i="7" s="1"/>
  <c r="N295" i="7" s="1"/>
  <c r="J296" i="7" a="1"/>
  <c r="J296" i="7" s="1"/>
  <c r="N296" i="7" s="1"/>
  <c r="J297" i="7" a="1"/>
  <c r="J297" i="7" s="1"/>
  <c r="N297" i="7" s="1"/>
  <c r="J298" i="7" a="1"/>
  <c r="J298" i="7" s="1"/>
  <c r="N298" i="7" s="1"/>
  <c r="J299" i="7" a="1"/>
  <c r="J299" i="7" s="1"/>
  <c r="N299" i="7" s="1"/>
  <c r="J300" i="7" a="1"/>
  <c r="J300" i="7" s="1"/>
  <c r="N300" i="7" s="1"/>
  <c r="J301" i="7" a="1"/>
  <c r="J301" i="7" s="1"/>
  <c r="N301" i="7" s="1"/>
  <c r="J302" i="7" a="1"/>
  <c r="J302" i="7" s="1"/>
  <c r="N302" i="7" s="1"/>
  <c r="J303" i="7" a="1"/>
  <c r="J303" i="7" s="1"/>
  <c r="N303" i="7" s="1"/>
  <c r="J304" i="7" a="1"/>
  <c r="J304" i="7" s="1"/>
  <c r="N304" i="7" s="1"/>
  <c r="J305" i="7" a="1"/>
  <c r="J305" i="7" s="1"/>
  <c r="N305" i="7" s="1"/>
  <c r="J306" i="7" a="1"/>
  <c r="J306" i="7" s="1"/>
  <c r="N306" i="7" s="1"/>
  <c r="J307" i="7" a="1"/>
  <c r="J307" i="7" s="1"/>
  <c r="N307" i="7" s="1"/>
  <c r="J308" i="7" a="1"/>
  <c r="J308" i="7" s="1"/>
  <c r="N308" i="7" s="1"/>
  <c r="J309" i="7" a="1"/>
  <c r="J309" i="7" s="1"/>
  <c r="N309" i="7" s="1"/>
  <c r="J310" i="7" a="1"/>
  <c r="J310" i="7" s="1"/>
  <c r="N310" i="7" s="1"/>
  <c r="J311" i="7" a="1"/>
  <c r="J311" i="7" s="1"/>
  <c r="N311" i="7" s="1"/>
  <c r="J312" i="7" a="1"/>
  <c r="J312" i="7" s="1"/>
  <c r="N312" i="7" s="1"/>
  <c r="J313" i="7" a="1"/>
  <c r="J313" i="7" s="1"/>
  <c r="N313" i="7" s="1"/>
  <c r="J314" i="7" a="1"/>
  <c r="J314" i="7" s="1"/>
  <c r="N314" i="7" s="1"/>
  <c r="J315" i="7" a="1"/>
  <c r="J315" i="7" s="1"/>
  <c r="N315" i="7" s="1"/>
  <c r="J316" i="7" a="1"/>
  <c r="J316" i="7" s="1"/>
  <c r="N316" i="7" s="1"/>
  <c r="J317" i="7" a="1"/>
  <c r="J317" i="7" s="1"/>
  <c r="N317" i="7" s="1"/>
  <c r="J318" i="7" a="1"/>
  <c r="J318" i="7" s="1"/>
  <c r="N318" i="7" s="1"/>
  <c r="J319" i="7" a="1"/>
  <c r="J319" i="7" s="1"/>
  <c r="N319" i="7" s="1"/>
  <c r="J320" i="7" a="1"/>
  <c r="J320" i="7" s="1"/>
  <c r="N320" i="7" s="1"/>
  <c r="J321" i="7" a="1"/>
  <c r="J321" i="7" s="1"/>
  <c r="N321" i="7" s="1"/>
  <c r="J322" i="7" a="1"/>
  <c r="J322" i="7" s="1"/>
  <c r="N322" i="7" s="1"/>
  <c r="J323" i="7" a="1"/>
  <c r="J323" i="7" s="1"/>
  <c r="N323" i="7" s="1"/>
  <c r="J324" i="7" a="1"/>
  <c r="J324" i="7" s="1"/>
  <c r="N324" i="7" s="1"/>
  <c r="J325" i="7" a="1"/>
  <c r="J325" i="7" s="1"/>
  <c r="N325" i="7" s="1"/>
  <c r="J326" i="7" a="1"/>
  <c r="J326" i="7" s="1"/>
  <c r="N326" i="7" s="1"/>
  <c r="J327" i="7" a="1"/>
  <c r="J327" i="7" s="1"/>
  <c r="N327" i="7" s="1"/>
  <c r="J328" i="7" a="1"/>
  <c r="J328" i="7" s="1"/>
  <c r="N328" i="7" s="1"/>
  <c r="J329" i="7" a="1"/>
  <c r="J329" i="7" s="1"/>
  <c r="N329" i="7" s="1"/>
  <c r="J330" i="7" a="1"/>
  <c r="J330" i="7" s="1"/>
  <c r="N330" i="7" s="1"/>
  <c r="J331" i="7" a="1"/>
  <c r="J331" i="7" s="1"/>
  <c r="N331" i="7" s="1"/>
  <c r="J332" i="7" a="1"/>
  <c r="J332" i="7" s="1"/>
  <c r="N332" i="7" s="1"/>
  <c r="J333" i="7" a="1"/>
  <c r="J333" i="7" s="1"/>
  <c r="N333" i="7" s="1"/>
  <c r="J334" i="7" a="1"/>
  <c r="J334" i="7" s="1"/>
  <c r="N334" i="7" s="1"/>
  <c r="J335" i="7" a="1"/>
  <c r="J335" i="7" s="1"/>
  <c r="N335" i="7" s="1"/>
  <c r="J336" i="7" a="1"/>
  <c r="J336" i="7" s="1"/>
  <c r="N336" i="7" s="1"/>
  <c r="J337" i="7" a="1"/>
  <c r="J337" i="7" s="1"/>
  <c r="N337" i="7" s="1"/>
  <c r="J338" i="7" a="1"/>
  <c r="J338" i="7" s="1"/>
  <c r="N338" i="7" s="1"/>
  <c r="J339" i="7" a="1"/>
  <c r="J339" i="7" s="1"/>
  <c r="N339" i="7" s="1"/>
  <c r="J340" i="7" a="1"/>
  <c r="J340" i="7" s="1"/>
  <c r="N340" i="7" s="1"/>
  <c r="J341" i="7" a="1"/>
  <c r="J341" i="7" s="1"/>
  <c r="N341" i="7" s="1"/>
  <c r="J342" i="7" a="1"/>
  <c r="J342" i="7" s="1"/>
  <c r="N342" i="7" s="1"/>
  <c r="J343" i="7" a="1"/>
  <c r="J343" i="7" s="1"/>
  <c r="N343" i="7" s="1"/>
  <c r="J344" i="7" a="1"/>
  <c r="J344" i="7" s="1"/>
  <c r="N344" i="7" s="1"/>
  <c r="J345" i="7" a="1"/>
  <c r="J345" i="7" s="1"/>
  <c r="N345" i="7" s="1"/>
  <c r="J346" i="7" a="1"/>
  <c r="J346" i="7" s="1"/>
  <c r="N346" i="7" s="1"/>
  <c r="J347" i="7" a="1"/>
  <c r="J347" i="7" s="1"/>
  <c r="N347" i="7" s="1"/>
  <c r="J348" i="7" a="1"/>
  <c r="J348" i="7" s="1"/>
  <c r="N348" i="7" s="1"/>
  <c r="J349" i="7" a="1"/>
  <c r="J349" i="7" s="1"/>
  <c r="N349" i="7" s="1"/>
  <c r="J350" i="7" a="1"/>
  <c r="J350" i="7" s="1"/>
  <c r="N350" i="7" s="1"/>
  <c r="J351" i="7" a="1"/>
  <c r="J351" i="7" s="1"/>
  <c r="N351" i="7" s="1"/>
  <c r="J352" i="7" a="1"/>
  <c r="J352" i="7" s="1"/>
  <c r="N352" i="7" s="1"/>
  <c r="J353" i="7" a="1"/>
  <c r="J353" i="7" s="1"/>
  <c r="N353" i="7" s="1"/>
  <c r="J354" i="7" a="1"/>
  <c r="J354" i="7" s="1"/>
  <c r="N354" i="7" s="1"/>
  <c r="J355" i="7" a="1"/>
  <c r="J355" i="7" s="1"/>
  <c r="N355" i="7" s="1"/>
  <c r="J356" i="7" a="1"/>
  <c r="J356" i="7" s="1"/>
  <c r="N356" i="7" s="1"/>
  <c r="J357" i="7" a="1"/>
  <c r="J357" i="7" s="1"/>
  <c r="N357" i="7" s="1"/>
  <c r="J358" i="7" a="1"/>
  <c r="J358" i="7" s="1"/>
  <c r="N358" i="7" s="1"/>
  <c r="J359" i="7" a="1"/>
  <c r="J359" i="7" s="1"/>
  <c r="N359" i="7" s="1"/>
  <c r="J360" i="7" a="1"/>
  <c r="J360" i="7" s="1"/>
  <c r="N360" i="7" s="1"/>
  <c r="J361" i="7" a="1"/>
  <c r="J361" i="7" s="1"/>
  <c r="N361" i="7" s="1"/>
  <c r="J362" i="7" a="1"/>
  <c r="J362" i="7" s="1"/>
  <c r="N362" i="7" s="1"/>
  <c r="J363" i="7" a="1"/>
  <c r="J363" i="7" s="1"/>
  <c r="N363" i="7" s="1"/>
  <c r="J364" i="7" a="1"/>
  <c r="J364" i="7" s="1"/>
  <c r="N364" i="7" s="1"/>
  <c r="J365" i="7" a="1"/>
  <c r="J365" i="7" s="1"/>
  <c r="N365" i="7" s="1"/>
  <c r="J366" i="7" a="1"/>
  <c r="J366" i="7" s="1"/>
  <c r="N366" i="7" s="1"/>
  <c r="J367" i="7" a="1"/>
  <c r="J367" i="7" s="1"/>
  <c r="N367" i="7" s="1"/>
  <c r="J368" i="7" a="1"/>
  <c r="J368" i="7" s="1"/>
  <c r="N368" i="7" s="1"/>
  <c r="J369" i="7" a="1"/>
  <c r="J369" i="7" s="1"/>
  <c r="N369" i="7" s="1"/>
  <c r="J370" i="7" a="1"/>
  <c r="J370" i="7" s="1"/>
  <c r="N370" i="7" s="1"/>
  <c r="J371" i="7" a="1"/>
  <c r="J371" i="7" s="1"/>
  <c r="N371" i="7" s="1"/>
  <c r="J372" i="7" a="1"/>
  <c r="J372" i="7" s="1"/>
  <c r="N372" i="7" s="1"/>
  <c r="J373" i="7" a="1"/>
  <c r="J373" i="7" s="1"/>
  <c r="N373" i="7" s="1"/>
  <c r="J374" i="7" a="1"/>
  <c r="J374" i="7" s="1"/>
  <c r="N374" i="7" s="1"/>
  <c r="J375" i="7" a="1"/>
  <c r="J375" i="7" s="1"/>
  <c r="N375" i="7" s="1"/>
  <c r="J376" i="7" a="1"/>
  <c r="J376" i="7" s="1"/>
  <c r="N376" i="7" s="1"/>
  <c r="J377" i="7" a="1"/>
  <c r="J377" i="7" s="1"/>
  <c r="N377" i="7" s="1"/>
  <c r="J378" i="7" a="1"/>
  <c r="J378" i="7" s="1"/>
  <c r="N378" i="7" s="1"/>
  <c r="J379" i="7" a="1"/>
  <c r="J379" i="7" s="1"/>
  <c r="N379" i="7" s="1"/>
  <c r="J380" i="7" a="1"/>
  <c r="J380" i="7" s="1"/>
  <c r="N380" i="7" s="1"/>
  <c r="J381" i="7" a="1"/>
  <c r="J381" i="7" s="1"/>
  <c r="N381" i="7" s="1"/>
  <c r="J382" i="7" a="1"/>
  <c r="J382" i="7" s="1"/>
  <c r="N382" i="7" s="1"/>
  <c r="J383" i="7" a="1"/>
  <c r="J383" i="7" s="1"/>
  <c r="N383" i="7" s="1"/>
  <c r="J384" i="7" a="1"/>
  <c r="J384" i="7" s="1"/>
  <c r="N384" i="7" s="1"/>
  <c r="J385" i="7" a="1"/>
  <c r="J385" i="7" s="1"/>
  <c r="N385" i="7" s="1"/>
  <c r="J194" i="7" a="1"/>
  <c r="J194" i="7" s="1"/>
  <c r="N194" i="7" s="1"/>
  <c r="J3" i="7" a="1"/>
  <c r="J3" i="7" s="1"/>
  <c r="N3" i="7" s="1"/>
  <c r="J4" i="7" a="1"/>
  <c r="J4" i="7" s="1"/>
  <c r="N4" i="7" s="1"/>
  <c r="J5" i="7" a="1"/>
  <c r="J5" i="7" s="1"/>
  <c r="N5" i="7" s="1"/>
  <c r="J6" i="7" a="1"/>
  <c r="J6" i="7" s="1"/>
  <c r="N6" i="7" s="1"/>
  <c r="J7" i="7" a="1"/>
  <c r="J7" i="7" s="1"/>
  <c r="N7" i="7" s="1"/>
  <c r="J8" i="7" a="1"/>
  <c r="J8" i="7" s="1"/>
  <c r="N8" i="7" s="1"/>
  <c r="J9" i="7" a="1"/>
  <c r="J9" i="7" s="1"/>
  <c r="N9" i="7" s="1"/>
  <c r="J10" i="7" a="1"/>
  <c r="J10" i="7" s="1"/>
  <c r="N10" i="7" s="1"/>
  <c r="J11" i="7" a="1"/>
  <c r="J11" i="7" s="1"/>
  <c r="N11" i="7" s="1"/>
  <c r="J12" i="7" a="1"/>
  <c r="J12" i="7" s="1"/>
  <c r="N12" i="7" s="1"/>
  <c r="J13" i="7" a="1"/>
  <c r="J13" i="7" s="1"/>
  <c r="N13" i="7" s="1"/>
  <c r="J14" i="7" a="1"/>
  <c r="J14" i="7" s="1"/>
  <c r="N14" i="7" s="1"/>
  <c r="J15" i="7" a="1"/>
  <c r="J15" i="7" s="1"/>
  <c r="N15" i="7" s="1"/>
  <c r="J16" i="7" a="1"/>
  <c r="J16" i="7" s="1"/>
  <c r="N16" i="7" s="1"/>
  <c r="J17" i="7" a="1"/>
  <c r="J17" i="7" s="1"/>
  <c r="N17" i="7" s="1"/>
  <c r="J18" i="7" a="1"/>
  <c r="J18" i="7" s="1"/>
  <c r="N18" i="7" s="1"/>
  <c r="J19" i="7" a="1"/>
  <c r="J19" i="7" s="1"/>
  <c r="N19" i="7" s="1"/>
  <c r="J20" i="7" a="1"/>
  <c r="J20" i="7" s="1"/>
  <c r="N20" i="7" s="1"/>
  <c r="J21" i="7" a="1"/>
  <c r="J21" i="7" s="1"/>
  <c r="N21" i="7" s="1"/>
  <c r="J22" i="7" a="1"/>
  <c r="J22" i="7" s="1"/>
  <c r="N22" i="7" s="1"/>
  <c r="J23" i="7" a="1"/>
  <c r="J23" i="7" s="1"/>
  <c r="N23" i="7" s="1"/>
  <c r="J24" i="7" a="1"/>
  <c r="J24" i="7" s="1"/>
  <c r="N24" i="7" s="1"/>
  <c r="J25" i="7" a="1"/>
  <c r="J25" i="7" s="1"/>
  <c r="N25" i="7" s="1"/>
  <c r="J26" i="7" a="1"/>
  <c r="J26" i="7" s="1"/>
  <c r="N26" i="7" s="1"/>
  <c r="J27" i="7" a="1"/>
  <c r="J27" i="7" s="1"/>
  <c r="N27" i="7" s="1"/>
  <c r="J28" i="7" a="1"/>
  <c r="J28" i="7" s="1"/>
  <c r="N28" i="7" s="1"/>
  <c r="J29" i="7" a="1"/>
  <c r="J29" i="7" s="1"/>
  <c r="N29" i="7" s="1"/>
  <c r="J30" i="7" a="1"/>
  <c r="J30" i="7" s="1"/>
  <c r="N30" i="7" s="1"/>
  <c r="J31" i="7" a="1"/>
  <c r="J31" i="7" s="1"/>
  <c r="N31" i="7" s="1"/>
  <c r="J32" i="7" a="1"/>
  <c r="J32" i="7" s="1"/>
  <c r="N32" i="7" s="1"/>
  <c r="J33" i="7" a="1"/>
  <c r="J33" i="7" s="1"/>
  <c r="N33" i="7" s="1"/>
  <c r="J34" i="7" a="1"/>
  <c r="J34" i="7" s="1"/>
  <c r="N34" i="7" s="1"/>
  <c r="J35" i="7" a="1"/>
  <c r="J35" i="7" s="1"/>
  <c r="N35" i="7" s="1"/>
  <c r="J36" i="7" a="1"/>
  <c r="J36" i="7" s="1"/>
  <c r="N36" i="7" s="1"/>
  <c r="J37" i="7" a="1"/>
  <c r="J37" i="7" s="1"/>
  <c r="N37" i="7" s="1"/>
  <c r="J38" i="7" a="1"/>
  <c r="J38" i="7" s="1"/>
  <c r="N38" i="7" s="1"/>
  <c r="J39" i="7" a="1"/>
  <c r="J39" i="7" s="1"/>
  <c r="N39" i="7" s="1"/>
  <c r="J40" i="7" a="1"/>
  <c r="J40" i="7" s="1"/>
  <c r="N40" i="7" s="1"/>
  <c r="J41" i="7" a="1"/>
  <c r="J41" i="7" s="1"/>
  <c r="N41" i="7" s="1"/>
  <c r="J42" i="7" a="1"/>
  <c r="J42" i="7" s="1"/>
  <c r="N42" i="7" s="1"/>
  <c r="J43" i="7" a="1"/>
  <c r="J43" i="7" s="1"/>
  <c r="N43" i="7" s="1"/>
  <c r="J44" i="7" a="1"/>
  <c r="J44" i="7" s="1"/>
  <c r="N44" i="7" s="1"/>
  <c r="J45" i="7" a="1"/>
  <c r="J45" i="7" s="1"/>
  <c r="N45" i="7" s="1"/>
  <c r="J46" i="7" a="1"/>
  <c r="J46" i="7" s="1"/>
  <c r="N46" i="7" s="1"/>
  <c r="J47" i="7" a="1"/>
  <c r="J47" i="7" s="1"/>
  <c r="N47" i="7" s="1"/>
  <c r="J48" i="7" a="1"/>
  <c r="J48" i="7" s="1"/>
  <c r="N48" i="7" s="1"/>
  <c r="J49" i="7" a="1"/>
  <c r="J49" i="7" s="1"/>
  <c r="N49" i="7" s="1"/>
  <c r="J50" i="7" a="1"/>
  <c r="J50" i="7" s="1"/>
  <c r="N50" i="7" s="1"/>
  <c r="J51" i="7" a="1"/>
  <c r="J51" i="7" s="1"/>
  <c r="N51" i="7" s="1"/>
  <c r="J52" i="7" a="1"/>
  <c r="J52" i="7" s="1"/>
  <c r="N52" i="7" s="1"/>
  <c r="J53" i="7" a="1"/>
  <c r="J53" i="7" s="1"/>
  <c r="N53" i="7" s="1"/>
  <c r="J54" i="7" a="1"/>
  <c r="J54" i="7" s="1"/>
  <c r="N54" i="7" s="1"/>
  <c r="J55" i="7" a="1"/>
  <c r="J55" i="7" s="1"/>
  <c r="N55" i="7" s="1"/>
  <c r="J56" i="7" a="1"/>
  <c r="J56" i="7" s="1"/>
  <c r="N56" i="7" s="1"/>
  <c r="J57" i="7" a="1"/>
  <c r="J57" i="7" s="1"/>
  <c r="N57" i="7" s="1"/>
  <c r="J58" i="7" a="1"/>
  <c r="J58" i="7" s="1"/>
  <c r="N58" i="7" s="1"/>
  <c r="J59" i="7" a="1"/>
  <c r="J59" i="7" s="1"/>
  <c r="N59" i="7" s="1"/>
  <c r="J60" i="7" a="1"/>
  <c r="J60" i="7" s="1"/>
  <c r="N60" i="7" s="1"/>
  <c r="J61" i="7" a="1"/>
  <c r="J61" i="7" s="1"/>
  <c r="N61" i="7" s="1"/>
  <c r="J62" i="7" a="1"/>
  <c r="J62" i="7" s="1"/>
  <c r="N62" i="7" s="1"/>
  <c r="J63" i="7" a="1"/>
  <c r="J63" i="7" s="1"/>
  <c r="N63" i="7" s="1"/>
  <c r="J64" i="7" a="1"/>
  <c r="J64" i="7" s="1"/>
  <c r="N64" i="7" s="1"/>
  <c r="J65" i="7" a="1"/>
  <c r="J65" i="7" s="1"/>
  <c r="N65" i="7" s="1"/>
  <c r="J66" i="7" a="1"/>
  <c r="J66" i="7" s="1"/>
  <c r="N66" i="7" s="1"/>
  <c r="J67" i="7" a="1"/>
  <c r="J67" i="7" s="1"/>
  <c r="N67" i="7" s="1"/>
  <c r="J68" i="7" a="1"/>
  <c r="J68" i="7" s="1"/>
  <c r="N68" i="7" s="1"/>
  <c r="J69" i="7" a="1"/>
  <c r="J69" i="7" s="1"/>
  <c r="N69" i="7" s="1"/>
  <c r="J70" i="7" a="1"/>
  <c r="J70" i="7" s="1"/>
  <c r="N70" i="7" s="1"/>
  <c r="J71" i="7" a="1"/>
  <c r="J71" i="7" s="1"/>
  <c r="N71" i="7" s="1"/>
  <c r="J72" i="7" a="1"/>
  <c r="J72" i="7" s="1"/>
  <c r="N72" i="7" s="1"/>
  <c r="J73" i="7" a="1"/>
  <c r="J73" i="7" s="1"/>
  <c r="N73" i="7" s="1"/>
  <c r="J74" i="7" a="1"/>
  <c r="J74" i="7" s="1"/>
  <c r="N74" i="7" s="1"/>
  <c r="J75" i="7" a="1"/>
  <c r="J75" i="7" s="1"/>
  <c r="N75" i="7" s="1"/>
  <c r="J76" i="7" a="1"/>
  <c r="J76" i="7" s="1"/>
  <c r="N76" i="7" s="1"/>
  <c r="J77" i="7" a="1"/>
  <c r="J77" i="7" s="1"/>
  <c r="N77" i="7" s="1"/>
  <c r="J78" i="7" a="1"/>
  <c r="J78" i="7" s="1"/>
  <c r="N78" i="7" s="1"/>
  <c r="J79" i="7" a="1"/>
  <c r="J79" i="7" s="1"/>
  <c r="N79" i="7" s="1"/>
  <c r="J80" i="7" a="1"/>
  <c r="J80" i="7" s="1"/>
  <c r="N80" i="7" s="1"/>
  <c r="J81" i="7" a="1"/>
  <c r="J81" i="7" s="1"/>
  <c r="N81" i="7" s="1"/>
  <c r="J82" i="7" a="1"/>
  <c r="J82" i="7" s="1"/>
  <c r="N82" i="7" s="1"/>
  <c r="J83" i="7" a="1"/>
  <c r="J83" i="7" s="1"/>
  <c r="N83" i="7" s="1"/>
  <c r="J84" i="7" a="1"/>
  <c r="J84" i="7" s="1"/>
  <c r="N84" i="7" s="1"/>
  <c r="J85" i="7" a="1"/>
  <c r="J85" i="7" s="1"/>
  <c r="N85" i="7" s="1"/>
  <c r="J86" i="7" a="1"/>
  <c r="J86" i="7" s="1"/>
  <c r="N86" i="7" s="1"/>
  <c r="J87" i="7" a="1"/>
  <c r="J87" i="7" s="1"/>
  <c r="N87" i="7" s="1"/>
  <c r="J88" i="7" a="1"/>
  <c r="J88" i="7" s="1"/>
  <c r="N88" i="7" s="1"/>
  <c r="J89" i="7" a="1"/>
  <c r="J89" i="7" s="1"/>
  <c r="N89" i="7" s="1"/>
  <c r="J90" i="7" a="1"/>
  <c r="J90" i="7" s="1"/>
  <c r="N90" i="7" s="1"/>
  <c r="J91" i="7" a="1"/>
  <c r="J91" i="7" s="1"/>
  <c r="N91" i="7" s="1"/>
  <c r="J92" i="7" a="1"/>
  <c r="J92" i="7" s="1"/>
  <c r="N92" i="7" s="1"/>
  <c r="J93" i="7" a="1"/>
  <c r="J93" i="7" s="1"/>
  <c r="N93" i="7" s="1"/>
  <c r="J94" i="7" a="1"/>
  <c r="J94" i="7" s="1"/>
  <c r="N94" i="7" s="1"/>
  <c r="J95" i="7" a="1"/>
  <c r="J95" i="7" s="1"/>
  <c r="N95" i="7" s="1"/>
  <c r="J96" i="7" a="1"/>
  <c r="J96" i="7" s="1"/>
  <c r="N96" i="7" s="1"/>
  <c r="J97" i="7" a="1"/>
  <c r="J97" i="7" s="1"/>
  <c r="N97" i="7" s="1"/>
  <c r="J98" i="7" a="1"/>
  <c r="J98" i="7" s="1"/>
  <c r="N98" i="7" s="1"/>
  <c r="J99" i="7" a="1"/>
  <c r="J99" i="7" s="1"/>
  <c r="N99" i="7" s="1"/>
  <c r="J100" i="7" a="1"/>
  <c r="J100" i="7" s="1"/>
  <c r="N100" i="7" s="1"/>
  <c r="J101" i="7" a="1"/>
  <c r="J101" i="7" s="1"/>
  <c r="N101" i="7" s="1"/>
  <c r="J102" i="7" a="1"/>
  <c r="J102" i="7" s="1"/>
  <c r="N102" i="7" s="1"/>
  <c r="J103" i="7" a="1"/>
  <c r="J103" i="7" s="1"/>
  <c r="N103" i="7" s="1"/>
  <c r="J104" i="7" a="1"/>
  <c r="J104" i="7" s="1"/>
  <c r="N104" i="7" s="1"/>
  <c r="J105" i="7" a="1"/>
  <c r="J105" i="7" s="1"/>
  <c r="N105" i="7" s="1"/>
  <c r="J106" i="7" a="1"/>
  <c r="J106" i="7" s="1"/>
  <c r="N106" i="7" s="1"/>
  <c r="J107" i="7" a="1"/>
  <c r="J107" i="7" s="1"/>
  <c r="N107" i="7" s="1"/>
  <c r="J108" i="7" a="1"/>
  <c r="J108" i="7" s="1"/>
  <c r="N108" i="7" s="1"/>
  <c r="J109" i="7" a="1"/>
  <c r="J109" i="7" s="1"/>
  <c r="N109" i="7" s="1"/>
  <c r="J110" i="7" a="1"/>
  <c r="J110" i="7" s="1"/>
  <c r="N110" i="7" s="1"/>
  <c r="J111" i="7" a="1"/>
  <c r="J111" i="7" s="1"/>
  <c r="N111" i="7" s="1"/>
  <c r="J112" i="7" a="1"/>
  <c r="J112" i="7" s="1"/>
  <c r="N112" i="7" s="1"/>
  <c r="J113" i="7" a="1"/>
  <c r="J113" i="7" s="1"/>
  <c r="N113" i="7" s="1"/>
  <c r="J114" i="7" a="1"/>
  <c r="J114" i="7" s="1"/>
  <c r="N114" i="7" s="1"/>
  <c r="J115" i="7" a="1"/>
  <c r="J115" i="7" s="1"/>
  <c r="N115" i="7" s="1"/>
  <c r="J116" i="7" a="1"/>
  <c r="J116" i="7" s="1"/>
  <c r="N116" i="7" s="1"/>
  <c r="J117" i="7" a="1"/>
  <c r="J117" i="7" s="1"/>
  <c r="N117" i="7" s="1"/>
  <c r="J118" i="7" a="1"/>
  <c r="J118" i="7" s="1"/>
  <c r="N118" i="7" s="1"/>
  <c r="J119" i="7" a="1"/>
  <c r="J119" i="7" s="1"/>
  <c r="N119" i="7" s="1"/>
  <c r="J120" i="7" a="1"/>
  <c r="J120" i="7" s="1"/>
  <c r="N120" i="7" s="1"/>
  <c r="J121" i="7" a="1"/>
  <c r="J121" i="7" s="1"/>
  <c r="N121" i="7" s="1"/>
  <c r="J122" i="7" a="1"/>
  <c r="J122" i="7" s="1"/>
  <c r="N122" i="7" s="1"/>
  <c r="J123" i="7" a="1"/>
  <c r="J123" i="7" s="1"/>
  <c r="N123" i="7" s="1"/>
  <c r="J124" i="7" a="1"/>
  <c r="J124" i="7" s="1"/>
  <c r="N124" i="7" s="1"/>
  <c r="J125" i="7" a="1"/>
  <c r="J125" i="7" s="1"/>
  <c r="N125" i="7" s="1"/>
  <c r="J126" i="7" a="1"/>
  <c r="J126" i="7" s="1"/>
  <c r="N126" i="7" s="1"/>
  <c r="J127" i="7" a="1"/>
  <c r="J127" i="7" s="1"/>
  <c r="N127" i="7" s="1"/>
  <c r="J128" i="7" a="1"/>
  <c r="J128" i="7" s="1"/>
  <c r="N128" i="7" s="1"/>
  <c r="J129" i="7" a="1"/>
  <c r="J129" i="7" s="1"/>
  <c r="N129" i="7" s="1"/>
  <c r="J130" i="7" a="1"/>
  <c r="J130" i="7" s="1"/>
  <c r="N130" i="7" s="1"/>
  <c r="J131" i="7" a="1"/>
  <c r="J131" i="7" s="1"/>
  <c r="N131" i="7" s="1"/>
  <c r="J132" i="7" a="1"/>
  <c r="J132" i="7" s="1"/>
  <c r="N132" i="7" s="1"/>
  <c r="J133" i="7" a="1"/>
  <c r="J133" i="7" s="1"/>
  <c r="N133" i="7" s="1"/>
  <c r="J134" i="7" a="1"/>
  <c r="J134" i="7" s="1"/>
  <c r="N134" i="7" s="1"/>
  <c r="J135" i="7" a="1"/>
  <c r="J135" i="7" s="1"/>
  <c r="N135" i="7" s="1"/>
  <c r="J136" i="7" a="1"/>
  <c r="J136" i="7" s="1"/>
  <c r="N136" i="7" s="1"/>
  <c r="J137" i="7" a="1"/>
  <c r="J137" i="7" s="1"/>
  <c r="N137" i="7" s="1"/>
  <c r="J138" i="7" a="1"/>
  <c r="J138" i="7" s="1"/>
  <c r="N138" i="7" s="1"/>
  <c r="J139" i="7" a="1"/>
  <c r="J139" i="7" s="1"/>
  <c r="N139" i="7" s="1"/>
  <c r="J140" i="7" a="1"/>
  <c r="J140" i="7" s="1"/>
  <c r="N140" i="7" s="1"/>
  <c r="J141" i="7" a="1"/>
  <c r="J141" i="7" s="1"/>
  <c r="N141" i="7" s="1"/>
  <c r="J142" i="7" a="1"/>
  <c r="J142" i="7" s="1"/>
  <c r="N142" i="7" s="1"/>
  <c r="J143" i="7" a="1"/>
  <c r="J143" i="7" s="1"/>
  <c r="N143" i="7" s="1"/>
  <c r="J144" i="7" a="1"/>
  <c r="J144" i="7" s="1"/>
  <c r="N144" i="7" s="1"/>
  <c r="J145" i="7" a="1"/>
  <c r="J145" i="7" s="1"/>
  <c r="N145" i="7" s="1"/>
  <c r="J146" i="7" a="1"/>
  <c r="J146" i="7" s="1"/>
  <c r="N146" i="7" s="1"/>
  <c r="J147" i="7" a="1"/>
  <c r="J147" i="7" s="1"/>
  <c r="N147" i="7" s="1"/>
  <c r="J148" i="7" a="1"/>
  <c r="J148" i="7" s="1"/>
  <c r="N148" i="7" s="1"/>
  <c r="J149" i="7" a="1"/>
  <c r="J149" i="7" s="1"/>
  <c r="N149" i="7" s="1"/>
  <c r="J150" i="7" a="1"/>
  <c r="J150" i="7" s="1"/>
  <c r="N150" i="7" s="1"/>
  <c r="J151" i="7" a="1"/>
  <c r="J151" i="7" s="1"/>
  <c r="N151" i="7" s="1"/>
  <c r="J152" i="7" a="1"/>
  <c r="J152" i="7" s="1"/>
  <c r="N152" i="7" s="1"/>
  <c r="J153" i="7" a="1"/>
  <c r="J153" i="7" s="1"/>
  <c r="N153" i="7" s="1"/>
  <c r="J154" i="7" a="1"/>
  <c r="J154" i="7" s="1"/>
  <c r="N154" i="7" s="1"/>
  <c r="J155" i="7" a="1"/>
  <c r="J155" i="7" s="1"/>
  <c r="N155" i="7" s="1"/>
  <c r="J156" i="7" a="1"/>
  <c r="J156" i="7" s="1"/>
  <c r="N156" i="7" s="1"/>
  <c r="J157" i="7" a="1"/>
  <c r="J157" i="7" s="1"/>
  <c r="N157" i="7" s="1"/>
  <c r="J158" i="7" a="1"/>
  <c r="J158" i="7" s="1"/>
  <c r="N158" i="7" s="1"/>
  <c r="J159" i="7" a="1"/>
  <c r="J159" i="7" s="1"/>
  <c r="N159" i="7" s="1"/>
  <c r="J160" i="7" a="1"/>
  <c r="J160" i="7" s="1"/>
  <c r="N160" i="7" s="1"/>
  <c r="J161" i="7" a="1"/>
  <c r="J161" i="7" s="1"/>
  <c r="N161" i="7" s="1"/>
  <c r="J162" i="7" a="1"/>
  <c r="J162" i="7" s="1"/>
  <c r="N162" i="7" s="1"/>
  <c r="J163" i="7" a="1"/>
  <c r="J163" i="7" s="1"/>
  <c r="N163" i="7" s="1"/>
  <c r="J164" i="7" a="1"/>
  <c r="J164" i="7" s="1"/>
  <c r="N164" i="7" s="1"/>
  <c r="J165" i="7" a="1"/>
  <c r="J165" i="7" s="1"/>
  <c r="N165" i="7" s="1"/>
  <c r="J166" i="7" a="1"/>
  <c r="J166" i="7" s="1"/>
  <c r="N166" i="7" s="1"/>
  <c r="J167" i="7" a="1"/>
  <c r="J167" i="7" s="1"/>
  <c r="N167" i="7" s="1"/>
  <c r="J168" i="7" a="1"/>
  <c r="J168" i="7" s="1"/>
  <c r="N168" i="7" s="1"/>
  <c r="J169" i="7" a="1"/>
  <c r="J169" i="7" s="1"/>
  <c r="N169" i="7" s="1"/>
  <c r="J170" i="7" a="1"/>
  <c r="J170" i="7" s="1"/>
  <c r="N170" i="7" s="1"/>
  <c r="J171" i="7" a="1"/>
  <c r="J171" i="7" s="1"/>
  <c r="N171" i="7" s="1"/>
  <c r="J172" i="7" a="1"/>
  <c r="J172" i="7" s="1"/>
  <c r="N172" i="7" s="1"/>
  <c r="J173" i="7" a="1"/>
  <c r="J173" i="7" s="1"/>
  <c r="N173" i="7" s="1"/>
  <c r="J174" i="7" a="1"/>
  <c r="J174" i="7" s="1"/>
  <c r="N174" i="7" s="1"/>
  <c r="J175" i="7" a="1"/>
  <c r="J175" i="7" s="1"/>
  <c r="N175" i="7" s="1"/>
  <c r="J176" i="7" a="1"/>
  <c r="J176" i="7" s="1"/>
  <c r="N176" i="7" s="1"/>
  <c r="J177" i="7" a="1"/>
  <c r="J177" i="7" s="1"/>
  <c r="N177" i="7" s="1"/>
  <c r="J178" i="7" a="1"/>
  <c r="J178" i="7" s="1"/>
  <c r="N178" i="7" s="1"/>
  <c r="J179" i="7" a="1"/>
  <c r="J179" i="7" s="1"/>
  <c r="N179" i="7" s="1"/>
  <c r="J180" i="7" a="1"/>
  <c r="J180" i="7" s="1"/>
  <c r="N180" i="7" s="1"/>
  <c r="J181" i="7" a="1"/>
  <c r="J181" i="7" s="1"/>
  <c r="N181" i="7" s="1"/>
  <c r="J182" i="7" a="1"/>
  <c r="J182" i="7" s="1"/>
  <c r="N182" i="7" s="1"/>
  <c r="J183" i="7" a="1"/>
  <c r="J183" i="7" s="1"/>
  <c r="N183" i="7" s="1"/>
  <c r="J184" i="7" a="1"/>
  <c r="J184" i="7" s="1"/>
  <c r="N184" i="7" s="1"/>
  <c r="J185" i="7" a="1"/>
  <c r="J185" i="7" s="1"/>
  <c r="N185" i="7" s="1"/>
  <c r="J186" i="7" a="1"/>
  <c r="J186" i="7" s="1"/>
  <c r="N186" i="7" s="1"/>
  <c r="J187" i="7" a="1"/>
  <c r="J187" i="7" s="1"/>
  <c r="N187" i="7" s="1"/>
  <c r="J188" i="7" a="1"/>
  <c r="J188" i="7" s="1"/>
  <c r="N188" i="7" s="1"/>
  <c r="J189" i="7" a="1"/>
  <c r="J189" i="7" s="1"/>
  <c r="N189" i="7" s="1"/>
  <c r="J190" i="7" a="1"/>
  <c r="J190" i="7" s="1"/>
  <c r="N190" i="7" s="1"/>
  <c r="J191" i="7" a="1"/>
  <c r="J191" i="7" s="1"/>
  <c r="N191" i="7" s="1"/>
  <c r="J192" i="7" a="1"/>
  <c r="J192" i="7" s="1"/>
  <c r="N192" i="7" s="1"/>
  <c r="J193" i="7" a="1"/>
  <c r="J193" i="7" s="1"/>
  <c r="N193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<sst xmlns="http://schemas.openxmlformats.org/spreadsheetml/2006/main" count="19687" uniqueCount="53">
  <si>
    <t>Carrier</t>
  </si>
  <si>
    <t>EffectiveDate</t>
  </si>
  <si>
    <t>ExpirationDate</t>
  </si>
  <si>
    <t>ChildID</t>
  </si>
  <si>
    <t>BillingCountry</t>
  </si>
  <si>
    <t>Service</t>
  </si>
  <si>
    <t>Zone</t>
  </si>
  <si>
    <t>Weight</t>
  </si>
  <si>
    <t>WeightUnit</t>
  </si>
  <si>
    <t>Note</t>
  </si>
  <si>
    <t>PackageIndicator</t>
  </si>
  <si>
    <t>USPS</t>
  </si>
  <si>
    <t>US</t>
  </si>
  <si>
    <t>NonCubic</t>
  </si>
  <si>
    <t>Insert into</t>
  </si>
  <si>
    <t>NSA - Tier 1</t>
  </si>
  <si>
    <t>Priority Mail Express - NSA Fixed Pricing</t>
  </si>
  <si>
    <t>Rate Category</t>
  </si>
  <si>
    <t>Company Name (as on contract document)</t>
  </si>
  <si>
    <t>Wedgewood Pharm</t>
  </si>
  <si>
    <t>Effective Date</t>
  </si>
  <si>
    <t>End Date</t>
  </si>
  <si>
    <t>Flat-Rate Envelope</t>
  </si>
  <si>
    <t>Legal Flat-Rate Envelope</t>
  </si>
  <si>
    <t>Padded Flat-Rate Envelope</t>
  </si>
  <si>
    <t>NSA - Tier 2</t>
  </si>
  <si>
    <t>NSA - Tier 3</t>
  </si>
  <si>
    <t>Priority Mail - NSA Fixed Pricing</t>
  </si>
  <si>
    <t>Small Flat-Rate Box</t>
  </si>
  <si>
    <t>Medium Flat-Rate Box</t>
  </si>
  <si>
    <t>Large Flat-Rate Box</t>
  </si>
  <si>
    <t>Cubic Tier 1 (0.00 - 0.10)</t>
  </si>
  <si>
    <t>Cubic Tier 2 (0.10 - 0.20)</t>
  </si>
  <si>
    <t>Cubic Tier 3 (0.20 - 0.30)</t>
  </si>
  <si>
    <t>Cubic Tier 4 (0.30 - 0.40)</t>
  </si>
  <si>
    <t>Cubic Tier 5 (0.40 - 0.50)</t>
  </si>
  <si>
    <t>Ground Advantage - Lightweight - NSA Fixed Price</t>
  </si>
  <si>
    <t>Cubic Tier 6 (0.50 - 0.60)</t>
  </si>
  <si>
    <t>Cubic Tier 7 (0.60 - 0.70)</t>
  </si>
  <si>
    <t>Cubic Tier 8 (0.70 - 0.80)</t>
  </si>
  <si>
    <t>Cubic Tier 9 (0.80 - 0.90)</t>
  </si>
  <si>
    <t>Cubic Tier 10 (0.90 - 1.00)</t>
  </si>
  <si>
    <t>Priority Mail Express</t>
  </si>
  <si>
    <t>2/13/2025</t>
  </si>
  <si>
    <t>2/13/2026</t>
  </si>
  <si>
    <t>L</t>
  </si>
  <si>
    <t>Wedgewood_USPS_2025</t>
  </si>
  <si>
    <t>Priority Mail</t>
  </si>
  <si>
    <t>Rate '=IFERROR(
    XLOOKUP(G2, 'Wedgewood Pharm-PME-Yr2-2025'!$E$4:$L$4,
        XLOOKUP('Rate Load'!H2, 'Wedgewood Pharm-PME-Yr2-2025'!$D$5:$D$28,
            'Wedgewood Pharm-PME-Yr2-2025'!$E$5:$L$28, 0, 0),
        0, 0),
    XLOOKUP(G2, 'Wedgewood Pharm-PME-Yr2-2025'!$E$4:$L$4,
        XLOOKUP('Rate Load'!L2, 'Wedgewood Pharm-PME-Yr2-2025'!$D$5:$D$28,
            'Wedgewood Pharm-PME-Yr2-2025'!$E$5:$L$28, 0, 0),
        0, 0)
)</t>
  </si>
  <si>
    <t>INSERT INTO TNL_RATING.dbo.usps_rate_master (Carrier, EffectiveDate, ExpirationDate, ChildID, BillingCountry, Service, Zone, Weight, WeightUnit, Rate, Note, PackageIndicator) SELECT Carrier, effectiveDate, ExpirationDate, '12672', BillingCountry, Service, Zone, Weight, WeightUnit, Rate, Note, PackageIndicator FROM TNL_RATING.dbo.usps_rate_master WHERE ChildID = 12659 AND EffectiveDate = '2025-02-13';</t>
  </si>
  <si>
    <t>Tier</t>
  </si>
  <si>
    <t>USPS Ground Advantage</t>
  </si>
  <si>
    <t>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</si>
</sst>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6" x14ac:knownFonts="1">
    <font>
      <sz val="11"/>
      <color theme="1"/>
      <name val="Aptos Narrow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b/>
      <sz val="10"/>
      <name val="Aptos Narrow"/>
      <family val="2"/>
      <scheme val="minor"/>
    </font>
    <font>
      <sz val="10"/>
      <name val="Aptos Narrow"/>
      <family val="2"/>
      <scheme val="minor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23">
    <xf numFmtId="0" fontId="0" fillId="0" borderId="0" xfId="0"/>
    <xf numFmtId="14" fontId="0" fillId="0" borderId="0" xfId="0" quotePrefix="1" applyNumberFormat="1"/>
    <xf numFmtId="0" fontId="2" fillId="0" borderId="0" xfId="1" applyFont="1"/>
    <xf numFmtId="0" fontId="1" fillId="0" borderId="0" xfId="1"/>
    <xf numFmtId="0" fontId="3" fillId="0" borderId="0" xfId="1" applyFont="1" applyAlignment="1">
      <alignment horizontal="left" vertical="center"/>
    </xf>
    <xf numFmtId="0" fontId="3" fillId="0" borderId="0" xfId="1" applyFont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1" fillId="0" borderId="0" xfId="1" applyAlignment="1">
      <alignment horizontal="left"/>
    </xf>
    <xf numFmtId="0" fontId="3" fillId="0" borderId="1" xfId="1" applyFont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14" fontId="1" fillId="0" borderId="0" xfId="1" applyNumberFormat="1" applyAlignment="1">
      <alignment horizontal="left"/>
    </xf>
    <xf numFmtId="164" fontId="4" fillId="0" borderId="0" xfId="1" applyNumberFormat="1" applyFont="1" applyAlignment="1">
      <alignment horizontal="right" vertical="center" shrinkToFit="1"/>
    </xf>
    <xf numFmtId="0" fontId="4" fillId="0" borderId="2" xfId="1" applyFont="1" applyBorder="1" applyAlignment="1">
      <alignment horizontal="center" vertical="center"/>
    </xf>
    <xf numFmtId="164" fontId="4" fillId="0" borderId="2" xfId="1" applyNumberFormat="1" applyFont="1" applyBorder="1" applyAlignment="1">
      <alignment horizontal="right" vertical="center" shrinkToFit="1"/>
    </xf>
    <xf numFmtId="0" fontId="4" fillId="0" borderId="3" xfId="1" applyFont="1" applyBorder="1" applyAlignment="1">
      <alignment horizontal="center" vertical="center" wrapText="1"/>
    </xf>
    <xf numFmtId="164" fontId="4" fillId="0" borderId="3" xfId="1" applyNumberFormat="1" applyFont="1" applyBorder="1" applyAlignment="1">
      <alignment horizontal="right" vertical="center" shrinkToFit="1"/>
    </xf>
    <xf numFmtId="0" fontId="4" fillId="0" borderId="0" xfId="1" applyFont="1" applyAlignment="1">
      <alignment horizontal="center" vertical="center" wrapText="1"/>
    </xf>
    <xf numFmtId="0" fontId="4" fillId="0" borderId="2" xfId="1" applyFont="1" applyBorder="1" applyAlignment="1">
      <alignment horizontal="center" vertical="center" wrapText="1"/>
    </xf>
    <xf numFmtId="0" fontId="4" fillId="0" borderId="3" xfId="1" applyFont="1" applyBorder="1" applyAlignment="1">
      <alignment horizontal="center" vertical="center"/>
    </xf>
    <xf numFmtId="0" fontId="3" fillId="2" borderId="0" xfId="1" applyFont="1" applyFill="1" applyAlignment="1">
      <alignment horizontal="left"/>
    </xf>
    <xf numFmtId="0" fontId="3" fillId="0" borderId="0" xfId="1" applyFont="1" applyAlignment="1">
      <alignment horizontal="left" vertical="center" wrapText="1"/>
    </xf>
    <xf numFmtId="0" fontId="3" fillId="0" borderId="1" xfId="1" applyFont="1" applyBorder="1" applyAlignment="1">
      <alignment horizontal="left" vertical="center" wrapText="1"/>
    </xf>
    <xf numFmtId="0" fontId="3" fillId="0" borderId="0" xfId="1" applyFont="1" applyAlignment="1">
      <alignment horizontal="center" vertical="center"/>
    </xf>
  </cellXfs>
  <cellStyles count="2">
    <cellStyle name="Normal" xfId="0" builtinId="0"/>
    <cellStyle name="Normal 2" xfId="1" xr:uid="{5594EFA4-5263-4566-832A-16F4A6AE72E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95250</xdr:colOff>
      <xdr:row>2</xdr:row>
      <xdr:rowOff>38100</xdr:rowOff>
    </xdr:from>
    <xdr:to>
      <xdr:col>21</xdr:col>
      <xdr:colOff>28575</xdr:colOff>
      <xdr:row>24</xdr:row>
      <xdr:rowOff>142875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08B9F6C-3C36-8FC6-2AB3-BFFEE47336E8}"/>
            </a:ext>
          </a:extLst>
        </xdr:cNvPr>
        <xdr:cNvSpPr txBox="1"/>
      </xdr:nvSpPr>
      <xdr:spPr>
        <a:xfrm>
          <a:off x="1314450" y="400050"/>
          <a:ext cx="11515725" cy="4086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Package indicator is required to identify cubic shipments outside of regular rating. </a:t>
          </a:r>
        </a:p>
        <a:p>
          <a:endParaRPr lang="en-US" sz="1100"/>
        </a:p>
        <a:p>
          <a:r>
            <a:rPr lang="en-US" sz="1100"/>
            <a:t>No one size</a:t>
          </a:r>
          <a:r>
            <a:rPr lang="en-US" sz="1100" baseline="0"/>
            <a:t> fits all formula for rate look up have yet been identified. </a:t>
          </a:r>
        </a:p>
        <a:p>
          <a:endParaRPr lang="en-US" sz="1100" baseline="0"/>
        </a:p>
        <a:p>
          <a:r>
            <a:rPr lang="en-US" sz="1100" baseline="0"/>
            <a:t>Make sure weight for cubic pricing is all set to 0. </a:t>
          </a:r>
          <a:endParaRPr lang="en-US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559C7-E741-4E4B-9D12-C0F2B8E87E0E}">
  <dimension ref="A1"/>
  <sheetViews>
    <sheetView tabSelected="1" workbookViewId="0">
      <selection activeCell="AA13" sqref="AA13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184E9-9493-43A5-939E-68B67FD4C779}">
  <dimension ref="A1:N2445"/>
  <sheetViews>
    <sheetView zoomScale="90" zoomScaleNormal="90" workbookViewId="0">
      <pane ySplit="1" topLeftCell="A2" activePane="bottomLeft" state="frozen"/>
      <selection pane="bottomLeft" activeCell="C30" sqref="C30"/>
    </sheetView>
  </sheetViews>
  <sheetFormatPr defaultRowHeight="14.4" x14ac:dyDescent="0.3"/>
  <cols>
    <col min="1" max="1" width="6.77734375" bestFit="1" customWidth="1"/>
    <col min="2" max="2" width="11.77734375" bestFit="1" customWidth="1"/>
    <col min="3" max="3" width="13.5546875" bestFit="1" customWidth="1"/>
    <col min="4" max="4" width="9" bestFit="1" customWidth="1"/>
    <col min="5" max="5" width="13" bestFit="1" customWidth="1"/>
    <col min="6" max="6" width="19.77734375" customWidth="1"/>
    <col min="7" max="7" width="5.109375" bestFit="1" customWidth="1"/>
    <col min="8" max="8" width="20.44140625" customWidth="1"/>
    <col min="9" max="9" width="10.21875" bestFit="1" customWidth="1"/>
    <col min="10" max="10" width="46.33203125" customWidth="1"/>
    <col min="11" max="11" width="22.33203125" bestFit="1" customWidth="1"/>
    <col min="12" max="13" width="31.21875" customWidth="1"/>
    <col min="14" max="14" width="144.88671875" bestFit="1" customWidth="1"/>
  </cols>
  <sheetData>
    <row r="1" spans="1:1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48</v>
      </c>
      <c r="K1" t="s">
        <v>9</v>
      </c>
      <c r="L1" t="s">
        <v>10</v>
      </c>
      <c r="M1" t="s">
        <v>50</v>
      </c>
      <c r="N1" t="s">
        <v>14</v>
      </c>
    </row>
    <row r="2" spans="1:14" x14ac:dyDescent="0.3">
      <c r="A2" t="s">
        <v>11</v>
      </c>
      <c r="B2" s="1" t="s">
        <v>43</v>
      </c>
      <c r="C2" s="1" t="s">
        <v>44</v>
      </c>
      <c r="D2">
        <v>12659</v>
      </c>
      <c r="E2" t="s">
        <v>12</v>
      </c>
      <c r="F2" t="s">
        <v>42</v>
      </c>
      <c r="G2">
        <v>1</v>
      </c>
      <c r="H2">
        <v>0.5</v>
      </c>
      <c r="I2" t="s">
        <v>45</v>
      </c>
      <c r="J2" cm="1">
        <f t="array" ref="J2">IFERROR(
    _xlfn.XLOOKUP(G2, 'Wedgewood Pharm-PME-Yr2-2025'!$E$4:$L$4,
        _xlfn.XLOOKUP('Rate Load'!H2, 'Wedgewood Pharm-PME-Yr2-2025'!$D$5:$D$28,
            'Wedgewood Pharm-PME-Yr2-2025'!$E$5:$L$28, 0, 0),
        0, 0),
    _xlfn.XLOOKUP(G2, 'Wedgewood Pharm-PME-Yr2-2025'!$E$4:$L$4,
        _xlfn.XLOOKUP('Rate Load'!L2, 'Wedgewood Pharm-PME-Yr2-2025'!$D$5:$D$28,
            'Wedgewood Pharm-PME-Yr2-2025'!$E$5:$L$28, 0, 0),
        0, 0)
)</f>
        <v>13.79</v>
      </c>
      <c r="K2" t="s">
        <v>46</v>
      </c>
      <c r="L2" t="s">
        <v>13</v>
      </c>
      <c r="M2">
        <v>1</v>
      </c>
      <c r="N2" t="str">
        <f>"INSERT INTO TNL_RATING.dbo.usps_rate_master VALUES ('" &amp; A2 &amp; "', '" &amp; B2 &amp; "', '" &amp; C2 &amp; "', " &amp; D2 &amp; ", '" &amp; E2 &amp; "', '" &amp; F2 &amp; "', " &amp; G2 &amp; ", " &amp; H2 &amp; ", '" &amp; I2 &amp; "', " &amp; J2 &amp; ", '" &amp; K2 &amp; "', '" &amp; L2 &amp; "','" &amp; M2 &amp; "');"</f>
        <v>INSERT INTO TNL_RATING.dbo.usps_rate_master VALUES ('USPS', '2/13/2025', '2/13/2026', 12659, 'US', 'Priority Mail Express', 1, 0.5, 'L', 13.79, 'Wedgewood_USPS_2025', 'NonCubic','1');</v>
      </c>
    </row>
    <row r="3" spans="1:14" x14ac:dyDescent="0.3">
      <c r="A3" t="s">
        <v>11</v>
      </c>
      <c r="B3" s="1" t="s">
        <v>43</v>
      </c>
      <c r="C3" s="1" t="s">
        <v>44</v>
      </c>
      <c r="D3">
        <v>12659</v>
      </c>
      <c r="E3" t="s">
        <v>12</v>
      </c>
      <c r="F3" t="s">
        <v>42</v>
      </c>
      <c r="G3">
        <v>1</v>
      </c>
      <c r="H3">
        <v>1</v>
      </c>
      <c r="I3" t="s">
        <v>45</v>
      </c>
      <c r="J3" cm="1">
        <f t="array" ref="J3">IFERROR(
    _xlfn.XLOOKUP(G3, 'Wedgewood Pharm-PME-Yr2-2025'!$E$4:$L$4,
        _xlfn.XLOOKUP('Rate Load'!H3, 'Wedgewood Pharm-PME-Yr2-2025'!$D$5:$D$28,
            'Wedgewood Pharm-PME-Yr2-2025'!$E$5:$L$28, 0, 0),
        0, 0),
    _xlfn.XLOOKUP(G3, 'Wedgewood Pharm-PME-Yr2-2025'!$E$4:$L$4,
        _xlfn.XLOOKUP('Rate Load'!L3, 'Wedgewood Pharm-PME-Yr2-2025'!$D$5:$D$28,
            'Wedgewood Pharm-PME-Yr2-2025'!$E$5:$L$28, 0, 0),
        0, 0)
)</f>
        <v>14.25</v>
      </c>
      <c r="K3" t="s">
        <v>46</v>
      </c>
      <c r="L3" t="s">
        <v>13</v>
      </c>
      <c r="M3">
        <v>1</v>
      </c>
      <c r="N3" t="str">
        <f t="shared" ref="N3:N66" si="0">"INSERT INTO TNL_RATING.dbo.usps_rate_master VALUES ('" &amp; A3 &amp; "', '" &amp; B3 &amp; "', '" &amp; C3 &amp; "', " &amp; D3 &amp; ", '" &amp; E3 &amp; "', '" &amp; F3 &amp; "', " &amp; G3 &amp; ", " &amp; H3 &amp; ", '" &amp; I3 &amp; "', " &amp; J3 &amp; ", '" &amp; K3 &amp; "', '" &amp; L3 &amp; "','" &amp; M3 &amp; "');"</f>
        <v>INSERT INTO TNL_RATING.dbo.usps_rate_master VALUES ('USPS', '2/13/2025', '2/13/2026', 12659, 'US', 'Priority Mail Express', 1, 1, 'L', 14.25, 'Wedgewood_USPS_2025', 'NonCubic','1');</v>
      </c>
    </row>
    <row r="4" spans="1:14" x14ac:dyDescent="0.3">
      <c r="A4" t="s">
        <v>11</v>
      </c>
      <c r="B4" s="1" t="s">
        <v>43</v>
      </c>
      <c r="C4" s="1" t="s">
        <v>44</v>
      </c>
      <c r="D4">
        <v>12659</v>
      </c>
      <c r="E4" t="s">
        <v>12</v>
      </c>
      <c r="F4" t="s">
        <v>42</v>
      </c>
      <c r="G4">
        <v>1</v>
      </c>
      <c r="H4">
        <v>2</v>
      </c>
      <c r="I4" t="s">
        <v>45</v>
      </c>
      <c r="J4" cm="1">
        <f t="array" ref="J4">IFERROR(
    _xlfn.XLOOKUP(G4, 'Wedgewood Pharm-PME-Yr2-2025'!$E$4:$L$4,
        _xlfn.XLOOKUP('Rate Load'!H4, 'Wedgewood Pharm-PME-Yr2-2025'!$D$5:$D$28,
            'Wedgewood Pharm-PME-Yr2-2025'!$E$5:$L$28, 0, 0),
        0, 0),
    _xlfn.XLOOKUP(G4, 'Wedgewood Pharm-PME-Yr2-2025'!$E$4:$L$4,
        _xlfn.XLOOKUP('Rate Load'!L4, 'Wedgewood Pharm-PME-Yr2-2025'!$D$5:$D$28,
            'Wedgewood Pharm-PME-Yr2-2025'!$E$5:$L$28, 0, 0),
        0, 0)
)</f>
        <v>15.53</v>
      </c>
      <c r="K4" t="s">
        <v>46</v>
      </c>
      <c r="L4" t="s">
        <v>13</v>
      </c>
      <c r="M4">
        <v>1</v>
      </c>
      <c r="N4" t="str">
        <f t="shared" si="0"/>
        <v>INSERT INTO TNL_RATING.dbo.usps_rate_master VALUES ('USPS', '2/13/2025', '2/13/2026', 12659, 'US', 'Priority Mail Express', 1, 2, 'L', 15.53, 'Wedgewood_USPS_2025', 'NonCubic','1');</v>
      </c>
    </row>
    <row r="5" spans="1:14" x14ac:dyDescent="0.3">
      <c r="A5" t="s">
        <v>11</v>
      </c>
      <c r="B5" s="1" t="s">
        <v>43</v>
      </c>
      <c r="C5" s="1" t="s">
        <v>44</v>
      </c>
      <c r="D5">
        <v>12659</v>
      </c>
      <c r="E5" t="s">
        <v>12</v>
      </c>
      <c r="F5" t="s">
        <v>42</v>
      </c>
      <c r="G5">
        <v>1</v>
      </c>
      <c r="H5">
        <v>3</v>
      </c>
      <c r="I5" t="s">
        <v>45</v>
      </c>
      <c r="J5" cm="1">
        <f t="array" ref="J5">IFERROR(
    _xlfn.XLOOKUP(G5, 'Wedgewood Pharm-PME-Yr2-2025'!$E$4:$L$4,
        _xlfn.XLOOKUP('Rate Load'!H5, 'Wedgewood Pharm-PME-Yr2-2025'!$D$5:$D$28,
            'Wedgewood Pharm-PME-Yr2-2025'!$E$5:$L$28, 0, 0),
        0, 0),
    _xlfn.XLOOKUP(G5, 'Wedgewood Pharm-PME-Yr2-2025'!$E$4:$L$4,
        _xlfn.XLOOKUP('Rate Load'!L5, 'Wedgewood Pharm-PME-Yr2-2025'!$D$5:$D$28,
            'Wedgewood Pharm-PME-Yr2-2025'!$E$5:$L$28, 0, 0),
        0, 0)
)</f>
        <v>17.21</v>
      </c>
      <c r="K5" t="s">
        <v>46</v>
      </c>
      <c r="L5" t="s">
        <v>13</v>
      </c>
      <c r="M5">
        <v>1</v>
      </c>
      <c r="N5" t="str">
        <f t="shared" si="0"/>
        <v>INSERT INTO TNL_RATING.dbo.usps_rate_master VALUES ('USPS', '2/13/2025', '2/13/2026', 12659, 'US', 'Priority Mail Express', 1, 3, 'L', 17.21, 'Wedgewood_USPS_2025', 'NonCubic','1');</v>
      </c>
    </row>
    <row r="6" spans="1:14" x14ac:dyDescent="0.3">
      <c r="A6" t="s">
        <v>11</v>
      </c>
      <c r="B6" s="1" t="s">
        <v>43</v>
      </c>
      <c r="C6" s="1" t="s">
        <v>44</v>
      </c>
      <c r="D6">
        <v>12659</v>
      </c>
      <c r="E6" t="s">
        <v>12</v>
      </c>
      <c r="F6" t="s">
        <v>42</v>
      </c>
      <c r="G6">
        <v>1</v>
      </c>
      <c r="H6">
        <v>4</v>
      </c>
      <c r="I6" t="s">
        <v>45</v>
      </c>
      <c r="J6" cm="1">
        <f t="array" ref="J6">IFERROR(
    _xlfn.XLOOKUP(G6, 'Wedgewood Pharm-PME-Yr2-2025'!$E$4:$L$4,
        _xlfn.XLOOKUP('Rate Load'!H6, 'Wedgewood Pharm-PME-Yr2-2025'!$D$5:$D$28,
            'Wedgewood Pharm-PME-Yr2-2025'!$E$5:$L$28, 0, 0),
        0, 0),
    _xlfn.XLOOKUP(G6, 'Wedgewood Pharm-PME-Yr2-2025'!$E$4:$L$4,
        _xlfn.XLOOKUP('Rate Load'!L6, 'Wedgewood Pharm-PME-Yr2-2025'!$D$5:$D$28,
            'Wedgewood Pharm-PME-Yr2-2025'!$E$5:$L$28, 0, 0),
        0, 0)
)</f>
        <v>18.89</v>
      </c>
      <c r="K6" t="s">
        <v>46</v>
      </c>
      <c r="L6" t="s">
        <v>13</v>
      </c>
      <c r="M6">
        <v>1</v>
      </c>
      <c r="N6" t="str">
        <f t="shared" si="0"/>
        <v>INSERT INTO TNL_RATING.dbo.usps_rate_master VALUES ('USPS', '2/13/2025', '2/13/2026', 12659, 'US', 'Priority Mail Express', 1, 4, 'L', 18.89, 'Wedgewood_USPS_2025', 'NonCubic','1');</v>
      </c>
    </row>
    <row r="7" spans="1:14" x14ac:dyDescent="0.3">
      <c r="A7" t="s">
        <v>11</v>
      </c>
      <c r="B7" s="1" t="s">
        <v>43</v>
      </c>
      <c r="C7" s="1" t="s">
        <v>44</v>
      </c>
      <c r="D7">
        <v>12659</v>
      </c>
      <c r="E7" t="s">
        <v>12</v>
      </c>
      <c r="F7" t="s">
        <v>42</v>
      </c>
      <c r="G7">
        <v>1</v>
      </c>
      <c r="H7">
        <v>5</v>
      </c>
      <c r="I7" t="s">
        <v>45</v>
      </c>
      <c r="J7" cm="1">
        <f t="array" ref="J7">IFERROR(
    _xlfn.XLOOKUP(G7, 'Wedgewood Pharm-PME-Yr2-2025'!$E$4:$L$4,
        _xlfn.XLOOKUP('Rate Load'!H7, 'Wedgewood Pharm-PME-Yr2-2025'!$D$5:$D$28,
            'Wedgewood Pharm-PME-Yr2-2025'!$E$5:$L$28, 0, 0),
        0, 0),
    _xlfn.XLOOKUP(G7, 'Wedgewood Pharm-PME-Yr2-2025'!$E$4:$L$4,
        _xlfn.XLOOKUP('Rate Load'!L7, 'Wedgewood Pharm-PME-Yr2-2025'!$D$5:$D$28,
            'Wedgewood Pharm-PME-Yr2-2025'!$E$5:$L$28, 0, 0),
        0, 0)
)</f>
        <v>20.560000000000002</v>
      </c>
      <c r="K7" t="s">
        <v>46</v>
      </c>
      <c r="L7" t="s">
        <v>13</v>
      </c>
      <c r="M7">
        <v>1</v>
      </c>
      <c r="N7" t="str">
        <f t="shared" si="0"/>
        <v>INSERT INTO TNL_RATING.dbo.usps_rate_master VALUES ('USPS', '2/13/2025', '2/13/2026', 12659, 'US', 'Priority Mail Express', 1, 5, 'L', 20.56, 'Wedgewood_USPS_2025', 'NonCubic','1');</v>
      </c>
    </row>
    <row r="8" spans="1:14" x14ac:dyDescent="0.3">
      <c r="A8" t="s">
        <v>11</v>
      </c>
      <c r="B8" s="1" t="s">
        <v>43</v>
      </c>
      <c r="C8" s="1" t="s">
        <v>44</v>
      </c>
      <c r="D8">
        <v>12659</v>
      </c>
      <c r="E8" t="s">
        <v>12</v>
      </c>
      <c r="F8" t="s">
        <v>42</v>
      </c>
      <c r="G8">
        <v>1</v>
      </c>
      <c r="H8">
        <v>6</v>
      </c>
      <c r="I8" t="s">
        <v>45</v>
      </c>
      <c r="J8" cm="1">
        <f t="array" ref="J8">IFERROR(
    _xlfn.XLOOKUP(G8, 'Wedgewood Pharm-PME-Yr2-2025'!$E$4:$L$4,
        _xlfn.XLOOKUP('Rate Load'!H8, 'Wedgewood Pharm-PME-Yr2-2025'!$D$5:$D$28,
            'Wedgewood Pharm-PME-Yr2-2025'!$E$5:$L$28, 0, 0),
        0, 0),
    _xlfn.XLOOKUP(G8, 'Wedgewood Pharm-PME-Yr2-2025'!$E$4:$L$4,
        _xlfn.XLOOKUP('Rate Load'!L8, 'Wedgewood Pharm-PME-Yr2-2025'!$D$5:$D$28,
            'Wedgewood Pharm-PME-Yr2-2025'!$E$5:$L$28, 0, 0),
        0, 0)
)</f>
        <v>22.720000000000002</v>
      </c>
      <c r="K8" t="s">
        <v>46</v>
      </c>
      <c r="L8" t="s">
        <v>13</v>
      </c>
      <c r="M8">
        <v>1</v>
      </c>
      <c r="N8" t="str">
        <f t="shared" si="0"/>
        <v>INSERT INTO TNL_RATING.dbo.usps_rate_master VALUES ('USPS', '2/13/2025', '2/13/2026', 12659, 'US', 'Priority Mail Express', 1, 6, 'L', 22.72, 'Wedgewood_USPS_2025', 'NonCubic','1');</v>
      </c>
    </row>
    <row r="9" spans="1:14" x14ac:dyDescent="0.3">
      <c r="A9" t="s">
        <v>11</v>
      </c>
      <c r="B9" s="1" t="s">
        <v>43</v>
      </c>
      <c r="C9" s="1" t="s">
        <v>44</v>
      </c>
      <c r="D9">
        <v>12659</v>
      </c>
      <c r="E9" t="s">
        <v>12</v>
      </c>
      <c r="F9" t="s">
        <v>42</v>
      </c>
      <c r="G9">
        <v>1</v>
      </c>
      <c r="H9">
        <v>7</v>
      </c>
      <c r="I9" t="s">
        <v>45</v>
      </c>
      <c r="J9" cm="1">
        <f t="array" ref="J9">IFERROR(
    _xlfn.XLOOKUP(G9, 'Wedgewood Pharm-PME-Yr2-2025'!$E$4:$L$4,
        _xlfn.XLOOKUP('Rate Load'!H9, 'Wedgewood Pharm-PME-Yr2-2025'!$D$5:$D$28,
            'Wedgewood Pharm-PME-Yr2-2025'!$E$5:$L$28, 0, 0),
        0, 0),
    _xlfn.XLOOKUP(G9, 'Wedgewood Pharm-PME-Yr2-2025'!$E$4:$L$4,
        _xlfn.XLOOKUP('Rate Load'!L9, 'Wedgewood Pharm-PME-Yr2-2025'!$D$5:$D$28,
            'Wedgewood Pharm-PME-Yr2-2025'!$E$5:$L$28, 0, 0),
        0, 0)
)</f>
        <v>24.87</v>
      </c>
      <c r="K9" t="s">
        <v>46</v>
      </c>
      <c r="L9" t="s">
        <v>13</v>
      </c>
      <c r="M9">
        <v>1</v>
      </c>
      <c r="N9" t="str">
        <f t="shared" si="0"/>
        <v>INSERT INTO TNL_RATING.dbo.usps_rate_master VALUES ('USPS', '2/13/2025', '2/13/2026', 12659, 'US', 'Priority Mail Express', 1, 7, 'L', 24.87, 'Wedgewood_USPS_2025', 'NonCubic','1');</v>
      </c>
    </row>
    <row r="10" spans="1:14" x14ac:dyDescent="0.3">
      <c r="A10" t="s">
        <v>11</v>
      </c>
      <c r="B10" s="1" t="s">
        <v>43</v>
      </c>
      <c r="C10" s="1" t="s">
        <v>44</v>
      </c>
      <c r="D10">
        <v>12659</v>
      </c>
      <c r="E10" t="s">
        <v>12</v>
      </c>
      <c r="F10" t="s">
        <v>42</v>
      </c>
      <c r="G10">
        <v>1</v>
      </c>
      <c r="H10">
        <v>8</v>
      </c>
      <c r="I10" t="s">
        <v>45</v>
      </c>
      <c r="J10" cm="1">
        <f t="array" ref="J10">IFERROR(
    _xlfn.XLOOKUP(G10, 'Wedgewood Pharm-PME-Yr2-2025'!$E$4:$L$4,
        _xlfn.XLOOKUP('Rate Load'!H10, 'Wedgewood Pharm-PME-Yr2-2025'!$D$5:$D$28,
            'Wedgewood Pharm-PME-Yr2-2025'!$E$5:$L$28, 0, 0),
        0, 0),
    _xlfn.XLOOKUP(G10, 'Wedgewood Pharm-PME-Yr2-2025'!$E$4:$L$4,
        _xlfn.XLOOKUP('Rate Load'!L10, 'Wedgewood Pharm-PME-Yr2-2025'!$D$5:$D$28,
            'Wedgewood Pharm-PME-Yr2-2025'!$E$5:$L$28, 0, 0),
        0, 0)
)</f>
        <v>27.020000000000003</v>
      </c>
      <c r="K10" t="s">
        <v>46</v>
      </c>
      <c r="L10" t="s">
        <v>13</v>
      </c>
      <c r="M10">
        <v>1</v>
      </c>
      <c r="N10" t="str">
        <f t="shared" si="0"/>
        <v>INSERT INTO TNL_RATING.dbo.usps_rate_master VALUES ('USPS', '2/13/2025', '2/13/2026', 12659, 'US', 'Priority Mail Express', 1, 8, 'L', 27.02, 'Wedgewood_USPS_2025', 'NonCubic','1');</v>
      </c>
    </row>
    <row r="11" spans="1:14" x14ac:dyDescent="0.3">
      <c r="A11" t="s">
        <v>11</v>
      </c>
      <c r="B11" s="1" t="s">
        <v>43</v>
      </c>
      <c r="C11" s="1" t="s">
        <v>44</v>
      </c>
      <c r="D11">
        <v>12659</v>
      </c>
      <c r="E11" t="s">
        <v>12</v>
      </c>
      <c r="F11" t="s">
        <v>42</v>
      </c>
      <c r="G11">
        <v>1</v>
      </c>
      <c r="H11">
        <v>9</v>
      </c>
      <c r="I11" t="s">
        <v>45</v>
      </c>
      <c r="J11" cm="1">
        <f t="array" ref="J11">IFERROR(
    _xlfn.XLOOKUP(G11, 'Wedgewood Pharm-PME-Yr2-2025'!$E$4:$L$4,
        _xlfn.XLOOKUP('Rate Load'!H11, 'Wedgewood Pharm-PME-Yr2-2025'!$D$5:$D$28,
            'Wedgewood Pharm-PME-Yr2-2025'!$E$5:$L$28, 0, 0),
        0, 0),
    _xlfn.XLOOKUP(G11, 'Wedgewood Pharm-PME-Yr2-2025'!$E$4:$L$4,
        _xlfn.XLOOKUP('Rate Load'!L11, 'Wedgewood Pharm-PME-Yr2-2025'!$D$5:$D$28,
            'Wedgewood Pharm-PME-Yr2-2025'!$E$5:$L$28, 0, 0),
        0, 0)
)</f>
        <v>29.16</v>
      </c>
      <c r="K11" t="s">
        <v>46</v>
      </c>
      <c r="L11" t="s">
        <v>13</v>
      </c>
      <c r="M11">
        <v>1</v>
      </c>
      <c r="N11" t="str">
        <f t="shared" si="0"/>
        <v>INSERT INTO TNL_RATING.dbo.usps_rate_master VALUES ('USPS', '2/13/2025', '2/13/2026', 12659, 'US', 'Priority Mail Express', 1, 9, 'L', 29.16, 'Wedgewood_USPS_2025', 'NonCubic','1');</v>
      </c>
    </row>
    <row r="12" spans="1:14" x14ac:dyDescent="0.3">
      <c r="A12" t="s">
        <v>11</v>
      </c>
      <c r="B12" s="1" t="s">
        <v>43</v>
      </c>
      <c r="C12" s="1" t="s">
        <v>44</v>
      </c>
      <c r="D12">
        <v>12659</v>
      </c>
      <c r="E12" t="s">
        <v>12</v>
      </c>
      <c r="F12" t="s">
        <v>42</v>
      </c>
      <c r="G12">
        <v>1</v>
      </c>
      <c r="H12">
        <v>10</v>
      </c>
      <c r="I12" t="s">
        <v>45</v>
      </c>
      <c r="J12" cm="1">
        <f t="array" ref="J12">IFERROR(
    _xlfn.XLOOKUP(G12, 'Wedgewood Pharm-PME-Yr2-2025'!$E$4:$L$4,
        _xlfn.XLOOKUP('Rate Load'!H12, 'Wedgewood Pharm-PME-Yr2-2025'!$D$5:$D$28,
            'Wedgewood Pharm-PME-Yr2-2025'!$E$5:$L$28, 0, 0),
        0, 0),
    _xlfn.XLOOKUP(G12, 'Wedgewood Pharm-PME-Yr2-2025'!$E$4:$L$4,
        _xlfn.XLOOKUP('Rate Load'!L12, 'Wedgewood Pharm-PME-Yr2-2025'!$D$5:$D$28,
            'Wedgewood Pharm-PME-Yr2-2025'!$E$5:$L$28, 0, 0),
        0, 0)
)</f>
        <v>31.330000000000002</v>
      </c>
      <c r="K12" t="s">
        <v>46</v>
      </c>
      <c r="L12" t="s">
        <v>13</v>
      </c>
      <c r="M12">
        <v>1</v>
      </c>
      <c r="N12" t="str">
        <f t="shared" si="0"/>
        <v>INSERT INTO TNL_RATING.dbo.usps_rate_master VALUES ('USPS', '2/13/2025', '2/13/2026', 12659, 'US', 'Priority Mail Express', 1, 10, 'L', 31.33, 'Wedgewood_USPS_2025', 'NonCubic','1');</v>
      </c>
    </row>
    <row r="13" spans="1:14" x14ac:dyDescent="0.3">
      <c r="A13" t="s">
        <v>11</v>
      </c>
      <c r="B13" s="1" t="s">
        <v>43</v>
      </c>
      <c r="C13" s="1" t="s">
        <v>44</v>
      </c>
      <c r="D13">
        <v>12659</v>
      </c>
      <c r="E13" t="s">
        <v>12</v>
      </c>
      <c r="F13" t="s">
        <v>42</v>
      </c>
      <c r="G13">
        <v>1</v>
      </c>
      <c r="H13">
        <v>11</v>
      </c>
      <c r="I13" t="s">
        <v>45</v>
      </c>
      <c r="J13" cm="1">
        <f t="array" ref="J13">IFERROR(
    _xlfn.XLOOKUP(G13, 'Wedgewood Pharm-PME-Yr2-2025'!$E$4:$L$4,
        _xlfn.XLOOKUP('Rate Load'!H13, 'Wedgewood Pharm-PME-Yr2-2025'!$D$5:$D$28,
            'Wedgewood Pharm-PME-Yr2-2025'!$E$5:$L$28, 0, 0),
        0, 0),
    _xlfn.XLOOKUP(G13, 'Wedgewood Pharm-PME-Yr2-2025'!$E$4:$L$4,
        _xlfn.XLOOKUP('Rate Load'!L13, 'Wedgewood Pharm-PME-Yr2-2025'!$D$5:$D$28,
            'Wedgewood Pharm-PME-Yr2-2025'!$E$5:$L$28, 0, 0),
        0, 0)
)</f>
        <v>33.369999999999997</v>
      </c>
      <c r="K13" t="s">
        <v>46</v>
      </c>
      <c r="L13" t="s">
        <v>13</v>
      </c>
      <c r="M13">
        <v>1</v>
      </c>
      <c r="N13" t="str">
        <f t="shared" si="0"/>
        <v>INSERT INTO TNL_RATING.dbo.usps_rate_master VALUES ('USPS', '2/13/2025', '2/13/2026', 12659, 'US', 'Priority Mail Express', 1, 11, 'L', 33.37, 'Wedgewood_USPS_2025', 'NonCubic','1');</v>
      </c>
    </row>
    <row r="14" spans="1:14" x14ac:dyDescent="0.3">
      <c r="A14" t="s">
        <v>11</v>
      </c>
      <c r="B14" s="1" t="s">
        <v>43</v>
      </c>
      <c r="C14" s="1" t="s">
        <v>44</v>
      </c>
      <c r="D14">
        <v>12659</v>
      </c>
      <c r="E14" t="s">
        <v>12</v>
      </c>
      <c r="F14" t="s">
        <v>42</v>
      </c>
      <c r="G14">
        <v>1</v>
      </c>
      <c r="H14">
        <v>12</v>
      </c>
      <c r="I14" t="s">
        <v>45</v>
      </c>
      <c r="J14" cm="1">
        <f t="array" ref="J14">IFERROR(
    _xlfn.XLOOKUP(G14, 'Wedgewood Pharm-PME-Yr2-2025'!$E$4:$L$4,
        _xlfn.XLOOKUP('Rate Load'!H14, 'Wedgewood Pharm-PME-Yr2-2025'!$D$5:$D$28,
            'Wedgewood Pharm-PME-Yr2-2025'!$E$5:$L$28, 0, 0),
        0, 0),
    _xlfn.XLOOKUP(G14, 'Wedgewood Pharm-PME-Yr2-2025'!$E$4:$L$4,
        _xlfn.XLOOKUP('Rate Load'!L14, 'Wedgewood Pharm-PME-Yr2-2025'!$D$5:$D$28,
            'Wedgewood Pharm-PME-Yr2-2025'!$E$5:$L$28, 0, 0),
        0, 0)
)</f>
        <v>35.4</v>
      </c>
      <c r="K14" t="s">
        <v>46</v>
      </c>
      <c r="L14" t="s">
        <v>13</v>
      </c>
      <c r="M14">
        <v>1</v>
      </c>
      <c r="N14" t="str">
        <f t="shared" si="0"/>
        <v>INSERT INTO TNL_RATING.dbo.usps_rate_master VALUES ('USPS', '2/13/2025', '2/13/2026', 12659, 'US', 'Priority Mail Express', 1, 12, 'L', 35.4, 'Wedgewood_USPS_2025', 'NonCubic','1');</v>
      </c>
    </row>
    <row r="15" spans="1:14" x14ac:dyDescent="0.3">
      <c r="A15" t="s">
        <v>11</v>
      </c>
      <c r="B15" s="1" t="s">
        <v>43</v>
      </c>
      <c r="C15" s="1" t="s">
        <v>44</v>
      </c>
      <c r="D15">
        <v>12659</v>
      </c>
      <c r="E15" t="s">
        <v>12</v>
      </c>
      <c r="F15" t="s">
        <v>42</v>
      </c>
      <c r="G15">
        <v>1</v>
      </c>
      <c r="H15">
        <v>13</v>
      </c>
      <c r="I15" t="s">
        <v>45</v>
      </c>
      <c r="J15" cm="1">
        <f t="array" ref="J15">IFERROR(
    _xlfn.XLOOKUP(G15, 'Wedgewood Pharm-PME-Yr2-2025'!$E$4:$L$4,
        _xlfn.XLOOKUP('Rate Load'!H15, 'Wedgewood Pharm-PME-Yr2-2025'!$D$5:$D$28,
            'Wedgewood Pharm-PME-Yr2-2025'!$E$5:$L$28, 0, 0),
        0, 0),
    _xlfn.XLOOKUP(G15, 'Wedgewood Pharm-PME-Yr2-2025'!$E$4:$L$4,
        _xlfn.XLOOKUP('Rate Load'!L15, 'Wedgewood Pharm-PME-Yr2-2025'!$D$5:$D$28,
            'Wedgewood Pharm-PME-Yr2-2025'!$E$5:$L$28, 0, 0),
        0, 0)
)</f>
        <v>37.46</v>
      </c>
      <c r="K15" t="s">
        <v>46</v>
      </c>
      <c r="L15" t="s">
        <v>13</v>
      </c>
      <c r="M15">
        <v>1</v>
      </c>
      <c r="N15" t="str">
        <f t="shared" si="0"/>
        <v>INSERT INTO TNL_RATING.dbo.usps_rate_master VALUES ('USPS', '2/13/2025', '2/13/2026', 12659, 'US', 'Priority Mail Express', 1, 13, 'L', 37.46, 'Wedgewood_USPS_2025', 'NonCubic','1');</v>
      </c>
    </row>
    <row r="16" spans="1:14" x14ac:dyDescent="0.3">
      <c r="A16" t="s">
        <v>11</v>
      </c>
      <c r="B16" s="1" t="s">
        <v>43</v>
      </c>
      <c r="C16" s="1" t="s">
        <v>44</v>
      </c>
      <c r="D16">
        <v>12659</v>
      </c>
      <c r="E16" t="s">
        <v>12</v>
      </c>
      <c r="F16" t="s">
        <v>42</v>
      </c>
      <c r="G16">
        <v>1</v>
      </c>
      <c r="H16">
        <v>14</v>
      </c>
      <c r="I16" t="s">
        <v>45</v>
      </c>
      <c r="J16" cm="1">
        <f t="array" ref="J16">IFERROR(
    _xlfn.XLOOKUP(G16, 'Wedgewood Pharm-PME-Yr2-2025'!$E$4:$L$4,
        _xlfn.XLOOKUP('Rate Load'!H16, 'Wedgewood Pharm-PME-Yr2-2025'!$D$5:$D$28,
            'Wedgewood Pharm-PME-Yr2-2025'!$E$5:$L$28, 0, 0),
        0, 0),
    _xlfn.XLOOKUP(G16, 'Wedgewood Pharm-PME-Yr2-2025'!$E$4:$L$4,
        _xlfn.XLOOKUP('Rate Load'!L16, 'Wedgewood Pharm-PME-Yr2-2025'!$D$5:$D$28,
            'Wedgewood Pharm-PME-Yr2-2025'!$E$5:$L$28, 0, 0),
        0, 0)
)</f>
        <v>39.5</v>
      </c>
      <c r="K16" t="s">
        <v>46</v>
      </c>
      <c r="L16" t="s">
        <v>13</v>
      </c>
      <c r="M16">
        <v>1</v>
      </c>
      <c r="N16" t="str">
        <f t="shared" si="0"/>
        <v>INSERT INTO TNL_RATING.dbo.usps_rate_master VALUES ('USPS', '2/13/2025', '2/13/2026', 12659, 'US', 'Priority Mail Express', 1, 14, 'L', 39.5, 'Wedgewood_USPS_2025', 'NonCubic','1');</v>
      </c>
    </row>
    <row r="17" spans="1:14" x14ac:dyDescent="0.3">
      <c r="A17" t="s">
        <v>11</v>
      </c>
      <c r="B17" s="1" t="s">
        <v>43</v>
      </c>
      <c r="C17" s="1" t="s">
        <v>44</v>
      </c>
      <c r="D17">
        <v>12659</v>
      </c>
      <c r="E17" t="s">
        <v>12</v>
      </c>
      <c r="F17" t="s">
        <v>42</v>
      </c>
      <c r="G17">
        <v>1</v>
      </c>
      <c r="H17">
        <v>15</v>
      </c>
      <c r="I17" t="s">
        <v>45</v>
      </c>
      <c r="J17" cm="1">
        <f t="array" ref="J17">IFERROR(
    _xlfn.XLOOKUP(G17, 'Wedgewood Pharm-PME-Yr2-2025'!$E$4:$L$4,
        _xlfn.XLOOKUP('Rate Load'!H17, 'Wedgewood Pharm-PME-Yr2-2025'!$D$5:$D$28,
            'Wedgewood Pharm-PME-Yr2-2025'!$E$5:$L$28, 0, 0),
        0, 0),
    _xlfn.XLOOKUP(G17, 'Wedgewood Pharm-PME-Yr2-2025'!$E$4:$L$4,
        _xlfn.XLOOKUP('Rate Load'!L17, 'Wedgewood Pharm-PME-Yr2-2025'!$D$5:$D$28,
            'Wedgewood Pharm-PME-Yr2-2025'!$E$5:$L$28, 0, 0),
        0, 0)
)</f>
        <v>41.559999999999995</v>
      </c>
      <c r="K17" t="s">
        <v>46</v>
      </c>
      <c r="L17" t="s">
        <v>13</v>
      </c>
      <c r="M17">
        <v>1</v>
      </c>
      <c r="N17" t="str">
        <f t="shared" si="0"/>
        <v>INSERT INTO TNL_RATING.dbo.usps_rate_master VALUES ('USPS', '2/13/2025', '2/13/2026', 12659, 'US', 'Priority Mail Express', 1, 15, 'L', 41.56, 'Wedgewood_USPS_2025', 'NonCubic','1');</v>
      </c>
    </row>
    <row r="18" spans="1:14" x14ac:dyDescent="0.3">
      <c r="A18" t="s">
        <v>11</v>
      </c>
      <c r="B18" s="1" t="s">
        <v>43</v>
      </c>
      <c r="C18" s="1" t="s">
        <v>44</v>
      </c>
      <c r="D18">
        <v>12659</v>
      </c>
      <c r="E18" t="s">
        <v>12</v>
      </c>
      <c r="F18" t="s">
        <v>42</v>
      </c>
      <c r="G18">
        <v>1</v>
      </c>
      <c r="H18">
        <v>16</v>
      </c>
      <c r="I18" t="s">
        <v>45</v>
      </c>
      <c r="J18" cm="1">
        <f t="array" ref="J18">IFERROR(
    _xlfn.XLOOKUP(G18, 'Wedgewood Pharm-PME-Yr2-2025'!$E$4:$L$4,
        _xlfn.XLOOKUP('Rate Load'!H18, 'Wedgewood Pharm-PME-Yr2-2025'!$D$5:$D$28,
            'Wedgewood Pharm-PME-Yr2-2025'!$E$5:$L$28, 0, 0),
        0, 0),
    _xlfn.XLOOKUP(G18, 'Wedgewood Pharm-PME-Yr2-2025'!$E$4:$L$4,
        _xlfn.XLOOKUP('Rate Load'!L18, 'Wedgewood Pharm-PME-Yr2-2025'!$D$5:$D$28,
            'Wedgewood Pharm-PME-Yr2-2025'!$E$5:$L$28, 0, 0),
        0, 0)
)</f>
        <v>43.6</v>
      </c>
      <c r="K18" t="s">
        <v>46</v>
      </c>
      <c r="L18" t="s">
        <v>13</v>
      </c>
      <c r="M18">
        <v>1</v>
      </c>
      <c r="N18" t="str">
        <f t="shared" si="0"/>
        <v>INSERT INTO TNL_RATING.dbo.usps_rate_master VALUES ('USPS', '2/13/2025', '2/13/2026', 12659, 'US', 'Priority Mail Express', 1, 16, 'L', 43.6, 'Wedgewood_USPS_2025', 'NonCubic','1');</v>
      </c>
    </row>
    <row r="19" spans="1:14" x14ac:dyDescent="0.3">
      <c r="A19" t="s">
        <v>11</v>
      </c>
      <c r="B19" s="1" t="s">
        <v>43</v>
      </c>
      <c r="C19" s="1" t="s">
        <v>44</v>
      </c>
      <c r="D19">
        <v>12659</v>
      </c>
      <c r="E19" t="s">
        <v>12</v>
      </c>
      <c r="F19" t="s">
        <v>42</v>
      </c>
      <c r="G19">
        <v>1</v>
      </c>
      <c r="H19">
        <v>17</v>
      </c>
      <c r="I19" t="s">
        <v>45</v>
      </c>
      <c r="J19" cm="1">
        <f t="array" ref="J19">IFERROR(
    _xlfn.XLOOKUP(G19, 'Wedgewood Pharm-PME-Yr2-2025'!$E$4:$L$4,
        _xlfn.XLOOKUP('Rate Load'!H19, 'Wedgewood Pharm-PME-Yr2-2025'!$D$5:$D$28,
            'Wedgewood Pharm-PME-Yr2-2025'!$E$5:$L$28, 0, 0),
        0, 0),
    _xlfn.XLOOKUP(G19, 'Wedgewood Pharm-PME-Yr2-2025'!$E$4:$L$4,
        _xlfn.XLOOKUP('Rate Load'!L19, 'Wedgewood Pharm-PME-Yr2-2025'!$D$5:$D$28,
            'Wedgewood Pharm-PME-Yr2-2025'!$E$5:$L$28, 0, 0),
        0, 0)
)</f>
        <v>45.64</v>
      </c>
      <c r="K19" t="s">
        <v>46</v>
      </c>
      <c r="L19" t="s">
        <v>13</v>
      </c>
      <c r="M19">
        <v>1</v>
      </c>
      <c r="N19" t="str">
        <f t="shared" si="0"/>
        <v>INSERT INTO TNL_RATING.dbo.usps_rate_master VALUES ('USPS', '2/13/2025', '2/13/2026', 12659, 'US', 'Priority Mail Express', 1, 17, 'L', 45.64, 'Wedgewood_USPS_2025', 'NonCubic','1');</v>
      </c>
    </row>
    <row r="20" spans="1:14" x14ac:dyDescent="0.3">
      <c r="A20" t="s">
        <v>11</v>
      </c>
      <c r="B20" s="1" t="s">
        <v>43</v>
      </c>
      <c r="C20" s="1" t="s">
        <v>44</v>
      </c>
      <c r="D20">
        <v>12659</v>
      </c>
      <c r="E20" t="s">
        <v>12</v>
      </c>
      <c r="F20" t="s">
        <v>42</v>
      </c>
      <c r="G20">
        <v>1</v>
      </c>
      <c r="H20">
        <v>18</v>
      </c>
      <c r="I20" t="s">
        <v>45</v>
      </c>
      <c r="J20" cm="1">
        <f t="array" ref="J20">IFERROR(
    _xlfn.XLOOKUP(G20, 'Wedgewood Pharm-PME-Yr2-2025'!$E$4:$L$4,
        _xlfn.XLOOKUP('Rate Load'!H20, 'Wedgewood Pharm-PME-Yr2-2025'!$D$5:$D$28,
            'Wedgewood Pharm-PME-Yr2-2025'!$E$5:$L$28, 0, 0),
        0, 0),
    _xlfn.XLOOKUP(G20, 'Wedgewood Pharm-PME-Yr2-2025'!$E$4:$L$4,
        _xlfn.XLOOKUP('Rate Load'!L20, 'Wedgewood Pharm-PME-Yr2-2025'!$D$5:$D$28,
            'Wedgewood Pharm-PME-Yr2-2025'!$E$5:$L$28, 0, 0),
        0, 0)
)</f>
        <v>47.69</v>
      </c>
      <c r="K20" t="s">
        <v>46</v>
      </c>
      <c r="L20" t="s">
        <v>13</v>
      </c>
      <c r="M20">
        <v>1</v>
      </c>
      <c r="N20" t="str">
        <f t="shared" si="0"/>
        <v>INSERT INTO TNL_RATING.dbo.usps_rate_master VALUES ('USPS', '2/13/2025', '2/13/2026', 12659, 'US', 'Priority Mail Express', 1, 18, 'L', 47.69, 'Wedgewood_USPS_2025', 'NonCubic','1');</v>
      </c>
    </row>
    <row r="21" spans="1:14" x14ac:dyDescent="0.3">
      <c r="A21" t="s">
        <v>11</v>
      </c>
      <c r="B21" s="1" t="s">
        <v>43</v>
      </c>
      <c r="C21" s="1" t="s">
        <v>44</v>
      </c>
      <c r="D21">
        <v>12659</v>
      </c>
      <c r="E21" t="s">
        <v>12</v>
      </c>
      <c r="F21" t="s">
        <v>42</v>
      </c>
      <c r="G21">
        <v>1</v>
      </c>
      <c r="H21">
        <v>19</v>
      </c>
      <c r="I21" t="s">
        <v>45</v>
      </c>
      <c r="J21" cm="1">
        <f t="array" ref="J21">IFERROR(
    _xlfn.XLOOKUP(G21, 'Wedgewood Pharm-PME-Yr2-2025'!$E$4:$L$4,
        _xlfn.XLOOKUP('Rate Load'!H21, 'Wedgewood Pharm-PME-Yr2-2025'!$D$5:$D$28,
            'Wedgewood Pharm-PME-Yr2-2025'!$E$5:$L$28, 0, 0),
        0, 0),
    _xlfn.XLOOKUP(G21, 'Wedgewood Pharm-PME-Yr2-2025'!$E$4:$L$4,
        _xlfn.XLOOKUP('Rate Load'!L21, 'Wedgewood Pharm-PME-Yr2-2025'!$D$5:$D$28,
            'Wedgewood Pharm-PME-Yr2-2025'!$E$5:$L$28, 0, 0),
        0, 0)
)</f>
        <v>49.73</v>
      </c>
      <c r="K21" t="s">
        <v>46</v>
      </c>
      <c r="L21" t="s">
        <v>13</v>
      </c>
      <c r="M21">
        <v>1</v>
      </c>
      <c r="N21" t="str">
        <f t="shared" si="0"/>
        <v>INSERT INTO TNL_RATING.dbo.usps_rate_master VALUES ('USPS', '2/13/2025', '2/13/2026', 12659, 'US', 'Priority Mail Express', 1, 19, 'L', 49.73, 'Wedgewood_USPS_2025', 'NonCubic','1');</v>
      </c>
    </row>
    <row r="22" spans="1:14" x14ac:dyDescent="0.3">
      <c r="A22" t="s">
        <v>11</v>
      </c>
      <c r="B22" s="1" t="s">
        <v>43</v>
      </c>
      <c r="C22" s="1" t="s">
        <v>44</v>
      </c>
      <c r="D22">
        <v>12659</v>
      </c>
      <c r="E22" t="s">
        <v>12</v>
      </c>
      <c r="F22" t="s">
        <v>42</v>
      </c>
      <c r="G22">
        <v>1</v>
      </c>
      <c r="H22">
        <v>20</v>
      </c>
      <c r="I22" t="s">
        <v>45</v>
      </c>
      <c r="J22" cm="1">
        <f t="array" ref="J22">IFERROR(
    _xlfn.XLOOKUP(G22, 'Wedgewood Pharm-PME-Yr2-2025'!$E$4:$L$4,
        _xlfn.XLOOKUP('Rate Load'!H22, 'Wedgewood Pharm-PME-Yr2-2025'!$D$5:$D$28,
            'Wedgewood Pharm-PME-Yr2-2025'!$E$5:$L$28, 0, 0),
        0, 0),
    _xlfn.XLOOKUP(G22, 'Wedgewood Pharm-PME-Yr2-2025'!$E$4:$L$4,
        _xlfn.XLOOKUP('Rate Load'!L22, 'Wedgewood Pharm-PME-Yr2-2025'!$D$5:$D$28,
            'Wedgewood Pharm-PME-Yr2-2025'!$E$5:$L$28, 0, 0),
        0, 0)
)</f>
        <v>51.78</v>
      </c>
      <c r="K22" t="s">
        <v>46</v>
      </c>
      <c r="L22" t="s">
        <v>13</v>
      </c>
      <c r="M22">
        <v>1</v>
      </c>
      <c r="N22" t="str">
        <f t="shared" si="0"/>
        <v>INSERT INTO TNL_RATING.dbo.usps_rate_master VALUES ('USPS', '2/13/2025', '2/13/2026', 12659, 'US', 'Priority Mail Express', 1, 20, 'L', 51.78, 'Wedgewood_USPS_2025', 'NonCubic','1');</v>
      </c>
    </row>
    <row r="23" spans="1:14" x14ac:dyDescent="0.3">
      <c r="A23" t="s">
        <v>11</v>
      </c>
      <c r="B23" s="1" t="s">
        <v>43</v>
      </c>
      <c r="C23" s="1" t="s">
        <v>44</v>
      </c>
      <c r="D23">
        <v>12659</v>
      </c>
      <c r="E23" t="s">
        <v>12</v>
      </c>
      <c r="F23" t="s">
        <v>42</v>
      </c>
      <c r="G23">
        <v>2</v>
      </c>
      <c r="H23">
        <v>0.5</v>
      </c>
      <c r="I23" t="s">
        <v>45</v>
      </c>
      <c r="J23" cm="1">
        <f t="array" ref="J23">IFERROR(
    _xlfn.XLOOKUP(G23, 'Wedgewood Pharm-PME-Yr2-2025'!$E$4:$L$4,
        _xlfn.XLOOKUP('Rate Load'!H23, 'Wedgewood Pharm-PME-Yr2-2025'!$D$5:$D$28,
            'Wedgewood Pharm-PME-Yr2-2025'!$E$5:$L$28, 0, 0),
        0, 0),
    _xlfn.XLOOKUP(G23, 'Wedgewood Pharm-PME-Yr2-2025'!$E$4:$L$4,
        _xlfn.XLOOKUP('Rate Load'!L23, 'Wedgewood Pharm-PME-Yr2-2025'!$D$5:$D$28,
            'Wedgewood Pharm-PME-Yr2-2025'!$E$5:$L$28, 0, 0),
        0, 0)
)</f>
        <v>13.79</v>
      </c>
      <c r="K23" t="s">
        <v>46</v>
      </c>
      <c r="L23" t="s">
        <v>13</v>
      </c>
      <c r="M23">
        <v>1</v>
      </c>
      <c r="N23" t="str">
        <f t="shared" si="0"/>
        <v>INSERT INTO TNL_RATING.dbo.usps_rate_master VALUES ('USPS', '2/13/2025', '2/13/2026', 12659, 'US', 'Priority Mail Express', 2, 0.5, 'L', 13.79, 'Wedgewood_USPS_2025', 'NonCubic','1');</v>
      </c>
    </row>
    <row r="24" spans="1:14" x14ac:dyDescent="0.3">
      <c r="A24" t="s">
        <v>11</v>
      </c>
      <c r="B24" s="1" t="s">
        <v>43</v>
      </c>
      <c r="C24" s="1" t="s">
        <v>44</v>
      </c>
      <c r="D24">
        <v>12659</v>
      </c>
      <c r="E24" t="s">
        <v>12</v>
      </c>
      <c r="F24" t="s">
        <v>42</v>
      </c>
      <c r="G24">
        <v>2</v>
      </c>
      <c r="H24">
        <v>1</v>
      </c>
      <c r="I24" t="s">
        <v>45</v>
      </c>
      <c r="J24" cm="1">
        <f t="array" ref="J24">IFERROR(
    _xlfn.XLOOKUP(G24, 'Wedgewood Pharm-PME-Yr2-2025'!$E$4:$L$4,
        _xlfn.XLOOKUP('Rate Load'!H24, 'Wedgewood Pharm-PME-Yr2-2025'!$D$5:$D$28,
            'Wedgewood Pharm-PME-Yr2-2025'!$E$5:$L$28, 0, 0),
        0, 0),
    _xlfn.XLOOKUP(G24, 'Wedgewood Pharm-PME-Yr2-2025'!$E$4:$L$4,
        _xlfn.XLOOKUP('Rate Load'!L24, 'Wedgewood Pharm-PME-Yr2-2025'!$D$5:$D$28,
            'Wedgewood Pharm-PME-Yr2-2025'!$E$5:$L$28, 0, 0),
        0, 0)
)</f>
        <v>14.35</v>
      </c>
      <c r="K24" t="s">
        <v>46</v>
      </c>
      <c r="L24" t="s">
        <v>13</v>
      </c>
      <c r="M24">
        <v>1</v>
      </c>
      <c r="N24" t="str">
        <f t="shared" si="0"/>
        <v>INSERT INTO TNL_RATING.dbo.usps_rate_master VALUES ('USPS', '2/13/2025', '2/13/2026', 12659, 'US', 'Priority Mail Express', 2, 1, 'L', 14.35, 'Wedgewood_USPS_2025', 'NonCubic','1');</v>
      </c>
    </row>
    <row r="25" spans="1:14" x14ac:dyDescent="0.3">
      <c r="A25" t="s">
        <v>11</v>
      </c>
      <c r="B25" s="1" t="s">
        <v>43</v>
      </c>
      <c r="C25" s="1" t="s">
        <v>44</v>
      </c>
      <c r="D25">
        <v>12659</v>
      </c>
      <c r="E25" t="s">
        <v>12</v>
      </c>
      <c r="F25" t="s">
        <v>42</v>
      </c>
      <c r="G25">
        <v>2</v>
      </c>
      <c r="H25">
        <v>2</v>
      </c>
      <c r="I25" t="s">
        <v>45</v>
      </c>
      <c r="J25" cm="1">
        <f t="array" ref="J25">IFERROR(
    _xlfn.XLOOKUP(G25, 'Wedgewood Pharm-PME-Yr2-2025'!$E$4:$L$4,
        _xlfn.XLOOKUP('Rate Load'!H25, 'Wedgewood Pharm-PME-Yr2-2025'!$D$5:$D$28,
            'Wedgewood Pharm-PME-Yr2-2025'!$E$5:$L$28, 0, 0),
        0, 0),
    _xlfn.XLOOKUP(G25, 'Wedgewood Pharm-PME-Yr2-2025'!$E$4:$L$4,
        _xlfn.XLOOKUP('Rate Load'!L25, 'Wedgewood Pharm-PME-Yr2-2025'!$D$5:$D$28,
            'Wedgewood Pharm-PME-Yr2-2025'!$E$5:$L$28, 0, 0),
        0, 0)
)</f>
        <v>15.72</v>
      </c>
      <c r="K25" t="s">
        <v>46</v>
      </c>
      <c r="L25" t="s">
        <v>13</v>
      </c>
      <c r="M25">
        <v>1</v>
      </c>
      <c r="N25" t="str">
        <f t="shared" si="0"/>
        <v>INSERT INTO TNL_RATING.dbo.usps_rate_master VALUES ('USPS', '2/13/2025', '2/13/2026', 12659, 'US', 'Priority Mail Express', 2, 2, 'L', 15.72, 'Wedgewood_USPS_2025', 'NonCubic','1');</v>
      </c>
    </row>
    <row r="26" spans="1:14" x14ac:dyDescent="0.3">
      <c r="A26" t="s">
        <v>11</v>
      </c>
      <c r="B26" s="1" t="s">
        <v>43</v>
      </c>
      <c r="C26" s="1" t="s">
        <v>44</v>
      </c>
      <c r="D26">
        <v>12659</v>
      </c>
      <c r="E26" t="s">
        <v>12</v>
      </c>
      <c r="F26" t="s">
        <v>42</v>
      </c>
      <c r="G26">
        <v>2</v>
      </c>
      <c r="H26">
        <v>3</v>
      </c>
      <c r="I26" t="s">
        <v>45</v>
      </c>
      <c r="J26" cm="1">
        <f t="array" ref="J26">IFERROR(
    _xlfn.XLOOKUP(G26, 'Wedgewood Pharm-PME-Yr2-2025'!$E$4:$L$4,
        _xlfn.XLOOKUP('Rate Load'!H26, 'Wedgewood Pharm-PME-Yr2-2025'!$D$5:$D$28,
            'Wedgewood Pharm-PME-Yr2-2025'!$E$5:$L$28, 0, 0),
        0, 0),
    _xlfn.XLOOKUP(G26, 'Wedgewood Pharm-PME-Yr2-2025'!$E$4:$L$4,
        _xlfn.XLOOKUP('Rate Load'!L26, 'Wedgewood Pharm-PME-Yr2-2025'!$D$5:$D$28,
            'Wedgewood Pharm-PME-Yr2-2025'!$E$5:$L$28, 0, 0),
        0, 0)
)</f>
        <v>17.510000000000002</v>
      </c>
      <c r="K26" t="s">
        <v>46</v>
      </c>
      <c r="L26" t="s">
        <v>13</v>
      </c>
      <c r="M26">
        <v>1</v>
      </c>
      <c r="N26" t="str">
        <f t="shared" si="0"/>
        <v>INSERT INTO TNL_RATING.dbo.usps_rate_master VALUES ('USPS', '2/13/2025', '2/13/2026', 12659, 'US', 'Priority Mail Express', 2, 3, 'L', 17.51, 'Wedgewood_USPS_2025', 'NonCubic','1');</v>
      </c>
    </row>
    <row r="27" spans="1:14" x14ac:dyDescent="0.3">
      <c r="A27" t="s">
        <v>11</v>
      </c>
      <c r="B27" s="1" t="s">
        <v>43</v>
      </c>
      <c r="C27" s="1" t="s">
        <v>44</v>
      </c>
      <c r="D27">
        <v>12659</v>
      </c>
      <c r="E27" t="s">
        <v>12</v>
      </c>
      <c r="F27" t="s">
        <v>42</v>
      </c>
      <c r="G27">
        <v>2</v>
      </c>
      <c r="H27">
        <v>4</v>
      </c>
      <c r="I27" t="s">
        <v>45</v>
      </c>
      <c r="J27" cm="1">
        <f t="array" ref="J27">IFERROR(
    _xlfn.XLOOKUP(G27, 'Wedgewood Pharm-PME-Yr2-2025'!$E$4:$L$4,
        _xlfn.XLOOKUP('Rate Load'!H27, 'Wedgewood Pharm-PME-Yr2-2025'!$D$5:$D$28,
            'Wedgewood Pharm-PME-Yr2-2025'!$E$5:$L$28, 0, 0),
        0, 0),
    _xlfn.XLOOKUP(G27, 'Wedgewood Pharm-PME-Yr2-2025'!$E$4:$L$4,
        _xlfn.XLOOKUP('Rate Load'!L27, 'Wedgewood Pharm-PME-Yr2-2025'!$D$5:$D$28,
            'Wedgewood Pharm-PME-Yr2-2025'!$E$5:$L$28, 0, 0),
        0, 0)
)</f>
        <v>19.290000000000003</v>
      </c>
      <c r="K27" t="s">
        <v>46</v>
      </c>
      <c r="L27" t="s">
        <v>13</v>
      </c>
      <c r="M27">
        <v>1</v>
      </c>
      <c r="N27" t="str">
        <f t="shared" si="0"/>
        <v>INSERT INTO TNL_RATING.dbo.usps_rate_master VALUES ('USPS', '2/13/2025', '2/13/2026', 12659, 'US', 'Priority Mail Express', 2, 4, 'L', 19.29, 'Wedgewood_USPS_2025', 'NonCubic','1');</v>
      </c>
    </row>
    <row r="28" spans="1:14" x14ac:dyDescent="0.3">
      <c r="A28" t="s">
        <v>11</v>
      </c>
      <c r="B28" s="1" t="s">
        <v>43</v>
      </c>
      <c r="C28" s="1" t="s">
        <v>44</v>
      </c>
      <c r="D28">
        <v>12659</v>
      </c>
      <c r="E28" t="s">
        <v>12</v>
      </c>
      <c r="F28" t="s">
        <v>42</v>
      </c>
      <c r="G28">
        <v>2</v>
      </c>
      <c r="H28">
        <v>5</v>
      </c>
      <c r="I28" t="s">
        <v>45</v>
      </c>
      <c r="J28" cm="1">
        <f t="array" ref="J28">IFERROR(
    _xlfn.XLOOKUP(G28, 'Wedgewood Pharm-PME-Yr2-2025'!$E$4:$L$4,
        _xlfn.XLOOKUP('Rate Load'!H28, 'Wedgewood Pharm-PME-Yr2-2025'!$D$5:$D$28,
            'Wedgewood Pharm-PME-Yr2-2025'!$E$5:$L$28, 0, 0),
        0, 0),
    _xlfn.XLOOKUP(G28, 'Wedgewood Pharm-PME-Yr2-2025'!$E$4:$L$4,
        _xlfn.XLOOKUP('Rate Load'!L28, 'Wedgewood Pharm-PME-Yr2-2025'!$D$5:$D$28,
            'Wedgewood Pharm-PME-Yr2-2025'!$E$5:$L$28, 0, 0),
        0, 0)
)</f>
        <v>21.07</v>
      </c>
      <c r="K28" t="s">
        <v>46</v>
      </c>
      <c r="L28" t="s">
        <v>13</v>
      </c>
      <c r="M28">
        <v>1</v>
      </c>
      <c r="N28" t="str">
        <f t="shared" si="0"/>
        <v>INSERT INTO TNL_RATING.dbo.usps_rate_master VALUES ('USPS', '2/13/2025', '2/13/2026', 12659, 'US', 'Priority Mail Express', 2, 5, 'L', 21.07, 'Wedgewood_USPS_2025', 'NonCubic','1');</v>
      </c>
    </row>
    <row r="29" spans="1:14" x14ac:dyDescent="0.3">
      <c r="A29" t="s">
        <v>11</v>
      </c>
      <c r="B29" s="1" t="s">
        <v>43</v>
      </c>
      <c r="C29" s="1" t="s">
        <v>44</v>
      </c>
      <c r="D29">
        <v>12659</v>
      </c>
      <c r="E29" t="s">
        <v>12</v>
      </c>
      <c r="F29" t="s">
        <v>42</v>
      </c>
      <c r="G29">
        <v>2</v>
      </c>
      <c r="H29">
        <v>6</v>
      </c>
      <c r="I29" t="s">
        <v>45</v>
      </c>
      <c r="J29" cm="1">
        <f t="array" ref="J29">IFERROR(
    _xlfn.XLOOKUP(G29, 'Wedgewood Pharm-PME-Yr2-2025'!$E$4:$L$4,
        _xlfn.XLOOKUP('Rate Load'!H29, 'Wedgewood Pharm-PME-Yr2-2025'!$D$5:$D$28,
            'Wedgewood Pharm-PME-Yr2-2025'!$E$5:$L$28, 0, 0),
        0, 0),
    _xlfn.XLOOKUP(G29, 'Wedgewood Pharm-PME-Yr2-2025'!$E$4:$L$4,
        _xlfn.XLOOKUP('Rate Load'!L29, 'Wedgewood Pharm-PME-Yr2-2025'!$D$5:$D$28,
            'Wedgewood Pharm-PME-Yr2-2025'!$E$5:$L$28, 0, 0),
        0, 0)
)</f>
        <v>23.26</v>
      </c>
      <c r="K29" t="s">
        <v>46</v>
      </c>
      <c r="L29" t="s">
        <v>13</v>
      </c>
      <c r="M29">
        <v>1</v>
      </c>
      <c r="N29" t="str">
        <f t="shared" si="0"/>
        <v>INSERT INTO TNL_RATING.dbo.usps_rate_master VALUES ('USPS', '2/13/2025', '2/13/2026', 12659, 'US', 'Priority Mail Express', 2, 6, 'L', 23.26, 'Wedgewood_USPS_2025', 'NonCubic','1');</v>
      </c>
    </row>
    <row r="30" spans="1:14" x14ac:dyDescent="0.3">
      <c r="A30" t="s">
        <v>11</v>
      </c>
      <c r="B30" s="1" t="s">
        <v>43</v>
      </c>
      <c r="C30" s="1" t="s">
        <v>44</v>
      </c>
      <c r="D30">
        <v>12659</v>
      </c>
      <c r="E30" t="s">
        <v>12</v>
      </c>
      <c r="F30" t="s">
        <v>42</v>
      </c>
      <c r="G30">
        <v>2</v>
      </c>
      <c r="H30">
        <v>7</v>
      </c>
      <c r="I30" t="s">
        <v>45</v>
      </c>
      <c r="J30" cm="1">
        <f t="array" ref="J30">IFERROR(
    _xlfn.XLOOKUP(G30, 'Wedgewood Pharm-PME-Yr2-2025'!$E$4:$L$4,
        _xlfn.XLOOKUP('Rate Load'!H30, 'Wedgewood Pharm-PME-Yr2-2025'!$D$5:$D$28,
            'Wedgewood Pharm-PME-Yr2-2025'!$E$5:$L$28, 0, 0),
        0, 0),
    _xlfn.XLOOKUP(G30, 'Wedgewood Pharm-PME-Yr2-2025'!$E$4:$L$4,
        _xlfn.XLOOKUP('Rate Load'!L30, 'Wedgewood Pharm-PME-Yr2-2025'!$D$5:$D$28,
            'Wedgewood Pharm-PME-Yr2-2025'!$E$5:$L$28, 0, 0),
        0, 0)
)</f>
        <v>25.450000000000003</v>
      </c>
      <c r="K30" t="s">
        <v>46</v>
      </c>
      <c r="L30" t="s">
        <v>13</v>
      </c>
      <c r="M30">
        <v>1</v>
      </c>
      <c r="N30" t="str">
        <f t="shared" si="0"/>
        <v>INSERT INTO TNL_RATING.dbo.usps_rate_master VALUES ('USPS', '2/13/2025', '2/13/2026', 12659, 'US', 'Priority Mail Express', 2, 7, 'L', 25.45, 'Wedgewood_USPS_2025', 'NonCubic','1');</v>
      </c>
    </row>
    <row r="31" spans="1:14" x14ac:dyDescent="0.3">
      <c r="A31" t="s">
        <v>11</v>
      </c>
      <c r="B31" s="1" t="s">
        <v>43</v>
      </c>
      <c r="C31" s="1" t="s">
        <v>44</v>
      </c>
      <c r="D31">
        <v>12659</v>
      </c>
      <c r="E31" t="s">
        <v>12</v>
      </c>
      <c r="F31" t="s">
        <v>42</v>
      </c>
      <c r="G31">
        <v>2</v>
      </c>
      <c r="H31">
        <v>8</v>
      </c>
      <c r="I31" t="s">
        <v>45</v>
      </c>
      <c r="J31" cm="1">
        <f t="array" ref="J31">IFERROR(
    _xlfn.XLOOKUP(G31, 'Wedgewood Pharm-PME-Yr2-2025'!$E$4:$L$4,
        _xlfn.XLOOKUP('Rate Load'!H31, 'Wedgewood Pharm-PME-Yr2-2025'!$D$5:$D$28,
            'Wedgewood Pharm-PME-Yr2-2025'!$E$5:$L$28, 0, 0),
        0, 0),
    _xlfn.XLOOKUP(G31, 'Wedgewood Pharm-PME-Yr2-2025'!$E$4:$L$4,
        _xlfn.XLOOKUP('Rate Load'!L31, 'Wedgewood Pharm-PME-Yr2-2025'!$D$5:$D$28,
            'Wedgewood Pharm-PME-Yr2-2025'!$E$5:$L$28, 0, 0),
        0, 0)
)</f>
        <v>27.630000000000003</v>
      </c>
      <c r="K31" t="s">
        <v>46</v>
      </c>
      <c r="L31" t="s">
        <v>13</v>
      </c>
      <c r="M31">
        <v>1</v>
      </c>
      <c r="N31" t="str">
        <f t="shared" si="0"/>
        <v>INSERT INTO TNL_RATING.dbo.usps_rate_master VALUES ('USPS', '2/13/2025', '2/13/2026', 12659, 'US', 'Priority Mail Express', 2, 8, 'L', 27.63, 'Wedgewood_USPS_2025', 'NonCubic','1');</v>
      </c>
    </row>
    <row r="32" spans="1:14" x14ac:dyDescent="0.3">
      <c r="A32" t="s">
        <v>11</v>
      </c>
      <c r="B32" s="1" t="s">
        <v>43</v>
      </c>
      <c r="C32" s="1" t="s">
        <v>44</v>
      </c>
      <c r="D32">
        <v>12659</v>
      </c>
      <c r="E32" t="s">
        <v>12</v>
      </c>
      <c r="F32" t="s">
        <v>42</v>
      </c>
      <c r="G32">
        <v>2</v>
      </c>
      <c r="H32">
        <v>9</v>
      </c>
      <c r="I32" t="s">
        <v>45</v>
      </c>
      <c r="J32" cm="1">
        <f t="array" ref="J32">IFERROR(
    _xlfn.XLOOKUP(G32, 'Wedgewood Pharm-PME-Yr2-2025'!$E$4:$L$4,
        _xlfn.XLOOKUP('Rate Load'!H32, 'Wedgewood Pharm-PME-Yr2-2025'!$D$5:$D$28,
            'Wedgewood Pharm-PME-Yr2-2025'!$E$5:$L$28, 0, 0),
        0, 0),
    _xlfn.XLOOKUP(G32, 'Wedgewood Pharm-PME-Yr2-2025'!$E$4:$L$4,
        _xlfn.XLOOKUP('Rate Load'!L32, 'Wedgewood Pharm-PME-Yr2-2025'!$D$5:$D$28,
            'Wedgewood Pharm-PME-Yr2-2025'!$E$5:$L$28, 0, 0),
        0, 0)
)</f>
        <v>29.84</v>
      </c>
      <c r="K32" t="s">
        <v>46</v>
      </c>
      <c r="L32" t="s">
        <v>13</v>
      </c>
      <c r="M32">
        <v>1</v>
      </c>
      <c r="N32" t="str">
        <f t="shared" si="0"/>
        <v>INSERT INTO TNL_RATING.dbo.usps_rate_master VALUES ('USPS', '2/13/2025', '2/13/2026', 12659, 'US', 'Priority Mail Express', 2, 9, 'L', 29.84, 'Wedgewood_USPS_2025', 'NonCubic','1');</v>
      </c>
    </row>
    <row r="33" spans="1:14" x14ac:dyDescent="0.3">
      <c r="A33" t="s">
        <v>11</v>
      </c>
      <c r="B33" s="1" t="s">
        <v>43</v>
      </c>
      <c r="C33" s="1" t="s">
        <v>44</v>
      </c>
      <c r="D33">
        <v>12659</v>
      </c>
      <c r="E33" t="s">
        <v>12</v>
      </c>
      <c r="F33" t="s">
        <v>42</v>
      </c>
      <c r="G33">
        <v>2</v>
      </c>
      <c r="H33">
        <v>10</v>
      </c>
      <c r="I33" t="s">
        <v>45</v>
      </c>
      <c r="J33" cm="1">
        <f t="array" ref="J33">IFERROR(
    _xlfn.XLOOKUP(G33, 'Wedgewood Pharm-PME-Yr2-2025'!$E$4:$L$4,
        _xlfn.XLOOKUP('Rate Load'!H33, 'Wedgewood Pharm-PME-Yr2-2025'!$D$5:$D$28,
            'Wedgewood Pharm-PME-Yr2-2025'!$E$5:$L$28, 0, 0),
        0, 0),
    _xlfn.XLOOKUP(G33, 'Wedgewood Pharm-PME-Yr2-2025'!$E$4:$L$4,
        _xlfn.XLOOKUP('Rate Load'!L33, 'Wedgewood Pharm-PME-Yr2-2025'!$D$5:$D$28,
            'Wedgewood Pharm-PME-Yr2-2025'!$E$5:$L$28, 0, 0),
        0, 0)
)</f>
        <v>32.03</v>
      </c>
      <c r="K33" t="s">
        <v>46</v>
      </c>
      <c r="L33" t="s">
        <v>13</v>
      </c>
      <c r="M33">
        <v>1</v>
      </c>
      <c r="N33" t="str">
        <f t="shared" si="0"/>
        <v>INSERT INTO TNL_RATING.dbo.usps_rate_master VALUES ('USPS', '2/13/2025', '2/13/2026', 12659, 'US', 'Priority Mail Express', 2, 10, 'L', 32.03, 'Wedgewood_USPS_2025', 'NonCubic','1');</v>
      </c>
    </row>
    <row r="34" spans="1:14" x14ac:dyDescent="0.3">
      <c r="A34" t="s">
        <v>11</v>
      </c>
      <c r="B34" s="1" t="s">
        <v>43</v>
      </c>
      <c r="C34" s="1" t="s">
        <v>44</v>
      </c>
      <c r="D34">
        <v>12659</v>
      </c>
      <c r="E34" t="s">
        <v>12</v>
      </c>
      <c r="F34" t="s">
        <v>42</v>
      </c>
      <c r="G34">
        <v>2</v>
      </c>
      <c r="H34">
        <v>11</v>
      </c>
      <c r="I34" t="s">
        <v>45</v>
      </c>
      <c r="J34" cm="1">
        <f t="array" ref="J34">IFERROR(
    _xlfn.XLOOKUP(G34, 'Wedgewood Pharm-PME-Yr2-2025'!$E$4:$L$4,
        _xlfn.XLOOKUP('Rate Load'!H34, 'Wedgewood Pharm-PME-Yr2-2025'!$D$5:$D$28,
            'Wedgewood Pharm-PME-Yr2-2025'!$E$5:$L$28, 0, 0),
        0, 0),
    _xlfn.XLOOKUP(G34, 'Wedgewood Pharm-PME-Yr2-2025'!$E$4:$L$4,
        _xlfn.XLOOKUP('Rate Load'!L34, 'Wedgewood Pharm-PME-Yr2-2025'!$D$5:$D$28,
            'Wedgewood Pharm-PME-Yr2-2025'!$E$5:$L$28, 0, 0),
        0, 0)
)</f>
        <v>34.169999999999995</v>
      </c>
      <c r="K34" t="s">
        <v>46</v>
      </c>
      <c r="L34" t="s">
        <v>13</v>
      </c>
      <c r="M34">
        <v>1</v>
      </c>
      <c r="N34" t="str">
        <f t="shared" si="0"/>
        <v>INSERT INTO TNL_RATING.dbo.usps_rate_master VALUES ('USPS', '2/13/2025', '2/13/2026', 12659, 'US', 'Priority Mail Express', 2, 11, 'L', 34.17, 'Wedgewood_USPS_2025', 'NonCubic','1');</v>
      </c>
    </row>
    <row r="35" spans="1:14" x14ac:dyDescent="0.3">
      <c r="A35" t="s">
        <v>11</v>
      </c>
      <c r="B35" s="1" t="s">
        <v>43</v>
      </c>
      <c r="C35" s="1" t="s">
        <v>44</v>
      </c>
      <c r="D35">
        <v>12659</v>
      </c>
      <c r="E35" t="s">
        <v>12</v>
      </c>
      <c r="F35" t="s">
        <v>42</v>
      </c>
      <c r="G35">
        <v>2</v>
      </c>
      <c r="H35">
        <v>12</v>
      </c>
      <c r="I35" t="s">
        <v>45</v>
      </c>
      <c r="J35" cm="1">
        <f t="array" ref="J35">IFERROR(
    _xlfn.XLOOKUP(G35, 'Wedgewood Pharm-PME-Yr2-2025'!$E$4:$L$4,
        _xlfn.XLOOKUP('Rate Load'!H35, 'Wedgewood Pharm-PME-Yr2-2025'!$D$5:$D$28,
            'Wedgewood Pharm-PME-Yr2-2025'!$E$5:$L$28, 0, 0),
        0, 0),
    _xlfn.XLOOKUP(G35, 'Wedgewood Pharm-PME-Yr2-2025'!$E$4:$L$4,
        _xlfn.XLOOKUP('Rate Load'!L35, 'Wedgewood Pharm-PME-Yr2-2025'!$D$5:$D$28,
            'Wedgewood Pharm-PME-Yr2-2025'!$E$5:$L$28, 0, 0),
        0, 0)
)</f>
        <v>36.35</v>
      </c>
      <c r="K35" t="s">
        <v>46</v>
      </c>
      <c r="L35" t="s">
        <v>13</v>
      </c>
      <c r="M35">
        <v>1</v>
      </c>
      <c r="N35" t="str">
        <f t="shared" si="0"/>
        <v>INSERT INTO TNL_RATING.dbo.usps_rate_master VALUES ('USPS', '2/13/2025', '2/13/2026', 12659, 'US', 'Priority Mail Express', 2, 12, 'L', 36.35, 'Wedgewood_USPS_2025', 'NonCubic','1');</v>
      </c>
    </row>
    <row r="36" spans="1:14" x14ac:dyDescent="0.3">
      <c r="A36" t="s">
        <v>11</v>
      </c>
      <c r="B36" s="1" t="s">
        <v>43</v>
      </c>
      <c r="C36" s="1" t="s">
        <v>44</v>
      </c>
      <c r="D36">
        <v>12659</v>
      </c>
      <c r="E36" t="s">
        <v>12</v>
      </c>
      <c r="F36" t="s">
        <v>42</v>
      </c>
      <c r="G36">
        <v>2</v>
      </c>
      <c r="H36">
        <v>13</v>
      </c>
      <c r="I36" t="s">
        <v>45</v>
      </c>
      <c r="J36" cm="1">
        <f t="array" ref="J36">IFERROR(
    _xlfn.XLOOKUP(G36, 'Wedgewood Pharm-PME-Yr2-2025'!$E$4:$L$4,
        _xlfn.XLOOKUP('Rate Load'!H36, 'Wedgewood Pharm-PME-Yr2-2025'!$D$5:$D$28,
            'Wedgewood Pharm-PME-Yr2-2025'!$E$5:$L$28, 0, 0),
        0, 0),
    _xlfn.XLOOKUP(G36, 'Wedgewood Pharm-PME-Yr2-2025'!$E$4:$L$4,
        _xlfn.XLOOKUP('Rate Load'!L36, 'Wedgewood Pharm-PME-Yr2-2025'!$D$5:$D$28,
            'Wedgewood Pharm-PME-Yr2-2025'!$E$5:$L$28, 0, 0),
        0, 0)
)</f>
        <v>38.51</v>
      </c>
      <c r="K36" t="s">
        <v>46</v>
      </c>
      <c r="L36" t="s">
        <v>13</v>
      </c>
      <c r="M36">
        <v>1</v>
      </c>
      <c r="N36" t="str">
        <f t="shared" si="0"/>
        <v>INSERT INTO TNL_RATING.dbo.usps_rate_master VALUES ('USPS', '2/13/2025', '2/13/2026', 12659, 'US', 'Priority Mail Express', 2, 13, 'L', 38.51, 'Wedgewood_USPS_2025', 'NonCubic','1');</v>
      </c>
    </row>
    <row r="37" spans="1:14" x14ac:dyDescent="0.3">
      <c r="A37" t="s">
        <v>11</v>
      </c>
      <c r="B37" s="1" t="s">
        <v>43</v>
      </c>
      <c r="C37" s="1" t="s">
        <v>44</v>
      </c>
      <c r="D37">
        <v>12659</v>
      </c>
      <c r="E37" t="s">
        <v>12</v>
      </c>
      <c r="F37" t="s">
        <v>42</v>
      </c>
      <c r="G37">
        <v>2</v>
      </c>
      <c r="H37">
        <v>14</v>
      </c>
      <c r="I37" t="s">
        <v>45</v>
      </c>
      <c r="J37" cm="1">
        <f t="array" ref="J37">IFERROR(
    _xlfn.XLOOKUP(G37, 'Wedgewood Pharm-PME-Yr2-2025'!$E$4:$L$4,
        _xlfn.XLOOKUP('Rate Load'!H37, 'Wedgewood Pharm-PME-Yr2-2025'!$D$5:$D$28,
            'Wedgewood Pharm-PME-Yr2-2025'!$E$5:$L$28, 0, 0),
        0, 0),
    _xlfn.XLOOKUP(G37, 'Wedgewood Pharm-PME-Yr2-2025'!$E$4:$L$4,
        _xlfn.XLOOKUP('Rate Load'!L37, 'Wedgewood Pharm-PME-Yr2-2025'!$D$5:$D$28,
            'Wedgewood Pharm-PME-Yr2-2025'!$E$5:$L$28, 0, 0),
        0, 0)
)</f>
        <v>40.659999999999997</v>
      </c>
      <c r="K37" t="s">
        <v>46</v>
      </c>
      <c r="L37" t="s">
        <v>13</v>
      </c>
      <c r="M37">
        <v>1</v>
      </c>
      <c r="N37" t="str">
        <f t="shared" si="0"/>
        <v>INSERT INTO TNL_RATING.dbo.usps_rate_master VALUES ('USPS', '2/13/2025', '2/13/2026', 12659, 'US', 'Priority Mail Express', 2, 14, 'L', 40.66, 'Wedgewood_USPS_2025', 'NonCubic','1');</v>
      </c>
    </row>
    <row r="38" spans="1:14" x14ac:dyDescent="0.3">
      <c r="A38" t="s">
        <v>11</v>
      </c>
      <c r="B38" s="1" t="s">
        <v>43</v>
      </c>
      <c r="C38" s="1" t="s">
        <v>44</v>
      </c>
      <c r="D38">
        <v>12659</v>
      </c>
      <c r="E38" t="s">
        <v>12</v>
      </c>
      <c r="F38" t="s">
        <v>42</v>
      </c>
      <c r="G38">
        <v>2</v>
      </c>
      <c r="H38">
        <v>15</v>
      </c>
      <c r="I38" t="s">
        <v>45</v>
      </c>
      <c r="J38" cm="1">
        <f t="array" ref="J38">IFERROR(
    _xlfn.XLOOKUP(G38, 'Wedgewood Pharm-PME-Yr2-2025'!$E$4:$L$4,
        _xlfn.XLOOKUP('Rate Load'!H38, 'Wedgewood Pharm-PME-Yr2-2025'!$D$5:$D$28,
            'Wedgewood Pharm-PME-Yr2-2025'!$E$5:$L$28, 0, 0),
        0, 0),
    _xlfn.XLOOKUP(G38, 'Wedgewood Pharm-PME-Yr2-2025'!$E$4:$L$4,
        _xlfn.XLOOKUP('Rate Load'!L38, 'Wedgewood Pharm-PME-Yr2-2025'!$D$5:$D$28,
            'Wedgewood Pharm-PME-Yr2-2025'!$E$5:$L$28, 0, 0),
        0, 0)
)</f>
        <v>42.82</v>
      </c>
      <c r="K38" t="s">
        <v>46</v>
      </c>
      <c r="L38" t="s">
        <v>13</v>
      </c>
      <c r="M38">
        <v>1</v>
      </c>
      <c r="N38" t="str">
        <f t="shared" si="0"/>
        <v>INSERT INTO TNL_RATING.dbo.usps_rate_master VALUES ('USPS', '2/13/2025', '2/13/2026', 12659, 'US', 'Priority Mail Express', 2, 15, 'L', 42.82, 'Wedgewood_USPS_2025', 'NonCubic','1');</v>
      </c>
    </row>
    <row r="39" spans="1:14" x14ac:dyDescent="0.3">
      <c r="A39" t="s">
        <v>11</v>
      </c>
      <c r="B39" s="1" t="s">
        <v>43</v>
      </c>
      <c r="C39" s="1" t="s">
        <v>44</v>
      </c>
      <c r="D39">
        <v>12659</v>
      </c>
      <c r="E39" t="s">
        <v>12</v>
      </c>
      <c r="F39" t="s">
        <v>42</v>
      </c>
      <c r="G39">
        <v>2</v>
      </c>
      <c r="H39">
        <v>16</v>
      </c>
      <c r="I39" t="s">
        <v>45</v>
      </c>
      <c r="J39" cm="1">
        <f t="array" ref="J39">IFERROR(
    _xlfn.XLOOKUP(G39, 'Wedgewood Pharm-PME-Yr2-2025'!$E$4:$L$4,
        _xlfn.XLOOKUP('Rate Load'!H39, 'Wedgewood Pharm-PME-Yr2-2025'!$D$5:$D$28,
            'Wedgewood Pharm-PME-Yr2-2025'!$E$5:$L$28, 0, 0),
        0, 0),
    _xlfn.XLOOKUP(G39, 'Wedgewood Pharm-PME-Yr2-2025'!$E$4:$L$4,
        _xlfn.XLOOKUP('Rate Load'!L39, 'Wedgewood Pharm-PME-Yr2-2025'!$D$5:$D$28,
            'Wedgewood Pharm-PME-Yr2-2025'!$E$5:$L$28, 0, 0),
        0, 0)
)</f>
        <v>44.98</v>
      </c>
      <c r="K39" t="s">
        <v>46</v>
      </c>
      <c r="L39" t="s">
        <v>13</v>
      </c>
      <c r="M39">
        <v>1</v>
      </c>
      <c r="N39" t="str">
        <f t="shared" si="0"/>
        <v>INSERT INTO TNL_RATING.dbo.usps_rate_master VALUES ('USPS', '2/13/2025', '2/13/2026', 12659, 'US', 'Priority Mail Express', 2, 16, 'L', 44.98, 'Wedgewood_USPS_2025', 'NonCubic','1');</v>
      </c>
    </row>
    <row r="40" spans="1:14" x14ac:dyDescent="0.3">
      <c r="A40" t="s">
        <v>11</v>
      </c>
      <c r="B40" s="1" t="s">
        <v>43</v>
      </c>
      <c r="C40" s="1" t="s">
        <v>44</v>
      </c>
      <c r="D40">
        <v>12659</v>
      </c>
      <c r="E40" t="s">
        <v>12</v>
      </c>
      <c r="F40" t="s">
        <v>42</v>
      </c>
      <c r="G40">
        <v>2</v>
      </c>
      <c r="H40">
        <v>17</v>
      </c>
      <c r="I40" t="s">
        <v>45</v>
      </c>
      <c r="J40" cm="1">
        <f t="array" ref="J40">IFERROR(
    _xlfn.XLOOKUP(G40, 'Wedgewood Pharm-PME-Yr2-2025'!$E$4:$L$4,
        _xlfn.XLOOKUP('Rate Load'!H40, 'Wedgewood Pharm-PME-Yr2-2025'!$D$5:$D$28,
            'Wedgewood Pharm-PME-Yr2-2025'!$E$5:$L$28, 0, 0),
        0, 0),
    _xlfn.XLOOKUP(G40, 'Wedgewood Pharm-PME-Yr2-2025'!$E$4:$L$4,
        _xlfn.XLOOKUP('Rate Load'!L40, 'Wedgewood Pharm-PME-Yr2-2025'!$D$5:$D$28,
            'Wedgewood Pharm-PME-Yr2-2025'!$E$5:$L$28, 0, 0),
        0, 0)
)</f>
        <v>47.129999999999995</v>
      </c>
      <c r="K40" t="s">
        <v>46</v>
      </c>
      <c r="L40" t="s">
        <v>13</v>
      </c>
      <c r="M40">
        <v>1</v>
      </c>
      <c r="N40" t="str">
        <f t="shared" si="0"/>
        <v>INSERT INTO TNL_RATING.dbo.usps_rate_master VALUES ('USPS', '2/13/2025', '2/13/2026', 12659, 'US', 'Priority Mail Express', 2, 17, 'L', 47.13, 'Wedgewood_USPS_2025', 'NonCubic','1');</v>
      </c>
    </row>
    <row r="41" spans="1:14" x14ac:dyDescent="0.3">
      <c r="A41" t="s">
        <v>11</v>
      </c>
      <c r="B41" s="1" t="s">
        <v>43</v>
      </c>
      <c r="C41" s="1" t="s">
        <v>44</v>
      </c>
      <c r="D41">
        <v>12659</v>
      </c>
      <c r="E41" t="s">
        <v>12</v>
      </c>
      <c r="F41" t="s">
        <v>42</v>
      </c>
      <c r="G41">
        <v>2</v>
      </c>
      <c r="H41">
        <v>18</v>
      </c>
      <c r="I41" t="s">
        <v>45</v>
      </c>
      <c r="J41" cm="1">
        <f t="array" ref="J41">IFERROR(
    _xlfn.XLOOKUP(G41, 'Wedgewood Pharm-PME-Yr2-2025'!$E$4:$L$4,
        _xlfn.XLOOKUP('Rate Load'!H41, 'Wedgewood Pharm-PME-Yr2-2025'!$D$5:$D$28,
            'Wedgewood Pharm-PME-Yr2-2025'!$E$5:$L$28, 0, 0),
        0, 0),
    _xlfn.XLOOKUP(G41, 'Wedgewood Pharm-PME-Yr2-2025'!$E$4:$L$4,
        _xlfn.XLOOKUP('Rate Load'!L41, 'Wedgewood Pharm-PME-Yr2-2025'!$D$5:$D$28,
            'Wedgewood Pharm-PME-Yr2-2025'!$E$5:$L$28, 0, 0),
        0, 0)
)</f>
        <v>49.28</v>
      </c>
      <c r="K41" t="s">
        <v>46</v>
      </c>
      <c r="L41" t="s">
        <v>13</v>
      </c>
      <c r="M41">
        <v>1</v>
      </c>
      <c r="N41" t="str">
        <f t="shared" si="0"/>
        <v>INSERT INTO TNL_RATING.dbo.usps_rate_master VALUES ('USPS', '2/13/2025', '2/13/2026', 12659, 'US', 'Priority Mail Express', 2, 18, 'L', 49.28, 'Wedgewood_USPS_2025', 'NonCubic','1');</v>
      </c>
    </row>
    <row r="42" spans="1:14" x14ac:dyDescent="0.3">
      <c r="A42" t="s">
        <v>11</v>
      </c>
      <c r="B42" s="1" t="s">
        <v>43</v>
      </c>
      <c r="C42" s="1" t="s">
        <v>44</v>
      </c>
      <c r="D42">
        <v>12659</v>
      </c>
      <c r="E42" t="s">
        <v>12</v>
      </c>
      <c r="F42" t="s">
        <v>42</v>
      </c>
      <c r="G42">
        <v>2</v>
      </c>
      <c r="H42">
        <v>19</v>
      </c>
      <c r="I42" t="s">
        <v>45</v>
      </c>
      <c r="J42" cm="1">
        <f t="array" ref="J42">IFERROR(
    _xlfn.XLOOKUP(G42, 'Wedgewood Pharm-PME-Yr2-2025'!$E$4:$L$4,
        _xlfn.XLOOKUP('Rate Load'!H42, 'Wedgewood Pharm-PME-Yr2-2025'!$D$5:$D$28,
            'Wedgewood Pharm-PME-Yr2-2025'!$E$5:$L$28, 0, 0),
        0, 0),
    _xlfn.XLOOKUP(G42, 'Wedgewood Pharm-PME-Yr2-2025'!$E$4:$L$4,
        _xlfn.XLOOKUP('Rate Load'!L42, 'Wedgewood Pharm-PME-Yr2-2025'!$D$5:$D$28,
            'Wedgewood Pharm-PME-Yr2-2025'!$E$5:$L$28, 0, 0),
        0, 0)
)</f>
        <v>51.449999999999996</v>
      </c>
      <c r="K42" t="s">
        <v>46</v>
      </c>
      <c r="L42" t="s">
        <v>13</v>
      </c>
      <c r="M42">
        <v>1</v>
      </c>
      <c r="N42" t="str">
        <f t="shared" si="0"/>
        <v>INSERT INTO TNL_RATING.dbo.usps_rate_master VALUES ('USPS', '2/13/2025', '2/13/2026', 12659, 'US', 'Priority Mail Express', 2, 19, 'L', 51.45, 'Wedgewood_USPS_2025', 'NonCubic','1');</v>
      </c>
    </row>
    <row r="43" spans="1:14" x14ac:dyDescent="0.3">
      <c r="A43" t="s">
        <v>11</v>
      </c>
      <c r="B43" s="1" t="s">
        <v>43</v>
      </c>
      <c r="C43" s="1" t="s">
        <v>44</v>
      </c>
      <c r="D43">
        <v>12659</v>
      </c>
      <c r="E43" t="s">
        <v>12</v>
      </c>
      <c r="F43" t="s">
        <v>42</v>
      </c>
      <c r="G43">
        <v>2</v>
      </c>
      <c r="H43">
        <v>20</v>
      </c>
      <c r="I43" t="s">
        <v>45</v>
      </c>
      <c r="J43" cm="1">
        <f t="array" ref="J43">IFERROR(
    _xlfn.XLOOKUP(G43, 'Wedgewood Pharm-PME-Yr2-2025'!$E$4:$L$4,
        _xlfn.XLOOKUP('Rate Load'!H43, 'Wedgewood Pharm-PME-Yr2-2025'!$D$5:$D$28,
            'Wedgewood Pharm-PME-Yr2-2025'!$E$5:$L$28, 0, 0),
        0, 0),
    _xlfn.XLOOKUP(G43, 'Wedgewood Pharm-PME-Yr2-2025'!$E$4:$L$4,
        _xlfn.XLOOKUP('Rate Load'!L43, 'Wedgewood Pharm-PME-Yr2-2025'!$D$5:$D$28,
            'Wedgewood Pharm-PME-Yr2-2025'!$E$5:$L$28, 0, 0),
        0, 0)
)</f>
        <v>53.62</v>
      </c>
      <c r="K43" t="s">
        <v>46</v>
      </c>
      <c r="L43" t="s">
        <v>13</v>
      </c>
      <c r="M43">
        <v>1</v>
      </c>
      <c r="N43" t="str">
        <f t="shared" si="0"/>
        <v>INSERT INTO TNL_RATING.dbo.usps_rate_master VALUES ('USPS', '2/13/2025', '2/13/2026', 12659, 'US', 'Priority Mail Express', 2, 20, 'L', 53.62, 'Wedgewood_USPS_2025', 'NonCubic','1');</v>
      </c>
    </row>
    <row r="44" spans="1:14" x14ac:dyDescent="0.3">
      <c r="A44" t="s">
        <v>11</v>
      </c>
      <c r="B44" s="1" t="s">
        <v>43</v>
      </c>
      <c r="C44" s="1" t="s">
        <v>44</v>
      </c>
      <c r="D44">
        <v>12659</v>
      </c>
      <c r="E44" t="s">
        <v>12</v>
      </c>
      <c r="F44" t="s">
        <v>42</v>
      </c>
      <c r="G44">
        <v>3</v>
      </c>
      <c r="H44">
        <v>0.5</v>
      </c>
      <c r="I44" t="s">
        <v>45</v>
      </c>
      <c r="J44" cm="1">
        <f t="array" ref="J44">IFERROR(
    _xlfn.XLOOKUP(G44, 'Wedgewood Pharm-PME-Yr2-2025'!$E$4:$L$4,
        _xlfn.XLOOKUP('Rate Load'!H44, 'Wedgewood Pharm-PME-Yr2-2025'!$D$5:$D$28,
            'Wedgewood Pharm-PME-Yr2-2025'!$E$5:$L$28, 0, 0),
        0, 0),
    _xlfn.XLOOKUP(G44, 'Wedgewood Pharm-PME-Yr2-2025'!$E$4:$L$4,
        _xlfn.XLOOKUP('Rate Load'!L44, 'Wedgewood Pharm-PME-Yr2-2025'!$D$5:$D$28,
            'Wedgewood Pharm-PME-Yr2-2025'!$E$5:$L$28, 0, 0),
        0, 0)
)</f>
        <v>13.9</v>
      </c>
      <c r="K44" t="s">
        <v>46</v>
      </c>
      <c r="L44" t="s">
        <v>13</v>
      </c>
      <c r="M44">
        <v>1</v>
      </c>
      <c r="N44" t="str">
        <f t="shared" si="0"/>
        <v>INSERT INTO TNL_RATING.dbo.usps_rate_master VALUES ('USPS', '2/13/2025', '2/13/2026', 12659, 'US', 'Priority Mail Express', 3, 0.5, 'L', 13.9, 'Wedgewood_USPS_2025', 'NonCubic','1');</v>
      </c>
    </row>
    <row r="45" spans="1:14" x14ac:dyDescent="0.3">
      <c r="A45" t="s">
        <v>11</v>
      </c>
      <c r="B45" s="1" t="s">
        <v>43</v>
      </c>
      <c r="C45" s="1" t="s">
        <v>44</v>
      </c>
      <c r="D45">
        <v>12659</v>
      </c>
      <c r="E45" t="s">
        <v>12</v>
      </c>
      <c r="F45" t="s">
        <v>42</v>
      </c>
      <c r="G45">
        <v>3</v>
      </c>
      <c r="H45">
        <v>1</v>
      </c>
      <c r="I45" t="s">
        <v>45</v>
      </c>
      <c r="J45" cm="1">
        <f t="array" ref="J45">IFERROR(
    _xlfn.XLOOKUP(G45, 'Wedgewood Pharm-PME-Yr2-2025'!$E$4:$L$4,
        _xlfn.XLOOKUP('Rate Load'!H45, 'Wedgewood Pharm-PME-Yr2-2025'!$D$5:$D$28,
            'Wedgewood Pharm-PME-Yr2-2025'!$E$5:$L$28, 0, 0),
        0, 0),
    _xlfn.XLOOKUP(G45, 'Wedgewood Pharm-PME-Yr2-2025'!$E$4:$L$4,
        _xlfn.XLOOKUP('Rate Load'!L45, 'Wedgewood Pharm-PME-Yr2-2025'!$D$5:$D$28,
            'Wedgewood Pharm-PME-Yr2-2025'!$E$5:$L$28, 0, 0),
        0, 0)
)</f>
        <v>14.73</v>
      </c>
      <c r="K45" t="s">
        <v>46</v>
      </c>
      <c r="L45" t="s">
        <v>13</v>
      </c>
      <c r="M45">
        <v>1</v>
      </c>
      <c r="N45" t="str">
        <f t="shared" si="0"/>
        <v>INSERT INTO TNL_RATING.dbo.usps_rate_master VALUES ('USPS', '2/13/2025', '2/13/2026', 12659, 'US', 'Priority Mail Express', 3, 1, 'L', 14.73, 'Wedgewood_USPS_2025', 'NonCubic','1');</v>
      </c>
    </row>
    <row r="46" spans="1:14" x14ac:dyDescent="0.3">
      <c r="A46" t="s">
        <v>11</v>
      </c>
      <c r="B46" s="1" t="s">
        <v>43</v>
      </c>
      <c r="C46" s="1" t="s">
        <v>44</v>
      </c>
      <c r="D46">
        <v>12659</v>
      </c>
      <c r="E46" t="s">
        <v>12</v>
      </c>
      <c r="F46" t="s">
        <v>42</v>
      </c>
      <c r="G46">
        <v>3</v>
      </c>
      <c r="H46">
        <v>2</v>
      </c>
      <c r="I46" t="s">
        <v>45</v>
      </c>
      <c r="J46" cm="1">
        <f t="array" ref="J46">IFERROR(
    _xlfn.XLOOKUP(G46, 'Wedgewood Pharm-PME-Yr2-2025'!$E$4:$L$4,
        _xlfn.XLOOKUP('Rate Load'!H46, 'Wedgewood Pharm-PME-Yr2-2025'!$D$5:$D$28,
            'Wedgewood Pharm-PME-Yr2-2025'!$E$5:$L$28, 0, 0),
        0, 0),
    _xlfn.XLOOKUP(G46, 'Wedgewood Pharm-PME-Yr2-2025'!$E$4:$L$4,
        _xlfn.XLOOKUP('Rate Load'!L46, 'Wedgewood Pharm-PME-Yr2-2025'!$D$5:$D$28,
            'Wedgewood Pharm-PME-Yr2-2025'!$E$5:$L$28, 0, 0),
        0, 0)
)</f>
        <v>16.380000000000003</v>
      </c>
      <c r="K46" t="s">
        <v>46</v>
      </c>
      <c r="L46" t="s">
        <v>13</v>
      </c>
      <c r="M46">
        <v>1</v>
      </c>
      <c r="N46" t="str">
        <f t="shared" si="0"/>
        <v>INSERT INTO TNL_RATING.dbo.usps_rate_master VALUES ('USPS', '2/13/2025', '2/13/2026', 12659, 'US', 'Priority Mail Express', 3, 2, 'L', 16.38, 'Wedgewood_USPS_2025', 'NonCubic','1');</v>
      </c>
    </row>
    <row r="47" spans="1:14" x14ac:dyDescent="0.3">
      <c r="A47" t="s">
        <v>11</v>
      </c>
      <c r="B47" s="1" t="s">
        <v>43</v>
      </c>
      <c r="C47" s="1" t="s">
        <v>44</v>
      </c>
      <c r="D47">
        <v>12659</v>
      </c>
      <c r="E47" t="s">
        <v>12</v>
      </c>
      <c r="F47" t="s">
        <v>42</v>
      </c>
      <c r="G47">
        <v>3</v>
      </c>
      <c r="H47">
        <v>3</v>
      </c>
      <c r="I47" t="s">
        <v>45</v>
      </c>
      <c r="J47" cm="1">
        <f t="array" ref="J47">IFERROR(
    _xlfn.XLOOKUP(G47, 'Wedgewood Pharm-PME-Yr2-2025'!$E$4:$L$4,
        _xlfn.XLOOKUP('Rate Load'!H47, 'Wedgewood Pharm-PME-Yr2-2025'!$D$5:$D$28,
            'Wedgewood Pharm-PME-Yr2-2025'!$E$5:$L$28, 0, 0),
        0, 0),
    _xlfn.XLOOKUP(G47, 'Wedgewood Pharm-PME-Yr2-2025'!$E$4:$L$4,
        _xlfn.XLOOKUP('Rate Load'!L47, 'Wedgewood Pharm-PME-Yr2-2025'!$D$5:$D$28,
            'Wedgewood Pharm-PME-Yr2-2025'!$E$5:$L$28, 0, 0),
        0, 0)
)</f>
        <v>18.420000000000002</v>
      </c>
      <c r="K47" t="s">
        <v>46</v>
      </c>
      <c r="L47" t="s">
        <v>13</v>
      </c>
      <c r="M47">
        <v>1</v>
      </c>
      <c r="N47" t="str">
        <f t="shared" si="0"/>
        <v>INSERT INTO TNL_RATING.dbo.usps_rate_master VALUES ('USPS', '2/13/2025', '2/13/2026', 12659, 'US', 'Priority Mail Express', 3, 3, 'L', 18.42, 'Wedgewood_USPS_2025', 'NonCubic','1');</v>
      </c>
    </row>
    <row r="48" spans="1:14" x14ac:dyDescent="0.3">
      <c r="A48" t="s">
        <v>11</v>
      </c>
      <c r="B48" s="1" t="s">
        <v>43</v>
      </c>
      <c r="C48" s="1" t="s">
        <v>44</v>
      </c>
      <c r="D48">
        <v>12659</v>
      </c>
      <c r="E48" t="s">
        <v>12</v>
      </c>
      <c r="F48" t="s">
        <v>42</v>
      </c>
      <c r="G48">
        <v>3</v>
      </c>
      <c r="H48">
        <v>4</v>
      </c>
      <c r="I48" t="s">
        <v>45</v>
      </c>
      <c r="J48" cm="1">
        <f t="array" ref="J48">IFERROR(
    _xlfn.XLOOKUP(G48, 'Wedgewood Pharm-PME-Yr2-2025'!$E$4:$L$4,
        _xlfn.XLOOKUP('Rate Load'!H48, 'Wedgewood Pharm-PME-Yr2-2025'!$D$5:$D$28,
            'Wedgewood Pharm-PME-Yr2-2025'!$E$5:$L$28, 0, 0),
        0, 0),
    _xlfn.XLOOKUP(G48, 'Wedgewood Pharm-PME-Yr2-2025'!$E$4:$L$4,
        _xlfn.XLOOKUP('Rate Load'!L48, 'Wedgewood Pharm-PME-Yr2-2025'!$D$5:$D$28,
            'Wedgewood Pharm-PME-Yr2-2025'!$E$5:$L$28, 0, 0),
        0, 0)
)</f>
        <v>20.46</v>
      </c>
      <c r="K48" t="s">
        <v>46</v>
      </c>
      <c r="L48" t="s">
        <v>13</v>
      </c>
      <c r="M48">
        <v>1</v>
      </c>
      <c r="N48" t="str">
        <f t="shared" si="0"/>
        <v>INSERT INTO TNL_RATING.dbo.usps_rate_master VALUES ('USPS', '2/13/2025', '2/13/2026', 12659, 'US', 'Priority Mail Express', 3, 4, 'L', 20.46, 'Wedgewood_USPS_2025', 'NonCubic','1');</v>
      </c>
    </row>
    <row r="49" spans="1:14" x14ac:dyDescent="0.3">
      <c r="A49" t="s">
        <v>11</v>
      </c>
      <c r="B49" s="1" t="s">
        <v>43</v>
      </c>
      <c r="C49" s="1" t="s">
        <v>44</v>
      </c>
      <c r="D49">
        <v>12659</v>
      </c>
      <c r="E49" t="s">
        <v>12</v>
      </c>
      <c r="F49" t="s">
        <v>42</v>
      </c>
      <c r="G49">
        <v>3</v>
      </c>
      <c r="H49">
        <v>5</v>
      </c>
      <c r="I49" t="s">
        <v>45</v>
      </c>
      <c r="J49" cm="1">
        <f t="array" ref="J49">IFERROR(
    _xlfn.XLOOKUP(G49, 'Wedgewood Pharm-PME-Yr2-2025'!$E$4:$L$4,
        _xlfn.XLOOKUP('Rate Load'!H49, 'Wedgewood Pharm-PME-Yr2-2025'!$D$5:$D$28,
            'Wedgewood Pharm-PME-Yr2-2025'!$E$5:$L$28, 0, 0),
        0, 0),
    _xlfn.XLOOKUP(G49, 'Wedgewood Pharm-PME-Yr2-2025'!$E$4:$L$4,
        _xlfn.XLOOKUP('Rate Load'!L49, 'Wedgewood Pharm-PME-Yr2-2025'!$D$5:$D$28,
            'Wedgewood Pharm-PME-Yr2-2025'!$E$5:$L$28, 0, 0),
        0, 0)
)</f>
        <v>22.51</v>
      </c>
      <c r="K49" t="s">
        <v>46</v>
      </c>
      <c r="L49" t="s">
        <v>13</v>
      </c>
      <c r="M49">
        <v>1</v>
      </c>
      <c r="N49" t="str">
        <f t="shared" si="0"/>
        <v>INSERT INTO TNL_RATING.dbo.usps_rate_master VALUES ('USPS', '2/13/2025', '2/13/2026', 12659, 'US', 'Priority Mail Express', 3, 5, 'L', 22.51, 'Wedgewood_USPS_2025', 'NonCubic','1');</v>
      </c>
    </row>
    <row r="50" spans="1:14" x14ac:dyDescent="0.3">
      <c r="A50" t="s">
        <v>11</v>
      </c>
      <c r="B50" s="1" t="s">
        <v>43</v>
      </c>
      <c r="C50" s="1" t="s">
        <v>44</v>
      </c>
      <c r="D50">
        <v>12659</v>
      </c>
      <c r="E50" t="s">
        <v>12</v>
      </c>
      <c r="F50" t="s">
        <v>42</v>
      </c>
      <c r="G50">
        <v>3</v>
      </c>
      <c r="H50">
        <v>6</v>
      </c>
      <c r="I50" t="s">
        <v>45</v>
      </c>
      <c r="J50" cm="1">
        <f t="array" ref="J50">IFERROR(
    _xlfn.XLOOKUP(G50, 'Wedgewood Pharm-PME-Yr2-2025'!$E$4:$L$4,
        _xlfn.XLOOKUP('Rate Load'!H50, 'Wedgewood Pharm-PME-Yr2-2025'!$D$5:$D$28,
            'Wedgewood Pharm-PME-Yr2-2025'!$E$5:$L$28, 0, 0),
        0, 0),
    _xlfn.XLOOKUP(G50, 'Wedgewood Pharm-PME-Yr2-2025'!$E$4:$L$4,
        _xlfn.XLOOKUP('Rate Load'!L50, 'Wedgewood Pharm-PME-Yr2-2025'!$D$5:$D$28,
            'Wedgewood Pharm-PME-Yr2-2025'!$E$5:$L$28, 0, 0),
        0, 0)
)</f>
        <v>24.87</v>
      </c>
      <c r="K50" t="s">
        <v>46</v>
      </c>
      <c r="L50" t="s">
        <v>13</v>
      </c>
      <c r="M50">
        <v>1</v>
      </c>
      <c r="N50" t="str">
        <f t="shared" si="0"/>
        <v>INSERT INTO TNL_RATING.dbo.usps_rate_master VALUES ('USPS', '2/13/2025', '2/13/2026', 12659, 'US', 'Priority Mail Express', 3, 6, 'L', 24.87, 'Wedgewood_USPS_2025', 'NonCubic','1');</v>
      </c>
    </row>
    <row r="51" spans="1:14" x14ac:dyDescent="0.3">
      <c r="A51" t="s">
        <v>11</v>
      </c>
      <c r="B51" s="1" t="s">
        <v>43</v>
      </c>
      <c r="C51" s="1" t="s">
        <v>44</v>
      </c>
      <c r="D51">
        <v>12659</v>
      </c>
      <c r="E51" t="s">
        <v>12</v>
      </c>
      <c r="F51" t="s">
        <v>42</v>
      </c>
      <c r="G51">
        <v>3</v>
      </c>
      <c r="H51">
        <v>7</v>
      </c>
      <c r="I51" t="s">
        <v>45</v>
      </c>
      <c r="J51" cm="1">
        <f t="array" ref="J51">IFERROR(
    _xlfn.XLOOKUP(G51, 'Wedgewood Pharm-PME-Yr2-2025'!$E$4:$L$4,
        _xlfn.XLOOKUP('Rate Load'!H51, 'Wedgewood Pharm-PME-Yr2-2025'!$D$5:$D$28,
            'Wedgewood Pharm-PME-Yr2-2025'!$E$5:$L$28, 0, 0),
        0, 0),
    _xlfn.XLOOKUP(G51, 'Wedgewood Pharm-PME-Yr2-2025'!$E$4:$L$4,
        _xlfn.XLOOKUP('Rate Load'!L51, 'Wedgewood Pharm-PME-Yr2-2025'!$D$5:$D$28,
            'Wedgewood Pharm-PME-Yr2-2025'!$E$5:$L$28, 0, 0),
        0, 0)
)</f>
        <v>27.23</v>
      </c>
      <c r="K51" t="s">
        <v>46</v>
      </c>
      <c r="L51" t="s">
        <v>13</v>
      </c>
      <c r="M51">
        <v>1</v>
      </c>
      <c r="N51" t="str">
        <f t="shared" si="0"/>
        <v>INSERT INTO TNL_RATING.dbo.usps_rate_master VALUES ('USPS', '2/13/2025', '2/13/2026', 12659, 'US', 'Priority Mail Express', 3, 7, 'L', 27.23, 'Wedgewood_USPS_2025', 'NonCubic','1');</v>
      </c>
    </row>
    <row r="52" spans="1:14" x14ac:dyDescent="0.3">
      <c r="A52" t="s">
        <v>11</v>
      </c>
      <c r="B52" s="1" t="s">
        <v>43</v>
      </c>
      <c r="C52" s="1" t="s">
        <v>44</v>
      </c>
      <c r="D52">
        <v>12659</v>
      </c>
      <c r="E52" t="s">
        <v>12</v>
      </c>
      <c r="F52" t="s">
        <v>42</v>
      </c>
      <c r="G52">
        <v>3</v>
      </c>
      <c r="H52">
        <v>8</v>
      </c>
      <c r="I52" t="s">
        <v>45</v>
      </c>
      <c r="J52" cm="1">
        <f t="array" ref="J52">IFERROR(
    _xlfn.XLOOKUP(G52, 'Wedgewood Pharm-PME-Yr2-2025'!$E$4:$L$4,
        _xlfn.XLOOKUP('Rate Load'!H52, 'Wedgewood Pharm-PME-Yr2-2025'!$D$5:$D$28,
            'Wedgewood Pharm-PME-Yr2-2025'!$E$5:$L$28, 0, 0),
        0, 0),
    _xlfn.XLOOKUP(G52, 'Wedgewood Pharm-PME-Yr2-2025'!$E$4:$L$4,
        _xlfn.XLOOKUP('Rate Load'!L52, 'Wedgewood Pharm-PME-Yr2-2025'!$D$5:$D$28,
            'Wedgewood Pharm-PME-Yr2-2025'!$E$5:$L$28, 0, 0),
        0, 0)
)</f>
        <v>29.57</v>
      </c>
      <c r="K52" t="s">
        <v>46</v>
      </c>
      <c r="L52" t="s">
        <v>13</v>
      </c>
      <c r="M52">
        <v>1</v>
      </c>
      <c r="N52" t="str">
        <f t="shared" si="0"/>
        <v>INSERT INTO TNL_RATING.dbo.usps_rate_master VALUES ('USPS', '2/13/2025', '2/13/2026', 12659, 'US', 'Priority Mail Express', 3, 8, 'L', 29.57, 'Wedgewood_USPS_2025', 'NonCubic','1');</v>
      </c>
    </row>
    <row r="53" spans="1:14" x14ac:dyDescent="0.3">
      <c r="A53" t="s">
        <v>11</v>
      </c>
      <c r="B53" s="1" t="s">
        <v>43</v>
      </c>
      <c r="C53" s="1" t="s">
        <v>44</v>
      </c>
      <c r="D53">
        <v>12659</v>
      </c>
      <c r="E53" t="s">
        <v>12</v>
      </c>
      <c r="F53" t="s">
        <v>42</v>
      </c>
      <c r="G53">
        <v>3</v>
      </c>
      <c r="H53">
        <v>9</v>
      </c>
      <c r="I53" t="s">
        <v>45</v>
      </c>
      <c r="J53" cm="1">
        <f t="array" ref="J53">IFERROR(
    _xlfn.XLOOKUP(G53, 'Wedgewood Pharm-PME-Yr2-2025'!$E$4:$L$4,
        _xlfn.XLOOKUP('Rate Load'!H53, 'Wedgewood Pharm-PME-Yr2-2025'!$D$5:$D$28,
            'Wedgewood Pharm-PME-Yr2-2025'!$E$5:$L$28, 0, 0),
        0, 0),
    _xlfn.XLOOKUP(G53, 'Wedgewood Pharm-PME-Yr2-2025'!$E$4:$L$4,
        _xlfn.XLOOKUP('Rate Load'!L53, 'Wedgewood Pharm-PME-Yr2-2025'!$D$5:$D$28,
            'Wedgewood Pharm-PME-Yr2-2025'!$E$5:$L$28, 0, 0),
        0, 0)
)</f>
        <v>31.94</v>
      </c>
      <c r="K53" t="s">
        <v>46</v>
      </c>
      <c r="L53" t="s">
        <v>13</v>
      </c>
      <c r="M53">
        <v>1</v>
      </c>
      <c r="N53" t="str">
        <f t="shared" si="0"/>
        <v>INSERT INTO TNL_RATING.dbo.usps_rate_master VALUES ('USPS', '2/13/2025', '2/13/2026', 12659, 'US', 'Priority Mail Express', 3, 9, 'L', 31.94, 'Wedgewood_USPS_2025', 'NonCubic','1');</v>
      </c>
    </row>
    <row r="54" spans="1:14" x14ac:dyDescent="0.3">
      <c r="A54" t="s">
        <v>11</v>
      </c>
      <c r="B54" s="1" t="s">
        <v>43</v>
      </c>
      <c r="C54" s="1" t="s">
        <v>44</v>
      </c>
      <c r="D54">
        <v>12659</v>
      </c>
      <c r="E54" t="s">
        <v>12</v>
      </c>
      <c r="F54" t="s">
        <v>42</v>
      </c>
      <c r="G54">
        <v>3</v>
      </c>
      <c r="H54">
        <v>10</v>
      </c>
      <c r="I54" t="s">
        <v>45</v>
      </c>
      <c r="J54" cm="1">
        <f t="array" ref="J54">IFERROR(
    _xlfn.XLOOKUP(G54, 'Wedgewood Pharm-PME-Yr2-2025'!$E$4:$L$4,
        _xlfn.XLOOKUP('Rate Load'!H54, 'Wedgewood Pharm-PME-Yr2-2025'!$D$5:$D$28,
            'Wedgewood Pharm-PME-Yr2-2025'!$E$5:$L$28, 0, 0),
        0, 0),
    _xlfn.XLOOKUP(G54, 'Wedgewood Pharm-PME-Yr2-2025'!$E$4:$L$4,
        _xlfn.XLOOKUP('Rate Load'!L54, 'Wedgewood Pharm-PME-Yr2-2025'!$D$5:$D$28,
            'Wedgewood Pharm-PME-Yr2-2025'!$E$5:$L$28, 0, 0),
        0, 0)
)</f>
        <v>34.29</v>
      </c>
      <c r="K54" t="s">
        <v>46</v>
      </c>
      <c r="L54" t="s">
        <v>13</v>
      </c>
      <c r="M54">
        <v>1</v>
      </c>
      <c r="N54" t="str">
        <f t="shared" si="0"/>
        <v>INSERT INTO TNL_RATING.dbo.usps_rate_master VALUES ('USPS', '2/13/2025', '2/13/2026', 12659, 'US', 'Priority Mail Express', 3, 10, 'L', 34.29, 'Wedgewood_USPS_2025', 'NonCubic','1');</v>
      </c>
    </row>
    <row r="55" spans="1:14" x14ac:dyDescent="0.3">
      <c r="A55" t="s">
        <v>11</v>
      </c>
      <c r="B55" s="1" t="s">
        <v>43</v>
      </c>
      <c r="C55" s="1" t="s">
        <v>44</v>
      </c>
      <c r="D55">
        <v>12659</v>
      </c>
      <c r="E55" t="s">
        <v>12</v>
      </c>
      <c r="F55" t="s">
        <v>42</v>
      </c>
      <c r="G55">
        <v>3</v>
      </c>
      <c r="H55">
        <v>11</v>
      </c>
      <c r="I55" t="s">
        <v>45</v>
      </c>
      <c r="J55" cm="1">
        <f t="array" ref="J55">IFERROR(
    _xlfn.XLOOKUP(G55, 'Wedgewood Pharm-PME-Yr2-2025'!$E$4:$L$4,
        _xlfn.XLOOKUP('Rate Load'!H55, 'Wedgewood Pharm-PME-Yr2-2025'!$D$5:$D$28,
            'Wedgewood Pharm-PME-Yr2-2025'!$E$5:$L$28, 0, 0),
        0, 0),
    _xlfn.XLOOKUP(G55, 'Wedgewood Pharm-PME-Yr2-2025'!$E$4:$L$4,
        _xlfn.XLOOKUP('Rate Load'!L55, 'Wedgewood Pharm-PME-Yr2-2025'!$D$5:$D$28,
            'Wedgewood Pharm-PME-Yr2-2025'!$E$5:$L$28, 0, 0),
        0, 0)
)</f>
        <v>36.79</v>
      </c>
      <c r="K55" t="s">
        <v>46</v>
      </c>
      <c r="L55" t="s">
        <v>13</v>
      </c>
      <c r="M55">
        <v>1</v>
      </c>
      <c r="N55" t="str">
        <f t="shared" si="0"/>
        <v>INSERT INTO TNL_RATING.dbo.usps_rate_master VALUES ('USPS', '2/13/2025', '2/13/2026', 12659, 'US', 'Priority Mail Express', 3, 11, 'L', 36.79, 'Wedgewood_USPS_2025', 'NonCubic','1');</v>
      </c>
    </row>
    <row r="56" spans="1:14" x14ac:dyDescent="0.3">
      <c r="A56" t="s">
        <v>11</v>
      </c>
      <c r="B56" s="1" t="s">
        <v>43</v>
      </c>
      <c r="C56" s="1" t="s">
        <v>44</v>
      </c>
      <c r="D56">
        <v>12659</v>
      </c>
      <c r="E56" t="s">
        <v>12</v>
      </c>
      <c r="F56" t="s">
        <v>42</v>
      </c>
      <c r="G56">
        <v>3</v>
      </c>
      <c r="H56">
        <v>12</v>
      </c>
      <c r="I56" t="s">
        <v>45</v>
      </c>
      <c r="J56" cm="1">
        <f t="array" ref="J56">IFERROR(
    _xlfn.XLOOKUP(G56, 'Wedgewood Pharm-PME-Yr2-2025'!$E$4:$L$4,
        _xlfn.XLOOKUP('Rate Load'!H56, 'Wedgewood Pharm-PME-Yr2-2025'!$D$5:$D$28,
            'Wedgewood Pharm-PME-Yr2-2025'!$E$5:$L$28, 0, 0),
        0, 0),
    _xlfn.XLOOKUP(G56, 'Wedgewood Pharm-PME-Yr2-2025'!$E$4:$L$4,
        _xlfn.XLOOKUP('Rate Load'!L56, 'Wedgewood Pharm-PME-Yr2-2025'!$D$5:$D$28,
            'Wedgewood Pharm-PME-Yr2-2025'!$E$5:$L$28, 0, 0),
        0, 0)
)</f>
        <v>39.299999999999997</v>
      </c>
      <c r="K56" t="s">
        <v>46</v>
      </c>
      <c r="L56" t="s">
        <v>13</v>
      </c>
      <c r="M56">
        <v>1</v>
      </c>
      <c r="N56" t="str">
        <f t="shared" si="0"/>
        <v>INSERT INTO TNL_RATING.dbo.usps_rate_master VALUES ('USPS', '2/13/2025', '2/13/2026', 12659, 'US', 'Priority Mail Express', 3, 12, 'L', 39.3, 'Wedgewood_USPS_2025', 'NonCubic','1');</v>
      </c>
    </row>
    <row r="57" spans="1:14" x14ac:dyDescent="0.3">
      <c r="A57" t="s">
        <v>11</v>
      </c>
      <c r="B57" s="1" t="s">
        <v>43</v>
      </c>
      <c r="C57" s="1" t="s">
        <v>44</v>
      </c>
      <c r="D57">
        <v>12659</v>
      </c>
      <c r="E57" t="s">
        <v>12</v>
      </c>
      <c r="F57" t="s">
        <v>42</v>
      </c>
      <c r="G57">
        <v>3</v>
      </c>
      <c r="H57">
        <v>13</v>
      </c>
      <c r="I57" t="s">
        <v>45</v>
      </c>
      <c r="J57" cm="1">
        <f t="array" ref="J57">IFERROR(
    _xlfn.XLOOKUP(G57, 'Wedgewood Pharm-PME-Yr2-2025'!$E$4:$L$4,
        _xlfn.XLOOKUP('Rate Load'!H57, 'Wedgewood Pharm-PME-Yr2-2025'!$D$5:$D$28,
            'Wedgewood Pharm-PME-Yr2-2025'!$E$5:$L$28, 0, 0),
        0, 0),
    _xlfn.XLOOKUP(G57, 'Wedgewood Pharm-PME-Yr2-2025'!$E$4:$L$4,
        _xlfn.XLOOKUP('Rate Load'!L57, 'Wedgewood Pharm-PME-Yr2-2025'!$D$5:$D$28,
            'Wedgewood Pharm-PME-Yr2-2025'!$E$5:$L$28, 0, 0),
        0, 0)
)</f>
        <v>41.8</v>
      </c>
      <c r="K57" t="s">
        <v>46</v>
      </c>
      <c r="L57" t="s">
        <v>13</v>
      </c>
      <c r="M57">
        <v>1</v>
      </c>
      <c r="N57" t="str">
        <f t="shared" si="0"/>
        <v>INSERT INTO TNL_RATING.dbo.usps_rate_master VALUES ('USPS', '2/13/2025', '2/13/2026', 12659, 'US', 'Priority Mail Express', 3, 13, 'L', 41.8, 'Wedgewood_USPS_2025', 'NonCubic','1');</v>
      </c>
    </row>
    <row r="58" spans="1:14" x14ac:dyDescent="0.3">
      <c r="A58" t="s">
        <v>11</v>
      </c>
      <c r="B58" s="1" t="s">
        <v>43</v>
      </c>
      <c r="C58" s="1" t="s">
        <v>44</v>
      </c>
      <c r="D58">
        <v>12659</v>
      </c>
      <c r="E58" t="s">
        <v>12</v>
      </c>
      <c r="F58" t="s">
        <v>42</v>
      </c>
      <c r="G58">
        <v>3</v>
      </c>
      <c r="H58">
        <v>14</v>
      </c>
      <c r="I58" t="s">
        <v>45</v>
      </c>
      <c r="J58" cm="1">
        <f t="array" ref="J58">IFERROR(
    _xlfn.XLOOKUP(G58, 'Wedgewood Pharm-PME-Yr2-2025'!$E$4:$L$4,
        _xlfn.XLOOKUP('Rate Load'!H58, 'Wedgewood Pharm-PME-Yr2-2025'!$D$5:$D$28,
            'Wedgewood Pharm-PME-Yr2-2025'!$E$5:$L$28, 0, 0),
        0, 0),
    _xlfn.XLOOKUP(G58, 'Wedgewood Pharm-PME-Yr2-2025'!$E$4:$L$4,
        _xlfn.XLOOKUP('Rate Load'!L58, 'Wedgewood Pharm-PME-Yr2-2025'!$D$5:$D$28,
            'Wedgewood Pharm-PME-Yr2-2025'!$E$5:$L$28, 0, 0),
        0, 0)
)</f>
        <v>44.32</v>
      </c>
      <c r="K58" t="s">
        <v>46</v>
      </c>
      <c r="L58" t="s">
        <v>13</v>
      </c>
      <c r="M58">
        <v>1</v>
      </c>
      <c r="N58" t="str">
        <f t="shared" si="0"/>
        <v>INSERT INTO TNL_RATING.dbo.usps_rate_master VALUES ('USPS', '2/13/2025', '2/13/2026', 12659, 'US', 'Priority Mail Express', 3, 14, 'L', 44.32, 'Wedgewood_USPS_2025', 'NonCubic','1');</v>
      </c>
    </row>
    <row r="59" spans="1:14" x14ac:dyDescent="0.3">
      <c r="A59" t="s">
        <v>11</v>
      </c>
      <c r="B59" s="1" t="s">
        <v>43</v>
      </c>
      <c r="C59" s="1" t="s">
        <v>44</v>
      </c>
      <c r="D59">
        <v>12659</v>
      </c>
      <c r="E59" t="s">
        <v>12</v>
      </c>
      <c r="F59" t="s">
        <v>42</v>
      </c>
      <c r="G59">
        <v>3</v>
      </c>
      <c r="H59">
        <v>15</v>
      </c>
      <c r="I59" t="s">
        <v>45</v>
      </c>
      <c r="J59" cm="1">
        <f t="array" ref="J59">IFERROR(
    _xlfn.XLOOKUP(G59, 'Wedgewood Pharm-PME-Yr2-2025'!$E$4:$L$4,
        _xlfn.XLOOKUP('Rate Load'!H59, 'Wedgewood Pharm-PME-Yr2-2025'!$D$5:$D$28,
            'Wedgewood Pharm-PME-Yr2-2025'!$E$5:$L$28, 0, 0),
        0, 0),
    _xlfn.XLOOKUP(G59, 'Wedgewood Pharm-PME-Yr2-2025'!$E$4:$L$4,
        _xlfn.XLOOKUP('Rate Load'!L59, 'Wedgewood Pharm-PME-Yr2-2025'!$D$5:$D$28,
            'Wedgewood Pharm-PME-Yr2-2025'!$E$5:$L$28, 0, 0),
        0, 0)
)</f>
        <v>46.82</v>
      </c>
      <c r="K59" t="s">
        <v>46</v>
      </c>
      <c r="L59" t="s">
        <v>13</v>
      </c>
      <c r="M59">
        <v>1</v>
      </c>
      <c r="N59" t="str">
        <f t="shared" si="0"/>
        <v>INSERT INTO TNL_RATING.dbo.usps_rate_master VALUES ('USPS', '2/13/2025', '2/13/2026', 12659, 'US', 'Priority Mail Express', 3, 15, 'L', 46.82, 'Wedgewood_USPS_2025', 'NonCubic','1');</v>
      </c>
    </row>
    <row r="60" spans="1:14" x14ac:dyDescent="0.3">
      <c r="A60" t="s">
        <v>11</v>
      </c>
      <c r="B60" s="1" t="s">
        <v>43</v>
      </c>
      <c r="C60" s="1" t="s">
        <v>44</v>
      </c>
      <c r="D60">
        <v>12659</v>
      </c>
      <c r="E60" t="s">
        <v>12</v>
      </c>
      <c r="F60" t="s">
        <v>42</v>
      </c>
      <c r="G60">
        <v>3</v>
      </c>
      <c r="H60">
        <v>16</v>
      </c>
      <c r="I60" t="s">
        <v>45</v>
      </c>
      <c r="J60" cm="1">
        <f t="array" ref="J60">IFERROR(
    _xlfn.XLOOKUP(G60, 'Wedgewood Pharm-PME-Yr2-2025'!$E$4:$L$4,
        _xlfn.XLOOKUP('Rate Load'!H60, 'Wedgewood Pharm-PME-Yr2-2025'!$D$5:$D$28,
            'Wedgewood Pharm-PME-Yr2-2025'!$E$5:$L$28, 0, 0),
        0, 0),
    _xlfn.XLOOKUP(G60, 'Wedgewood Pharm-PME-Yr2-2025'!$E$4:$L$4,
        _xlfn.XLOOKUP('Rate Load'!L60, 'Wedgewood Pharm-PME-Yr2-2025'!$D$5:$D$28,
            'Wedgewood Pharm-PME-Yr2-2025'!$E$5:$L$28, 0, 0),
        0, 0)
)</f>
        <v>49.309999999999995</v>
      </c>
      <c r="K60" t="s">
        <v>46</v>
      </c>
      <c r="L60" t="s">
        <v>13</v>
      </c>
      <c r="M60">
        <v>1</v>
      </c>
      <c r="N60" t="str">
        <f t="shared" si="0"/>
        <v>INSERT INTO TNL_RATING.dbo.usps_rate_master VALUES ('USPS', '2/13/2025', '2/13/2026', 12659, 'US', 'Priority Mail Express', 3, 16, 'L', 49.31, 'Wedgewood_USPS_2025', 'NonCubic','1');</v>
      </c>
    </row>
    <row r="61" spans="1:14" x14ac:dyDescent="0.3">
      <c r="A61" t="s">
        <v>11</v>
      </c>
      <c r="B61" s="1" t="s">
        <v>43</v>
      </c>
      <c r="C61" s="1" t="s">
        <v>44</v>
      </c>
      <c r="D61">
        <v>12659</v>
      </c>
      <c r="E61" t="s">
        <v>12</v>
      </c>
      <c r="F61" t="s">
        <v>42</v>
      </c>
      <c r="G61">
        <v>3</v>
      </c>
      <c r="H61">
        <v>17</v>
      </c>
      <c r="I61" t="s">
        <v>45</v>
      </c>
      <c r="J61" cm="1">
        <f t="array" ref="J61">IFERROR(
    _xlfn.XLOOKUP(G61, 'Wedgewood Pharm-PME-Yr2-2025'!$E$4:$L$4,
        _xlfn.XLOOKUP('Rate Load'!H61, 'Wedgewood Pharm-PME-Yr2-2025'!$D$5:$D$28,
            'Wedgewood Pharm-PME-Yr2-2025'!$E$5:$L$28, 0, 0),
        0, 0),
    _xlfn.XLOOKUP(G61, 'Wedgewood Pharm-PME-Yr2-2025'!$E$4:$L$4,
        _xlfn.XLOOKUP('Rate Load'!L61, 'Wedgewood Pharm-PME-Yr2-2025'!$D$5:$D$28,
            'Wedgewood Pharm-PME-Yr2-2025'!$E$5:$L$28, 0, 0),
        0, 0)
)</f>
        <v>51.83</v>
      </c>
      <c r="K61" t="s">
        <v>46</v>
      </c>
      <c r="L61" t="s">
        <v>13</v>
      </c>
      <c r="M61">
        <v>1</v>
      </c>
      <c r="N61" t="str">
        <f t="shared" si="0"/>
        <v>INSERT INTO TNL_RATING.dbo.usps_rate_master VALUES ('USPS', '2/13/2025', '2/13/2026', 12659, 'US', 'Priority Mail Express', 3, 17, 'L', 51.83, 'Wedgewood_USPS_2025', 'NonCubic','1');</v>
      </c>
    </row>
    <row r="62" spans="1:14" x14ac:dyDescent="0.3">
      <c r="A62" t="s">
        <v>11</v>
      </c>
      <c r="B62" s="1" t="s">
        <v>43</v>
      </c>
      <c r="C62" s="1" t="s">
        <v>44</v>
      </c>
      <c r="D62">
        <v>12659</v>
      </c>
      <c r="E62" t="s">
        <v>12</v>
      </c>
      <c r="F62" t="s">
        <v>42</v>
      </c>
      <c r="G62">
        <v>3</v>
      </c>
      <c r="H62">
        <v>18</v>
      </c>
      <c r="I62" t="s">
        <v>45</v>
      </c>
      <c r="J62" cm="1">
        <f t="array" ref="J62">IFERROR(
    _xlfn.XLOOKUP(G62, 'Wedgewood Pharm-PME-Yr2-2025'!$E$4:$L$4,
        _xlfn.XLOOKUP('Rate Load'!H62, 'Wedgewood Pharm-PME-Yr2-2025'!$D$5:$D$28,
            'Wedgewood Pharm-PME-Yr2-2025'!$E$5:$L$28, 0, 0),
        0, 0),
    _xlfn.XLOOKUP(G62, 'Wedgewood Pharm-PME-Yr2-2025'!$E$4:$L$4,
        _xlfn.XLOOKUP('Rate Load'!L62, 'Wedgewood Pharm-PME-Yr2-2025'!$D$5:$D$28,
            'Wedgewood Pharm-PME-Yr2-2025'!$E$5:$L$28, 0, 0),
        0, 0)
)</f>
        <v>54.33</v>
      </c>
      <c r="K62" t="s">
        <v>46</v>
      </c>
      <c r="L62" t="s">
        <v>13</v>
      </c>
      <c r="M62">
        <v>1</v>
      </c>
      <c r="N62" t="str">
        <f t="shared" si="0"/>
        <v>INSERT INTO TNL_RATING.dbo.usps_rate_master VALUES ('USPS', '2/13/2025', '2/13/2026', 12659, 'US', 'Priority Mail Express', 3, 18, 'L', 54.33, 'Wedgewood_USPS_2025', 'NonCubic','1');</v>
      </c>
    </row>
    <row r="63" spans="1:14" x14ac:dyDescent="0.3">
      <c r="A63" t="s">
        <v>11</v>
      </c>
      <c r="B63" s="1" t="s">
        <v>43</v>
      </c>
      <c r="C63" s="1" t="s">
        <v>44</v>
      </c>
      <c r="D63">
        <v>12659</v>
      </c>
      <c r="E63" t="s">
        <v>12</v>
      </c>
      <c r="F63" t="s">
        <v>42</v>
      </c>
      <c r="G63">
        <v>3</v>
      </c>
      <c r="H63">
        <v>19</v>
      </c>
      <c r="I63" t="s">
        <v>45</v>
      </c>
      <c r="J63" cm="1">
        <f t="array" ref="J63">IFERROR(
    _xlfn.XLOOKUP(G63, 'Wedgewood Pharm-PME-Yr2-2025'!$E$4:$L$4,
        _xlfn.XLOOKUP('Rate Load'!H63, 'Wedgewood Pharm-PME-Yr2-2025'!$D$5:$D$28,
            'Wedgewood Pharm-PME-Yr2-2025'!$E$5:$L$28, 0, 0),
        0, 0),
    _xlfn.XLOOKUP(G63, 'Wedgewood Pharm-PME-Yr2-2025'!$E$4:$L$4,
        _xlfn.XLOOKUP('Rate Load'!L63, 'Wedgewood Pharm-PME-Yr2-2025'!$D$5:$D$28,
            'Wedgewood Pharm-PME-Yr2-2025'!$E$5:$L$28, 0, 0),
        0, 0)
)</f>
        <v>56.85</v>
      </c>
      <c r="K63" t="s">
        <v>46</v>
      </c>
      <c r="L63" t="s">
        <v>13</v>
      </c>
      <c r="M63">
        <v>1</v>
      </c>
      <c r="N63" t="str">
        <f t="shared" si="0"/>
        <v>INSERT INTO TNL_RATING.dbo.usps_rate_master VALUES ('USPS', '2/13/2025', '2/13/2026', 12659, 'US', 'Priority Mail Express', 3, 19, 'L', 56.85, 'Wedgewood_USPS_2025', 'NonCubic','1');</v>
      </c>
    </row>
    <row r="64" spans="1:14" x14ac:dyDescent="0.3">
      <c r="A64" t="s">
        <v>11</v>
      </c>
      <c r="B64" s="1" t="s">
        <v>43</v>
      </c>
      <c r="C64" s="1" t="s">
        <v>44</v>
      </c>
      <c r="D64">
        <v>12659</v>
      </c>
      <c r="E64" t="s">
        <v>12</v>
      </c>
      <c r="F64" t="s">
        <v>42</v>
      </c>
      <c r="G64">
        <v>3</v>
      </c>
      <c r="H64">
        <v>20</v>
      </c>
      <c r="I64" t="s">
        <v>45</v>
      </c>
      <c r="J64" cm="1">
        <f t="array" ref="J64">IFERROR(
    _xlfn.XLOOKUP(G64, 'Wedgewood Pharm-PME-Yr2-2025'!$E$4:$L$4,
        _xlfn.XLOOKUP('Rate Load'!H64, 'Wedgewood Pharm-PME-Yr2-2025'!$D$5:$D$28,
            'Wedgewood Pharm-PME-Yr2-2025'!$E$5:$L$28, 0, 0),
        0, 0),
    _xlfn.XLOOKUP(G64, 'Wedgewood Pharm-PME-Yr2-2025'!$E$4:$L$4,
        _xlfn.XLOOKUP('Rate Load'!L64, 'Wedgewood Pharm-PME-Yr2-2025'!$D$5:$D$28,
            'Wedgewood Pharm-PME-Yr2-2025'!$E$5:$L$28, 0, 0),
        0, 0)
)</f>
        <v>59.34</v>
      </c>
      <c r="K64" t="s">
        <v>46</v>
      </c>
      <c r="L64" t="s">
        <v>13</v>
      </c>
      <c r="M64">
        <v>1</v>
      </c>
      <c r="N64" t="str">
        <f t="shared" si="0"/>
        <v>INSERT INTO TNL_RATING.dbo.usps_rate_master VALUES ('USPS', '2/13/2025', '2/13/2026', 12659, 'US', 'Priority Mail Express', 3, 20, 'L', 59.34, 'Wedgewood_USPS_2025', 'NonCubic','1');</v>
      </c>
    </row>
    <row r="65" spans="1:14" x14ac:dyDescent="0.3">
      <c r="A65" t="s">
        <v>11</v>
      </c>
      <c r="B65" s="1" t="s">
        <v>43</v>
      </c>
      <c r="C65" s="1" t="s">
        <v>44</v>
      </c>
      <c r="D65">
        <v>12659</v>
      </c>
      <c r="E65" t="s">
        <v>12</v>
      </c>
      <c r="F65" t="s">
        <v>42</v>
      </c>
      <c r="G65">
        <v>4</v>
      </c>
      <c r="H65">
        <v>0.5</v>
      </c>
      <c r="I65" t="s">
        <v>45</v>
      </c>
      <c r="J65" cm="1">
        <f t="array" ref="J65">IFERROR(
    _xlfn.XLOOKUP(G65, 'Wedgewood Pharm-PME-Yr2-2025'!$E$4:$L$4,
        _xlfn.XLOOKUP('Rate Load'!H65, 'Wedgewood Pharm-PME-Yr2-2025'!$D$5:$D$28,
            'Wedgewood Pharm-PME-Yr2-2025'!$E$5:$L$28, 0, 0),
        0, 0),
    _xlfn.XLOOKUP(G65, 'Wedgewood Pharm-PME-Yr2-2025'!$E$4:$L$4,
        _xlfn.XLOOKUP('Rate Load'!L65, 'Wedgewood Pharm-PME-Yr2-2025'!$D$5:$D$28,
            'Wedgewood Pharm-PME-Yr2-2025'!$E$5:$L$28, 0, 0),
        0, 0)
)</f>
        <v>14.29</v>
      </c>
      <c r="K65" t="s">
        <v>46</v>
      </c>
      <c r="L65" t="s">
        <v>13</v>
      </c>
      <c r="M65">
        <v>1</v>
      </c>
      <c r="N65" t="str">
        <f t="shared" si="0"/>
        <v>INSERT INTO TNL_RATING.dbo.usps_rate_master VALUES ('USPS', '2/13/2025', '2/13/2026', 12659, 'US', 'Priority Mail Express', 4, 0.5, 'L', 14.29, 'Wedgewood_USPS_2025', 'NonCubic','1');</v>
      </c>
    </row>
    <row r="66" spans="1:14" x14ac:dyDescent="0.3">
      <c r="A66" t="s">
        <v>11</v>
      </c>
      <c r="B66" s="1" t="s">
        <v>43</v>
      </c>
      <c r="C66" s="1" t="s">
        <v>44</v>
      </c>
      <c r="D66">
        <v>12659</v>
      </c>
      <c r="E66" t="s">
        <v>12</v>
      </c>
      <c r="F66" t="s">
        <v>42</v>
      </c>
      <c r="G66">
        <v>4</v>
      </c>
      <c r="H66">
        <v>1</v>
      </c>
      <c r="I66" t="s">
        <v>45</v>
      </c>
      <c r="J66" cm="1">
        <f t="array" ref="J66">IFERROR(
    _xlfn.XLOOKUP(G66, 'Wedgewood Pharm-PME-Yr2-2025'!$E$4:$L$4,
        _xlfn.XLOOKUP('Rate Load'!H66, 'Wedgewood Pharm-PME-Yr2-2025'!$D$5:$D$28,
            'Wedgewood Pharm-PME-Yr2-2025'!$E$5:$L$28, 0, 0),
        0, 0),
    _xlfn.XLOOKUP(G66, 'Wedgewood Pharm-PME-Yr2-2025'!$E$4:$L$4,
        _xlfn.XLOOKUP('Rate Load'!L66, 'Wedgewood Pharm-PME-Yr2-2025'!$D$5:$D$28,
            'Wedgewood Pharm-PME-Yr2-2025'!$E$5:$L$28, 0, 0),
        0, 0)
)</f>
        <v>15.52</v>
      </c>
      <c r="K66" t="s">
        <v>46</v>
      </c>
      <c r="L66" t="s">
        <v>13</v>
      </c>
      <c r="M66">
        <v>1</v>
      </c>
      <c r="N66" t="str">
        <f t="shared" si="0"/>
        <v>INSERT INTO TNL_RATING.dbo.usps_rate_master VALUES ('USPS', '2/13/2025', '2/13/2026', 12659, 'US', 'Priority Mail Express', 4, 1, 'L', 15.52, 'Wedgewood_USPS_2025', 'NonCubic','1');</v>
      </c>
    </row>
    <row r="67" spans="1:14" x14ac:dyDescent="0.3">
      <c r="A67" t="s">
        <v>11</v>
      </c>
      <c r="B67" s="1" t="s">
        <v>43</v>
      </c>
      <c r="C67" s="1" t="s">
        <v>44</v>
      </c>
      <c r="D67">
        <v>12659</v>
      </c>
      <c r="E67" t="s">
        <v>12</v>
      </c>
      <c r="F67" t="s">
        <v>42</v>
      </c>
      <c r="G67">
        <v>4</v>
      </c>
      <c r="H67">
        <v>2</v>
      </c>
      <c r="I67" t="s">
        <v>45</v>
      </c>
      <c r="J67" cm="1">
        <f t="array" ref="J67">IFERROR(
    _xlfn.XLOOKUP(G67, 'Wedgewood Pharm-PME-Yr2-2025'!$E$4:$L$4,
        _xlfn.XLOOKUP('Rate Load'!H67, 'Wedgewood Pharm-PME-Yr2-2025'!$D$5:$D$28,
            'Wedgewood Pharm-PME-Yr2-2025'!$E$5:$L$28, 0, 0),
        0, 0),
    _xlfn.XLOOKUP(G67, 'Wedgewood Pharm-PME-Yr2-2025'!$E$4:$L$4,
        _xlfn.XLOOKUP('Rate Load'!L67, 'Wedgewood Pharm-PME-Yr2-2025'!$D$5:$D$28,
            'Wedgewood Pharm-PME-Yr2-2025'!$E$5:$L$28, 0, 0),
        0, 0)
)</f>
        <v>17.55</v>
      </c>
      <c r="K67" t="s">
        <v>46</v>
      </c>
      <c r="L67" t="s">
        <v>13</v>
      </c>
      <c r="M67">
        <v>1</v>
      </c>
      <c r="N67" t="str">
        <f t="shared" ref="N67:N130" si="1">"INSERT INTO TNL_RATING.dbo.usps_rate_master VALUES ('" &amp; A67 &amp; "', '" &amp; B67 &amp; "', '" &amp; C67 &amp; "', " &amp; D67 &amp; ", '" &amp; E67 &amp; "', '" &amp; F67 &amp; "', " &amp; G67 &amp; ", " &amp; H67 &amp; ", '" &amp; I67 &amp; "', " &amp; J67 &amp; ", '" &amp; K67 &amp; "', '" &amp; L67 &amp; "','" &amp; M67 &amp; "');"</f>
        <v>INSERT INTO TNL_RATING.dbo.usps_rate_master VALUES ('USPS', '2/13/2025', '2/13/2026', 12659, 'US', 'Priority Mail Express', 4, 2, 'L', 17.55, 'Wedgewood_USPS_2025', 'NonCubic','1');</v>
      </c>
    </row>
    <row r="68" spans="1:14" x14ac:dyDescent="0.3">
      <c r="A68" t="s">
        <v>11</v>
      </c>
      <c r="B68" s="1" t="s">
        <v>43</v>
      </c>
      <c r="C68" s="1" t="s">
        <v>44</v>
      </c>
      <c r="D68">
        <v>12659</v>
      </c>
      <c r="E68" t="s">
        <v>12</v>
      </c>
      <c r="F68" t="s">
        <v>42</v>
      </c>
      <c r="G68">
        <v>4</v>
      </c>
      <c r="H68">
        <v>3</v>
      </c>
      <c r="I68" t="s">
        <v>45</v>
      </c>
      <c r="J68" cm="1">
        <f t="array" ref="J68">IFERROR(
    _xlfn.XLOOKUP(G68, 'Wedgewood Pharm-PME-Yr2-2025'!$E$4:$L$4,
        _xlfn.XLOOKUP('Rate Load'!H68, 'Wedgewood Pharm-PME-Yr2-2025'!$D$5:$D$28,
            'Wedgewood Pharm-PME-Yr2-2025'!$E$5:$L$28, 0, 0),
        0, 0),
    _xlfn.XLOOKUP(G68, 'Wedgewood Pharm-PME-Yr2-2025'!$E$4:$L$4,
        _xlfn.XLOOKUP('Rate Load'!L68, 'Wedgewood Pharm-PME-Yr2-2025'!$D$5:$D$28,
            'Wedgewood Pharm-PME-Yr2-2025'!$E$5:$L$28, 0, 0),
        0, 0)
)</f>
        <v>19.98</v>
      </c>
      <c r="K68" t="s">
        <v>46</v>
      </c>
      <c r="L68" t="s">
        <v>13</v>
      </c>
      <c r="M68">
        <v>1</v>
      </c>
      <c r="N68" t="str">
        <f t="shared" si="1"/>
        <v>INSERT INTO TNL_RATING.dbo.usps_rate_master VALUES ('USPS', '2/13/2025', '2/13/2026', 12659, 'US', 'Priority Mail Express', 4, 3, 'L', 19.98, 'Wedgewood_USPS_2025', 'NonCubic','1');</v>
      </c>
    </row>
    <row r="69" spans="1:14" x14ac:dyDescent="0.3">
      <c r="A69" t="s">
        <v>11</v>
      </c>
      <c r="B69" s="1" t="s">
        <v>43</v>
      </c>
      <c r="C69" s="1" t="s">
        <v>44</v>
      </c>
      <c r="D69">
        <v>12659</v>
      </c>
      <c r="E69" t="s">
        <v>12</v>
      </c>
      <c r="F69" t="s">
        <v>42</v>
      </c>
      <c r="G69">
        <v>4</v>
      </c>
      <c r="H69">
        <v>4</v>
      </c>
      <c r="I69" t="s">
        <v>45</v>
      </c>
      <c r="J69" cm="1">
        <f t="array" ref="J69">IFERROR(
    _xlfn.XLOOKUP(G69, 'Wedgewood Pharm-PME-Yr2-2025'!$E$4:$L$4,
        _xlfn.XLOOKUP('Rate Load'!H69, 'Wedgewood Pharm-PME-Yr2-2025'!$D$5:$D$28,
            'Wedgewood Pharm-PME-Yr2-2025'!$E$5:$L$28, 0, 0),
        0, 0),
    _xlfn.XLOOKUP(G69, 'Wedgewood Pharm-PME-Yr2-2025'!$E$4:$L$4,
        _xlfn.XLOOKUP('Rate Load'!L69, 'Wedgewood Pharm-PME-Yr2-2025'!$D$5:$D$28,
            'Wedgewood Pharm-PME-Yr2-2025'!$E$5:$L$28, 0, 0),
        0, 0)
)</f>
        <v>22.42</v>
      </c>
      <c r="K69" t="s">
        <v>46</v>
      </c>
      <c r="L69" t="s">
        <v>13</v>
      </c>
      <c r="M69">
        <v>1</v>
      </c>
      <c r="N69" t="str">
        <f t="shared" si="1"/>
        <v>INSERT INTO TNL_RATING.dbo.usps_rate_master VALUES ('USPS', '2/13/2025', '2/13/2026', 12659, 'US', 'Priority Mail Express', 4, 4, 'L', 22.42, 'Wedgewood_USPS_2025', 'NonCubic','1');</v>
      </c>
    </row>
    <row r="70" spans="1:14" x14ac:dyDescent="0.3">
      <c r="A70" t="s">
        <v>11</v>
      </c>
      <c r="B70" s="1" t="s">
        <v>43</v>
      </c>
      <c r="C70" s="1" t="s">
        <v>44</v>
      </c>
      <c r="D70">
        <v>12659</v>
      </c>
      <c r="E70" t="s">
        <v>12</v>
      </c>
      <c r="F70" t="s">
        <v>42</v>
      </c>
      <c r="G70">
        <v>4</v>
      </c>
      <c r="H70">
        <v>5</v>
      </c>
      <c r="I70" t="s">
        <v>45</v>
      </c>
      <c r="J70" cm="1">
        <f t="array" ref="J70">IFERROR(
    _xlfn.XLOOKUP(G70, 'Wedgewood Pharm-PME-Yr2-2025'!$E$4:$L$4,
        _xlfn.XLOOKUP('Rate Load'!H70, 'Wedgewood Pharm-PME-Yr2-2025'!$D$5:$D$28,
            'Wedgewood Pharm-PME-Yr2-2025'!$E$5:$L$28, 0, 0),
        0, 0),
    _xlfn.XLOOKUP(G70, 'Wedgewood Pharm-PME-Yr2-2025'!$E$4:$L$4,
        _xlfn.XLOOKUP('Rate Load'!L70, 'Wedgewood Pharm-PME-Yr2-2025'!$D$5:$D$28,
            'Wedgewood Pharm-PME-Yr2-2025'!$E$5:$L$28, 0, 0),
        0, 0)
)</f>
        <v>24.85</v>
      </c>
      <c r="K70" t="s">
        <v>46</v>
      </c>
      <c r="L70" t="s">
        <v>13</v>
      </c>
      <c r="M70">
        <v>1</v>
      </c>
      <c r="N70" t="str">
        <f t="shared" si="1"/>
        <v>INSERT INTO TNL_RATING.dbo.usps_rate_master VALUES ('USPS', '2/13/2025', '2/13/2026', 12659, 'US', 'Priority Mail Express', 4, 5, 'L', 24.85, 'Wedgewood_USPS_2025', 'NonCubic','1');</v>
      </c>
    </row>
    <row r="71" spans="1:14" x14ac:dyDescent="0.3">
      <c r="A71" t="s">
        <v>11</v>
      </c>
      <c r="B71" s="1" t="s">
        <v>43</v>
      </c>
      <c r="C71" s="1" t="s">
        <v>44</v>
      </c>
      <c r="D71">
        <v>12659</v>
      </c>
      <c r="E71" t="s">
        <v>12</v>
      </c>
      <c r="F71" t="s">
        <v>42</v>
      </c>
      <c r="G71">
        <v>4</v>
      </c>
      <c r="H71">
        <v>6</v>
      </c>
      <c r="I71" t="s">
        <v>45</v>
      </c>
      <c r="J71" cm="1">
        <f t="array" ref="J71">IFERROR(
    _xlfn.XLOOKUP(G71, 'Wedgewood Pharm-PME-Yr2-2025'!$E$4:$L$4,
        _xlfn.XLOOKUP('Rate Load'!H71, 'Wedgewood Pharm-PME-Yr2-2025'!$D$5:$D$28,
            'Wedgewood Pharm-PME-Yr2-2025'!$E$5:$L$28, 0, 0),
        0, 0),
    _xlfn.XLOOKUP(G71, 'Wedgewood Pharm-PME-Yr2-2025'!$E$4:$L$4,
        _xlfn.XLOOKUP('Rate Load'!L71, 'Wedgewood Pharm-PME-Yr2-2025'!$D$5:$D$28,
            'Wedgewood Pharm-PME-Yr2-2025'!$E$5:$L$28, 0, 0),
        0, 0)
)</f>
        <v>27.55</v>
      </c>
      <c r="K71" t="s">
        <v>46</v>
      </c>
      <c r="L71" t="s">
        <v>13</v>
      </c>
      <c r="M71">
        <v>1</v>
      </c>
      <c r="N71" t="str">
        <f t="shared" si="1"/>
        <v>INSERT INTO TNL_RATING.dbo.usps_rate_master VALUES ('USPS', '2/13/2025', '2/13/2026', 12659, 'US', 'Priority Mail Express', 4, 6, 'L', 27.55, 'Wedgewood_USPS_2025', 'NonCubic','1');</v>
      </c>
    </row>
    <row r="72" spans="1:14" x14ac:dyDescent="0.3">
      <c r="A72" t="s">
        <v>11</v>
      </c>
      <c r="B72" s="1" t="s">
        <v>43</v>
      </c>
      <c r="C72" s="1" t="s">
        <v>44</v>
      </c>
      <c r="D72">
        <v>12659</v>
      </c>
      <c r="E72" t="s">
        <v>12</v>
      </c>
      <c r="F72" t="s">
        <v>42</v>
      </c>
      <c r="G72">
        <v>4</v>
      </c>
      <c r="H72">
        <v>7</v>
      </c>
      <c r="I72" t="s">
        <v>45</v>
      </c>
      <c r="J72" cm="1">
        <f t="array" ref="J72">IFERROR(
    _xlfn.XLOOKUP(G72, 'Wedgewood Pharm-PME-Yr2-2025'!$E$4:$L$4,
        _xlfn.XLOOKUP('Rate Load'!H72, 'Wedgewood Pharm-PME-Yr2-2025'!$D$5:$D$28,
            'Wedgewood Pharm-PME-Yr2-2025'!$E$5:$L$28, 0, 0),
        0, 0),
    _xlfn.XLOOKUP(G72, 'Wedgewood Pharm-PME-Yr2-2025'!$E$4:$L$4,
        _xlfn.XLOOKUP('Rate Load'!L72, 'Wedgewood Pharm-PME-Yr2-2025'!$D$5:$D$28,
            'Wedgewood Pharm-PME-Yr2-2025'!$E$5:$L$28, 0, 0),
        0, 0)
)</f>
        <v>30.26</v>
      </c>
      <c r="K72" t="s">
        <v>46</v>
      </c>
      <c r="L72" t="s">
        <v>13</v>
      </c>
      <c r="M72">
        <v>1</v>
      </c>
      <c r="N72" t="str">
        <f t="shared" si="1"/>
        <v>INSERT INTO TNL_RATING.dbo.usps_rate_master VALUES ('USPS', '2/13/2025', '2/13/2026', 12659, 'US', 'Priority Mail Express', 4, 7, 'L', 30.26, 'Wedgewood_USPS_2025', 'NonCubic','1');</v>
      </c>
    </row>
    <row r="73" spans="1:14" x14ac:dyDescent="0.3">
      <c r="A73" t="s">
        <v>11</v>
      </c>
      <c r="B73" s="1" t="s">
        <v>43</v>
      </c>
      <c r="C73" s="1" t="s">
        <v>44</v>
      </c>
      <c r="D73">
        <v>12659</v>
      </c>
      <c r="E73" t="s">
        <v>12</v>
      </c>
      <c r="F73" t="s">
        <v>42</v>
      </c>
      <c r="G73">
        <v>4</v>
      </c>
      <c r="H73">
        <v>8</v>
      </c>
      <c r="I73" t="s">
        <v>45</v>
      </c>
      <c r="J73" cm="1">
        <f t="array" ref="J73">IFERROR(
    _xlfn.XLOOKUP(G73, 'Wedgewood Pharm-PME-Yr2-2025'!$E$4:$L$4,
        _xlfn.XLOOKUP('Rate Load'!H73, 'Wedgewood Pharm-PME-Yr2-2025'!$D$5:$D$28,
            'Wedgewood Pharm-PME-Yr2-2025'!$E$5:$L$28, 0, 0),
        0, 0),
    _xlfn.XLOOKUP(G73, 'Wedgewood Pharm-PME-Yr2-2025'!$E$4:$L$4,
        _xlfn.XLOOKUP('Rate Load'!L73, 'Wedgewood Pharm-PME-Yr2-2025'!$D$5:$D$28,
            'Wedgewood Pharm-PME-Yr2-2025'!$E$5:$L$28, 0, 0),
        0, 0)
)</f>
        <v>32.96</v>
      </c>
      <c r="K73" t="s">
        <v>46</v>
      </c>
      <c r="L73" t="s">
        <v>13</v>
      </c>
      <c r="M73">
        <v>1</v>
      </c>
      <c r="N73" t="str">
        <f t="shared" si="1"/>
        <v>INSERT INTO TNL_RATING.dbo.usps_rate_master VALUES ('USPS', '2/13/2025', '2/13/2026', 12659, 'US', 'Priority Mail Express', 4, 8, 'L', 32.96, 'Wedgewood_USPS_2025', 'NonCubic','1');</v>
      </c>
    </row>
    <row r="74" spans="1:14" x14ac:dyDescent="0.3">
      <c r="A74" t="s">
        <v>11</v>
      </c>
      <c r="B74" s="1" t="s">
        <v>43</v>
      </c>
      <c r="C74" s="1" t="s">
        <v>44</v>
      </c>
      <c r="D74">
        <v>12659</v>
      </c>
      <c r="E74" t="s">
        <v>12</v>
      </c>
      <c r="F74" t="s">
        <v>42</v>
      </c>
      <c r="G74">
        <v>4</v>
      </c>
      <c r="H74">
        <v>9</v>
      </c>
      <c r="I74" t="s">
        <v>45</v>
      </c>
      <c r="J74" cm="1">
        <f t="array" ref="J74">IFERROR(
    _xlfn.XLOOKUP(G74, 'Wedgewood Pharm-PME-Yr2-2025'!$E$4:$L$4,
        _xlfn.XLOOKUP('Rate Load'!H74, 'Wedgewood Pharm-PME-Yr2-2025'!$D$5:$D$28,
            'Wedgewood Pharm-PME-Yr2-2025'!$E$5:$L$28, 0, 0),
        0, 0),
    _xlfn.XLOOKUP(G74, 'Wedgewood Pharm-PME-Yr2-2025'!$E$4:$L$4,
        _xlfn.XLOOKUP('Rate Load'!L74, 'Wedgewood Pharm-PME-Yr2-2025'!$D$5:$D$28,
            'Wedgewood Pharm-PME-Yr2-2025'!$E$5:$L$28, 0, 0),
        0, 0)
)</f>
        <v>35.659999999999997</v>
      </c>
      <c r="K74" t="s">
        <v>46</v>
      </c>
      <c r="L74" t="s">
        <v>13</v>
      </c>
      <c r="M74">
        <v>1</v>
      </c>
      <c r="N74" t="str">
        <f t="shared" si="1"/>
        <v>INSERT INTO TNL_RATING.dbo.usps_rate_master VALUES ('USPS', '2/13/2025', '2/13/2026', 12659, 'US', 'Priority Mail Express', 4, 9, 'L', 35.66, 'Wedgewood_USPS_2025', 'NonCubic','1');</v>
      </c>
    </row>
    <row r="75" spans="1:14" x14ac:dyDescent="0.3">
      <c r="A75" t="s">
        <v>11</v>
      </c>
      <c r="B75" s="1" t="s">
        <v>43</v>
      </c>
      <c r="C75" s="1" t="s">
        <v>44</v>
      </c>
      <c r="D75">
        <v>12659</v>
      </c>
      <c r="E75" t="s">
        <v>12</v>
      </c>
      <c r="F75" t="s">
        <v>42</v>
      </c>
      <c r="G75">
        <v>4</v>
      </c>
      <c r="H75">
        <v>10</v>
      </c>
      <c r="I75" t="s">
        <v>45</v>
      </c>
      <c r="J75" cm="1">
        <f t="array" ref="J75">IFERROR(
    _xlfn.XLOOKUP(G75, 'Wedgewood Pharm-PME-Yr2-2025'!$E$4:$L$4,
        _xlfn.XLOOKUP('Rate Load'!H75, 'Wedgewood Pharm-PME-Yr2-2025'!$D$5:$D$28,
            'Wedgewood Pharm-PME-Yr2-2025'!$E$5:$L$28, 0, 0),
        0, 0),
    _xlfn.XLOOKUP(G75, 'Wedgewood Pharm-PME-Yr2-2025'!$E$4:$L$4,
        _xlfn.XLOOKUP('Rate Load'!L75, 'Wedgewood Pharm-PME-Yr2-2025'!$D$5:$D$28,
            'Wedgewood Pharm-PME-Yr2-2025'!$E$5:$L$28, 0, 0),
        0, 0)
)</f>
        <v>38.36</v>
      </c>
      <c r="K75" t="s">
        <v>46</v>
      </c>
      <c r="L75" t="s">
        <v>13</v>
      </c>
      <c r="M75">
        <v>1</v>
      </c>
      <c r="N75" t="str">
        <f t="shared" si="1"/>
        <v>INSERT INTO TNL_RATING.dbo.usps_rate_master VALUES ('USPS', '2/13/2025', '2/13/2026', 12659, 'US', 'Priority Mail Express', 4, 10, 'L', 38.36, 'Wedgewood_USPS_2025', 'NonCubic','1');</v>
      </c>
    </row>
    <row r="76" spans="1:14" x14ac:dyDescent="0.3">
      <c r="A76" t="s">
        <v>11</v>
      </c>
      <c r="B76" s="1" t="s">
        <v>43</v>
      </c>
      <c r="C76" s="1" t="s">
        <v>44</v>
      </c>
      <c r="D76">
        <v>12659</v>
      </c>
      <c r="E76" t="s">
        <v>12</v>
      </c>
      <c r="F76" t="s">
        <v>42</v>
      </c>
      <c r="G76">
        <v>4</v>
      </c>
      <c r="H76">
        <v>11</v>
      </c>
      <c r="I76" t="s">
        <v>45</v>
      </c>
      <c r="J76" cm="1">
        <f t="array" ref="J76">IFERROR(
    _xlfn.XLOOKUP(G76, 'Wedgewood Pharm-PME-Yr2-2025'!$E$4:$L$4,
        _xlfn.XLOOKUP('Rate Load'!H76, 'Wedgewood Pharm-PME-Yr2-2025'!$D$5:$D$28,
            'Wedgewood Pharm-PME-Yr2-2025'!$E$5:$L$28, 0, 0),
        0, 0),
    _xlfn.XLOOKUP(G76, 'Wedgewood Pharm-PME-Yr2-2025'!$E$4:$L$4,
        _xlfn.XLOOKUP('Rate Load'!L76, 'Wedgewood Pharm-PME-Yr2-2025'!$D$5:$D$28,
            'Wedgewood Pharm-PME-Yr2-2025'!$E$5:$L$28, 0, 0),
        0, 0)
)</f>
        <v>40.9</v>
      </c>
      <c r="K76" t="s">
        <v>46</v>
      </c>
      <c r="L76" t="s">
        <v>13</v>
      </c>
      <c r="M76">
        <v>1</v>
      </c>
      <c r="N76" t="str">
        <f t="shared" si="1"/>
        <v>INSERT INTO TNL_RATING.dbo.usps_rate_master VALUES ('USPS', '2/13/2025', '2/13/2026', 12659, 'US', 'Priority Mail Express', 4, 11, 'L', 40.9, 'Wedgewood_USPS_2025', 'NonCubic','1');</v>
      </c>
    </row>
    <row r="77" spans="1:14" x14ac:dyDescent="0.3">
      <c r="A77" t="s">
        <v>11</v>
      </c>
      <c r="B77" s="1" t="s">
        <v>43</v>
      </c>
      <c r="C77" s="1" t="s">
        <v>44</v>
      </c>
      <c r="D77">
        <v>12659</v>
      </c>
      <c r="E77" t="s">
        <v>12</v>
      </c>
      <c r="F77" t="s">
        <v>42</v>
      </c>
      <c r="G77">
        <v>4</v>
      </c>
      <c r="H77">
        <v>12</v>
      </c>
      <c r="I77" t="s">
        <v>45</v>
      </c>
      <c r="J77" cm="1">
        <f t="array" ref="J77">IFERROR(
    _xlfn.XLOOKUP(G77, 'Wedgewood Pharm-PME-Yr2-2025'!$E$4:$L$4,
        _xlfn.XLOOKUP('Rate Load'!H77, 'Wedgewood Pharm-PME-Yr2-2025'!$D$5:$D$28,
            'Wedgewood Pharm-PME-Yr2-2025'!$E$5:$L$28, 0, 0),
        0, 0),
    _xlfn.XLOOKUP(G77, 'Wedgewood Pharm-PME-Yr2-2025'!$E$4:$L$4,
        _xlfn.XLOOKUP('Rate Load'!L77, 'Wedgewood Pharm-PME-Yr2-2025'!$D$5:$D$28,
            'Wedgewood Pharm-PME-Yr2-2025'!$E$5:$L$28, 0, 0),
        0, 0)
)</f>
        <v>43.44</v>
      </c>
      <c r="K77" t="s">
        <v>46</v>
      </c>
      <c r="L77" t="s">
        <v>13</v>
      </c>
      <c r="M77">
        <v>1</v>
      </c>
      <c r="N77" t="str">
        <f t="shared" si="1"/>
        <v>INSERT INTO TNL_RATING.dbo.usps_rate_master VALUES ('USPS', '2/13/2025', '2/13/2026', 12659, 'US', 'Priority Mail Express', 4, 12, 'L', 43.44, 'Wedgewood_USPS_2025', 'NonCubic','1');</v>
      </c>
    </row>
    <row r="78" spans="1:14" x14ac:dyDescent="0.3">
      <c r="A78" t="s">
        <v>11</v>
      </c>
      <c r="B78" s="1" t="s">
        <v>43</v>
      </c>
      <c r="C78" s="1" t="s">
        <v>44</v>
      </c>
      <c r="D78">
        <v>12659</v>
      </c>
      <c r="E78" t="s">
        <v>12</v>
      </c>
      <c r="F78" t="s">
        <v>42</v>
      </c>
      <c r="G78">
        <v>4</v>
      </c>
      <c r="H78">
        <v>13</v>
      </c>
      <c r="I78" t="s">
        <v>45</v>
      </c>
      <c r="J78" cm="1">
        <f t="array" ref="J78">IFERROR(
    _xlfn.XLOOKUP(G78, 'Wedgewood Pharm-PME-Yr2-2025'!$E$4:$L$4,
        _xlfn.XLOOKUP('Rate Load'!H78, 'Wedgewood Pharm-PME-Yr2-2025'!$D$5:$D$28,
            'Wedgewood Pharm-PME-Yr2-2025'!$E$5:$L$28, 0, 0),
        0, 0),
    _xlfn.XLOOKUP(G78, 'Wedgewood Pharm-PME-Yr2-2025'!$E$4:$L$4,
        _xlfn.XLOOKUP('Rate Load'!L78, 'Wedgewood Pharm-PME-Yr2-2025'!$D$5:$D$28,
            'Wedgewood Pharm-PME-Yr2-2025'!$E$5:$L$28, 0, 0),
        0, 0)
)</f>
        <v>45.98</v>
      </c>
      <c r="K78" t="s">
        <v>46</v>
      </c>
      <c r="L78" t="s">
        <v>13</v>
      </c>
      <c r="M78">
        <v>1</v>
      </c>
      <c r="N78" t="str">
        <f t="shared" si="1"/>
        <v>INSERT INTO TNL_RATING.dbo.usps_rate_master VALUES ('USPS', '2/13/2025', '2/13/2026', 12659, 'US', 'Priority Mail Express', 4, 13, 'L', 45.98, 'Wedgewood_USPS_2025', 'NonCubic','1');</v>
      </c>
    </row>
    <row r="79" spans="1:14" x14ac:dyDescent="0.3">
      <c r="A79" t="s">
        <v>11</v>
      </c>
      <c r="B79" s="1" t="s">
        <v>43</v>
      </c>
      <c r="C79" s="1" t="s">
        <v>44</v>
      </c>
      <c r="D79">
        <v>12659</v>
      </c>
      <c r="E79" t="s">
        <v>12</v>
      </c>
      <c r="F79" t="s">
        <v>42</v>
      </c>
      <c r="G79">
        <v>4</v>
      </c>
      <c r="H79">
        <v>14</v>
      </c>
      <c r="I79" t="s">
        <v>45</v>
      </c>
      <c r="J79" cm="1">
        <f t="array" ref="J79">IFERROR(
    _xlfn.XLOOKUP(G79, 'Wedgewood Pharm-PME-Yr2-2025'!$E$4:$L$4,
        _xlfn.XLOOKUP('Rate Load'!H79, 'Wedgewood Pharm-PME-Yr2-2025'!$D$5:$D$28,
            'Wedgewood Pharm-PME-Yr2-2025'!$E$5:$L$28, 0, 0),
        0, 0),
    _xlfn.XLOOKUP(G79, 'Wedgewood Pharm-PME-Yr2-2025'!$E$4:$L$4,
        _xlfn.XLOOKUP('Rate Load'!L79, 'Wedgewood Pharm-PME-Yr2-2025'!$D$5:$D$28,
            'Wedgewood Pharm-PME-Yr2-2025'!$E$5:$L$28, 0, 0),
        0, 0)
)</f>
        <v>48.519999999999996</v>
      </c>
      <c r="K79" t="s">
        <v>46</v>
      </c>
      <c r="L79" t="s">
        <v>13</v>
      </c>
      <c r="M79">
        <v>1</v>
      </c>
      <c r="N79" t="str">
        <f t="shared" si="1"/>
        <v>INSERT INTO TNL_RATING.dbo.usps_rate_master VALUES ('USPS', '2/13/2025', '2/13/2026', 12659, 'US', 'Priority Mail Express', 4, 14, 'L', 48.52, 'Wedgewood_USPS_2025', 'NonCubic','1');</v>
      </c>
    </row>
    <row r="80" spans="1:14" x14ac:dyDescent="0.3">
      <c r="A80" t="s">
        <v>11</v>
      </c>
      <c r="B80" s="1" t="s">
        <v>43</v>
      </c>
      <c r="C80" s="1" t="s">
        <v>44</v>
      </c>
      <c r="D80">
        <v>12659</v>
      </c>
      <c r="E80" t="s">
        <v>12</v>
      </c>
      <c r="F80" t="s">
        <v>42</v>
      </c>
      <c r="G80">
        <v>4</v>
      </c>
      <c r="H80">
        <v>15</v>
      </c>
      <c r="I80" t="s">
        <v>45</v>
      </c>
      <c r="J80" cm="1">
        <f t="array" ref="J80">IFERROR(
    _xlfn.XLOOKUP(G80, 'Wedgewood Pharm-PME-Yr2-2025'!$E$4:$L$4,
        _xlfn.XLOOKUP('Rate Load'!H80, 'Wedgewood Pharm-PME-Yr2-2025'!$D$5:$D$28,
            'Wedgewood Pharm-PME-Yr2-2025'!$E$5:$L$28, 0, 0),
        0, 0),
    _xlfn.XLOOKUP(G80, 'Wedgewood Pharm-PME-Yr2-2025'!$E$4:$L$4,
        _xlfn.XLOOKUP('Rate Load'!L80, 'Wedgewood Pharm-PME-Yr2-2025'!$D$5:$D$28,
            'Wedgewood Pharm-PME-Yr2-2025'!$E$5:$L$28, 0, 0),
        0, 0)
)</f>
        <v>51.05</v>
      </c>
      <c r="K80" t="s">
        <v>46</v>
      </c>
      <c r="L80" t="s">
        <v>13</v>
      </c>
      <c r="M80">
        <v>1</v>
      </c>
      <c r="N80" t="str">
        <f t="shared" si="1"/>
        <v>INSERT INTO TNL_RATING.dbo.usps_rate_master VALUES ('USPS', '2/13/2025', '2/13/2026', 12659, 'US', 'Priority Mail Express', 4, 15, 'L', 51.05, 'Wedgewood_USPS_2025', 'NonCubic','1');</v>
      </c>
    </row>
    <row r="81" spans="1:14" x14ac:dyDescent="0.3">
      <c r="A81" t="s">
        <v>11</v>
      </c>
      <c r="B81" s="1" t="s">
        <v>43</v>
      </c>
      <c r="C81" s="1" t="s">
        <v>44</v>
      </c>
      <c r="D81">
        <v>12659</v>
      </c>
      <c r="E81" t="s">
        <v>12</v>
      </c>
      <c r="F81" t="s">
        <v>42</v>
      </c>
      <c r="G81">
        <v>4</v>
      </c>
      <c r="H81">
        <v>16</v>
      </c>
      <c r="I81" t="s">
        <v>45</v>
      </c>
      <c r="J81" cm="1">
        <f t="array" ref="J81">IFERROR(
    _xlfn.XLOOKUP(G81, 'Wedgewood Pharm-PME-Yr2-2025'!$E$4:$L$4,
        _xlfn.XLOOKUP('Rate Load'!H81, 'Wedgewood Pharm-PME-Yr2-2025'!$D$5:$D$28,
            'Wedgewood Pharm-PME-Yr2-2025'!$E$5:$L$28, 0, 0),
        0, 0),
    _xlfn.XLOOKUP(G81, 'Wedgewood Pharm-PME-Yr2-2025'!$E$4:$L$4,
        _xlfn.XLOOKUP('Rate Load'!L81, 'Wedgewood Pharm-PME-Yr2-2025'!$D$5:$D$28,
            'Wedgewood Pharm-PME-Yr2-2025'!$E$5:$L$28, 0, 0),
        0, 0)
)</f>
        <v>53.58</v>
      </c>
      <c r="K81" t="s">
        <v>46</v>
      </c>
      <c r="L81" t="s">
        <v>13</v>
      </c>
      <c r="M81">
        <v>1</v>
      </c>
      <c r="N81" t="str">
        <f t="shared" si="1"/>
        <v>INSERT INTO TNL_RATING.dbo.usps_rate_master VALUES ('USPS', '2/13/2025', '2/13/2026', 12659, 'US', 'Priority Mail Express', 4, 16, 'L', 53.58, 'Wedgewood_USPS_2025', 'NonCubic','1');</v>
      </c>
    </row>
    <row r="82" spans="1:14" x14ac:dyDescent="0.3">
      <c r="A82" t="s">
        <v>11</v>
      </c>
      <c r="B82" s="1" t="s">
        <v>43</v>
      </c>
      <c r="C82" s="1" t="s">
        <v>44</v>
      </c>
      <c r="D82">
        <v>12659</v>
      </c>
      <c r="E82" t="s">
        <v>12</v>
      </c>
      <c r="F82" t="s">
        <v>42</v>
      </c>
      <c r="G82">
        <v>4</v>
      </c>
      <c r="H82">
        <v>17</v>
      </c>
      <c r="I82" t="s">
        <v>45</v>
      </c>
      <c r="J82" cm="1">
        <f t="array" ref="J82">IFERROR(
    _xlfn.XLOOKUP(G82, 'Wedgewood Pharm-PME-Yr2-2025'!$E$4:$L$4,
        _xlfn.XLOOKUP('Rate Load'!H82, 'Wedgewood Pharm-PME-Yr2-2025'!$D$5:$D$28,
            'Wedgewood Pharm-PME-Yr2-2025'!$E$5:$L$28, 0, 0),
        0, 0),
    _xlfn.XLOOKUP(G82, 'Wedgewood Pharm-PME-Yr2-2025'!$E$4:$L$4,
        _xlfn.XLOOKUP('Rate Load'!L82, 'Wedgewood Pharm-PME-Yr2-2025'!$D$5:$D$28,
            'Wedgewood Pharm-PME-Yr2-2025'!$E$5:$L$28, 0, 0),
        0, 0)
)</f>
        <v>56.129999999999995</v>
      </c>
      <c r="K82" t="s">
        <v>46</v>
      </c>
      <c r="L82" t="s">
        <v>13</v>
      </c>
      <c r="M82">
        <v>1</v>
      </c>
      <c r="N82" t="str">
        <f t="shared" si="1"/>
        <v>INSERT INTO TNL_RATING.dbo.usps_rate_master VALUES ('USPS', '2/13/2025', '2/13/2026', 12659, 'US', 'Priority Mail Express', 4, 17, 'L', 56.13, 'Wedgewood_USPS_2025', 'NonCubic','1');</v>
      </c>
    </row>
    <row r="83" spans="1:14" x14ac:dyDescent="0.3">
      <c r="A83" t="s">
        <v>11</v>
      </c>
      <c r="B83" s="1" t="s">
        <v>43</v>
      </c>
      <c r="C83" s="1" t="s">
        <v>44</v>
      </c>
      <c r="D83">
        <v>12659</v>
      </c>
      <c r="E83" t="s">
        <v>12</v>
      </c>
      <c r="F83" t="s">
        <v>42</v>
      </c>
      <c r="G83">
        <v>4</v>
      </c>
      <c r="H83">
        <v>18</v>
      </c>
      <c r="I83" t="s">
        <v>45</v>
      </c>
      <c r="J83" cm="1">
        <f t="array" ref="J83">IFERROR(
    _xlfn.XLOOKUP(G83, 'Wedgewood Pharm-PME-Yr2-2025'!$E$4:$L$4,
        _xlfn.XLOOKUP('Rate Load'!H83, 'Wedgewood Pharm-PME-Yr2-2025'!$D$5:$D$28,
            'Wedgewood Pharm-PME-Yr2-2025'!$E$5:$L$28, 0, 0),
        0, 0),
    _xlfn.XLOOKUP(G83, 'Wedgewood Pharm-PME-Yr2-2025'!$E$4:$L$4,
        _xlfn.XLOOKUP('Rate Load'!L83, 'Wedgewood Pharm-PME-Yr2-2025'!$D$5:$D$28,
            'Wedgewood Pharm-PME-Yr2-2025'!$E$5:$L$28, 0, 0),
        0, 0)
)</f>
        <v>58.66</v>
      </c>
      <c r="K83" t="s">
        <v>46</v>
      </c>
      <c r="L83" t="s">
        <v>13</v>
      </c>
      <c r="M83">
        <v>1</v>
      </c>
      <c r="N83" t="str">
        <f t="shared" si="1"/>
        <v>INSERT INTO TNL_RATING.dbo.usps_rate_master VALUES ('USPS', '2/13/2025', '2/13/2026', 12659, 'US', 'Priority Mail Express', 4, 18, 'L', 58.66, 'Wedgewood_USPS_2025', 'NonCubic','1');</v>
      </c>
    </row>
    <row r="84" spans="1:14" x14ac:dyDescent="0.3">
      <c r="A84" t="s">
        <v>11</v>
      </c>
      <c r="B84" s="1" t="s">
        <v>43</v>
      </c>
      <c r="C84" s="1" t="s">
        <v>44</v>
      </c>
      <c r="D84">
        <v>12659</v>
      </c>
      <c r="E84" t="s">
        <v>12</v>
      </c>
      <c r="F84" t="s">
        <v>42</v>
      </c>
      <c r="G84">
        <v>4</v>
      </c>
      <c r="H84">
        <v>19</v>
      </c>
      <c r="I84" t="s">
        <v>45</v>
      </c>
      <c r="J84" cm="1">
        <f t="array" ref="J84">IFERROR(
    _xlfn.XLOOKUP(G84, 'Wedgewood Pharm-PME-Yr2-2025'!$E$4:$L$4,
        _xlfn.XLOOKUP('Rate Load'!H84, 'Wedgewood Pharm-PME-Yr2-2025'!$D$5:$D$28,
            'Wedgewood Pharm-PME-Yr2-2025'!$E$5:$L$28, 0, 0),
        0, 0),
    _xlfn.XLOOKUP(G84, 'Wedgewood Pharm-PME-Yr2-2025'!$E$4:$L$4,
        _xlfn.XLOOKUP('Rate Load'!L84, 'Wedgewood Pharm-PME-Yr2-2025'!$D$5:$D$28,
            'Wedgewood Pharm-PME-Yr2-2025'!$E$5:$L$28, 0, 0),
        0, 0)
)</f>
        <v>61.199999999999996</v>
      </c>
      <c r="K84" t="s">
        <v>46</v>
      </c>
      <c r="L84" t="s">
        <v>13</v>
      </c>
      <c r="M84">
        <v>1</v>
      </c>
      <c r="N84" t="str">
        <f t="shared" si="1"/>
        <v>INSERT INTO TNL_RATING.dbo.usps_rate_master VALUES ('USPS', '2/13/2025', '2/13/2026', 12659, 'US', 'Priority Mail Express', 4, 19, 'L', 61.2, 'Wedgewood_USPS_2025', 'NonCubic','1');</v>
      </c>
    </row>
    <row r="85" spans="1:14" x14ac:dyDescent="0.3">
      <c r="A85" t="s">
        <v>11</v>
      </c>
      <c r="B85" s="1" t="s">
        <v>43</v>
      </c>
      <c r="C85" s="1" t="s">
        <v>44</v>
      </c>
      <c r="D85">
        <v>12659</v>
      </c>
      <c r="E85" t="s">
        <v>12</v>
      </c>
      <c r="F85" t="s">
        <v>42</v>
      </c>
      <c r="G85">
        <v>4</v>
      </c>
      <c r="H85">
        <v>20</v>
      </c>
      <c r="I85" t="s">
        <v>45</v>
      </c>
      <c r="J85" cm="1">
        <f t="array" ref="J85">IFERROR(
    _xlfn.XLOOKUP(G85, 'Wedgewood Pharm-PME-Yr2-2025'!$E$4:$L$4,
        _xlfn.XLOOKUP('Rate Load'!H85, 'Wedgewood Pharm-PME-Yr2-2025'!$D$5:$D$28,
            'Wedgewood Pharm-PME-Yr2-2025'!$E$5:$L$28, 0, 0),
        0, 0),
    _xlfn.XLOOKUP(G85, 'Wedgewood Pharm-PME-Yr2-2025'!$E$4:$L$4,
        _xlfn.XLOOKUP('Rate Load'!L85, 'Wedgewood Pharm-PME-Yr2-2025'!$D$5:$D$28,
            'Wedgewood Pharm-PME-Yr2-2025'!$E$5:$L$28, 0, 0),
        0, 0)
)</f>
        <v>63.739999999999995</v>
      </c>
      <c r="K85" t="s">
        <v>46</v>
      </c>
      <c r="L85" t="s">
        <v>13</v>
      </c>
      <c r="M85">
        <v>1</v>
      </c>
      <c r="N85" t="str">
        <f t="shared" si="1"/>
        <v>INSERT INTO TNL_RATING.dbo.usps_rate_master VALUES ('USPS', '2/13/2025', '2/13/2026', 12659, 'US', 'Priority Mail Express', 4, 20, 'L', 63.74, 'Wedgewood_USPS_2025', 'NonCubic','1');</v>
      </c>
    </row>
    <row r="86" spans="1:14" x14ac:dyDescent="0.3">
      <c r="A86" t="s">
        <v>11</v>
      </c>
      <c r="B86" s="1" t="s">
        <v>43</v>
      </c>
      <c r="C86" s="1" t="s">
        <v>44</v>
      </c>
      <c r="D86">
        <v>12659</v>
      </c>
      <c r="E86" t="s">
        <v>12</v>
      </c>
      <c r="F86" t="s">
        <v>42</v>
      </c>
      <c r="G86">
        <v>5</v>
      </c>
      <c r="H86">
        <v>0.5</v>
      </c>
      <c r="I86" t="s">
        <v>45</v>
      </c>
      <c r="J86" cm="1">
        <f t="array" ref="J86">IFERROR(
    _xlfn.XLOOKUP(G86, 'Wedgewood Pharm-PME-Yr2-2025'!$E$4:$L$4,
        _xlfn.XLOOKUP('Rate Load'!H86, 'Wedgewood Pharm-PME-Yr2-2025'!$D$5:$D$28,
            'Wedgewood Pharm-PME-Yr2-2025'!$E$5:$L$28, 0, 0),
        0, 0),
    _xlfn.XLOOKUP(G86, 'Wedgewood Pharm-PME-Yr2-2025'!$E$4:$L$4,
        _xlfn.XLOOKUP('Rate Load'!L86, 'Wedgewood Pharm-PME-Yr2-2025'!$D$5:$D$28,
            'Wedgewood Pharm-PME-Yr2-2025'!$E$5:$L$28, 0, 0),
        0, 0)
)</f>
        <v>14.98</v>
      </c>
      <c r="K86" t="s">
        <v>46</v>
      </c>
      <c r="L86" t="s">
        <v>13</v>
      </c>
      <c r="M86">
        <v>1</v>
      </c>
      <c r="N86" t="str">
        <f t="shared" si="1"/>
        <v>INSERT INTO TNL_RATING.dbo.usps_rate_master VALUES ('USPS', '2/13/2025', '2/13/2026', 12659, 'US', 'Priority Mail Express', 5, 0.5, 'L', 14.98, 'Wedgewood_USPS_2025', 'NonCubic','1');</v>
      </c>
    </row>
    <row r="87" spans="1:14" x14ac:dyDescent="0.3">
      <c r="A87" t="s">
        <v>11</v>
      </c>
      <c r="B87" s="1" t="s">
        <v>43</v>
      </c>
      <c r="C87" s="1" t="s">
        <v>44</v>
      </c>
      <c r="D87">
        <v>12659</v>
      </c>
      <c r="E87" t="s">
        <v>12</v>
      </c>
      <c r="F87" t="s">
        <v>42</v>
      </c>
      <c r="G87">
        <v>5</v>
      </c>
      <c r="H87">
        <v>1</v>
      </c>
      <c r="I87" t="s">
        <v>45</v>
      </c>
      <c r="J87" cm="1">
        <f t="array" ref="J87">IFERROR(
    _xlfn.XLOOKUP(G87, 'Wedgewood Pharm-PME-Yr2-2025'!$E$4:$L$4,
        _xlfn.XLOOKUP('Rate Load'!H87, 'Wedgewood Pharm-PME-Yr2-2025'!$D$5:$D$28,
            'Wedgewood Pharm-PME-Yr2-2025'!$E$5:$L$28, 0, 0),
        0, 0),
    _xlfn.XLOOKUP(G87, 'Wedgewood Pharm-PME-Yr2-2025'!$E$4:$L$4,
        _xlfn.XLOOKUP('Rate Load'!L87, 'Wedgewood Pharm-PME-Yr2-2025'!$D$5:$D$28,
            'Wedgewood Pharm-PME-Yr2-2025'!$E$5:$L$28, 0, 0),
        0, 0)
)</f>
        <v>16.560000000000002</v>
      </c>
      <c r="K87" t="s">
        <v>46</v>
      </c>
      <c r="L87" t="s">
        <v>13</v>
      </c>
      <c r="M87">
        <v>1</v>
      </c>
      <c r="N87" t="str">
        <f t="shared" si="1"/>
        <v>INSERT INTO TNL_RATING.dbo.usps_rate_master VALUES ('USPS', '2/13/2025', '2/13/2026', 12659, 'US', 'Priority Mail Express', 5, 1, 'L', 16.56, 'Wedgewood_USPS_2025', 'NonCubic','1');</v>
      </c>
    </row>
    <row r="88" spans="1:14" x14ac:dyDescent="0.3">
      <c r="A88" t="s">
        <v>11</v>
      </c>
      <c r="B88" s="1" t="s">
        <v>43</v>
      </c>
      <c r="C88" s="1" t="s">
        <v>44</v>
      </c>
      <c r="D88">
        <v>12659</v>
      </c>
      <c r="E88" t="s">
        <v>12</v>
      </c>
      <c r="F88" t="s">
        <v>42</v>
      </c>
      <c r="G88">
        <v>5</v>
      </c>
      <c r="H88">
        <v>2</v>
      </c>
      <c r="I88" t="s">
        <v>45</v>
      </c>
      <c r="J88" cm="1">
        <f t="array" ref="J88">IFERROR(
    _xlfn.XLOOKUP(G88, 'Wedgewood Pharm-PME-Yr2-2025'!$E$4:$L$4,
        _xlfn.XLOOKUP('Rate Load'!H88, 'Wedgewood Pharm-PME-Yr2-2025'!$D$5:$D$28,
            'Wedgewood Pharm-PME-Yr2-2025'!$E$5:$L$28, 0, 0),
        0, 0),
    _xlfn.XLOOKUP(G88, 'Wedgewood Pharm-PME-Yr2-2025'!$E$4:$L$4,
        _xlfn.XLOOKUP('Rate Load'!L88, 'Wedgewood Pharm-PME-Yr2-2025'!$D$5:$D$28,
            'Wedgewood Pharm-PME-Yr2-2025'!$E$5:$L$28, 0, 0),
        0, 0)
)</f>
        <v>18.930000000000003</v>
      </c>
      <c r="K88" t="s">
        <v>46</v>
      </c>
      <c r="L88" t="s">
        <v>13</v>
      </c>
      <c r="M88">
        <v>1</v>
      </c>
      <c r="N88" t="str">
        <f t="shared" si="1"/>
        <v>INSERT INTO TNL_RATING.dbo.usps_rate_master VALUES ('USPS', '2/13/2025', '2/13/2026', 12659, 'US', 'Priority Mail Express', 5, 2, 'L', 18.93, 'Wedgewood_USPS_2025', 'NonCubic','1');</v>
      </c>
    </row>
    <row r="89" spans="1:14" x14ac:dyDescent="0.3">
      <c r="A89" t="s">
        <v>11</v>
      </c>
      <c r="B89" s="1" t="s">
        <v>43</v>
      </c>
      <c r="C89" s="1" t="s">
        <v>44</v>
      </c>
      <c r="D89">
        <v>12659</v>
      </c>
      <c r="E89" t="s">
        <v>12</v>
      </c>
      <c r="F89" t="s">
        <v>42</v>
      </c>
      <c r="G89">
        <v>5</v>
      </c>
      <c r="H89">
        <v>3</v>
      </c>
      <c r="I89" t="s">
        <v>45</v>
      </c>
      <c r="J89" cm="1">
        <f t="array" ref="J89">IFERROR(
    _xlfn.XLOOKUP(G89, 'Wedgewood Pharm-PME-Yr2-2025'!$E$4:$L$4,
        _xlfn.XLOOKUP('Rate Load'!H89, 'Wedgewood Pharm-PME-Yr2-2025'!$D$5:$D$28,
            'Wedgewood Pharm-PME-Yr2-2025'!$E$5:$L$28, 0, 0),
        0, 0),
    _xlfn.XLOOKUP(G89, 'Wedgewood Pharm-PME-Yr2-2025'!$E$4:$L$4,
        _xlfn.XLOOKUP('Rate Load'!L89, 'Wedgewood Pharm-PME-Yr2-2025'!$D$5:$D$28,
            'Wedgewood Pharm-PME-Yr2-2025'!$E$5:$L$28, 0, 0),
        0, 0)
)</f>
        <v>21.720000000000002</v>
      </c>
      <c r="K89" t="s">
        <v>46</v>
      </c>
      <c r="L89" t="s">
        <v>13</v>
      </c>
      <c r="M89">
        <v>1</v>
      </c>
      <c r="N89" t="str">
        <f t="shared" si="1"/>
        <v>INSERT INTO TNL_RATING.dbo.usps_rate_master VALUES ('USPS', '2/13/2025', '2/13/2026', 12659, 'US', 'Priority Mail Express', 5, 3, 'L', 21.72, 'Wedgewood_USPS_2025', 'NonCubic','1');</v>
      </c>
    </row>
    <row r="90" spans="1:14" x14ac:dyDescent="0.3">
      <c r="A90" t="s">
        <v>11</v>
      </c>
      <c r="B90" s="1" t="s">
        <v>43</v>
      </c>
      <c r="C90" s="1" t="s">
        <v>44</v>
      </c>
      <c r="D90">
        <v>12659</v>
      </c>
      <c r="E90" t="s">
        <v>12</v>
      </c>
      <c r="F90" t="s">
        <v>42</v>
      </c>
      <c r="G90">
        <v>5</v>
      </c>
      <c r="H90">
        <v>4</v>
      </c>
      <c r="I90" t="s">
        <v>45</v>
      </c>
      <c r="J90" cm="1">
        <f t="array" ref="J90">IFERROR(
    _xlfn.XLOOKUP(G90, 'Wedgewood Pharm-PME-Yr2-2025'!$E$4:$L$4,
        _xlfn.XLOOKUP('Rate Load'!H90, 'Wedgewood Pharm-PME-Yr2-2025'!$D$5:$D$28,
            'Wedgewood Pharm-PME-Yr2-2025'!$E$5:$L$28, 0, 0),
        0, 0),
    _xlfn.XLOOKUP(G90, 'Wedgewood Pharm-PME-Yr2-2025'!$E$4:$L$4,
        _xlfn.XLOOKUP('Rate Load'!L90, 'Wedgewood Pharm-PME-Yr2-2025'!$D$5:$D$28,
            'Wedgewood Pharm-PME-Yr2-2025'!$E$5:$L$28, 0, 0),
        0, 0)
)</f>
        <v>24.490000000000002</v>
      </c>
      <c r="K90" t="s">
        <v>46</v>
      </c>
      <c r="L90" t="s">
        <v>13</v>
      </c>
      <c r="M90">
        <v>1</v>
      </c>
      <c r="N90" t="str">
        <f t="shared" si="1"/>
        <v>INSERT INTO TNL_RATING.dbo.usps_rate_master VALUES ('USPS', '2/13/2025', '2/13/2026', 12659, 'US', 'Priority Mail Express', 5, 4, 'L', 24.49, 'Wedgewood_USPS_2025', 'NonCubic','1');</v>
      </c>
    </row>
    <row r="91" spans="1:14" x14ac:dyDescent="0.3">
      <c r="A91" t="s">
        <v>11</v>
      </c>
      <c r="B91" s="1" t="s">
        <v>43</v>
      </c>
      <c r="C91" s="1" t="s">
        <v>44</v>
      </c>
      <c r="D91">
        <v>12659</v>
      </c>
      <c r="E91" t="s">
        <v>12</v>
      </c>
      <c r="F91" t="s">
        <v>42</v>
      </c>
      <c r="G91">
        <v>5</v>
      </c>
      <c r="H91">
        <v>5</v>
      </c>
      <c r="I91" t="s">
        <v>45</v>
      </c>
      <c r="J91" cm="1">
        <f t="array" ref="J91">IFERROR(
    _xlfn.XLOOKUP(G91, 'Wedgewood Pharm-PME-Yr2-2025'!$E$4:$L$4,
        _xlfn.XLOOKUP('Rate Load'!H91, 'Wedgewood Pharm-PME-Yr2-2025'!$D$5:$D$28,
            'Wedgewood Pharm-PME-Yr2-2025'!$E$5:$L$28, 0, 0),
        0, 0),
    _xlfn.XLOOKUP(G91, 'Wedgewood Pharm-PME-Yr2-2025'!$E$4:$L$4,
        _xlfn.XLOOKUP('Rate Load'!L91, 'Wedgewood Pharm-PME-Yr2-2025'!$D$5:$D$28,
            'Wedgewood Pharm-PME-Yr2-2025'!$E$5:$L$28, 0, 0),
        0, 0)
)</f>
        <v>27.28</v>
      </c>
      <c r="K91" t="s">
        <v>46</v>
      </c>
      <c r="L91" t="s">
        <v>13</v>
      </c>
      <c r="M91">
        <v>1</v>
      </c>
      <c r="N91" t="str">
        <f t="shared" si="1"/>
        <v>INSERT INTO TNL_RATING.dbo.usps_rate_master VALUES ('USPS', '2/13/2025', '2/13/2026', 12659, 'US', 'Priority Mail Express', 5, 5, 'L', 27.28, 'Wedgewood_USPS_2025', 'NonCubic','1');</v>
      </c>
    </row>
    <row r="92" spans="1:14" x14ac:dyDescent="0.3">
      <c r="A92" t="s">
        <v>11</v>
      </c>
      <c r="B92" s="1" t="s">
        <v>43</v>
      </c>
      <c r="C92" s="1" t="s">
        <v>44</v>
      </c>
      <c r="D92">
        <v>12659</v>
      </c>
      <c r="E92" t="s">
        <v>12</v>
      </c>
      <c r="F92" t="s">
        <v>42</v>
      </c>
      <c r="G92">
        <v>5</v>
      </c>
      <c r="H92">
        <v>6</v>
      </c>
      <c r="I92" t="s">
        <v>45</v>
      </c>
      <c r="J92" cm="1">
        <f t="array" ref="J92">IFERROR(
    _xlfn.XLOOKUP(G92, 'Wedgewood Pharm-PME-Yr2-2025'!$E$4:$L$4,
        _xlfn.XLOOKUP('Rate Load'!H92, 'Wedgewood Pharm-PME-Yr2-2025'!$D$5:$D$28,
            'Wedgewood Pharm-PME-Yr2-2025'!$E$5:$L$28, 0, 0),
        0, 0),
    _xlfn.XLOOKUP(G92, 'Wedgewood Pharm-PME-Yr2-2025'!$E$4:$L$4,
        _xlfn.XLOOKUP('Rate Load'!L92, 'Wedgewood Pharm-PME-Yr2-2025'!$D$5:$D$28,
            'Wedgewood Pharm-PME-Yr2-2025'!$E$5:$L$28, 0, 0),
        0, 0)
)</f>
        <v>30.12</v>
      </c>
      <c r="K92" t="s">
        <v>46</v>
      </c>
      <c r="L92" t="s">
        <v>13</v>
      </c>
      <c r="M92">
        <v>1</v>
      </c>
      <c r="N92" t="str">
        <f t="shared" si="1"/>
        <v>INSERT INTO TNL_RATING.dbo.usps_rate_master VALUES ('USPS', '2/13/2025', '2/13/2026', 12659, 'US', 'Priority Mail Express', 5, 6, 'L', 30.12, 'Wedgewood_USPS_2025', 'NonCubic','1');</v>
      </c>
    </row>
    <row r="93" spans="1:14" x14ac:dyDescent="0.3">
      <c r="A93" t="s">
        <v>11</v>
      </c>
      <c r="B93" s="1" t="s">
        <v>43</v>
      </c>
      <c r="C93" s="1" t="s">
        <v>44</v>
      </c>
      <c r="D93">
        <v>12659</v>
      </c>
      <c r="E93" t="s">
        <v>12</v>
      </c>
      <c r="F93" t="s">
        <v>42</v>
      </c>
      <c r="G93">
        <v>5</v>
      </c>
      <c r="H93">
        <v>7</v>
      </c>
      <c r="I93" t="s">
        <v>45</v>
      </c>
      <c r="J93" cm="1">
        <f t="array" ref="J93">IFERROR(
    _xlfn.XLOOKUP(G93, 'Wedgewood Pharm-PME-Yr2-2025'!$E$4:$L$4,
        _xlfn.XLOOKUP('Rate Load'!H93, 'Wedgewood Pharm-PME-Yr2-2025'!$D$5:$D$28,
            'Wedgewood Pharm-PME-Yr2-2025'!$E$5:$L$28, 0, 0),
        0, 0),
    _xlfn.XLOOKUP(G93, 'Wedgewood Pharm-PME-Yr2-2025'!$E$4:$L$4,
        _xlfn.XLOOKUP('Rate Load'!L93, 'Wedgewood Pharm-PME-Yr2-2025'!$D$5:$D$28,
            'Wedgewood Pharm-PME-Yr2-2025'!$E$5:$L$28, 0, 0),
        0, 0)
)</f>
        <v>32.949999999999996</v>
      </c>
      <c r="K93" t="s">
        <v>46</v>
      </c>
      <c r="L93" t="s">
        <v>13</v>
      </c>
      <c r="M93">
        <v>1</v>
      </c>
      <c r="N93" t="str">
        <f t="shared" si="1"/>
        <v>INSERT INTO TNL_RATING.dbo.usps_rate_master VALUES ('USPS', '2/13/2025', '2/13/2026', 12659, 'US', 'Priority Mail Express', 5, 7, 'L', 32.95, 'Wedgewood_USPS_2025', 'NonCubic','1');</v>
      </c>
    </row>
    <row r="94" spans="1:14" x14ac:dyDescent="0.3">
      <c r="A94" t="s">
        <v>11</v>
      </c>
      <c r="B94" s="1" t="s">
        <v>43</v>
      </c>
      <c r="C94" s="1" t="s">
        <v>44</v>
      </c>
      <c r="D94">
        <v>12659</v>
      </c>
      <c r="E94" t="s">
        <v>12</v>
      </c>
      <c r="F94" t="s">
        <v>42</v>
      </c>
      <c r="G94">
        <v>5</v>
      </c>
      <c r="H94">
        <v>8</v>
      </c>
      <c r="I94" t="s">
        <v>45</v>
      </c>
      <c r="J94" cm="1">
        <f t="array" ref="J94">IFERROR(
    _xlfn.XLOOKUP(G94, 'Wedgewood Pharm-PME-Yr2-2025'!$E$4:$L$4,
        _xlfn.XLOOKUP('Rate Load'!H94, 'Wedgewood Pharm-PME-Yr2-2025'!$D$5:$D$28,
            'Wedgewood Pharm-PME-Yr2-2025'!$E$5:$L$28, 0, 0),
        0, 0),
    _xlfn.XLOOKUP(G94, 'Wedgewood Pharm-PME-Yr2-2025'!$E$4:$L$4,
        _xlfn.XLOOKUP('Rate Load'!L94, 'Wedgewood Pharm-PME-Yr2-2025'!$D$5:$D$28,
            'Wedgewood Pharm-PME-Yr2-2025'!$E$5:$L$28, 0, 0),
        0, 0)
)</f>
        <v>35.78</v>
      </c>
      <c r="K94" t="s">
        <v>46</v>
      </c>
      <c r="L94" t="s">
        <v>13</v>
      </c>
      <c r="M94">
        <v>1</v>
      </c>
      <c r="N94" t="str">
        <f t="shared" si="1"/>
        <v>INSERT INTO TNL_RATING.dbo.usps_rate_master VALUES ('USPS', '2/13/2025', '2/13/2026', 12659, 'US', 'Priority Mail Express', 5, 8, 'L', 35.78, 'Wedgewood_USPS_2025', 'NonCubic','1');</v>
      </c>
    </row>
    <row r="95" spans="1:14" x14ac:dyDescent="0.3">
      <c r="A95" t="s">
        <v>11</v>
      </c>
      <c r="B95" s="1" t="s">
        <v>43</v>
      </c>
      <c r="C95" s="1" t="s">
        <v>44</v>
      </c>
      <c r="D95">
        <v>12659</v>
      </c>
      <c r="E95" t="s">
        <v>12</v>
      </c>
      <c r="F95" t="s">
        <v>42</v>
      </c>
      <c r="G95">
        <v>5</v>
      </c>
      <c r="H95">
        <v>9</v>
      </c>
      <c r="I95" t="s">
        <v>45</v>
      </c>
      <c r="J95" cm="1">
        <f t="array" ref="J95">IFERROR(
    _xlfn.XLOOKUP(G95, 'Wedgewood Pharm-PME-Yr2-2025'!$E$4:$L$4,
        _xlfn.XLOOKUP('Rate Load'!H95, 'Wedgewood Pharm-PME-Yr2-2025'!$D$5:$D$28,
            'Wedgewood Pharm-PME-Yr2-2025'!$E$5:$L$28, 0, 0),
        0, 0),
    _xlfn.XLOOKUP(G95, 'Wedgewood Pharm-PME-Yr2-2025'!$E$4:$L$4,
        _xlfn.XLOOKUP('Rate Load'!L95, 'Wedgewood Pharm-PME-Yr2-2025'!$D$5:$D$28,
            'Wedgewood Pharm-PME-Yr2-2025'!$E$5:$L$28, 0, 0),
        0, 0)
)</f>
        <v>38.61</v>
      </c>
      <c r="K95" t="s">
        <v>46</v>
      </c>
      <c r="L95" t="s">
        <v>13</v>
      </c>
      <c r="M95">
        <v>1</v>
      </c>
      <c r="N95" t="str">
        <f t="shared" si="1"/>
        <v>INSERT INTO TNL_RATING.dbo.usps_rate_master VALUES ('USPS', '2/13/2025', '2/13/2026', 12659, 'US', 'Priority Mail Express', 5, 9, 'L', 38.61, 'Wedgewood_USPS_2025', 'NonCubic','1');</v>
      </c>
    </row>
    <row r="96" spans="1:14" x14ac:dyDescent="0.3">
      <c r="A96" t="s">
        <v>11</v>
      </c>
      <c r="B96" s="1" t="s">
        <v>43</v>
      </c>
      <c r="C96" s="1" t="s">
        <v>44</v>
      </c>
      <c r="D96">
        <v>12659</v>
      </c>
      <c r="E96" t="s">
        <v>12</v>
      </c>
      <c r="F96" t="s">
        <v>42</v>
      </c>
      <c r="G96">
        <v>5</v>
      </c>
      <c r="H96">
        <v>10</v>
      </c>
      <c r="I96" t="s">
        <v>45</v>
      </c>
      <c r="J96" cm="1">
        <f t="array" ref="J96">IFERROR(
    _xlfn.XLOOKUP(G96, 'Wedgewood Pharm-PME-Yr2-2025'!$E$4:$L$4,
        _xlfn.XLOOKUP('Rate Load'!H96, 'Wedgewood Pharm-PME-Yr2-2025'!$D$5:$D$28,
            'Wedgewood Pharm-PME-Yr2-2025'!$E$5:$L$28, 0, 0),
        0, 0),
    _xlfn.XLOOKUP(G96, 'Wedgewood Pharm-PME-Yr2-2025'!$E$4:$L$4,
        _xlfn.XLOOKUP('Rate Load'!L96, 'Wedgewood Pharm-PME-Yr2-2025'!$D$5:$D$28,
            'Wedgewood Pharm-PME-Yr2-2025'!$E$5:$L$28, 0, 0),
        0, 0)
)</f>
        <v>41.449999999999996</v>
      </c>
      <c r="K96" t="s">
        <v>46</v>
      </c>
      <c r="L96" t="s">
        <v>13</v>
      </c>
      <c r="M96">
        <v>1</v>
      </c>
      <c r="N96" t="str">
        <f t="shared" si="1"/>
        <v>INSERT INTO TNL_RATING.dbo.usps_rate_master VALUES ('USPS', '2/13/2025', '2/13/2026', 12659, 'US', 'Priority Mail Express', 5, 10, 'L', 41.45, 'Wedgewood_USPS_2025', 'NonCubic','1');</v>
      </c>
    </row>
    <row r="97" spans="1:14" x14ac:dyDescent="0.3">
      <c r="A97" t="s">
        <v>11</v>
      </c>
      <c r="B97" s="1" t="s">
        <v>43</v>
      </c>
      <c r="C97" s="1" t="s">
        <v>44</v>
      </c>
      <c r="D97">
        <v>12659</v>
      </c>
      <c r="E97" t="s">
        <v>12</v>
      </c>
      <c r="F97" t="s">
        <v>42</v>
      </c>
      <c r="G97">
        <v>5</v>
      </c>
      <c r="H97">
        <v>11</v>
      </c>
      <c r="I97" t="s">
        <v>45</v>
      </c>
      <c r="J97" cm="1">
        <f t="array" ref="J97">IFERROR(
    _xlfn.XLOOKUP(G97, 'Wedgewood Pharm-PME-Yr2-2025'!$E$4:$L$4,
        _xlfn.XLOOKUP('Rate Load'!H97, 'Wedgewood Pharm-PME-Yr2-2025'!$D$5:$D$28,
            'Wedgewood Pharm-PME-Yr2-2025'!$E$5:$L$28, 0, 0),
        0, 0),
    _xlfn.XLOOKUP(G97, 'Wedgewood Pharm-PME-Yr2-2025'!$E$4:$L$4,
        _xlfn.XLOOKUP('Rate Load'!L97, 'Wedgewood Pharm-PME-Yr2-2025'!$D$5:$D$28,
            'Wedgewood Pharm-PME-Yr2-2025'!$E$5:$L$28, 0, 0),
        0, 0)
)</f>
        <v>44.019999999999996</v>
      </c>
      <c r="K97" t="s">
        <v>46</v>
      </c>
      <c r="L97" t="s">
        <v>13</v>
      </c>
      <c r="M97">
        <v>1</v>
      </c>
      <c r="N97" t="str">
        <f t="shared" si="1"/>
        <v>INSERT INTO TNL_RATING.dbo.usps_rate_master VALUES ('USPS', '2/13/2025', '2/13/2026', 12659, 'US', 'Priority Mail Express', 5, 11, 'L', 44.02, 'Wedgewood_USPS_2025', 'NonCubic','1');</v>
      </c>
    </row>
    <row r="98" spans="1:14" x14ac:dyDescent="0.3">
      <c r="A98" t="s">
        <v>11</v>
      </c>
      <c r="B98" s="1" t="s">
        <v>43</v>
      </c>
      <c r="C98" s="1" t="s">
        <v>44</v>
      </c>
      <c r="D98">
        <v>12659</v>
      </c>
      <c r="E98" t="s">
        <v>12</v>
      </c>
      <c r="F98" t="s">
        <v>42</v>
      </c>
      <c r="G98">
        <v>5</v>
      </c>
      <c r="H98">
        <v>12</v>
      </c>
      <c r="I98" t="s">
        <v>45</v>
      </c>
      <c r="J98" cm="1">
        <f t="array" ref="J98">IFERROR(
    _xlfn.XLOOKUP(G98, 'Wedgewood Pharm-PME-Yr2-2025'!$E$4:$L$4,
        _xlfn.XLOOKUP('Rate Load'!H98, 'Wedgewood Pharm-PME-Yr2-2025'!$D$5:$D$28,
            'Wedgewood Pharm-PME-Yr2-2025'!$E$5:$L$28, 0, 0),
        0, 0),
    _xlfn.XLOOKUP(G98, 'Wedgewood Pharm-PME-Yr2-2025'!$E$4:$L$4,
        _xlfn.XLOOKUP('Rate Load'!L98, 'Wedgewood Pharm-PME-Yr2-2025'!$D$5:$D$28,
            'Wedgewood Pharm-PME-Yr2-2025'!$E$5:$L$28, 0, 0),
        0, 0)
)</f>
        <v>46.58</v>
      </c>
      <c r="K98" t="s">
        <v>46</v>
      </c>
      <c r="L98" t="s">
        <v>13</v>
      </c>
      <c r="M98">
        <v>1</v>
      </c>
      <c r="N98" t="str">
        <f t="shared" si="1"/>
        <v>INSERT INTO TNL_RATING.dbo.usps_rate_master VALUES ('USPS', '2/13/2025', '2/13/2026', 12659, 'US', 'Priority Mail Express', 5, 12, 'L', 46.58, 'Wedgewood_USPS_2025', 'NonCubic','1');</v>
      </c>
    </row>
    <row r="99" spans="1:14" x14ac:dyDescent="0.3">
      <c r="A99" t="s">
        <v>11</v>
      </c>
      <c r="B99" s="1" t="s">
        <v>43</v>
      </c>
      <c r="C99" s="1" t="s">
        <v>44</v>
      </c>
      <c r="D99">
        <v>12659</v>
      </c>
      <c r="E99" t="s">
        <v>12</v>
      </c>
      <c r="F99" t="s">
        <v>42</v>
      </c>
      <c r="G99">
        <v>5</v>
      </c>
      <c r="H99">
        <v>13</v>
      </c>
      <c r="I99" t="s">
        <v>45</v>
      </c>
      <c r="J99" cm="1">
        <f t="array" ref="J99">IFERROR(
    _xlfn.XLOOKUP(G99, 'Wedgewood Pharm-PME-Yr2-2025'!$E$4:$L$4,
        _xlfn.XLOOKUP('Rate Load'!H99, 'Wedgewood Pharm-PME-Yr2-2025'!$D$5:$D$28,
            'Wedgewood Pharm-PME-Yr2-2025'!$E$5:$L$28, 0, 0),
        0, 0),
    _xlfn.XLOOKUP(G99, 'Wedgewood Pharm-PME-Yr2-2025'!$E$4:$L$4,
        _xlfn.XLOOKUP('Rate Load'!L99, 'Wedgewood Pharm-PME-Yr2-2025'!$D$5:$D$28,
            'Wedgewood Pharm-PME-Yr2-2025'!$E$5:$L$28, 0, 0),
        0, 0)
)</f>
        <v>49.12</v>
      </c>
      <c r="K99" t="s">
        <v>46</v>
      </c>
      <c r="L99" t="s">
        <v>13</v>
      </c>
      <c r="M99">
        <v>1</v>
      </c>
      <c r="N99" t="str">
        <f t="shared" si="1"/>
        <v>INSERT INTO TNL_RATING.dbo.usps_rate_master VALUES ('USPS', '2/13/2025', '2/13/2026', 12659, 'US', 'Priority Mail Express', 5, 13, 'L', 49.12, 'Wedgewood_USPS_2025', 'NonCubic','1');</v>
      </c>
    </row>
    <row r="100" spans="1:14" x14ac:dyDescent="0.3">
      <c r="A100" t="s">
        <v>11</v>
      </c>
      <c r="B100" s="1" t="s">
        <v>43</v>
      </c>
      <c r="C100" s="1" t="s">
        <v>44</v>
      </c>
      <c r="D100">
        <v>12659</v>
      </c>
      <c r="E100" t="s">
        <v>12</v>
      </c>
      <c r="F100" t="s">
        <v>42</v>
      </c>
      <c r="G100">
        <v>5</v>
      </c>
      <c r="H100">
        <v>14</v>
      </c>
      <c r="I100" t="s">
        <v>45</v>
      </c>
      <c r="J100" cm="1">
        <f t="array" ref="J100">IFERROR(
    _xlfn.XLOOKUP(G100, 'Wedgewood Pharm-PME-Yr2-2025'!$E$4:$L$4,
        _xlfn.XLOOKUP('Rate Load'!H100, 'Wedgewood Pharm-PME-Yr2-2025'!$D$5:$D$28,
            'Wedgewood Pharm-PME-Yr2-2025'!$E$5:$L$28, 0, 0),
        0, 0),
    _xlfn.XLOOKUP(G100, 'Wedgewood Pharm-PME-Yr2-2025'!$E$4:$L$4,
        _xlfn.XLOOKUP('Rate Load'!L100, 'Wedgewood Pharm-PME-Yr2-2025'!$D$5:$D$28,
            'Wedgewood Pharm-PME-Yr2-2025'!$E$5:$L$28, 0, 0),
        0, 0)
)</f>
        <v>51.69</v>
      </c>
      <c r="K100" t="s">
        <v>46</v>
      </c>
      <c r="L100" t="s">
        <v>13</v>
      </c>
      <c r="M100">
        <v>1</v>
      </c>
      <c r="N100" t="str">
        <f t="shared" si="1"/>
        <v>INSERT INTO TNL_RATING.dbo.usps_rate_master VALUES ('USPS', '2/13/2025', '2/13/2026', 12659, 'US', 'Priority Mail Express', 5, 14, 'L', 51.69, 'Wedgewood_USPS_2025', 'NonCubic','1');</v>
      </c>
    </row>
    <row r="101" spans="1:14" x14ac:dyDescent="0.3">
      <c r="A101" t="s">
        <v>11</v>
      </c>
      <c r="B101" s="1" t="s">
        <v>43</v>
      </c>
      <c r="C101" s="1" t="s">
        <v>44</v>
      </c>
      <c r="D101">
        <v>12659</v>
      </c>
      <c r="E101" t="s">
        <v>12</v>
      </c>
      <c r="F101" t="s">
        <v>42</v>
      </c>
      <c r="G101">
        <v>5</v>
      </c>
      <c r="H101">
        <v>15</v>
      </c>
      <c r="I101" t="s">
        <v>45</v>
      </c>
      <c r="J101" cm="1">
        <f t="array" ref="J101">IFERROR(
    _xlfn.XLOOKUP(G101, 'Wedgewood Pharm-PME-Yr2-2025'!$E$4:$L$4,
        _xlfn.XLOOKUP('Rate Load'!H101, 'Wedgewood Pharm-PME-Yr2-2025'!$D$5:$D$28,
            'Wedgewood Pharm-PME-Yr2-2025'!$E$5:$L$28, 0, 0),
        0, 0),
    _xlfn.XLOOKUP(G101, 'Wedgewood Pharm-PME-Yr2-2025'!$E$4:$L$4,
        _xlfn.XLOOKUP('Rate Load'!L101, 'Wedgewood Pharm-PME-Yr2-2025'!$D$5:$D$28,
            'Wedgewood Pharm-PME-Yr2-2025'!$E$5:$L$28, 0, 0),
        0, 0)
)</f>
        <v>54.25</v>
      </c>
      <c r="K101" t="s">
        <v>46</v>
      </c>
      <c r="L101" t="s">
        <v>13</v>
      </c>
      <c r="M101">
        <v>1</v>
      </c>
      <c r="N101" t="str">
        <f t="shared" si="1"/>
        <v>INSERT INTO TNL_RATING.dbo.usps_rate_master VALUES ('USPS', '2/13/2025', '2/13/2026', 12659, 'US', 'Priority Mail Express', 5, 15, 'L', 54.25, 'Wedgewood_USPS_2025', 'NonCubic','1');</v>
      </c>
    </row>
    <row r="102" spans="1:14" x14ac:dyDescent="0.3">
      <c r="A102" t="s">
        <v>11</v>
      </c>
      <c r="B102" s="1" t="s">
        <v>43</v>
      </c>
      <c r="C102" s="1" t="s">
        <v>44</v>
      </c>
      <c r="D102">
        <v>12659</v>
      </c>
      <c r="E102" t="s">
        <v>12</v>
      </c>
      <c r="F102" t="s">
        <v>42</v>
      </c>
      <c r="G102">
        <v>5</v>
      </c>
      <c r="H102">
        <v>16</v>
      </c>
      <c r="I102" t="s">
        <v>45</v>
      </c>
      <c r="J102" cm="1">
        <f t="array" ref="J102">IFERROR(
    _xlfn.XLOOKUP(G102, 'Wedgewood Pharm-PME-Yr2-2025'!$E$4:$L$4,
        _xlfn.XLOOKUP('Rate Load'!H102, 'Wedgewood Pharm-PME-Yr2-2025'!$D$5:$D$28,
            'Wedgewood Pharm-PME-Yr2-2025'!$E$5:$L$28, 0, 0),
        0, 0),
    _xlfn.XLOOKUP(G102, 'Wedgewood Pharm-PME-Yr2-2025'!$E$4:$L$4,
        _xlfn.XLOOKUP('Rate Load'!L102, 'Wedgewood Pharm-PME-Yr2-2025'!$D$5:$D$28,
            'Wedgewood Pharm-PME-Yr2-2025'!$E$5:$L$28, 0, 0),
        0, 0)
)</f>
        <v>56.8</v>
      </c>
      <c r="K102" t="s">
        <v>46</v>
      </c>
      <c r="L102" t="s">
        <v>13</v>
      </c>
      <c r="M102">
        <v>1</v>
      </c>
      <c r="N102" t="str">
        <f t="shared" si="1"/>
        <v>INSERT INTO TNL_RATING.dbo.usps_rate_master VALUES ('USPS', '2/13/2025', '2/13/2026', 12659, 'US', 'Priority Mail Express', 5, 16, 'L', 56.8, 'Wedgewood_USPS_2025', 'NonCubic','1');</v>
      </c>
    </row>
    <row r="103" spans="1:14" x14ac:dyDescent="0.3">
      <c r="A103" t="s">
        <v>11</v>
      </c>
      <c r="B103" s="1" t="s">
        <v>43</v>
      </c>
      <c r="C103" s="1" t="s">
        <v>44</v>
      </c>
      <c r="D103">
        <v>12659</v>
      </c>
      <c r="E103" t="s">
        <v>12</v>
      </c>
      <c r="F103" t="s">
        <v>42</v>
      </c>
      <c r="G103">
        <v>5</v>
      </c>
      <c r="H103">
        <v>17</v>
      </c>
      <c r="I103" t="s">
        <v>45</v>
      </c>
      <c r="J103" cm="1">
        <f t="array" ref="J103">IFERROR(
    _xlfn.XLOOKUP(G103, 'Wedgewood Pharm-PME-Yr2-2025'!$E$4:$L$4,
        _xlfn.XLOOKUP('Rate Load'!H103, 'Wedgewood Pharm-PME-Yr2-2025'!$D$5:$D$28,
            'Wedgewood Pharm-PME-Yr2-2025'!$E$5:$L$28, 0, 0),
        0, 0),
    _xlfn.XLOOKUP(G103, 'Wedgewood Pharm-PME-Yr2-2025'!$E$4:$L$4,
        _xlfn.XLOOKUP('Rate Load'!L103, 'Wedgewood Pharm-PME-Yr2-2025'!$D$5:$D$28,
            'Wedgewood Pharm-PME-Yr2-2025'!$E$5:$L$28, 0, 0),
        0, 0)
)</f>
        <v>59.36</v>
      </c>
      <c r="K103" t="s">
        <v>46</v>
      </c>
      <c r="L103" t="s">
        <v>13</v>
      </c>
      <c r="M103">
        <v>1</v>
      </c>
      <c r="N103" t="str">
        <f t="shared" si="1"/>
        <v>INSERT INTO TNL_RATING.dbo.usps_rate_master VALUES ('USPS', '2/13/2025', '2/13/2026', 12659, 'US', 'Priority Mail Express', 5, 17, 'L', 59.36, 'Wedgewood_USPS_2025', 'NonCubic','1');</v>
      </c>
    </row>
    <row r="104" spans="1:14" x14ac:dyDescent="0.3">
      <c r="A104" t="s">
        <v>11</v>
      </c>
      <c r="B104" s="1" t="s">
        <v>43</v>
      </c>
      <c r="C104" s="1" t="s">
        <v>44</v>
      </c>
      <c r="D104">
        <v>12659</v>
      </c>
      <c r="E104" t="s">
        <v>12</v>
      </c>
      <c r="F104" t="s">
        <v>42</v>
      </c>
      <c r="G104">
        <v>5</v>
      </c>
      <c r="H104">
        <v>18</v>
      </c>
      <c r="I104" t="s">
        <v>45</v>
      </c>
      <c r="J104" cm="1">
        <f t="array" ref="J104">IFERROR(
    _xlfn.XLOOKUP(G104, 'Wedgewood Pharm-PME-Yr2-2025'!$E$4:$L$4,
        _xlfn.XLOOKUP('Rate Load'!H104, 'Wedgewood Pharm-PME-Yr2-2025'!$D$5:$D$28,
            'Wedgewood Pharm-PME-Yr2-2025'!$E$5:$L$28, 0, 0),
        0, 0),
    _xlfn.XLOOKUP(G104, 'Wedgewood Pharm-PME-Yr2-2025'!$E$4:$L$4,
        _xlfn.XLOOKUP('Rate Load'!L104, 'Wedgewood Pharm-PME-Yr2-2025'!$D$5:$D$28,
            'Wedgewood Pharm-PME-Yr2-2025'!$E$5:$L$28, 0, 0),
        0, 0)
)</f>
        <v>61.91</v>
      </c>
      <c r="K104" t="s">
        <v>46</v>
      </c>
      <c r="L104" t="s">
        <v>13</v>
      </c>
      <c r="M104">
        <v>1</v>
      </c>
      <c r="N104" t="str">
        <f t="shared" si="1"/>
        <v>INSERT INTO TNL_RATING.dbo.usps_rate_master VALUES ('USPS', '2/13/2025', '2/13/2026', 12659, 'US', 'Priority Mail Express', 5, 18, 'L', 61.91, 'Wedgewood_USPS_2025', 'NonCubic','1');</v>
      </c>
    </row>
    <row r="105" spans="1:14" x14ac:dyDescent="0.3">
      <c r="A105" t="s">
        <v>11</v>
      </c>
      <c r="B105" s="1" t="s">
        <v>43</v>
      </c>
      <c r="C105" s="1" t="s">
        <v>44</v>
      </c>
      <c r="D105">
        <v>12659</v>
      </c>
      <c r="E105" t="s">
        <v>12</v>
      </c>
      <c r="F105" t="s">
        <v>42</v>
      </c>
      <c r="G105">
        <v>5</v>
      </c>
      <c r="H105">
        <v>19</v>
      </c>
      <c r="I105" t="s">
        <v>45</v>
      </c>
      <c r="J105" cm="1">
        <f t="array" ref="J105">IFERROR(
    _xlfn.XLOOKUP(G105, 'Wedgewood Pharm-PME-Yr2-2025'!$E$4:$L$4,
        _xlfn.XLOOKUP('Rate Load'!H105, 'Wedgewood Pharm-PME-Yr2-2025'!$D$5:$D$28,
            'Wedgewood Pharm-PME-Yr2-2025'!$E$5:$L$28, 0, 0),
        0, 0),
    _xlfn.XLOOKUP(G105, 'Wedgewood Pharm-PME-Yr2-2025'!$E$4:$L$4,
        _xlfn.XLOOKUP('Rate Load'!L105, 'Wedgewood Pharm-PME-Yr2-2025'!$D$5:$D$28,
            'Wedgewood Pharm-PME-Yr2-2025'!$E$5:$L$28, 0, 0),
        0, 0)
)</f>
        <v>64.47</v>
      </c>
      <c r="K105" t="s">
        <v>46</v>
      </c>
      <c r="L105" t="s">
        <v>13</v>
      </c>
      <c r="M105">
        <v>1</v>
      </c>
      <c r="N105" t="str">
        <f t="shared" si="1"/>
        <v>INSERT INTO TNL_RATING.dbo.usps_rate_master VALUES ('USPS', '2/13/2025', '2/13/2026', 12659, 'US', 'Priority Mail Express', 5, 19, 'L', 64.47, 'Wedgewood_USPS_2025', 'NonCubic','1');</v>
      </c>
    </row>
    <row r="106" spans="1:14" x14ac:dyDescent="0.3">
      <c r="A106" t="s">
        <v>11</v>
      </c>
      <c r="B106" s="1" t="s">
        <v>43</v>
      </c>
      <c r="C106" s="1" t="s">
        <v>44</v>
      </c>
      <c r="D106">
        <v>12659</v>
      </c>
      <c r="E106" t="s">
        <v>12</v>
      </c>
      <c r="F106" t="s">
        <v>42</v>
      </c>
      <c r="G106">
        <v>5</v>
      </c>
      <c r="H106">
        <v>20</v>
      </c>
      <c r="I106" t="s">
        <v>45</v>
      </c>
      <c r="J106" cm="1">
        <f t="array" ref="J106">IFERROR(
    _xlfn.XLOOKUP(G106, 'Wedgewood Pharm-PME-Yr2-2025'!$E$4:$L$4,
        _xlfn.XLOOKUP('Rate Load'!H106, 'Wedgewood Pharm-PME-Yr2-2025'!$D$5:$D$28,
            'Wedgewood Pharm-PME-Yr2-2025'!$E$5:$L$28, 0, 0),
        0, 0),
    _xlfn.XLOOKUP(G106, 'Wedgewood Pharm-PME-Yr2-2025'!$E$4:$L$4,
        _xlfn.XLOOKUP('Rate Load'!L106, 'Wedgewood Pharm-PME-Yr2-2025'!$D$5:$D$28,
            'Wedgewood Pharm-PME-Yr2-2025'!$E$5:$L$28, 0, 0),
        0, 0)
)</f>
        <v>67.02000000000001</v>
      </c>
      <c r="K106" t="s">
        <v>46</v>
      </c>
      <c r="L106" t="s">
        <v>13</v>
      </c>
      <c r="M106">
        <v>1</v>
      </c>
      <c r="N106" t="str">
        <f t="shared" si="1"/>
        <v>INSERT INTO TNL_RATING.dbo.usps_rate_master VALUES ('USPS', '2/13/2025', '2/13/2026', 12659, 'US', 'Priority Mail Express', 5, 20, 'L', 67.02, 'Wedgewood_USPS_2025', 'NonCubic','1');</v>
      </c>
    </row>
    <row r="107" spans="1:14" x14ac:dyDescent="0.3">
      <c r="A107" t="s">
        <v>11</v>
      </c>
      <c r="B107" s="1" t="s">
        <v>43</v>
      </c>
      <c r="C107" s="1" t="s">
        <v>44</v>
      </c>
      <c r="D107">
        <v>12659</v>
      </c>
      <c r="E107" t="s">
        <v>12</v>
      </c>
      <c r="F107" t="s">
        <v>42</v>
      </c>
      <c r="G107">
        <v>6</v>
      </c>
      <c r="H107">
        <v>0.5</v>
      </c>
      <c r="I107" t="s">
        <v>45</v>
      </c>
      <c r="J107" cm="1">
        <f t="array" ref="J107">IFERROR(
    _xlfn.XLOOKUP(G107, 'Wedgewood Pharm-PME-Yr2-2025'!$E$4:$L$4,
        _xlfn.XLOOKUP('Rate Load'!H107, 'Wedgewood Pharm-PME-Yr2-2025'!$D$5:$D$28,
            'Wedgewood Pharm-PME-Yr2-2025'!$E$5:$L$28, 0, 0),
        0, 0),
    _xlfn.XLOOKUP(G107, 'Wedgewood Pharm-PME-Yr2-2025'!$E$4:$L$4,
        _xlfn.XLOOKUP('Rate Load'!L107, 'Wedgewood Pharm-PME-Yr2-2025'!$D$5:$D$28,
            'Wedgewood Pharm-PME-Yr2-2025'!$E$5:$L$28, 0, 0),
        0, 0)
)</f>
        <v>15.45</v>
      </c>
      <c r="K107" t="s">
        <v>46</v>
      </c>
      <c r="L107" t="s">
        <v>13</v>
      </c>
      <c r="M107">
        <v>1</v>
      </c>
      <c r="N107" t="str">
        <f t="shared" si="1"/>
        <v>INSERT INTO TNL_RATING.dbo.usps_rate_master VALUES ('USPS', '2/13/2025', '2/13/2026', 12659, 'US', 'Priority Mail Express', 6, 0.5, 'L', 15.45, 'Wedgewood_USPS_2025', 'NonCubic','1');</v>
      </c>
    </row>
    <row r="108" spans="1:14" x14ac:dyDescent="0.3">
      <c r="A108" t="s">
        <v>11</v>
      </c>
      <c r="B108" s="1" t="s">
        <v>43</v>
      </c>
      <c r="C108" s="1" t="s">
        <v>44</v>
      </c>
      <c r="D108">
        <v>12659</v>
      </c>
      <c r="E108" t="s">
        <v>12</v>
      </c>
      <c r="F108" t="s">
        <v>42</v>
      </c>
      <c r="G108">
        <v>6</v>
      </c>
      <c r="H108">
        <v>1</v>
      </c>
      <c r="I108" t="s">
        <v>45</v>
      </c>
      <c r="J108" cm="1">
        <f t="array" ref="J108">IFERROR(
    _xlfn.XLOOKUP(G108, 'Wedgewood Pharm-PME-Yr2-2025'!$E$4:$L$4,
        _xlfn.XLOOKUP('Rate Load'!H108, 'Wedgewood Pharm-PME-Yr2-2025'!$D$5:$D$28,
            'Wedgewood Pharm-PME-Yr2-2025'!$E$5:$L$28, 0, 0),
        0, 0),
    _xlfn.XLOOKUP(G108, 'Wedgewood Pharm-PME-Yr2-2025'!$E$4:$L$4,
        _xlfn.XLOOKUP('Rate Load'!L108, 'Wedgewood Pharm-PME-Yr2-2025'!$D$5:$D$28,
            'Wedgewood Pharm-PME-Yr2-2025'!$E$5:$L$28, 0, 0),
        0, 0)
)</f>
        <v>17.180000000000003</v>
      </c>
      <c r="K108" t="s">
        <v>46</v>
      </c>
      <c r="L108" t="s">
        <v>13</v>
      </c>
      <c r="M108">
        <v>1</v>
      </c>
      <c r="N108" t="str">
        <f t="shared" si="1"/>
        <v>INSERT INTO TNL_RATING.dbo.usps_rate_master VALUES ('USPS', '2/13/2025', '2/13/2026', 12659, 'US', 'Priority Mail Express', 6, 1, 'L', 17.18, 'Wedgewood_USPS_2025', 'NonCubic','1');</v>
      </c>
    </row>
    <row r="109" spans="1:14" x14ac:dyDescent="0.3">
      <c r="A109" t="s">
        <v>11</v>
      </c>
      <c r="B109" s="1" t="s">
        <v>43</v>
      </c>
      <c r="C109" s="1" t="s">
        <v>44</v>
      </c>
      <c r="D109">
        <v>12659</v>
      </c>
      <c r="E109" t="s">
        <v>12</v>
      </c>
      <c r="F109" t="s">
        <v>42</v>
      </c>
      <c r="G109">
        <v>6</v>
      </c>
      <c r="H109">
        <v>2</v>
      </c>
      <c r="I109" t="s">
        <v>45</v>
      </c>
      <c r="J109" cm="1">
        <f t="array" ref="J109">IFERROR(
    _xlfn.XLOOKUP(G109, 'Wedgewood Pharm-PME-Yr2-2025'!$E$4:$L$4,
        _xlfn.XLOOKUP('Rate Load'!H109, 'Wedgewood Pharm-PME-Yr2-2025'!$D$5:$D$28,
            'Wedgewood Pharm-PME-Yr2-2025'!$E$5:$L$28, 0, 0),
        0, 0),
    _xlfn.XLOOKUP(G109, 'Wedgewood Pharm-PME-Yr2-2025'!$E$4:$L$4,
        _xlfn.XLOOKUP('Rate Load'!L109, 'Wedgewood Pharm-PME-Yr2-2025'!$D$5:$D$28,
            'Wedgewood Pharm-PME-Yr2-2025'!$E$5:$L$28, 0, 0),
        0, 0)
)</f>
        <v>19.700000000000003</v>
      </c>
      <c r="K109" t="s">
        <v>46</v>
      </c>
      <c r="L109" t="s">
        <v>13</v>
      </c>
      <c r="M109">
        <v>1</v>
      </c>
      <c r="N109" t="str">
        <f t="shared" si="1"/>
        <v>INSERT INTO TNL_RATING.dbo.usps_rate_master VALUES ('USPS', '2/13/2025', '2/13/2026', 12659, 'US', 'Priority Mail Express', 6, 2, 'L', 19.7, 'Wedgewood_USPS_2025', 'NonCubic','1');</v>
      </c>
    </row>
    <row r="110" spans="1:14" x14ac:dyDescent="0.3">
      <c r="A110" t="s">
        <v>11</v>
      </c>
      <c r="B110" s="1" t="s">
        <v>43</v>
      </c>
      <c r="C110" s="1" t="s">
        <v>44</v>
      </c>
      <c r="D110">
        <v>12659</v>
      </c>
      <c r="E110" t="s">
        <v>12</v>
      </c>
      <c r="F110" t="s">
        <v>42</v>
      </c>
      <c r="G110">
        <v>6</v>
      </c>
      <c r="H110">
        <v>3</v>
      </c>
      <c r="I110" t="s">
        <v>45</v>
      </c>
      <c r="J110" cm="1">
        <f t="array" ref="J110">IFERROR(
    _xlfn.XLOOKUP(G110, 'Wedgewood Pharm-PME-Yr2-2025'!$E$4:$L$4,
        _xlfn.XLOOKUP('Rate Load'!H110, 'Wedgewood Pharm-PME-Yr2-2025'!$D$5:$D$28,
            'Wedgewood Pharm-PME-Yr2-2025'!$E$5:$L$28, 0, 0),
        0, 0),
    _xlfn.XLOOKUP(G110, 'Wedgewood Pharm-PME-Yr2-2025'!$E$4:$L$4,
        _xlfn.XLOOKUP('Rate Load'!L110, 'Wedgewood Pharm-PME-Yr2-2025'!$D$5:$D$28,
            'Wedgewood Pharm-PME-Yr2-2025'!$E$5:$L$28, 0, 0),
        0, 0)
)</f>
        <v>22.630000000000003</v>
      </c>
      <c r="K110" t="s">
        <v>46</v>
      </c>
      <c r="L110" t="s">
        <v>13</v>
      </c>
      <c r="M110">
        <v>1</v>
      </c>
      <c r="N110" t="str">
        <f t="shared" si="1"/>
        <v>INSERT INTO TNL_RATING.dbo.usps_rate_master VALUES ('USPS', '2/13/2025', '2/13/2026', 12659, 'US', 'Priority Mail Express', 6, 3, 'L', 22.63, 'Wedgewood_USPS_2025', 'NonCubic','1');</v>
      </c>
    </row>
    <row r="111" spans="1:14" x14ac:dyDescent="0.3">
      <c r="A111" t="s">
        <v>11</v>
      </c>
      <c r="B111" s="1" t="s">
        <v>43</v>
      </c>
      <c r="C111" s="1" t="s">
        <v>44</v>
      </c>
      <c r="D111">
        <v>12659</v>
      </c>
      <c r="E111" t="s">
        <v>12</v>
      </c>
      <c r="F111" t="s">
        <v>42</v>
      </c>
      <c r="G111">
        <v>6</v>
      </c>
      <c r="H111">
        <v>4</v>
      </c>
      <c r="I111" t="s">
        <v>45</v>
      </c>
      <c r="J111" cm="1">
        <f t="array" ref="J111">IFERROR(
    _xlfn.XLOOKUP(G111, 'Wedgewood Pharm-PME-Yr2-2025'!$E$4:$L$4,
        _xlfn.XLOOKUP('Rate Load'!H111, 'Wedgewood Pharm-PME-Yr2-2025'!$D$5:$D$28,
            'Wedgewood Pharm-PME-Yr2-2025'!$E$5:$L$28, 0, 0),
        0, 0),
    _xlfn.XLOOKUP(G111, 'Wedgewood Pharm-PME-Yr2-2025'!$E$4:$L$4,
        _xlfn.XLOOKUP('Rate Load'!L111, 'Wedgewood Pharm-PME-Yr2-2025'!$D$5:$D$28,
            'Wedgewood Pharm-PME-Yr2-2025'!$E$5:$L$28, 0, 0),
        0, 0)
)</f>
        <v>25.560000000000002</v>
      </c>
      <c r="K111" t="s">
        <v>46</v>
      </c>
      <c r="L111" t="s">
        <v>13</v>
      </c>
      <c r="M111">
        <v>1</v>
      </c>
      <c r="N111" t="str">
        <f t="shared" si="1"/>
        <v>INSERT INTO TNL_RATING.dbo.usps_rate_master VALUES ('USPS', '2/13/2025', '2/13/2026', 12659, 'US', 'Priority Mail Express', 6, 4, 'L', 25.56, 'Wedgewood_USPS_2025', 'NonCubic','1');</v>
      </c>
    </row>
    <row r="112" spans="1:14" x14ac:dyDescent="0.3">
      <c r="A112" t="s">
        <v>11</v>
      </c>
      <c r="B112" s="1" t="s">
        <v>43</v>
      </c>
      <c r="C112" s="1" t="s">
        <v>44</v>
      </c>
      <c r="D112">
        <v>12659</v>
      </c>
      <c r="E112" t="s">
        <v>12</v>
      </c>
      <c r="F112" t="s">
        <v>42</v>
      </c>
      <c r="G112">
        <v>6</v>
      </c>
      <c r="H112">
        <v>5</v>
      </c>
      <c r="I112" t="s">
        <v>45</v>
      </c>
      <c r="J112" cm="1">
        <f t="array" ref="J112">IFERROR(
    _xlfn.XLOOKUP(G112, 'Wedgewood Pharm-PME-Yr2-2025'!$E$4:$L$4,
        _xlfn.XLOOKUP('Rate Load'!H112, 'Wedgewood Pharm-PME-Yr2-2025'!$D$5:$D$28,
            'Wedgewood Pharm-PME-Yr2-2025'!$E$5:$L$28, 0, 0),
        0, 0),
    _xlfn.XLOOKUP(G112, 'Wedgewood Pharm-PME-Yr2-2025'!$E$4:$L$4,
        _xlfn.XLOOKUP('Rate Load'!L112, 'Wedgewood Pharm-PME-Yr2-2025'!$D$5:$D$28,
            'Wedgewood Pharm-PME-Yr2-2025'!$E$5:$L$28, 0, 0),
        0, 0)
)</f>
        <v>28.48</v>
      </c>
      <c r="K112" t="s">
        <v>46</v>
      </c>
      <c r="L112" t="s">
        <v>13</v>
      </c>
      <c r="M112">
        <v>1</v>
      </c>
      <c r="N112" t="str">
        <f t="shared" si="1"/>
        <v>INSERT INTO TNL_RATING.dbo.usps_rate_master VALUES ('USPS', '2/13/2025', '2/13/2026', 12659, 'US', 'Priority Mail Express', 6, 5, 'L', 28.48, 'Wedgewood_USPS_2025', 'NonCubic','1');</v>
      </c>
    </row>
    <row r="113" spans="1:14" x14ac:dyDescent="0.3">
      <c r="A113" t="s">
        <v>11</v>
      </c>
      <c r="B113" s="1" t="s">
        <v>43</v>
      </c>
      <c r="C113" s="1" t="s">
        <v>44</v>
      </c>
      <c r="D113">
        <v>12659</v>
      </c>
      <c r="E113" t="s">
        <v>12</v>
      </c>
      <c r="F113" t="s">
        <v>42</v>
      </c>
      <c r="G113">
        <v>6</v>
      </c>
      <c r="H113">
        <v>6</v>
      </c>
      <c r="I113" t="s">
        <v>45</v>
      </c>
      <c r="J113" cm="1">
        <f t="array" ref="J113">IFERROR(
    _xlfn.XLOOKUP(G113, 'Wedgewood Pharm-PME-Yr2-2025'!$E$4:$L$4,
        _xlfn.XLOOKUP('Rate Load'!H113, 'Wedgewood Pharm-PME-Yr2-2025'!$D$5:$D$28,
            'Wedgewood Pharm-PME-Yr2-2025'!$E$5:$L$28, 0, 0),
        0, 0),
    _xlfn.XLOOKUP(G113, 'Wedgewood Pharm-PME-Yr2-2025'!$E$4:$L$4,
        _xlfn.XLOOKUP('Rate Load'!L113, 'Wedgewood Pharm-PME-Yr2-2025'!$D$5:$D$28,
            'Wedgewood Pharm-PME-Yr2-2025'!$E$5:$L$28, 0, 0),
        0, 0)
)</f>
        <v>31.37</v>
      </c>
      <c r="K113" t="s">
        <v>46</v>
      </c>
      <c r="L113" t="s">
        <v>13</v>
      </c>
      <c r="M113">
        <v>1</v>
      </c>
      <c r="N113" t="str">
        <f t="shared" si="1"/>
        <v>INSERT INTO TNL_RATING.dbo.usps_rate_master VALUES ('USPS', '2/13/2025', '2/13/2026', 12659, 'US', 'Priority Mail Express', 6, 6, 'L', 31.37, 'Wedgewood_USPS_2025', 'NonCubic','1');</v>
      </c>
    </row>
    <row r="114" spans="1:14" x14ac:dyDescent="0.3">
      <c r="A114" t="s">
        <v>11</v>
      </c>
      <c r="B114" s="1" t="s">
        <v>43</v>
      </c>
      <c r="C114" s="1" t="s">
        <v>44</v>
      </c>
      <c r="D114">
        <v>12659</v>
      </c>
      <c r="E114" t="s">
        <v>12</v>
      </c>
      <c r="F114" t="s">
        <v>42</v>
      </c>
      <c r="G114">
        <v>6</v>
      </c>
      <c r="H114">
        <v>7</v>
      </c>
      <c r="I114" t="s">
        <v>45</v>
      </c>
      <c r="J114" cm="1">
        <f t="array" ref="J114">IFERROR(
    _xlfn.XLOOKUP(G114, 'Wedgewood Pharm-PME-Yr2-2025'!$E$4:$L$4,
        _xlfn.XLOOKUP('Rate Load'!H114, 'Wedgewood Pharm-PME-Yr2-2025'!$D$5:$D$28,
            'Wedgewood Pharm-PME-Yr2-2025'!$E$5:$L$28, 0, 0),
        0, 0),
    _xlfn.XLOOKUP(G114, 'Wedgewood Pharm-PME-Yr2-2025'!$E$4:$L$4,
        _xlfn.XLOOKUP('Rate Load'!L114, 'Wedgewood Pharm-PME-Yr2-2025'!$D$5:$D$28,
            'Wedgewood Pharm-PME-Yr2-2025'!$E$5:$L$28, 0, 0),
        0, 0)
)</f>
        <v>34.239999999999995</v>
      </c>
      <c r="K114" t="s">
        <v>46</v>
      </c>
      <c r="L114" t="s">
        <v>13</v>
      </c>
      <c r="M114">
        <v>1</v>
      </c>
      <c r="N114" t="str">
        <f t="shared" si="1"/>
        <v>INSERT INTO TNL_RATING.dbo.usps_rate_master VALUES ('USPS', '2/13/2025', '2/13/2026', 12659, 'US', 'Priority Mail Express', 6, 7, 'L', 34.24, 'Wedgewood_USPS_2025', 'NonCubic','1');</v>
      </c>
    </row>
    <row r="115" spans="1:14" x14ac:dyDescent="0.3">
      <c r="A115" t="s">
        <v>11</v>
      </c>
      <c r="B115" s="1" t="s">
        <v>43</v>
      </c>
      <c r="C115" s="1" t="s">
        <v>44</v>
      </c>
      <c r="D115">
        <v>12659</v>
      </c>
      <c r="E115" t="s">
        <v>12</v>
      </c>
      <c r="F115" t="s">
        <v>42</v>
      </c>
      <c r="G115">
        <v>6</v>
      </c>
      <c r="H115">
        <v>8</v>
      </c>
      <c r="I115" t="s">
        <v>45</v>
      </c>
      <c r="J115" cm="1">
        <f t="array" ref="J115">IFERROR(
    _xlfn.XLOOKUP(G115, 'Wedgewood Pharm-PME-Yr2-2025'!$E$4:$L$4,
        _xlfn.XLOOKUP('Rate Load'!H115, 'Wedgewood Pharm-PME-Yr2-2025'!$D$5:$D$28,
            'Wedgewood Pharm-PME-Yr2-2025'!$E$5:$L$28, 0, 0),
        0, 0),
    _xlfn.XLOOKUP(G115, 'Wedgewood Pharm-PME-Yr2-2025'!$E$4:$L$4,
        _xlfn.XLOOKUP('Rate Load'!L115, 'Wedgewood Pharm-PME-Yr2-2025'!$D$5:$D$28,
            'Wedgewood Pharm-PME-Yr2-2025'!$E$5:$L$28, 0, 0),
        0, 0)
)</f>
        <v>37.119999999999997</v>
      </c>
      <c r="K115" t="s">
        <v>46</v>
      </c>
      <c r="L115" t="s">
        <v>13</v>
      </c>
      <c r="M115">
        <v>1</v>
      </c>
      <c r="N115" t="str">
        <f t="shared" si="1"/>
        <v>INSERT INTO TNL_RATING.dbo.usps_rate_master VALUES ('USPS', '2/13/2025', '2/13/2026', 12659, 'US', 'Priority Mail Express', 6, 8, 'L', 37.12, 'Wedgewood_USPS_2025', 'NonCubic','1');</v>
      </c>
    </row>
    <row r="116" spans="1:14" x14ac:dyDescent="0.3">
      <c r="A116" t="s">
        <v>11</v>
      </c>
      <c r="B116" s="1" t="s">
        <v>43</v>
      </c>
      <c r="C116" s="1" t="s">
        <v>44</v>
      </c>
      <c r="D116">
        <v>12659</v>
      </c>
      <c r="E116" t="s">
        <v>12</v>
      </c>
      <c r="F116" t="s">
        <v>42</v>
      </c>
      <c r="G116">
        <v>6</v>
      </c>
      <c r="H116">
        <v>9</v>
      </c>
      <c r="I116" t="s">
        <v>45</v>
      </c>
      <c r="J116" cm="1">
        <f t="array" ref="J116">IFERROR(
    _xlfn.XLOOKUP(G116, 'Wedgewood Pharm-PME-Yr2-2025'!$E$4:$L$4,
        _xlfn.XLOOKUP('Rate Load'!H116, 'Wedgewood Pharm-PME-Yr2-2025'!$D$5:$D$28,
            'Wedgewood Pharm-PME-Yr2-2025'!$E$5:$L$28, 0, 0),
        0, 0),
    _xlfn.XLOOKUP(G116, 'Wedgewood Pharm-PME-Yr2-2025'!$E$4:$L$4,
        _xlfn.XLOOKUP('Rate Load'!L116, 'Wedgewood Pharm-PME-Yr2-2025'!$D$5:$D$28,
            'Wedgewood Pharm-PME-Yr2-2025'!$E$5:$L$28, 0, 0),
        0, 0)
)</f>
        <v>39.97</v>
      </c>
      <c r="K116" t="s">
        <v>46</v>
      </c>
      <c r="L116" t="s">
        <v>13</v>
      </c>
      <c r="M116">
        <v>1</v>
      </c>
      <c r="N116" t="str">
        <f t="shared" si="1"/>
        <v>INSERT INTO TNL_RATING.dbo.usps_rate_master VALUES ('USPS', '2/13/2025', '2/13/2026', 12659, 'US', 'Priority Mail Express', 6, 9, 'L', 39.97, 'Wedgewood_USPS_2025', 'NonCubic','1');</v>
      </c>
    </row>
    <row r="117" spans="1:14" x14ac:dyDescent="0.3">
      <c r="A117" t="s">
        <v>11</v>
      </c>
      <c r="B117" s="1" t="s">
        <v>43</v>
      </c>
      <c r="C117" s="1" t="s">
        <v>44</v>
      </c>
      <c r="D117">
        <v>12659</v>
      </c>
      <c r="E117" t="s">
        <v>12</v>
      </c>
      <c r="F117" t="s">
        <v>42</v>
      </c>
      <c r="G117">
        <v>6</v>
      </c>
      <c r="H117">
        <v>10</v>
      </c>
      <c r="I117" t="s">
        <v>45</v>
      </c>
      <c r="J117" cm="1">
        <f t="array" ref="J117">IFERROR(
    _xlfn.XLOOKUP(G117, 'Wedgewood Pharm-PME-Yr2-2025'!$E$4:$L$4,
        _xlfn.XLOOKUP('Rate Load'!H117, 'Wedgewood Pharm-PME-Yr2-2025'!$D$5:$D$28,
            'Wedgewood Pharm-PME-Yr2-2025'!$E$5:$L$28, 0, 0),
        0, 0),
    _xlfn.XLOOKUP(G117, 'Wedgewood Pharm-PME-Yr2-2025'!$E$4:$L$4,
        _xlfn.XLOOKUP('Rate Load'!L117, 'Wedgewood Pharm-PME-Yr2-2025'!$D$5:$D$28,
            'Wedgewood Pharm-PME-Yr2-2025'!$E$5:$L$28, 0, 0),
        0, 0)
)</f>
        <v>42.85</v>
      </c>
      <c r="K117" t="s">
        <v>46</v>
      </c>
      <c r="L117" t="s">
        <v>13</v>
      </c>
      <c r="M117">
        <v>1</v>
      </c>
      <c r="N117" t="str">
        <f t="shared" si="1"/>
        <v>INSERT INTO TNL_RATING.dbo.usps_rate_master VALUES ('USPS', '2/13/2025', '2/13/2026', 12659, 'US', 'Priority Mail Express', 6, 10, 'L', 42.85, 'Wedgewood_USPS_2025', 'NonCubic','1');</v>
      </c>
    </row>
    <row r="118" spans="1:14" x14ac:dyDescent="0.3">
      <c r="A118" t="s">
        <v>11</v>
      </c>
      <c r="B118" s="1" t="s">
        <v>43</v>
      </c>
      <c r="C118" s="1" t="s">
        <v>44</v>
      </c>
      <c r="D118">
        <v>12659</v>
      </c>
      <c r="E118" t="s">
        <v>12</v>
      </c>
      <c r="F118" t="s">
        <v>42</v>
      </c>
      <c r="G118">
        <v>6</v>
      </c>
      <c r="H118">
        <v>11</v>
      </c>
      <c r="I118" t="s">
        <v>45</v>
      </c>
      <c r="J118" cm="1">
        <f t="array" ref="J118">IFERROR(
    _xlfn.XLOOKUP(G118, 'Wedgewood Pharm-PME-Yr2-2025'!$E$4:$L$4,
        _xlfn.XLOOKUP('Rate Load'!H118, 'Wedgewood Pharm-PME-Yr2-2025'!$D$5:$D$28,
            'Wedgewood Pharm-PME-Yr2-2025'!$E$5:$L$28, 0, 0),
        0, 0),
    _xlfn.XLOOKUP(G118, 'Wedgewood Pharm-PME-Yr2-2025'!$E$4:$L$4,
        _xlfn.XLOOKUP('Rate Load'!L118, 'Wedgewood Pharm-PME-Yr2-2025'!$D$5:$D$28,
            'Wedgewood Pharm-PME-Yr2-2025'!$E$5:$L$28, 0, 0),
        0, 0)
)</f>
        <v>45.379999999999995</v>
      </c>
      <c r="K118" t="s">
        <v>46</v>
      </c>
      <c r="L118" t="s">
        <v>13</v>
      </c>
      <c r="M118">
        <v>1</v>
      </c>
      <c r="N118" t="str">
        <f t="shared" si="1"/>
        <v>INSERT INTO TNL_RATING.dbo.usps_rate_master VALUES ('USPS', '2/13/2025', '2/13/2026', 12659, 'US', 'Priority Mail Express', 6, 11, 'L', 45.38, 'Wedgewood_USPS_2025', 'NonCubic','1');</v>
      </c>
    </row>
    <row r="119" spans="1:14" x14ac:dyDescent="0.3">
      <c r="A119" t="s">
        <v>11</v>
      </c>
      <c r="B119" s="1" t="s">
        <v>43</v>
      </c>
      <c r="C119" s="1" t="s">
        <v>44</v>
      </c>
      <c r="D119">
        <v>12659</v>
      </c>
      <c r="E119" t="s">
        <v>12</v>
      </c>
      <c r="F119" t="s">
        <v>42</v>
      </c>
      <c r="G119">
        <v>6</v>
      </c>
      <c r="H119">
        <v>12</v>
      </c>
      <c r="I119" t="s">
        <v>45</v>
      </c>
      <c r="J119" cm="1">
        <f t="array" ref="J119">IFERROR(
    _xlfn.XLOOKUP(G119, 'Wedgewood Pharm-PME-Yr2-2025'!$E$4:$L$4,
        _xlfn.XLOOKUP('Rate Load'!H119, 'Wedgewood Pharm-PME-Yr2-2025'!$D$5:$D$28,
            'Wedgewood Pharm-PME-Yr2-2025'!$E$5:$L$28, 0, 0),
        0, 0),
    _xlfn.XLOOKUP(G119, 'Wedgewood Pharm-PME-Yr2-2025'!$E$4:$L$4,
        _xlfn.XLOOKUP('Rate Load'!L119, 'Wedgewood Pharm-PME-Yr2-2025'!$D$5:$D$28,
            'Wedgewood Pharm-PME-Yr2-2025'!$E$5:$L$28, 0, 0),
        0, 0)
)</f>
        <v>47.9</v>
      </c>
      <c r="K119" t="s">
        <v>46</v>
      </c>
      <c r="L119" t="s">
        <v>13</v>
      </c>
      <c r="M119">
        <v>1</v>
      </c>
      <c r="N119" t="str">
        <f t="shared" si="1"/>
        <v>INSERT INTO TNL_RATING.dbo.usps_rate_master VALUES ('USPS', '2/13/2025', '2/13/2026', 12659, 'US', 'Priority Mail Express', 6, 12, 'L', 47.9, 'Wedgewood_USPS_2025', 'NonCubic','1');</v>
      </c>
    </row>
    <row r="120" spans="1:14" x14ac:dyDescent="0.3">
      <c r="A120" t="s">
        <v>11</v>
      </c>
      <c r="B120" s="1" t="s">
        <v>43</v>
      </c>
      <c r="C120" s="1" t="s">
        <v>44</v>
      </c>
      <c r="D120">
        <v>12659</v>
      </c>
      <c r="E120" t="s">
        <v>12</v>
      </c>
      <c r="F120" t="s">
        <v>42</v>
      </c>
      <c r="G120">
        <v>6</v>
      </c>
      <c r="H120">
        <v>13</v>
      </c>
      <c r="I120" t="s">
        <v>45</v>
      </c>
      <c r="J120" cm="1">
        <f t="array" ref="J120">IFERROR(
    _xlfn.XLOOKUP(G120, 'Wedgewood Pharm-PME-Yr2-2025'!$E$4:$L$4,
        _xlfn.XLOOKUP('Rate Load'!H120, 'Wedgewood Pharm-PME-Yr2-2025'!$D$5:$D$28,
            'Wedgewood Pharm-PME-Yr2-2025'!$E$5:$L$28, 0, 0),
        0, 0),
    _xlfn.XLOOKUP(G120, 'Wedgewood Pharm-PME-Yr2-2025'!$E$4:$L$4,
        _xlfn.XLOOKUP('Rate Load'!L120, 'Wedgewood Pharm-PME-Yr2-2025'!$D$5:$D$28,
            'Wedgewood Pharm-PME-Yr2-2025'!$E$5:$L$28, 0, 0),
        0, 0)
)</f>
        <v>50.43</v>
      </c>
      <c r="K120" t="s">
        <v>46</v>
      </c>
      <c r="L120" t="s">
        <v>13</v>
      </c>
      <c r="M120">
        <v>1</v>
      </c>
      <c r="N120" t="str">
        <f t="shared" si="1"/>
        <v>INSERT INTO TNL_RATING.dbo.usps_rate_master VALUES ('USPS', '2/13/2025', '2/13/2026', 12659, 'US', 'Priority Mail Express', 6, 13, 'L', 50.43, 'Wedgewood_USPS_2025', 'NonCubic','1');</v>
      </c>
    </row>
    <row r="121" spans="1:14" x14ac:dyDescent="0.3">
      <c r="A121" t="s">
        <v>11</v>
      </c>
      <c r="B121" s="1" t="s">
        <v>43</v>
      </c>
      <c r="C121" s="1" t="s">
        <v>44</v>
      </c>
      <c r="D121">
        <v>12659</v>
      </c>
      <c r="E121" t="s">
        <v>12</v>
      </c>
      <c r="F121" t="s">
        <v>42</v>
      </c>
      <c r="G121">
        <v>6</v>
      </c>
      <c r="H121">
        <v>14</v>
      </c>
      <c r="I121" t="s">
        <v>45</v>
      </c>
      <c r="J121" cm="1">
        <f t="array" ref="J121">IFERROR(
    _xlfn.XLOOKUP(G121, 'Wedgewood Pharm-PME-Yr2-2025'!$E$4:$L$4,
        _xlfn.XLOOKUP('Rate Load'!H121, 'Wedgewood Pharm-PME-Yr2-2025'!$D$5:$D$28,
            'Wedgewood Pharm-PME-Yr2-2025'!$E$5:$L$28, 0, 0),
        0, 0),
    _xlfn.XLOOKUP(G121, 'Wedgewood Pharm-PME-Yr2-2025'!$E$4:$L$4,
        _xlfn.XLOOKUP('Rate Load'!L121, 'Wedgewood Pharm-PME-Yr2-2025'!$D$5:$D$28,
            'Wedgewood Pharm-PME-Yr2-2025'!$E$5:$L$28, 0, 0),
        0, 0)
)</f>
        <v>52.949999999999996</v>
      </c>
      <c r="K121" t="s">
        <v>46</v>
      </c>
      <c r="L121" t="s">
        <v>13</v>
      </c>
      <c r="M121">
        <v>1</v>
      </c>
      <c r="N121" t="str">
        <f t="shared" si="1"/>
        <v>INSERT INTO TNL_RATING.dbo.usps_rate_master VALUES ('USPS', '2/13/2025', '2/13/2026', 12659, 'US', 'Priority Mail Express', 6, 14, 'L', 52.95, 'Wedgewood_USPS_2025', 'NonCubic','1');</v>
      </c>
    </row>
    <row r="122" spans="1:14" x14ac:dyDescent="0.3">
      <c r="A122" t="s">
        <v>11</v>
      </c>
      <c r="B122" s="1" t="s">
        <v>43</v>
      </c>
      <c r="C122" s="1" t="s">
        <v>44</v>
      </c>
      <c r="D122">
        <v>12659</v>
      </c>
      <c r="E122" t="s">
        <v>12</v>
      </c>
      <c r="F122" t="s">
        <v>42</v>
      </c>
      <c r="G122">
        <v>6</v>
      </c>
      <c r="H122">
        <v>15</v>
      </c>
      <c r="I122" t="s">
        <v>45</v>
      </c>
      <c r="J122" cm="1">
        <f t="array" ref="J122">IFERROR(
    _xlfn.XLOOKUP(G122, 'Wedgewood Pharm-PME-Yr2-2025'!$E$4:$L$4,
        _xlfn.XLOOKUP('Rate Load'!H122, 'Wedgewood Pharm-PME-Yr2-2025'!$D$5:$D$28,
            'Wedgewood Pharm-PME-Yr2-2025'!$E$5:$L$28, 0, 0),
        0, 0),
    _xlfn.XLOOKUP(G122, 'Wedgewood Pharm-PME-Yr2-2025'!$E$4:$L$4,
        _xlfn.XLOOKUP('Rate Load'!L122, 'Wedgewood Pharm-PME-Yr2-2025'!$D$5:$D$28,
            'Wedgewood Pharm-PME-Yr2-2025'!$E$5:$L$28, 0, 0),
        0, 0)
)</f>
        <v>55.47</v>
      </c>
      <c r="K122" t="s">
        <v>46</v>
      </c>
      <c r="L122" t="s">
        <v>13</v>
      </c>
      <c r="M122">
        <v>1</v>
      </c>
      <c r="N122" t="str">
        <f t="shared" si="1"/>
        <v>INSERT INTO TNL_RATING.dbo.usps_rate_master VALUES ('USPS', '2/13/2025', '2/13/2026', 12659, 'US', 'Priority Mail Express', 6, 15, 'L', 55.47, 'Wedgewood_USPS_2025', 'NonCubic','1');</v>
      </c>
    </row>
    <row r="123" spans="1:14" x14ac:dyDescent="0.3">
      <c r="A123" t="s">
        <v>11</v>
      </c>
      <c r="B123" s="1" t="s">
        <v>43</v>
      </c>
      <c r="C123" s="1" t="s">
        <v>44</v>
      </c>
      <c r="D123">
        <v>12659</v>
      </c>
      <c r="E123" t="s">
        <v>12</v>
      </c>
      <c r="F123" t="s">
        <v>42</v>
      </c>
      <c r="G123">
        <v>6</v>
      </c>
      <c r="H123">
        <v>16</v>
      </c>
      <c r="I123" t="s">
        <v>45</v>
      </c>
      <c r="J123" cm="1">
        <f t="array" ref="J123">IFERROR(
    _xlfn.XLOOKUP(G123, 'Wedgewood Pharm-PME-Yr2-2025'!$E$4:$L$4,
        _xlfn.XLOOKUP('Rate Load'!H123, 'Wedgewood Pharm-PME-Yr2-2025'!$D$5:$D$28,
            'Wedgewood Pharm-PME-Yr2-2025'!$E$5:$L$28, 0, 0),
        0, 0),
    _xlfn.XLOOKUP(G123, 'Wedgewood Pharm-PME-Yr2-2025'!$E$4:$L$4,
        _xlfn.XLOOKUP('Rate Load'!L123, 'Wedgewood Pharm-PME-Yr2-2025'!$D$5:$D$28,
            'Wedgewood Pharm-PME-Yr2-2025'!$E$5:$L$28, 0, 0),
        0, 0)
)</f>
        <v>57.98</v>
      </c>
      <c r="K123" t="s">
        <v>46</v>
      </c>
      <c r="L123" t="s">
        <v>13</v>
      </c>
      <c r="M123">
        <v>1</v>
      </c>
      <c r="N123" t="str">
        <f t="shared" si="1"/>
        <v>INSERT INTO TNL_RATING.dbo.usps_rate_master VALUES ('USPS', '2/13/2025', '2/13/2026', 12659, 'US', 'Priority Mail Express', 6, 16, 'L', 57.98, 'Wedgewood_USPS_2025', 'NonCubic','1');</v>
      </c>
    </row>
    <row r="124" spans="1:14" x14ac:dyDescent="0.3">
      <c r="A124" t="s">
        <v>11</v>
      </c>
      <c r="B124" s="1" t="s">
        <v>43</v>
      </c>
      <c r="C124" s="1" t="s">
        <v>44</v>
      </c>
      <c r="D124">
        <v>12659</v>
      </c>
      <c r="E124" t="s">
        <v>12</v>
      </c>
      <c r="F124" t="s">
        <v>42</v>
      </c>
      <c r="G124">
        <v>6</v>
      </c>
      <c r="H124">
        <v>17</v>
      </c>
      <c r="I124" t="s">
        <v>45</v>
      </c>
      <c r="J124" cm="1">
        <f t="array" ref="J124">IFERROR(
    _xlfn.XLOOKUP(G124, 'Wedgewood Pharm-PME-Yr2-2025'!$E$4:$L$4,
        _xlfn.XLOOKUP('Rate Load'!H124, 'Wedgewood Pharm-PME-Yr2-2025'!$D$5:$D$28,
            'Wedgewood Pharm-PME-Yr2-2025'!$E$5:$L$28, 0, 0),
        0, 0),
    _xlfn.XLOOKUP(G124, 'Wedgewood Pharm-PME-Yr2-2025'!$E$4:$L$4,
        _xlfn.XLOOKUP('Rate Load'!L124, 'Wedgewood Pharm-PME-Yr2-2025'!$D$5:$D$28,
            'Wedgewood Pharm-PME-Yr2-2025'!$E$5:$L$28, 0, 0),
        0, 0)
)</f>
        <v>60.51</v>
      </c>
      <c r="K124" t="s">
        <v>46</v>
      </c>
      <c r="L124" t="s">
        <v>13</v>
      </c>
      <c r="M124">
        <v>1</v>
      </c>
      <c r="N124" t="str">
        <f t="shared" si="1"/>
        <v>INSERT INTO TNL_RATING.dbo.usps_rate_master VALUES ('USPS', '2/13/2025', '2/13/2026', 12659, 'US', 'Priority Mail Express', 6, 17, 'L', 60.51, 'Wedgewood_USPS_2025', 'NonCubic','1');</v>
      </c>
    </row>
    <row r="125" spans="1:14" x14ac:dyDescent="0.3">
      <c r="A125" t="s">
        <v>11</v>
      </c>
      <c r="B125" s="1" t="s">
        <v>43</v>
      </c>
      <c r="C125" s="1" t="s">
        <v>44</v>
      </c>
      <c r="D125">
        <v>12659</v>
      </c>
      <c r="E125" t="s">
        <v>12</v>
      </c>
      <c r="F125" t="s">
        <v>42</v>
      </c>
      <c r="G125">
        <v>6</v>
      </c>
      <c r="H125">
        <v>18</v>
      </c>
      <c r="I125" t="s">
        <v>45</v>
      </c>
      <c r="J125" cm="1">
        <f t="array" ref="J125">IFERROR(
    _xlfn.XLOOKUP(G125, 'Wedgewood Pharm-PME-Yr2-2025'!$E$4:$L$4,
        _xlfn.XLOOKUP('Rate Load'!H125, 'Wedgewood Pharm-PME-Yr2-2025'!$D$5:$D$28,
            'Wedgewood Pharm-PME-Yr2-2025'!$E$5:$L$28, 0, 0),
        0, 0),
    _xlfn.XLOOKUP(G125, 'Wedgewood Pharm-PME-Yr2-2025'!$E$4:$L$4,
        _xlfn.XLOOKUP('Rate Load'!L125, 'Wedgewood Pharm-PME-Yr2-2025'!$D$5:$D$28,
            'Wedgewood Pharm-PME-Yr2-2025'!$E$5:$L$28, 0, 0),
        0, 0)
)</f>
        <v>63.03</v>
      </c>
      <c r="K125" t="s">
        <v>46</v>
      </c>
      <c r="L125" t="s">
        <v>13</v>
      </c>
      <c r="M125">
        <v>1</v>
      </c>
      <c r="N125" t="str">
        <f t="shared" si="1"/>
        <v>INSERT INTO TNL_RATING.dbo.usps_rate_master VALUES ('USPS', '2/13/2025', '2/13/2026', 12659, 'US', 'Priority Mail Express', 6, 18, 'L', 63.03, 'Wedgewood_USPS_2025', 'NonCubic','1');</v>
      </c>
    </row>
    <row r="126" spans="1:14" x14ac:dyDescent="0.3">
      <c r="A126" t="s">
        <v>11</v>
      </c>
      <c r="B126" s="1" t="s">
        <v>43</v>
      </c>
      <c r="C126" s="1" t="s">
        <v>44</v>
      </c>
      <c r="D126">
        <v>12659</v>
      </c>
      <c r="E126" t="s">
        <v>12</v>
      </c>
      <c r="F126" t="s">
        <v>42</v>
      </c>
      <c r="G126">
        <v>6</v>
      </c>
      <c r="H126">
        <v>19</v>
      </c>
      <c r="I126" t="s">
        <v>45</v>
      </c>
      <c r="J126" cm="1">
        <f t="array" ref="J126">IFERROR(
    _xlfn.XLOOKUP(G126, 'Wedgewood Pharm-PME-Yr2-2025'!$E$4:$L$4,
        _xlfn.XLOOKUP('Rate Load'!H126, 'Wedgewood Pharm-PME-Yr2-2025'!$D$5:$D$28,
            'Wedgewood Pharm-PME-Yr2-2025'!$E$5:$L$28, 0, 0),
        0, 0),
    _xlfn.XLOOKUP(G126, 'Wedgewood Pharm-PME-Yr2-2025'!$E$4:$L$4,
        _xlfn.XLOOKUP('Rate Load'!L126, 'Wedgewood Pharm-PME-Yr2-2025'!$D$5:$D$28,
            'Wedgewood Pharm-PME-Yr2-2025'!$E$5:$L$28, 0, 0),
        0, 0)
)</f>
        <v>65.56</v>
      </c>
      <c r="K126" t="s">
        <v>46</v>
      </c>
      <c r="L126" t="s">
        <v>13</v>
      </c>
      <c r="M126">
        <v>1</v>
      </c>
      <c r="N126" t="str">
        <f t="shared" si="1"/>
        <v>INSERT INTO TNL_RATING.dbo.usps_rate_master VALUES ('USPS', '2/13/2025', '2/13/2026', 12659, 'US', 'Priority Mail Express', 6, 19, 'L', 65.56, 'Wedgewood_USPS_2025', 'NonCubic','1');</v>
      </c>
    </row>
    <row r="127" spans="1:14" x14ac:dyDescent="0.3">
      <c r="A127" t="s">
        <v>11</v>
      </c>
      <c r="B127" s="1" t="s">
        <v>43</v>
      </c>
      <c r="C127" s="1" t="s">
        <v>44</v>
      </c>
      <c r="D127">
        <v>12659</v>
      </c>
      <c r="E127" t="s">
        <v>12</v>
      </c>
      <c r="F127" t="s">
        <v>42</v>
      </c>
      <c r="G127">
        <v>6</v>
      </c>
      <c r="H127">
        <v>20</v>
      </c>
      <c r="I127" t="s">
        <v>45</v>
      </c>
      <c r="J127" cm="1">
        <f t="array" ref="J127">IFERROR(
    _xlfn.XLOOKUP(G127, 'Wedgewood Pharm-PME-Yr2-2025'!$E$4:$L$4,
        _xlfn.XLOOKUP('Rate Load'!H127, 'Wedgewood Pharm-PME-Yr2-2025'!$D$5:$D$28,
            'Wedgewood Pharm-PME-Yr2-2025'!$E$5:$L$28, 0, 0),
        0, 0),
    _xlfn.XLOOKUP(G127, 'Wedgewood Pharm-PME-Yr2-2025'!$E$4:$L$4,
        _xlfn.XLOOKUP('Rate Load'!L127, 'Wedgewood Pharm-PME-Yr2-2025'!$D$5:$D$28,
            'Wedgewood Pharm-PME-Yr2-2025'!$E$5:$L$28, 0, 0),
        0, 0)
)</f>
        <v>68.08</v>
      </c>
      <c r="K127" t="s">
        <v>46</v>
      </c>
      <c r="L127" t="s">
        <v>13</v>
      </c>
      <c r="M127">
        <v>1</v>
      </c>
      <c r="N127" t="str">
        <f t="shared" si="1"/>
        <v>INSERT INTO TNL_RATING.dbo.usps_rate_master VALUES ('USPS', '2/13/2025', '2/13/2026', 12659, 'US', 'Priority Mail Express', 6, 20, 'L', 68.08, 'Wedgewood_USPS_2025', 'NonCubic','1');</v>
      </c>
    </row>
    <row r="128" spans="1:14" x14ac:dyDescent="0.3">
      <c r="A128" t="s">
        <v>11</v>
      </c>
      <c r="B128" s="1" t="s">
        <v>43</v>
      </c>
      <c r="C128" s="1" t="s">
        <v>44</v>
      </c>
      <c r="D128">
        <v>12659</v>
      </c>
      <c r="E128" t="s">
        <v>12</v>
      </c>
      <c r="F128" t="s">
        <v>42</v>
      </c>
      <c r="G128">
        <v>7</v>
      </c>
      <c r="H128">
        <v>0.5</v>
      </c>
      <c r="I128" t="s">
        <v>45</v>
      </c>
      <c r="J128" cm="1">
        <f t="array" ref="J128">IFERROR(
    _xlfn.XLOOKUP(G128, 'Wedgewood Pharm-PME-Yr2-2025'!$E$4:$L$4,
        _xlfn.XLOOKUP('Rate Load'!H128, 'Wedgewood Pharm-PME-Yr2-2025'!$D$5:$D$28,
            'Wedgewood Pharm-PME-Yr2-2025'!$E$5:$L$28, 0, 0),
        0, 0),
    _xlfn.XLOOKUP(G128, 'Wedgewood Pharm-PME-Yr2-2025'!$E$4:$L$4,
        _xlfn.XLOOKUP('Rate Load'!L128, 'Wedgewood Pharm-PME-Yr2-2025'!$D$5:$D$28,
            'Wedgewood Pharm-PME-Yr2-2025'!$E$5:$L$28, 0, 0),
        0, 0)
)</f>
        <v>15.95</v>
      </c>
      <c r="K128" t="s">
        <v>46</v>
      </c>
      <c r="L128" t="s">
        <v>13</v>
      </c>
      <c r="M128">
        <v>1</v>
      </c>
      <c r="N128" t="str">
        <f t="shared" si="1"/>
        <v>INSERT INTO TNL_RATING.dbo.usps_rate_master VALUES ('USPS', '2/13/2025', '2/13/2026', 12659, 'US', 'Priority Mail Express', 7, 0.5, 'L', 15.95, 'Wedgewood_USPS_2025', 'NonCubic','1');</v>
      </c>
    </row>
    <row r="129" spans="1:14" x14ac:dyDescent="0.3">
      <c r="A129" t="s">
        <v>11</v>
      </c>
      <c r="B129" s="1" t="s">
        <v>43</v>
      </c>
      <c r="C129" s="1" t="s">
        <v>44</v>
      </c>
      <c r="D129">
        <v>12659</v>
      </c>
      <c r="E129" t="s">
        <v>12</v>
      </c>
      <c r="F129" t="s">
        <v>42</v>
      </c>
      <c r="G129">
        <v>7</v>
      </c>
      <c r="H129">
        <v>1</v>
      </c>
      <c r="I129" t="s">
        <v>45</v>
      </c>
      <c r="J129" cm="1">
        <f t="array" ref="J129">IFERROR(
    _xlfn.XLOOKUP(G129, 'Wedgewood Pharm-PME-Yr2-2025'!$E$4:$L$4,
        _xlfn.XLOOKUP('Rate Load'!H129, 'Wedgewood Pharm-PME-Yr2-2025'!$D$5:$D$28,
            'Wedgewood Pharm-PME-Yr2-2025'!$E$5:$L$28, 0, 0),
        0, 0),
    _xlfn.XLOOKUP(G129, 'Wedgewood Pharm-PME-Yr2-2025'!$E$4:$L$4,
        _xlfn.XLOOKUP('Rate Load'!L129, 'Wedgewood Pharm-PME-Yr2-2025'!$D$5:$D$28,
            'Wedgewood Pharm-PME-Yr2-2025'!$E$5:$L$28, 0, 0),
        0, 0)
)</f>
        <v>17.75</v>
      </c>
      <c r="K129" t="s">
        <v>46</v>
      </c>
      <c r="L129" t="s">
        <v>13</v>
      </c>
      <c r="M129">
        <v>1</v>
      </c>
      <c r="N129" t="str">
        <f t="shared" si="1"/>
        <v>INSERT INTO TNL_RATING.dbo.usps_rate_master VALUES ('USPS', '2/13/2025', '2/13/2026', 12659, 'US', 'Priority Mail Express', 7, 1, 'L', 17.75, 'Wedgewood_USPS_2025', 'NonCubic','1');</v>
      </c>
    </row>
    <row r="130" spans="1:14" x14ac:dyDescent="0.3">
      <c r="A130" t="s">
        <v>11</v>
      </c>
      <c r="B130" s="1" t="s">
        <v>43</v>
      </c>
      <c r="C130" s="1" t="s">
        <v>44</v>
      </c>
      <c r="D130">
        <v>12659</v>
      </c>
      <c r="E130" t="s">
        <v>12</v>
      </c>
      <c r="F130" t="s">
        <v>42</v>
      </c>
      <c r="G130">
        <v>7</v>
      </c>
      <c r="H130">
        <v>2</v>
      </c>
      <c r="I130" t="s">
        <v>45</v>
      </c>
      <c r="J130" cm="1">
        <f t="array" ref="J130">IFERROR(
    _xlfn.XLOOKUP(G130, 'Wedgewood Pharm-PME-Yr2-2025'!$E$4:$L$4,
        _xlfn.XLOOKUP('Rate Load'!H130, 'Wedgewood Pharm-PME-Yr2-2025'!$D$5:$D$28,
            'Wedgewood Pharm-PME-Yr2-2025'!$E$5:$L$28, 0, 0),
        0, 0),
    _xlfn.XLOOKUP(G130, 'Wedgewood Pharm-PME-Yr2-2025'!$E$4:$L$4,
        _xlfn.XLOOKUP('Rate Load'!L130, 'Wedgewood Pharm-PME-Yr2-2025'!$D$5:$D$28,
            'Wedgewood Pharm-PME-Yr2-2025'!$E$5:$L$28, 0, 0),
        0, 0)
)</f>
        <v>20.3</v>
      </c>
      <c r="K130" t="s">
        <v>46</v>
      </c>
      <c r="L130" t="s">
        <v>13</v>
      </c>
      <c r="M130">
        <v>1</v>
      </c>
      <c r="N130" t="str">
        <f t="shared" si="1"/>
        <v>INSERT INTO TNL_RATING.dbo.usps_rate_master VALUES ('USPS', '2/13/2025', '2/13/2026', 12659, 'US', 'Priority Mail Express', 7, 2, 'L', 20.3, 'Wedgewood_USPS_2025', 'NonCubic','1');</v>
      </c>
    </row>
    <row r="131" spans="1:14" x14ac:dyDescent="0.3">
      <c r="A131" t="s">
        <v>11</v>
      </c>
      <c r="B131" s="1" t="s">
        <v>43</v>
      </c>
      <c r="C131" s="1" t="s">
        <v>44</v>
      </c>
      <c r="D131">
        <v>12659</v>
      </c>
      <c r="E131" t="s">
        <v>12</v>
      </c>
      <c r="F131" t="s">
        <v>42</v>
      </c>
      <c r="G131">
        <v>7</v>
      </c>
      <c r="H131">
        <v>3</v>
      </c>
      <c r="I131" t="s">
        <v>45</v>
      </c>
      <c r="J131" cm="1">
        <f t="array" ref="J131">IFERROR(
    _xlfn.XLOOKUP(G131, 'Wedgewood Pharm-PME-Yr2-2025'!$E$4:$L$4,
        _xlfn.XLOOKUP('Rate Load'!H131, 'Wedgewood Pharm-PME-Yr2-2025'!$D$5:$D$28,
            'Wedgewood Pharm-PME-Yr2-2025'!$E$5:$L$28, 0, 0),
        0, 0),
    _xlfn.XLOOKUP(G131, 'Wedgewood Pharm-PME-Yr2-2025'!$E$4:$L$4,
        _xlfn.XLOOKUP('Rate Load'!L131, 'Wedgewood Pharm-PME-Yr2-2025'!$D$5:$D$28,
            'Wedgewood Pharm-PME-Yr2-2025'!$E$5:$L$28, 0, 0),
        0, 0)
)</f>
        <v>23.3</v>
      </c>
      <c r="K131" t="s">
        <v>46</v>
      </c>
      <c r="L131" t="s">
        <v>13</v>
      </c>
      <c r="M131">
        <v>1</v>
      </c>
      <c r="N131" t="str">
        <f t="shared" ref="N131:N194" si="2">"INSERT INTO TNL_RATING.dbo.usps_rate_master VALUES ('" &amp; A131 &amp; "', '" &amp; B131 &amp; "', '" &amp; C131 &amp; "', " &amp; D131 &amp; ", '" &amp; E131 &amp; "', '" &amp; F131 &amp; "', " &amp; G131 &amp; ", " &amp; H131 &amp; ", '" &amp; I131 &amp; "', " &amp; J131 &amp; ", '" &amp; K131 &amp; "', '" &amp; L131 &amp; "','" &amp; M131 &amp; "');"</f>
        <v>INSERT INTO TNL_RATING.dbo.usps_rate_master VALUES ('USPS', '2/13/2025', '2/13/2026', 12659, 'US', 'Priority Mail Express', 7, 3, 'L', 23.3, 'Wedgewood_USPS_2025', 'NonCubic','1');</v>
      </c>
    </row>
    <row r="132" spans="1:14" x14ac:dyDescent="0.3">
      <c r="A132" t="s">
        <v>11</v>
      </c>
      <c r="B132" s="1" t="s">
        <v>43</v>
      </c>
      <c r="C132" s="1" t="s">
        <v>44</v>
      </c>
      <c r="D132">
        <v>12659</v>
      </c>
      <c r="E132" t="s">
        <v>12</v>
      </c>
      <c r="F132" t="s">
        <v>42</v>
      </c>
      <c r="G132">
        <v>7</v>
      </c>
      <c r="H132">
        <v>4</v>
      </c>
      <c r="I132" t="s">
        <v>45</v>
      </c>
      <c r="J132" cm="1">
        <f t="array" ref="J132">IFERROR(
    _xlfn.XLOOKUP(G132, 'Wedgewood Pharm-PME-Yr2-2025'!$E$4:$L$4,
        _xlfn.XLOOKUP('Rate Load'!H132, 'Wedgewood Pharm-PME-Yr2-2025'!$D$5:$D$28,
            'Wedgewood Pharm-PME-Yr2-2025'!$E$5:$L$28, 0, 0),
        0, 0),
    _xlfn.XLOOKUP(G132, 'Wedgewood Pharm-PME-Yr2-2025'!$E$4:$L$4,
        _xlfn.XLOOKUP('Rate Load'!L132, 'Wedgewood Pharm-PME-Yr2-2025'!$D$5:$D$28,
            'Wedgewood Pharm-PME-Yr2-2025'!$E$5:$L$28, 0, 0),
        0, 0)
)</f>
        <v>26.28</v>
      </c>
      <c r="K132" t="s">
        <v>46</v>
      </c>
      <c r="L132" t="s">
        <v>13</v>
      </c>
      <c r="M132">
        <v>1</v>
      </c>
      <c r="N132" t="str">
        <f t="shared" si="2"/>
        <v>INSERT INTO TNL_RATING.dbo.usps_rate_master VALUES ('USPS', '2/13/2025', '2/13/2026', 12659, 'US', 'Priority Mail Express', 7, 4, 'L', 26.28, 'Wedgewood_USPS_2025', 'NonCubic','1');</v>
      </c>
    </row>
    <row r="133" spans="1:14" x14ac:dyDescent="0.3">
      <c r="A133" t="s">
        <v>11</v>
      </c>
      <c r="B133" s="1" t="s">
        <v>43</v>
      </c>
      <c r="C133" s="1" t="s">
        <v>44</v>
      </c>
      <c r="D133">
        <v>12659</v>
      </c>
      <c r="E133" t="s">
        <v>12</v>
      </c>
      <c r="F133" t="s">
        <v>42</v>
      </c>
      <c r="G133">
        <v>7</v>
      </c>
      <c r="H133">
        <v>5</v>
      </c>
      <c r="I133" t="s">
        <v>45</v>
      </c>
      <c r="J133" cm="1">
        <f t="array" ref="J133">IFERROR(
    _xlfn.XLOOKUP(G133, 'Wedgewood Pharm-PME-Yr2-2025'!$E$4:$L$4,
        _xlfn.XLOOKUP('Rate Load'!H133, 'Wedgewood Pharm-PME-Yr2-2025'!$D$5:$D$28,
            'Wedgewood Pharm-PME-Yr2-2025'!$E$5:$L$28, 0, 0),
        0, 0),
    _xlfn.XLOOKUP(G133, 'Wedgewood Pharm-PME-Yr2-2025'!$E$4:$L$4,
        _xlfn.XLOOKUP('Rate Load'!L133, 'Wedgewood Pharm-PME-Yr2-2025'!$D$5:$D$28,
            'Wedgewood Pharm-PME-Yr2-2025'!$E$5:$L$28, 0, 0),
        0, 0)
)</f>
        <v>29.26</v>
      </c>
      <c r="K133" t="s">
        <v>46</v>
      </c>
      <c r="L133" t="s">
        <v>13</v>
      </c>
      <c r="M133">
        <v>1</v>
      </c>
      <c r="N133" t="str">
        <f t="shared" si="2"/>
        <v>INSERT INTO TNL_RATING.dbo.usps_rate_master VALUES ('USPS', '2/13/2025', '2/13/2026', 12659, 'US', 'Priority Mail Express', 7, 5, 'L', 29.26, 'Wedgewood_USPS_2025', 'NonCubic','1');</v>
      </c>
    </row>
    <row r="134" spans="1:14" x14ac:dyDescent="0.3">
      <c r="A134" t="s">
        <v>11</v>
      </c>
      <c r="B134" s="1" t="s">
        <v>43</v>
      </c>
      <c r="C134" s="1" t="s">
        <v>44</v>
      </c>
      <c r="D134">
        <v>12659</v>
      </c>
      <c r="E134" t="s">
        <v>12</v>
      </c>
      <c r="F134" t="s">
        <v>42</v>
      </c>
      <c r="G134">
        <v>7</v>
      </c>
      <c r="H134">
        <v>6</v>
      </c>
      <c r="I134" t="s">
        <v>45</v>
      </c>
      <c r="J134" cm="1">
        <f t="array" ref="J134">IFERROR(
    _xlfn.XLOOKUP(G134, 'Wedgewood Pharm-PME-Yr2-2025'!$E$4:$L$4,
        _xlfn.XLOOKUP('Rate Load'!H134, 'Wedgewood Pharm-PME-Yr2-2025'!$D$5:$D$28,
            'Wedgewood Pharm-PME-Yr2-2025'!$E$5:$L$28, 0, 0),
        0, 0),
    _xlfn.XLOOKUP(G134, 'Wedgewood Pharm-PME-Yr2-2025'!$E$4:$L$4,
        _xlfn.XLOOKUP('Rate Load'!L134, 'Wedgewood Pharm-PME-Yr2-2025'!$D$5:$D$28,
            'Wedgewood Pharm-PME-Yr2-2025'!$E$5:$L$28, 0, 0),
        0, 0)
)</f>
        <v>32.25</v>
      </c>
      <c r="K134" t="s">
        <v>46</v>
      </c>
      <c r="L134" t="s">
        <v>13</v>
      </c>
      <c r="M134">
        <v>1</v>
      </c>
      <c r="N134" t="str">
        <f t="shared" si="2"/>
        <v>INSERT INTO TNL_RATING.dbo.usps_rate_master VALUES ('USPS', '2/13/2025', '2/13/2026', 12659, 'US', 'Priority Mail Express', 7, 6, 'L', 32.25, 'Wedgewood_USPS_2025', 'NonCubic','1');</v>
      </c>
    </row>
    <row r="135" spans="1:14" x14ac:dyDescent="0.3">
      <c r="A135" t="s">
        <v>11</v>
      </c>
      <c r="B135" s="1" t="s">
        <v>43</v>
      </c>
      <c r="C135" s="1" t="s">
        <v>44</v>
      </c>
      <c r="D135">
        <v>12659</v>
      </c>
      <c r="E135" t="s">
        <v>12</v>
      </c>
      <c r="F135" t="s">
        <v>42</v>
      </c>
      <c r="G135">
        <v>7</v>
      </c>
      <c r="H135">
        <v>7</v>
      </c>
      <c r="I135" t="s">
        <v>45</v>
      </c>
      <c r="J135" cm="1">
        <f t="array" ref="J135">IFERROR(
    _xlfn.XLOOKUP(G135, 'Wedgewood Pharm-PME-Yr2-2025'!$E$4:$L$4,
        _xlfn.XLOOKUP('Rate Load'!H135, 'Wedgewood Pharm-PME-Yr2-2025'!$D$5:$D$28,
            'Wedgewood Pharm-PME-Yr2-2025'!$E$5:$L$28, 0, 0),
        0, 0),
    _xlfn.XLOOKUP(G135, 'Wedgewood Pharm-PME-Yr2-2025'!$E$4:$L$4,
        _xlfn.XLOOKUP('Rate Load'!L135, 'Wedgewood Pharm-PME-Yr2-2025'!$D$5:$D$28,
            'Wedgewood Pharm-PME-Yr2-2025'!$E$5:$L$28, 0, 0),
        0, 0)
)</f>
        <v>35.22</v>
      </c>
      <c r="K135" t="s">
        <v>46</v>
      </c>
      <c r="L135" t="s">
        <v>13</v>
      </c>
      <c r="M135">
        <v>1</v>
      </c>
      <c r="N135" t="str">
        <f t="shared" si="2"/>
        <v>INSERT INTO TNL_RATING.dbo.usps_rate_master VALUES ('USPS', '2/13/2025', '2/13/2026', 12659, 'US', 'Priority Mail Express', 7, 7, 'L', 35.22, 'Wedgewood_USPS_2025', 'NonCubic','1');</v>
      </c>
    </row>
    <row r="136" spans="1:14" x14ac:dyDescent="0.3">
      <c r="A136" t="s">
        <v>11</v>
      </c>
      <c r="B136" s="1" t="s">
        <v>43</v>
      </c>
      <c r="C136" s="1" t="s">
        <v>44</v>
      </c>
      <c r="D136">
        <v>12659</v>
      </c>
      <c r="E136" t="s">
        <v>12</v>
      </c>
      <c r="F136" t="s">
        <v>42</v>
      </c>
      <c r="G136">
        <v>7</v>
      </c>
      <c r="H136">
        <v>8</v>
      </c>
      <c r="I136" t="s">
        <v>45</v>
      </c>
      <c r="J136" cm="1">
        <f t="array" ref="J136">IFERROR(
    _xlfn.XLOOKUP(G136, 'Wedgewood Pharm-PME-Yr2-2025'!$E$4:$L$4,
        _xlfn.XLOOKUP('Rate Load'!H136, 'Wedgewood Pharm-PME-Yr2-2025'!$D$5:$D$28,
            'Wedgewood Pharm-PME-Yr2-2025'!$E$5:$L$28, 0, 0),
        0, 0),
    _xlfn.XLOOKUP(G136, 'Wedgewood Pharm-PME-Yr2-2025'!$E$4:$L$4,
        _xlfn.XLOOKUP('Rate Load'!L136, 'Wedgewood Pharm-PME-Yr2-2025'!$D$5:$D$28,
            'Wedgewood Pharm-PME-Yr2-2025'!$E$5:$L$28, 0, 0),
        0, 0)
)</f>
        <v>38.21</v>
      </c>
      <c r="K136" t="s">
        <v>46</v>
      </c>
      <c r="L136" t="s">
        <v>13</v>
      </c>
      <c r="M136">
        <v>1</v>
      </c>
      <c r="N136" t="str">
        <f t="shared" si="2"/>
        <v>INSERT INTO TNL_RATING.dbo.usps_rate_master VALUES ('USPS', '2/13/2025', '2/13/2026', 12659, 'US', 'Priority Mail Express', 7, 8, 'L', 38.21, 'Wedgewood_USPS_2025', 'NonCubic','1');</v>
      </c>
    </row>
    <row r="137" spans="1:14" x14ac:dyDescent="0.3">
      <c r="A137" t="s">
        <v>11</v>
      </c>
      <c r="B137" s="1" t="s">
        <v>43</v>
      </c>
      <c r="C137" s="1" t="s">
        <v>44</v>
      </c>
      <c r="D137">
        <v>12659</v>
      </c>
      <c r="E137" t="s">
        <v>12</v>
      </c>
      <c r="F137" t="s">
        <v>42</v>
      </c>
      <c r="G137">
        <v>7</v>
      </c>
      <c r="H137">
        <v>9</v>
      </c>
      <c r="I137" t="s">
        <v>45</v>
      </c>
      <c r="J137" cm="1">
        <f t="array" ref="J137">IFERROR(
    _xlfn.XLOOKUP(G137, 'Wedgewood Pharm-PME-Yr2-2025'!$E$4:$L$4,
        _xlfn.XLOOKUP('Rate Load'!H137, 'Wedgewood Pharm-PME-Yr2-2025'!$D$5:$D$28,
            'Wedgewood Pharm-PME-Yr2-2025'!$E$5:$L$28, 0, 0),
        0, 0),
    _xlfn.XLOOKUP(G137, 'Wedgewood Pharm-PME-Yr2-2025'!$E$4:$L$4,
        _xlfn.XLOOKUP('Rate Load'!L137, 'Wedgewood Pharm-PME-Yr2-2025'!$D$5:$D$28,
            'Wedgewood Pharm-PME-Yr2-2025'!$E$5:$L$28, 0, 0),
        0, 0)
)</f>
        <v>41.18</v>
      </c>
      <c r="K137" t="s">
        <v>46</v>
      </c>
      <c r="L137" t="s">
        <v>13</v>
      </c>
      <c r="M137">
        <v>1</v>
      </c>
      <c r="N137" t="str">
        <f t="shared" si="2"/>
        <v>INSERT INTO TNL_RATING.dbo.usps_rate_master VALUES ('USPS', '2/13/2025', '2/13/2026', 12659, 'US', 'Priority Mail Express', 7, 9, 'L', 41.18, 'Wedgewood_USPS_2025', 'NonCubic','1');</v>
      </c>
    </row>
    <row r="138" spans="1:14" x14ac:dyDescent="0.3">
      <c r="A138" t="s">
        <v>11</v>
      </c>
      <c r="B138" s="1" t="s">
        <v>43</v>
      </c>
      <c r="C138" s="1" t="s">
        <v>44</v>
      </c>
      <c r="D138">
        <v>12659</v>
      </c>
      <c r="E138" t="s">
        <v>12</v>
      </c>
      <c r="F138" t="s">
        <v>42</v>
      </c>
      <c r="G138">
        <v>7</v>
      </c>
      <c r="H138">
        <v>10</v>
      </c>
      <c r="I138" t="s">
        <v>45</v>
      </c>
      <c r="J138" cm="1">
        <f t="array" ref="J138">IFERROR(
    _xlfn.XLOOKUP(G138, 'Wedgewood Pharm-PME-Yr2-2025'!$E$4:$L$4,
        _xlfn.XLOOKUP('Rate Load'!H138, 'Wedgewood Pharm-PME-Yr2-2025'!$D$5:$D$28,
            'Wedgewood Pharm-PME-Yr2-2025'!$E$5:$L$28, 0, 0),
        0, 0),
    _xlfn.XLOOKUP(G138, 'Wedgewood Pharm-PME-Yr2-2025'!$E$4:$L$4,
        _xlfn.XLOOKUP('Rate Load'!L138, 'Wedgewood Pharm-PME-Yr2-2025'!$D$5:$D$28,
            'Wedgewood Pharm-PME-Yr2-2025'!$E$5:$L$28, 0, 0),
        0, 0)
)</f>
        <v>44.169999999999995</v>
      </c>
      <c r="K138" t="s">
        <v>46</v>
      </c>
      <c r="L138" t="s">
        <v>13</v>
      </c>
      <c r="M138">
        <v>1</v>
      </c>
      <c r="N138" t="str">
        <f t="shared" si="2"/>
        <v>INSERT INTO TNL_RATING.dbo.usps_rate_master VALUES ('USPS', '2/13/2025', '2/13/2026', 12659, 'US', 'Priority Mail Express', 7, 10, 'L', 44.17, 'Wedgewood_USPS_2025', 'NonCubic','1');</v>
      </c>
    </row>
    <row r="139" spans="1:14" x14ac:dyDescent="0.3">
      <c r="A139" t="s">
        <v>11</v>
      </c>
      <c r="B139" s="1" t="s">
        <v>43</v>
      </c>
      <c r="C139" s="1" t="s">
        <v>44</v>
      </c>
      <c r="D139">
        <v>12659</v>
      </c>
      <c r="E139" t="s">
        <v>12</v>
      </c>
      <c r="F139" t="s">
        <v>42</v>
      </c>
      <c r="G139">
        <v>7</v>
      </c>
      <c r="H139">
        <v>11</v>
      </c>
      <c r="I139" t="s">
        <v>45</v>
      </c>
      <c r="J139" cm="1">
        <f t="array" ref="J139">IFERROR(
    _xlfn.XLOOKUP(G139, 'Wedgewood Pharm-PME-Yr2-2025'!$E$4:$L$4,
        _xlfn.XLOOKUP('Rate Load'!H139, 'Wedgewood Pharm-PME-Yr2-2025'!$D$5:$D$28,
            'Wedgewood Pharm-PME-Yr2-2025'!$E$5:$L$28, 0, 0),
        0, 0),
    _xlfn.XLOOKUP(G139, 'Wedgewood Pharm-PME-Yr2-2025'!$E$4:$L$4,
        _xlfn.XLOOKUP('Rate Load'!L139, 'Wedgewood Pharm-PME-Yr2-2025'!$D$5:$D$28,
            'Wedgewood Pharm-PME-Yr2-2025'!$E$5:$L$28, 0, 0),
        0, 0)
)</f>
        <v>46.739999999999995</v>
      </c>
      <c r="K139" t="s">
        <v>46</v>
      </c>
      <c r="L139" t="s">
        <v>13</v>
      </c>
      <c r="M139">
        <v>1</v>
      </c>
      <c r="N139" t="str">
        <f t="shared" si="2"/>
        <v>INSERT INTO TNL_RATING.dbo.usps_rate_master VALUES ('USPS', '2/13/2025', '2/13/2026', 12659, 'US', 'Priority Mail Express', 7, 11, 'L', 46.74, 'Wedgewood_USPS_2025', 'NonCubic','1');</v>
      </c>
    </row>
    <row r="140" spans="1:14" x14ac:dyDescent="0.3">
      <c r="A140" t="s">
        <v>11</v>
      </c>
      <c r="B140" s="1" t="s">
        <v>43</v>
      </c>
      <c r="C140" s="1" t="s">
        <v>44</v>
      </c>
      <c r="D140">
        <v>12659</v>
      </c>
      <c r="E140" t="s">
        <v>12</v>
      </c>
      <c r="F140" t="s">
        <v>42</v>
      </c>
      <c r="G140">
        <v>7</v>
      </c>
      <c r="H140">
        <v>12</v>
      </c>
      <c r="I140" t="s">
        <v>45</v>
      </c>
      <c r="J140" cm="1">
        <f t="array" ref="J140">IFERROR(
    _xlfn.XLOOKUP(G140, 'Wedgewood Pharm-PME-Yr2-2025'!$E$4:$L$4,
        _xlfn.XLOOKUP('Rate Load'!H140, 'Wedgewood Pharm-PME-Yr2-2025'!$D$5:$D$28,
            'Wedgewood Pharm-PME-Yr2-2025'!$E$5:$L$28, 0, 0),
        0, 0),
    _xlfn.XLOOKUP(G140, 'Wedgewood Pharm-PME-Yr2-2025'!$E$4:$L$4,
        _xlfn.XLOOKUP('Rate Load'!L140, 'Wedgewood Pharm-PME-Yr2-2025'!$D$5:$D$28,
            'Wedgewood Pharm-PME-Yr2-2025'!$E$5:$L$28, 0, 0),
        0, 0)
)</f>
        <v>49.309999999999995</v>
      </c>
      <c r="K140" t="s">
        <v>46</v>
      </c>
      <c r="L140" t="s">
        <v>13</v>
      </c>
      <c r="M140">
        <v>1</v>
      </c>
      <c r="N140" t="str">
        <f t="shared" si="2"/>
        <v>INSERT INTO TNL_RATING.dbo.usps_rate_master VALUES ('USPS', '2/13/2025', '2/13/2026', 12659, 'US', 'Priority Mail Express', 7, 12, 'L', 49.31, 'Wedgewood_USPS_2025', 'NonCubic','1');</v>
      </c>
    </row>
    <row r="141" spans="1:14" x14ac:dyDescent="0.3">
      <c r="A141" t="s">
        <v>11</v>
      </c>
      <c r="B141" s="1" t="s">
        <v>43</v>
      </c>
      <c r="C141" s="1" t="s">
        <v>44</v>
      </c>
      <c r="D141">
        <v>12659</v>
      </c>
      <c r="E141" t="s">
        <v>12</v>
      </c>
      <c r="F141" t="s">
        <v>42</v>
      </c>
      <c r="G141">
        <v>7</v>
      </c>
      <c r="H141">
        <v>13</v>
      </c>
      <c r="I141" t="s">
        <v>45</v>
      </c>
      <c r="J141" cm="1">
        <f t="array" ref="J141">IFERROR(
    _xlfn.XLOOKUP(G141, 'Wedgewood Pharm-PME-Yr2-2025'!$E$4:$L$4,
        _xlfn.XLOOKUP('Rate Load'!H141, 'Wedgewood Pharm-PME-Yr2-2025'!$D$5:$D$28,
            'Wedgewood Pharm-PME-Yr2-2025'!$E$5:$L$28, 0, 0),
        0, 0),
    _xlfn.XLOOKUP(G141, 'Wedgewood Pharm-PME-Yr2-2025'!$E$4:$L$4,
        _xlfn.XLOOKUP('Rate Load'!L141, 'Wedgewood Pharm-PME-Yr2-2025'!$D$5:$D$28,
            'Wedgewood Pharm-PME-Yr2-2025'!$E$5:$L$28, 0, 0),
        0, 0)
)</f>
        <v>51.89</v>
      </c>
      <c r="K141" t="s">
        <v>46</v>
      </c>
      <c r="L141" t="s">
        <v>13</v>
      </c>
      <c r="M141">
        <v>1</v>
      </c>
      <c r="N141" t="str">
        <f t="shared" si="2"/>
        <v>INSERT INTO TNL_RATING.dbo.usps_rate_master VALUES ('USPS', '2/13/2025', '2/13/2026', 12659, 'US', 'Priority Mail Express', 7, 13, 'L', 51.89, 'Wedgewood_USPS_2025', 'NonCubic','1');</v>
      </c>
    </row>
    <row r="142" spans="1:14" x14ac:dyDescent="0.3">
      <c r="A142" t="s">
        <v>11</v>
      </c>
      <c r="B142" s="1" t="s">
        <v>43</v>
      </c>
      <c r="C142" s="1" t="s">
        <v>44</v>
      </c>
      <c r="D142">
        <v>12659</v>
      </c>
      <c r="E142" t="s">
        <v>12</v>
      </c>
      <c r="F142" t="s">
        <v>42</v>
      </c>
      <c r="G142">
        <v>7</v>
      </c>
      <c r="H142">
        <v>14</v>
      </c>
      <c r="I142" t="s">
        <v>45</v>
      </c>
      <c r="J142" cm="1">
        <f t="array" ref="J142">IFERROR(
    _xlfn.XLOOKUP(G142, 'Wedgewood Pharm-PME-Yr2-2025'!$E$4:$L$4,
        _xlfn.XLOOKUP('Rate Load'!H142, 'Wedgewood Pharm-PME-Yr2-2025'!$D$5:$D$28,
            'Wedgewood Pharm-PME-Yr2-2025'!$E$5:$L$28, 0, 0),
        0, 0),
    _xlfn.XLOOKUP(G142, 'Wedgewood Pharm-PME-Yr2-2025'!$E$4:$L$4,
        _xlfn.XLOOKUP('Rate Load'!L142, 'Wedgewood Pharm-PME-Yr2-2025'!$D$5:$D$28,
            'Wedgewood Pharm-PME-Yr2-2025'!$E$5:$L$28, 0, 0),
        0, 0)
)</f>
        <v>54.46</v>
      </c>
      <c r="K142" t="s">
        <v>46</v>
      </c>
      <c r="L142" t="s">
        <v>13</v>
      </c>
      <c r="M142">
        <v>1</v>
      </c>
      <c r="N142" t="str">
        <f t="shared" si="2"/>
        <v>INSERT INTO TNL_RATING.dbo.usps_rate_master VALUES ('USPS', '2/13/2025', '2/13/2026', 12659, 'US', 'Priority Mail Express', 7, 14, 'L', 54.46, 'Wedgewood_USPS_2025', 'NonCubic','1');</v>
      </c>
    </row>
    <row r="143" spans="1:14" x14ac:dyDescent="0.3">
      <c r="A143" t="s">
        <v>11</v>
      </c>
      <c r="B143" s="1" t="s">
        <v>43</v>
      </c>
      <c r="C143" s="1" t="s">
        <v>44</v>
      </c>
      <c r="D143">
        <v>12659</v>
      </c>
      <c r="E143" t="s">
        <v>12</v>
      </c>
      <c r="F143" t="s">
        <v>42</v>
      </c>
      <c r="G143">
        <v>7</v>
      </c>
      <c r="H143">
        <v>15</v>
      </c>
      <c r="I143" t="s">
        <v>45</v>
      </c>
      <c r="J143" cm="1">
        <f t="array" ref="J143">IFERROR(
    _xlfn.XLOOKUP(G143, 'Wedgewood Pharm-PME-Yr2-2025'!$E$4:$L$4,
        _xlfn.XLOOKUP('Rate Load'!H143, 'Wedgewood Pharm-PME-Yr2-2025'!$D$5:$D$28,
            'Wedgewood Pharm-PME-Yr2-2025'!$E$5:$L$28, 0, 0),
        0, 0),
    _xlfn.XLOOKUP(G143, 'Wedgewood Pharm-PME-Yr2-2025'!$E$4:$L$4,
        _xlfn.XLOOKUP('Rate Load'!L143, 'Wedgewood Pharm-PME-Yr2-2025'!$D$5:$D$28,
            'Wedgewood Pharm-PME-Yr2-2025'!$E$5:$L$28, 0, 0),
        0, 0)
)</f>
        <v>57.03</v>
      </c>
      <c r="K143" t="s">
        <v>46</v>
      </c>
      <c r="L143" t="s">
        <v>13</v>
      </c>
      <c r="M143">
        <v>1</v>
      </c>
      <c r="N143" t="str">
        <f t="shared" si="2"/>
        <v>INSERT INTO TNL_RATING.dbo.usps_rate_master VALUES ('USPS', '2/13/2025', '2/13/2026', 12659, 'US', 'Priority Mail Express', 7, 15, 'L', 57.03, 'Wedgewood_USPS_2025', 'NonCubic','1');</v>
      </c>
    </row>
    <row r="144" spans="1:14" x14ac:dyDescent="0.3">
      <c r="A144" t="s">
        <v>11</v>
      </c>
      <c r="B144" s="1" t="s">
        <v>43</v>
      </c>
      <c r="C144" s="1" t="s">
        <v>44</v>
      </c>
      <c r="D144">
        <v>12659</v>
      </c>
      <c r="E144" t="s">
        <v>12</v>
      </c>
      <c r="F144" t="s">
        <v>42</v>
      </c>
      <c r="G144">
        <v>7</v>
      </c>
      <c r="H144">
        <v>16</v>
      </c>
      <c r="I144" t="s">
        <v>45</v>
      </c>
      <c r="J144" cm="1">
        <f t="array" ref="J144">IFERROR(
    _xlfn.XLOOKUP(G144, 'Wedgewood Pharm-PME-Yr2-2025'!$E$4:$L$4,
        _xlfn.XLOOKUP('Rate Load'!H144, 'Wedgewood Pharm-PME-Yr2-2025'!$D$5:$D$28,
            'Wedgewood Pharm-PME-Yr2-2025'!$E$5:$L$28, 0, 0),
        0, 0),
    _xlfn.XLOOKUP(G144, 'Wedgewood Pharm-PME-Yr2-2025'!$E$4:$L$4,
        _xlfn.XLOOKUP('Rate Load'!L144, 'Wedgewood Pharm-PME-Yr2-2025'!$D$5:$D$28,
            'Wedgewood Pharm-PME-Yr2-2025'!$E$5:$L$28, 0, 0),
        0, 0)
)</f>
        <v>59.61</v>
      </c>
      <c r="K144" t="s">
        <v>46</v>
      </c>
      <c r="L144" t="s">
        <v>13</v>
      </c>
      <c r="M144">
        <v>1</v>
      </c>
      <c r="N144" t="str">
        <f t="shared" si="2"/>
        <v>INSERT INTO TNL_RATING.dbo.usps_rate_master VALUES ('USPS', '2/13/2025', '2/13/2026', 12659, 'US', 'Priority Mail Express', 7, 16, 'L', 59.61, 'Wedgewood_USPS_2025', 'NonCubic','1');</v>
      </c>
    </row>
    <row r="145" spans="1:14" x14ac:dyDescent="0.3">
      <c r="A145" t="s">
        <v>11</v>
      </c>
      <c r="B145" s="1" t="s">
        <v>43</v>
      </c>
      <c r="C145" s="1" t="s">
        <v>44</v>
      </c>
      <c r="D145">
        <v>12659</v>
      </c>
      <c r="E145" t="s">
        <v>12</v>
      </c>
      <c r="F145" t="s">
        <v>42</v>
      </c>
      <c r="G145">
        <v>7</v>
      </c>
      <c r="H145">
        <v>17</v>
      </c>
      <c r="I145" t="s">
        <v>45</v>
      </c>
      <c r="J145" cm="1">
        <f t="array" ref="J145">IFERROR(
    _xlfn.XLOOKUP(G145, 'Wedgewood Pharm-PME-Yr2-2025'!$E$4:$L$4,
        _xlfn.XLOOKUP('Rate Load'!H145, 'Wedgewood Pharm-PME-Yr2-2025'!$D$5:$D$28,
            'Wedgewood Pharm-PME-Yr2-2025'!$E$5:$L$28, 0, 0),
        0, 0),
    _xlfn.XLOOKUP(G145, 'Wedgewood Pharm-PME-Yr2-2025'!$E$4:$L$4,
        _xlfn.XLOOKUP('Rate Load'!L145, 'Wedgewood Pharm-PME-Yr2-2025'!$D$5:$D$28,
            'Wedgewood Pharm-PME-Yr2-2025'!$E$5:$L$28, 0, 0),
        0, 0)
)</f>
        <v>62.19</v>
      </c>
      <c r="K145" t="s">
        <v>46</v>
      </c>
      <c r="L145" t="s">
        <v>13</v>
      </c>
      <c r="M145">
        <v>1</v>
      </c>
      <c r="N145" t="str">
        <f t="shared" si="2"/>
        <v>INSERT INTO TNL_RATING.dbo.usps_rate_master VALUES ('USPS', '2/13/2025', '2/13/2026', 12659, 'US', 'Priority Mail Express', 7, 17, 'L', 62.19, 'Wedgewood_USPS_2025', 'NonCubic','1');</v>
      </c>
    </row>
    <row r="146" spans="1:14" x14ac:dyDescent="0.3">
      <c r="A146" t="s">
        <v>11</v>
      </c>
      <c r="B146" s="1" t="s">
        <v>43</v>
      </c>
      <c r="C146" s="1" t="s">
        <v>44</v>
      </c>
      <c r="D146">
        <v>12659</v>
      </c>
      <c r="E146" t="s">
        <v>12</v>
      </c>
      <c r="F146" t="s">
        <v>42</v>
      </c>
      <c r="G146">
        <v>7</v>
      </c>
      <c r="H146">
        <v>18</v>
      </c>
      <c r="I146" t="s">
        <v>45</v>
      </c>
      <c r="J146" cm="1">
        <f t="array" ref="J146">IFERROR(
    _xlfn.XLOOKUP(G146, 'Wedgewood Pharm-PME-Yr2-2025'!$E$4:$L$4,
        _xlfn.XLOOKUP('Rate Load'!H146, 'Wedgewood Pharm-PME-Yr2-2025'!$D$5:$D$28,
            'Wedgewood Pharm-PME-Yr2-2025'!$E$5:$L$28, 0, 0),
        0, 0),
    _xlfn.XLOOKUP(G146, 'Wedgewood Pharm-PME-Yr2-2025'!$E$4:$L$4,
        _xlfn.XLOOKUP('Rate Load'!L146, 'Wedgewood Pharm-PME-Yr2-2025'!$D$5:$D$28,
            'Wedgewood Pharm-PME-Yr2-2025'!$E$5:$L$28, 0, 0),
        0, 0)
)</f>
        <v>64.760000000000005</v>
      </c>
      <c r="K146" t="s">
        <v>46</v>
      </c>
      <c r="L146" t="s">
        <v>13</v>
      </c>
      <c r="M146">
        <v>1</v>
      </c>
      <c r="N146" t="str">
        <f t="shared" si="2"/>
        <v>INSERT INTO TNL_RATING.dbo.usps_rate_master VALUES ('USPS', '2/13/2025', '2/13/2026', 12659, 'US', 'Priority Mail Express', 7, 18, 'L', 64.76, 'Wedgewood_USPS_2025', 'NonCubic','1');</v>
      </c>
    </row>
    <row r="147" spans="1:14" x14ac:dyDescent="0.3">
      <c r="A147" t="s">
        <v>11</v>
      </c>
      <c r="B147" s="1" t="s">
        <v>43</v>
      </c>
      <c r="C147" s="1" t="s">
        <v>44</v>
      </c>
      <c r="D147">
        <v>12659</v>
      </c>
      <c r="E147" t="s">
        <v>12</v>
      </c>
      <c r="F147" t="s">
        <v>42</v>
      </c>
      <c r="G147">
        <v>7</v>
      </c>
      <c r="H147">
        <v>19</v>
      </c>
      <c r="I147" t="s">
        <v>45</v>
      </c>
      <c r="J147" cm="1">
        <f t="array" ref="J147">IFERROR(
    _xlfn.XLOOKUP(G147, 'Wedgewood Pharm-PME-Yr2-2025'!$E$4:$L$4,
        _xlfn.XLOOKUP('Rate Load'!H147, 'Wedgewood Pharm-PME-Yr2-2025'!$D$5:$D$28,
            'Wedgewood Pharm-PME-Yr2-2025'!$E$5:$L$28, 0, 0),
        0, 0),
    _xlfn.XLOOKUP(G147, 'Wedgewood Pharm-PME-Yr2-2025'!$E$4:$L$4,
        _xlfn.XLOOKUP('Rate Load'!L147, 'Wedgewood Pharm-PME-Yr2-2025'!$D$5:$D$28,
            'Wedgewood Pharm-PME-Yr2-2025'!$E$5:$L$28, 0, 0),
        0, 0)
)</f>
        <v>67.34</v>
      </c>
      <c r="K147" t="s">
        <v>46</v>
      </c>
      <c r="L147" t="s">
        <v>13</v>
      </c>
      <c r="M147">
        <v>1</v>
      </c>
      <c r="N147" t="str">
        <f t="shared" si="2"/>
        <v>INSERT INTO TNL_RATING.dbo.usps_rate_master VALUES ('USPS', '2/13/2025', '2/13/2026', 12659, 'US', 'Priority Mail Express', 7, 19, 'L', 67.34, 'Wedgewood_USPS_2025', 'NonCubic','1');</v>
      </c>
    </row>
    <row r="148" spans="1:14" x14ac:dyDescent="0.3">
      <c r="A148" t="s">
        <v>11</v>
      </c>
      <c r="B148" s="1" t="s">
        <v>43</v>
      </c>
      <c r="C148" s="1" t="s">
        <v>44</v>
      </c>
      <c r="D148">
        <v>12659</v>
      </c>
      <c r="E148" t="s">
        <v>12</v>
      </c>
      <c r="F148" t="s">
        <v>42</v>
      </c>
      <c r="G148">
        <v>7</v>
      </c>
      <c r="H148">
        <v>20</v>
      </c>
      <c r="I148" t="s">
        <v>45</v>
      </c>
      <c r="J148" cm="1">
        <f t="array" ref="J148">IFERROR(
    _xlfn.XLOOKUP(G148, 'Wedgewood Pharm-PME-Yr2-2025'!$E$4:$L$4,
        _xlfn.XLOOKUP('Rate Load'!H148, 'Wedgewood Pharm-PME-Yr2-2025'!$D$5:$D$28,
            'Wedgewood Pharm-PME-Yr2-2025'!$E$5:$L$28, 0, 0),
        0, 0),
    _xlfn.XLOOKUP(G148, 'Wedgewood Pharm-PME-Yr2-2025'!$E$4:$L$4,
        _xlfn.XLOOKUP('Rate Load'!L148, 'Wedgewood Pharm-PME-Yr2-2025'!$D$5:$D$28,
            'Wedgewood Pharm-PME-Yr2-2025'!$E$5:$L$28, 0, 0),
        0, 0)
)</f>
        <v>69.900000000000006</v>
      </c>
      <c r="K148" t="s">
        <v>46</v>
      </c>
      <c r="L148" t="s">
        <v>13</v>
      </c>
      <c r="M148">
        <v>1</v>
      </c>
      <c r="N148" t="str">
        <f t="shared" si="2"/>
        <v>INSERT INTO TNL_RATING.dbo.usps_rate_master VALUES ('USPS', '2/13/2025', '2/13/2026', 12659, 'US', 'Priority Mail Express', 7, 20, 'L', 69.9, 'Wedgewood_USPS_2025', 'NonCubic','1');</v>
      </c>
    </row>
    <row r="149" spans="1:14" x14ac:dyDescent="0.3">
      <c r="A149" t="s">
        <v>11</v>
      </c>
      <c r="B149" s="1" t="s">
        <v>43</v>
      </c>
      <c r="C149" s="1" t="s">
        <v>44</v>
      </c>
      <c r="D149">
        <v>12659</v>
      </c>
      <c r="E149" t="s">
        <v>12</v>
      </c>
      <c r="F149" t="s">
        <v>42</v>
      </c>
      <c r="G149">
        <v>8</v>
      </c>
      <c r="H149">
        <v>0.5</v>
      </c>
      <c r="I149" t="s">
        <v>45</v>
      </c>
      <c r="J149" cm="1">
        <f t="array" ref="J149">IFERROR(
    _xlfn.XLOOKUP(G149, 'Wedgewood Pharm-PME-Yr2-2025'!$E$4:$L$4,
        _xlfn.XLOOKUP('Rate Load'!H149, 'Wedgewood Pharm-PME-Yr2-2025'!$D$5:$D$28,
            'Wedgewood Pharm-PME-Yr2-2025'!$E$5:$L$28, 0, 0),
        0, 0),
    _xlfn.XLOOKUP(G149, 'Wedgewood Pharm-PME-Yr2-2025'!$E$4:$L$4,
        _xlfn.XLOOKUP('Rate Load'!L149, 'Wedgewood Pharm-PME-Yr2-2025'!$D$5:$D$28,
            'Wedgewood Pharm-PME-Yr2-2025'!$E$5:$L$28, 0, 0),
        0, 0)
)</f>
        <v>16.580000000000002</v>
      </c>
      <c r="K149" t="s">
        <v>46</v>
      </c>
      <c r="L149" t="s">
        <v>13</v>
      </c>
      <c r="M149">
        <v>1</v>
      </c>
      <c r="N149" t="str">
        <f t="shared" si="2"/>
        <v>INSERT INTO TNL_RATING.dbo.usps_rate_master VALUES ('USPS', '2/13/2025', '2/13/2026', 12659, 'US', 'Priority Mail Express', 8, 0.5, 'L', 16.58, 'Wedgewood_USPS_2025', 'NonCubic','1');</v>
      </c>
    </row>
    <row r="150" spans="1:14" x14ac:dyDescent="0.3">
      <c r="A150" t="s">
        <v>11</v>
      </c>
      <c r="B150" s="1" t="s">
        <v>43</v>
      </c>
      <c r="C150" s="1" t="s">
        <v>44</v>
      </c>
      <c r="D150">
        <v>12659</v>
      </c>
      <c r="E150" t="s">
        <v>12</v>
      </c>
      <c r="F150" t="s">
        <v>42</v>
      </c>
      <c r="G150">
        <v>8</v>
      </c>
      <c r="H150">
        <v>1</v>
      </c>
      <c r="I150" t="s">
        <v>45</v>
      </c>
      <c r="J150" cm="1">
        <f t="array" ref="J150">IFERROR(
    _xlfn.XLOOKUP(G150, 'Wedgewood Pharm-PME-Yr2-2025'!$E$4:$L$4,
        _xlfn.XLOOKUP('Rate Load'!H150, 'Wedgewood Pharm-PME-Yr2-2025'!$D$5:$D$28,
            'Wedgewood Pharm-PME-Yr2-2025'!$E$5:$L$28, 0, 0),
        0, 0),
    _xlfn.XLOOKUP(G150, 'Wedgewood Pharm-PME-Yr2-2025'!$E$4:$L$4,
        _xlfn.XLOOKUP('Rate Load'!L150, 'Wedgewood Pharm-PME-Yr2-2025'!$D$5:$D$28,
            'Wedgewood Pharm-PME-Yr2-2025'!$E$5:$L$28, 0, 0),
        0, 0)
)</f>
        <v>18.360000000000003</v>
      </c>
      <c r="K150" t="s">
        <v>46</v>
      </c>
      <c r="L150" t="s">
        <v>13</v>
      </c>
      <c r="M150">
        <v>1</v>
      </c>
      <c r="N150" t="str">
        <f t="shared" si="2"/>
        <v>INSERT INTO TNL_RATING.dbo.usps_rate_master VALUES ('USPS', '2/13/2025', '2/13/2026', 12659, 'US', 'Priority Mail Express', 8, 1, 'L', 18.36, 'Wedgewood_USPS_2025', 'NonCubic','1');</v>
      </c>
    </row>
    <row r="151" spans="1:14" x14ac:dyDescent="0.3">
      <c r="A151" t="s">
        <v>11</v>
      </c>
      <c r="B151" s="1" t="s">
        <v>43</v>
      </c>
      <c r="C151" s="1" t="s">
        <v>44</v>
      </c>
      <c r="D151">
        <v>12659</v>
      </c>
      <c r="E151" t="s">
        <v>12</v>
      </c>
      <c r="F151" t="s">
        <v>42</v>
      </c>
      <c r="G151">
        <v>8</v>
      </c>
      <c r="H151">
        <v>2</v>
      </c>
      <c r="I151" t="s">
        <v>45</v>
      </c>
      <c r="J151" cm="1">
        <f t="array" ref="J151">IFERROR(
    _xlfn.XLOOKUP(G151, 'Wedgewood Pharm-PME-Yr2-2025'!$E$4:$L$4,
        _xlfn.XLOOKUP('Rate Load'!H151, 'Wedgewood Pharm-PME-Yr2-2025'!$D$5:$D$28,
            'Wedgewood Pharm-PME-Yr2-2025'!$E$5:$L$28, 0, 0),
        0, 0),
    _xlfn.XLOOKUP(G151, 'Wedgewood Pharm-PME-Yr2-2025'!$E$4:$L$4,
        _xlfn.XLOOKUP('Rate Load'!L151, 'Wedgewood Pharm-PME-Yr2-2025'!$D$5:$D$28,
            'Wedgewood Pharm-PME-Yr2-2025'!$E$5:$L$28, 0, 0),
        0, 0)
)</f>
        <v>20.96</v>
      </c>
      <c r="K151" t="s">
        <v>46</v>
      </c>
      <c r="L151" t="s">
        <v>13</v>
      </c>
      <c r="M151">
        <v>1</v>
      </c>
      <c r="N151" t="str">
        <f t="shared" si="2"/>
        <v>INSERT INTO TNL_RATING.dbo.usps_rate_master VALUES ('USPS', '2/13/2025', '2/13/2026', 12659, 'US', 'Priority Mail Express', 8, 2, 'L', 20.96, 'Wedgewood_USPS_2025', 'NonCubic','1');</v>
      </c>
    </row>
    <row r="152" spans="1:14" x14ac:dyDescent="0.3">
      <c r="A152" t="s">
        <v>11</v>
      </c>
      <c r="B152" s="1" t="s">
        <v>43</v>
      </c>
      <c r="C152" s="1" t="s">
        <v>44</v>
      </c>
      <c r="D152">
        <v>12659</v>
      </c>
      <c r="E152" t="s">
        <v>12</v>
      </c>
      <c r="F152" t="s">
        <v>42</v>
      </c>
      <c r="G152">
        <v>8</v>
      </c>
      <c r="H152">
        <v>3</v>
      </c>
      <c r="I152" t="s">
        <v>45</v>
      </c>
      <c r="J152" cm="1">
        <f t="array" ref="J152">IFERROR(
    _xlfn.XLOOKUP(G152, 'Wedgewood Pharm-PME-Yr2-2025'!$E$4:$L$4,
        _xlfn.XLOOKUP('Rate Load'!H152, 'Wedgewood Pharm-PME-Yr2-2025'!$D$5:$D$28,
            'Wedgewood Pharm-PME-Yr2-2025'!$E$5:$L$28, 0, 0),
        0, 0),
    _xlfn.XLOOKUP(G152, 'Wedgewood Pharm-PME-Yr2-2025'!$E$4:$L$4,
        _xlfn.XLOOKUP('Rate Load'!L152, 'Wedgewood Pharm-PME-Yr2-2025'!$D$5:$D$28,
            'Wedgewood Pharm-PME-Yr2-2025'!$E$5:$L$28, 0, 0),
        0, 0)
)</f>
        <v>23.950000000000003</v>
      </c>
      <c r="K152" t="s">
        <v>46</v>
      </c>
      <c r="L152" t="s">
        <v>13</v>
      </c>
      <c r="M152">
        <v>1</v>
      </c>
      <c r="N152" t="str">
        <f t="shared" si="2"/>
        <v>INSERT INTO TNL_RATING.dbo.usps_rate_master VALUES ('USPS', '2/13/2025', '2/13/2026', 12659, 'US', 'Priority Mail Express', 8, 3, 'L', 23.95, 'Wedgewood_USPS_2025', 'NonCubic','1');</v>
      </c>
    </row>
    <row r="153" spans="1:14" x14ac:dyDescent="0.3">
      <c r="A153" t="s">
        <v>11</v>
      </c>
      <c r="B153" s="1" t="s">
        <v>43</v>
      </c>
      <c r="C153" s="1" t="s">
        <v>44</v>
      </c>
      <c r="D153">
        <v>12659</v>
      </c>
      <c r="E153" t="s">
        <v>12</v>
      </c>
      <c r="F153" t="s">
        <v>42</v>
      </c>
      <c r="G153">
        <v>8</v>
      </c>
      <c r="H153">
        <v>4</v>
      </c>
      <c r="I153" t="s">
        <v>45</v>
      </c>
      <c r="J153" cm="1">
        <f t="array" ref="J153">IFERROR(
    _xlfn.XLOOKUP(G153, 'Wedgewood Pharm-PME-Yr2-2025'!$E$4:$L$4,
        _xlfn.XLOOKUP('Rate Load'!H153, 'Wedgewood Pharm-PME-Yr2-2025'!$D$5:$D$28,
            'Wedgewood Pharm-PME-Yr2-2025'!$E$5:$L$28, 0, 0),
        0, 0),
    _xlfn.XLOOKUP(G153, 'Wedgewood Pharm-PME-Yr2-2025'!$E$4:$L$4,
        _xlfn.XLOOKUP('Rate Load'!L153, 'Wedgewood Pharm-PME-Yr2-2025'!$D$5:$D$28,
            'Wedgewood Pharm-PME-Yr2-2025'!$E$5:$L$28, 0, 0),
        0, 0)
)</f>
        <v>26.950000000000003</v>
      </c>
      <c r="K153" t="s">
        <v>46</v>
      </c>
      <c r="L153" t="s">
        <v>13</v>
      </c>
      <c r="M153">
        <v>1</v>
      </c>
      <c r="N153" t="str">
        <f t="shared" si="2"/>
        <v>INSERT INTO TNL_RATING.dbo.usps_rate_master VALUES ('USPS', '2/13/2025', '2/13/2026', 12659, 'US', 'Priority Mail Express', 8, 4, 'L', 26.95, 'Wedgewood_USPS_2025', 'NonCubic','1');</v>
      </c>
    </row>
    <row r="154" spans="1:14" x14ac:dyDescent="0.3">
      <c r="A154" t="s">
        <v>11</v>
      </c>
      <c r="B154" s="1" t="s">
        <v>43</v>
      </c>
      <c r="C154" s="1" t="s">
        <v>44</v>
      </c>
      <c r="D154">
        <v>12659</v>
      </c>
      <c r="E154" t="s">
        <v>12</v>
      </c>
      <c r="F154" t="s">
        <v>42</v>
      </c>
      <c r="G154">
        <v>8</v>
      </c>
      <c r="H154">
        <v>5</v>
      </c>
      <c r="I154" t="s">
        <v>45</v>
      </c>
      <c r="J154" cm="1">
        <f t="array" ref="J154">IFERROR(
    _xlfn.XLOOKUP(G154, 'Wedgewood Pharm-PME-Yr2-2025'!$E$4:$L$4,
        _xlfn.XLOOKUP('Rate Load'!H154, 'Wedgewood Pharm-PME-Yr2-2025'!$D$5:$D$28,
            'Wedgewood Pharm-PME-Yr2-2025'!$E$5:$L$28, 0, 0),
        0, 0),
    _xlfn.XLOOKUP(G154, 'Wedgewood Pharm-PME-Yr2-2025'!$E$4:$L$4,
        _xlfn.XLOOKUP('Rate Load'!L154, 'Wedgewood Pharm-PME-Yr2-2025'!$D$5:$D$28,
            'Wedgewood Pharm-PME-Yr2-2025'!$E$5:$L$28, 0, 0),
        0, 0)
)</f>
        <v>29.92</v>
      </c>
      <c r="K154" t="s">
        <v>46</v>
      </c>
      <c r="L154" t="s">
        <v>13</v>
      </c>
      <c r="M154">
        <v>1</v>
      </c>
      <c r="N154" t="str">
        <f t="shared" si="2"/>
        <v>INSERT INTO TNL_RATING.dbo.usps_rate_master VALUES ('USPS', '2/13/2025', '2/13/2026', 12659, 'US', 'Priority Mail Express', 8, 5, 'L', 29.92, 'Wedgewood_USPS_2025', 'NonCubic','1');</v>
      </c>
    </row>
    <row r="155" spans="1:14" x14ac:dyDescent="0.3">
      <c r="A155" t="s">
        <v>11</v>
      </c>
      <c r="B155" s="1" t="s">
        <v>43</v>
      </c>
      <c r="C155" s="1" t="s">
        <v>44</v>
      </c>
      <c r="D155">
        <v>12659</v>
      </c>
      <c r="E155" t="s">
        <v>12</v>
      </c>
      <c r="F155" t="s">
        <v>42</v>
      </c>
      <c r="G155">
        <v>8</v>
      </c>
      <c r="H155">
        <v>6</v>
      </c>
      <c r="I155" t="s">
        <v>45</v>
      </c>
      <c r="J155" cm="1">
        <f t="array" ref="J155">IFERROR(
    _xlfn.XLOOKUP(G155, 'Wedgewood Pharm-PME-Yr2-2025'!$E$4:$L$4,
        _xlfn.XLOOKUP('Rate Load'!H155, 'Wedgewood Pharm-PME-Yr2-2025'!$D$5:$D$28,
            'Wedgewood Pharm-PME-Yr2-2025'!$E$5:$L$28, 0, 0),
        0, 0),
    _xlfn.XLOOKUP(G155, 'Wedgewood Pharm-PME-Yr2-2025'!$E$4:$L$4,
        _xlfn.XLOOKUP('Rate Load'!L155, 'Wedgewood Pharm-PME-Yr2-2025'!$D$5:$D$28,
            'Wedgewood Pharm-PME-Yr2-2025'!$E$5:$L$28, 0, 0),
        0, 0)
)</f>
        <v>32.97</v>
      </c>
      <c r="K155" t="s">
        <v>46</v>
      </c>
      <c r="L155" t="s">
        <v>13</v>
      </c>
      <c r="M155">
        <v>1</v>
      </c>
      <c r="N155" t="str">
        <f t="shared" si="2"/>
        <v>INSERT INTO TNL_RATING.dbo.usps_rate_master VALUES ('USPS', '2/13/2025', '2/13/2026', 12659, 'US', 'Priority Mail Express', 8, 6, 'L', 32.97, 'Wedgewood_USPS_2025', 'NonCubic','1');</v>
      </c>
    </row>
    <row r="156" spans="1:14" x14ac:dyDescent="0.3">
      <c r="A156" t="s">
        <v>11</v>
      </c>
      <c r="B156" s="1" t="s">
        <v>43</v>
      </c>
      <c r="C156" s="1" t="s">
        <v>44</v>
      </c>
      <c r="D156">
        <v>12659</v>
      </c>
      <c r="E156" t="s">
        <v>12</v>
      </c>
      <c r="F156" t="s">
        <v>42</v>
      </c>
      <c r="G156">
        <v>8</v>
      </c>
      <c r="H156">
        <v>7</v>
      </c>
      <c r="I156" t="s">
        <v>45</v>
      </c>
      <c r="J156" cm="1">
        <f t="array" ref="J156">IFERROR(
    _xlfn.XLOOKUP(G156, 'Wedgewood Pharm-PME-Yr2-2025'!$E$4:$L$4,
        _xlfn.XLOOKUP('Rate Load'!H156, 'Wedgewood Pharm-PME-Yr2-2025'!$D$5:$D$28,
            'Wedgewood Pharm-PME-Yr2-2025'!$E$5:$L$28, 0, 0),
        0, 0),
    _xlfn.XLOOKUP(G156, 'Wedgewood Pharm-PME-Yr2-2025'!$E$4:$L$4,
        _xlfn.XLOOKUP('Rate Load'!L156, 'Wedgewood Pharm-PME-Yr2-2025'!$D$5:$D$28,
            'Wedgewood Pharm-PME-Yr2-2025'!$E$5:$L$28, 0, 0),
        0, 0)
)</f>
        <v>36.019999999999996</v>
      </c>
      <c r="K156" t="s">
        <v>46</v>
      </c>
      <c r="L156" t="s">
        <v>13</v>
      </c>
      <c r="M156">
        <v>1</v>
      </c>
      <c r="N156" t="str">
        <f t="shared" si="2"/>
        <v>INSERT INTO TNL_RATING.dbo.usps_rate_master VALUES ('USPS', '2/13/2025', '2/13/2026', 12659, 'US', 'Priority Mail Express', 8, 7, 'L', 36.02, 'Wedgewood_USPS_2025', 'NonCubic','1');</v>
      </c>
    </row>
    <row r="157" spans="1:14" x14ac:dyDescent="0.3">
      <c r="A157" t="s">
        <v>11</v>
      </c>
      <c r="B157" s="1" t="s">
        <v>43</v>
      </c>
      <c r="C157" s="1" t="s">
        <v>44</v>
      </c>
      <c r="D157">
        <v>12659</v>
      </c>
      <c r="E157" t="s">
        <v>12</v>
      </c>
      <c r="F157" t="s">
        <v>42</v>
      </c>
      <c r="G157">
        <v>8</v>
      </c>
      <c r="H157">
        <v>8</v>
      </c>
      <c r="I157" t="s">
        <v>45</v>
      </c>
      <c r="J157" cm="1">
        <f t="array" ref="J157">IFERROR(
    _xlfn.XLOOKUP(G157, 'Wedgewood Pharm-PME-Yr2-2025'!$E$4:$L$4,
        _xlfn.XLOOKUP('Rate Load'!H157, 'Wedgewood Pharm-PME-Yr2-2025'!$D$5:$D$28,
            'Wedgewood Pharm-PME-Yr2-2025'!$E$5:$L$28, 0, 0),
        0, 0),
    _xlfn.XLOOKUP(G157, 'Wedgewood Pharm-PME-Yr2-2025'!$E$4:$L$4,
        _xlfn.XLOOKUP('Rate Load'!L157, 'Wedgewood Pharm-PME-Yr2-2025'!$D$5:$D$28,
            'Wedgewood Pharm-PME-Yr2-2025'!$E$5:$L$28, 0, 0),
        0, 0)
)</f>
        <v>39.059999999999995</v>
      </c>
      <c r="K157" t="s">
        <v>46</v>
      </c>
      <c r="L157" t="s">
        <v>13</v>
      </c>
      <c r="M157">
        <v>1</v>
      </c>
      <c r="N157" t="str">
        <f t="shared" si="2"/>
        <v>INSERT INTO TNL_RATING.dbo.usps_rate_master VALUES ('USPS', '2/13/2025', '2/13/2026', 12659, 'US', 'Priority Mail Express', 8, 8, 'L', 39.06, 'Wedgewood_USPS_2025', 'NonCubic','1');</v>
      </c>
    </row>
    <row r="158" spans="1:14" x14ac:dyDescent="0.3">
      <c r="A158" t="s">
        <v>11</v>
      </c>
      <c r="B158" s="1" t="s">
        <v>43</v>
      </c>
      <c r="C158" s="1" t="s">
        <v>44</v>
      </c>
      <c r="D158">
        <v>12659</v>
      </c>
      <c r="E158" t="s">
        <v>12</v>
      </c>
      <c r="F158" t="s">
        <v>42</v>
      </c>
      <c r="G158">
        <v>8</v>
      </c>
      <c r="H158">
        <v>9</v>
      </c>
      <c r="I158" t="s">
        <v>45</v>
      </c>
      <c r="J158" cm="1">
        <f t="array" ref="J158">IFERROR(
    _xlfn.XLOOKUP(G158, 'Wedgewood Pharm-PME-Yr2-2025'!$E$4:$L$4,
        _xlfn.XLOOKUP('Rate Load'!H158, 'Wedgewood Pharm-PME-Yr2-2025'!$D$5:$D$28,
            'Wedgewood Pharm-PME-Yr2-2025'!$E$5:$L$28, 0, 0),
        0, 0),
    _xlfn.XLOOKUP(G158, 'Wedgewood Pharm-PME-Yr2-2025'!$E$4:$L$4,
        _xlfn.XLOOKUP('Rate Load'!L158, 'Wedgewood Pharm-PME-Yr2-2025'!$D$5:$D$28,
            'Wedgewood Pharm-PME-Yr2-2025'!$E$5:$L$28, 0, 0),
        0, 0)
)</f>
        <v>42.11</v>
      </c>
      <c r="K158" t="s">
        <v>46</v>
      </c>
      <c r="L158" t="s">
        <v>13</v>
      </c>
      <c r="M158">
        <v>1</v>
      </c>
      <c r="N158" t="str">
        <f t="shared" si="2"/>
        <v>INSERT INTO TNL_RATING.dbo.usps_rate_master VALUES ('USPS', '2/13/2025', '2/13/2026', 12659, 'US', 'Priority Mail Express', 8, 9, 'L', 42.11, 'Wedgewood_USPS_2025', 'NonCubic','1');</v>
      </c>
    </row>
    <row r="159" spans="1:14" x14ac:dyDescent="0.3">
      <c r="A159" t="s">
        <v>11</v>
      </c>
      <c r="B159" s="1" t="s">
        <v>43</v>
      </c>
      <c r="C159" s="1" t="s">
        <v>44</v>
      </c>
      <c r="D159">
        <v>12659</v>
      </c>
      <c r="E159" t="s">
        <v>12</v>
      </c>
      <c r="F159" t="s">
        <v>42</v>
      </c>
      <c r="G159">
        <v>8</v>
      </c>
      <c r="H159">
        <v>10</v>
      </c>
      <c r="I159" t="s">
        <v>45</v>
      </c>
      <c r="J159" cm="1">
        <f t="array" ref="J159">IFERROR(
    _xlfn.XLOOKUP(G159, 'Wedgewood Pharm-PME-Yr2-2025'!$E$4:$L$4,
        _xlfn.XLOOKUP('Rate Load'!H159, 'Wedgewood Pharm-PME-Yr2-2025'!$D$5:$D$28,
            'Wedgewood Pharm-PME-Yr2-2025'!$E$5:$L$28, 0, 0),
        0, 0),
    _xlfn.XLOOKUP(G159, 'Wedgewood Pharm-PME-Yr2-2025'!$E$4:$L$4,
        _xlfn.XLOOKUP('Rate Load'!L159, 'Wedgewood Pharm-PME-Yr2-2025'!$D$5:$D$28,
            'Wedgewood Pharm-PME-Yr2-2025'!$E$5:$L$28, 0, 0),
        0, 0)
)</f>
        <v>45.14</v>
      </c>
      <c r="K159" t="s">
        <v>46</v>
      </c>
      <c r="L159" t="s">
        <v>13</v>
      </c>
      <c r="M159">
        <v>1</v>
      </c>
      <c r="N159" t="str">
        <f t="shared" si="2"/>
        <v>INSERT INTO TNL_RATING.dbo.usps_rate_master VALUES ('USPS', '2/13/2025', '2/13/2026', 12659, 'US', 'Priority Mail Express', 8, 10, 'L', 45.14, 'Wedgewood_USPS_2025', 'NonCubic','1');</v>
      </c>
    </row>
    <row r="160" spans="1:14" x14ac:dyDescent="0.3">
      <c r="A160" t="s">
        <v>11</v>
      </c>
      <c r="B160" s="1" t="s">
        <v>43</v>
      </c>
      <c r="C160" s="1" t="s">
        <v>44</v>
      </c>
      <c r="D160">
        <v>12659</v>
      </c>
      <c r="E160" t="s">
        <v>12</v>
      </c>
      <c r="F160" t="s">
        <v>42</v>
      </c>
      <c r="G160">
        <v>8</v>
      </c>
      <c r="H160">
        <v>11</v>
      </c>
      <c r="I160" t="s">
        <v>45</v>
      </c>
      <c r="J160" cm="1">
        <f t="array" ref="J160">IFERROR(
    _xlfn.XLOOKUP(G160, 'Wedgewood Pharm-PME-Yr2-2025'!$E$4:$L$4,
        _xlfn.XLOOKUP('Rate Load'!H160, 'Wedgewood Pharm-PME-Yr2-2025'!$D$5:$D$28,
            'Wedgewood Pharm-PME-Yr2-2025'!$E$5:$L$28, 0, 0),
        0, 0),
    _xlfn.XLOOKUP(G160, 'Wedgewood Pharm-PME-Yr2-2025'!$E$4:$L$4,
        _xlfn.XLOOKUP('Rate Load'!L160, 'Wedgewood Pharm-PME-Yr2-2025'!$D$5:$D$28,
            'Wedgewood Pharm-PME-Yr2-2025'!$E$5:$L$28, 0, 0),
        0, 0)
)</f>
        <v>47.78</v>
      </c>
      <c r="K160" t="s">
        <v>46</v>
      </c>
      <c r="L160" t="s">
        <v>13</v>
      </c>
      <c r="M160">
        <v>1</v>
      </c>
      <c r="N160" t="str">
        <f t="shared" si="2"/>
        <v>INSERT INTO TNL_RATING.dbo.usps_rate_master VALUES ('USPS', '2/13/2025', '2/13/2026', 12659, 'US', 'Priority Mail Express', 8, 11, 'L', 47.78, 'Wedgewood_USPS_2025', 'NonCubic','1');</v>
      </c>
    </row>
    <row r="161" spans="1:14" x14ac:dyDescent="0.3">
      <c r="A161" t="s">
        <v>11</v>
      </c>
      <c r="B161" s="1" t="s">
        <v>43</v>
      </c>
      <c r="C161" s="1" t="s">
        <v>44</v>
      </c>
      <c r="D161">
        <v>12659</v>
      </c>
      <c r="E161" t="s">
        <v>12</v>
      </c>
      <c r="F161" t="s">
        <v>42</v>
      </c>
      <c r="G161">
        <v>8</v>
      </c>
      <c r="H161">
        <v>12</v>
      </c>
      <c r="I161" t="s">
        <v>45</v>
      </c>
      <c r="J161" cm="1">
        <f t="array" ref="J161">IFERROR(
    _xlfn.XLOOKUP(G161, 'Wedgewood Pharm-PME-Yr2-2025'!$E$4:$L$4,
        _xlfn.XLOOKUP('Rate Load'!H161, 'Wedgewood Pharm-PME-Yr2-2025'!$D$5:$D$28,
            'Wedgewood Pharm-PME-Yr2-2025'!$E$5:$L$28, 0, 0),
        0, 0),
    _xlfn.XLOOKUP(G161, 'Wedgewood Pharm-PME-Yr2-2025'!$E$4:$L$4,
        _xlfn.XLOOKUP('Rate Load'!L161, 'Wedgewood Pharm-PME-Yr2-2025'!$D$5:$D$28,
            'Wedgewood Pharm-PME-Yr2-2025'!$E$5:$L$28, 0, 0),
        0, 0)
)</f>
        <v>50.419999999999995</v>
      </c>
      <c r="K161" t="s">
        <v>46</v>
      </c>
      <c r="L161" t="s">
        <v>13</v>
      </c>
      <c r="M161">
        <v>1</v>
      </c>
      <c r="N161" t="str">
        <f t="shared" si="2"/>
        <v>INSERT INTO TNL_RATING.dbo.usps_rate_master VALUES ('USPS', '2/13/2025', '2/13/2026', 12659, 'US', 'Priority Mail Express', 8, 12, 'L', 50.42, 'Wedgewood_USPS_2025', 'NonCubic','1');</v>
      </c>
    </row>
    <row r="162" spans="1:14" x14ac:dyDescent="0.3">
      <c r="A162" t="s">
        <v>11</v>
      </c>
      <c r="B162" s="1" t="s">
        <v>43</v>
      </c>
      <c r="C162" s="1" t="s">
        <v>44</v>
      </c>
      <c r="D162">
        <v>12659</v>
      </c>
      <c r="E162" t="s">
        <v>12</v>
      </c>
      <c r="F162" t="s">
        <v>42</v>
      </c>
      <c r="G162">
        <v>8</v>
      </c>
      <c r="H162">
        <v>13</v>
      </c>
      <c r="I162" t="s">
        <v>45</v>
      </c>
      <c r="J162" cm="1">
        <f t="array" ref="J162">IFERROR(
    _xlfn.XLOOKUP(G162, 'Wedgewood Pharm-PME-Yr2-2025'!$E$4:$L$4,
        _xlfn.XLOOKUP('Rate Load'!H162, 'Wedgewood Pharm-PME-Yr2-2025'!$D$5:$D$28,
            'Wedgewood Pharm-PME-Yr2-2025'!$E$5:$L$28, 0, 0),
        0, 0),
    _xlfn.XLOOKUP(G162, 'Wedgewood Pharm-PME-Yr2-2025'!$E$4:$L$4,
        _xlfn.XLOOKUP('Rate Load'!L162, 'Wedgewood Pharm-PME-Yr2-2025'!$D$5:$D$28,
            'Wedgewood Pharm-PME-Yr2-2025'!$E$5:$L$28, 0, 0),
        0, 0)
)</f>
        <v>53.05</v>
      </c>
      <c r="K162" t="s">
        <v>46</v>
      </c>
      <c r="L162" t="s">
        <v>13</v>
      </c>
      <c r="M162">
        <v>1</v>
      </c>
      <c r="N162" t="str">
        <f t="shared" si="2"/>
        <v>INSERT INTO TNL_RATING.dbo.usps_rate_master VALUES ('USPS', '2/13/2025', '2/13/2026', 12659, 'US', 'Priority Mail Express', 8, 13, 'L', 53.05, 'Wedgewood_USPS_2025', 'NonCubic','1');</v>
      </c>
    </row>
    <row r="163" spans="1:14" x14ac:dyDescent="0.3">
      <c r="A163" t="s">
        <v>11</v>
      </c>
      <c r="B163" s="1" t="s">
        <v>43</v>
      </c>
      <c r="C163" s="1" t="s">
        <v>44</v>
      </c>
      <c r="D163">
        <v>12659</v>
      </c>
      <c r="E163" t="s">
        <v>12</v>
      </c>
      <c r="F163" t="s">
        <v>42</v>
      </c>
      <c r="G163">
        <v>8</v>
      </c>
      <c r="H163">
        <v>14</v>
      </c>
      <c r="I163" t="s">
        <v>45</v>
      </c>
      <c r="J163" cm="1">
        <f t="array" ref="J163">IFERROR(
    _xlfn.XLOOKUP(G163, 'Wedgewood Pharm-PME-Yr2-2025'!$E$4:$L$4,
        _xlfn.XLOOKUP('Rate Load'!H163, 'Wedgewood Pharm-PME-Yr2-2025'!$D$5:$D$28,
            'Wedgewood Pharm-PME-Yr2-2025'!$E$5:$L$28, 0, 0),
        0, 0),
    _xlfn.XLOOKUP(G163, 'Wedgewood Pharm-PME-Yr2-2025'!$E$4:$L$4,
        _xlfn.XLOOKUP('Rate Load'!L163, 'Wedgewood Pharm-PME-Yr2-2025'!$D$5:$D$28,
            'Wedgewood Pharm-PME-Yr2-2025'!$E$5:$L$28, 0, 0),
        0, 0)
)</f>
        <v>55.68</v>
      </c>
      <c r="K163" t="s">
        <v>46</v>
      </c>
      <c r="L163" t="s">
        <v>13</v>
      </c>
      <c r="M163">
        <v>1</v>
      </c>
      <c r="N163" t="str">
        <f t="shared" si="2"/>
        <v>INSERT INTO TNL_RATING.dbo.usps_rate_master VALUES ('USPS', '2/13/2025', '2/13/2026', 12659, 'US', 'Priority Mail Express', 8, 14, 'L', 55.68, 'Wedgewood_USPS_2025', 'NonCubic','1');</v>
      </c>
    </row>
    <row r="164" spans="1:14" x14ac:dyDescent="0.3">
      <c r="A164" t="s">
        <v>11</v>
      </c>
      <c r="B164" s="1" t="s">
        <v>43</v>
      </c>
      <c r="C164" s="1" t="s">
        <v>44</v>
      </c>
      <c r="D164">
        <v>12659</v>
      </c>
      <c r="E164" t="s">
        <v>12</v>
      </c>
      <c r="F164" t="s">
        <v>42</v>
      </c>
      <c r="G164">
        <v>8</v>
      </c>
      <c r="H164">
        <v>15</v>
      </c>
      <c r="I164" t="s">
        <v>45</v>
      </c>
      <c r="J164" cm="1">
        <f t="array" ref="J164">IFERROR(
    _xlfn.XLOOKUP(G164, 'Wedgewood Pharm-PME-Yr2-2025'!$E$4:$L$4,
        _xlfn.XLOOKUP('Rate Load'!H164, 'Wedgewood Pharm-PME-Yr2-2025'!$D$5:$D$28,
            'Wedgewood Pharm-PME-Yr2-2025'!$E$5:$L$28, 0, 0),
        0, 0),
    _xlfn.XLOOKUP(G164, 'Wedgewood Pharm-PME-Yr2-2025'!$E$4:$L$4,
        _xlfn.XLOOKUP('Rate Load'!L164, 'Wedgewood Pharm-PME-Yr2-2025'!$D$5:$D$28,
            'Wedgewood Pharm-PME-Yr2-2025'!$E$5:$L$28, 0, 0),
        0, 0)
)</f>
        <v>58.309999999999995</v>
      </c>
      <c r="K164" t="s">
        <v>46</v>
      </c>
      <c r="L164" t="s">
        <v>13</v>
      </c>
      <c r="M164">
        <v>1</v>
      </c>
      <c r="N164" t="str">
        <f t="shared" si="2"/>
        <v>INSERT INTO TNL_RATING.dbo.usps_rate_master VALUES ('USPS', '2/13/2025', '2/13/2026', 12659, 'US', 'Priority Mail Express', 8, 15, 'L', 58.31, 'Wedgewood_USPS_2025', 'NonCubic','1');</v>
      </c>
    </row>
    <row r="165" spans="1:14" x14ac:dyDescent="0.3">
      <c r="A165" t="s">
        <v>11</v>
      </c>
      <c r="B165" s="1" t="s">
        <v>43</v>
      </c>
      <c r="C165" s="1" t="s">
        <v>44</v>
      </c>
      <c r="D165">
        <v>12659</v>
      </c>
      <c r="E165" t="s">
        <v>12</v>
      </c>
      <c r="F165" t="s">
        <v>42</v>
      </c>
      <c r="G165">
        <v>8</v>
      </c>
      <c r="H165">
        <v>16</v>
      </c>
      <c r="I165" t="s">
        <v>45</v>
      </c>
      <c r="J165" cm="1">
        <f t="array" ref="J165">IFERROR(
    _xlfn.XLOOKUP(G165, 'Wedgewood Pharm-PME-Yr2-2025'!$E$4:$L$4,
        _xlfn.XLOOKUP('Rate Load'!H165, 'Wedgewood Pharm-PME-Yr2-2025'!$D$5:$D$28,
            'Wedgewood Pharm-PME-Yr2-2025'!$E$5:$L$28, 0, 0),
        0, 0),
    _xlfn.XLOOKUP(G165, 'Wedgewood Pharm-PME-Yr2-2025'!$E$4:$L$4,
        _xlfn.XLOOKUP('Rate Load'!L165, 'Wedgewood Pharm-PME-Yr2-2025'!$D$5:$D$28,
            'Wedgewood Pharm-PME-Yr2-2025'!$E$5:$L$28, 0, 0),
        0, 0)
)</f>
        <v>60.97</v>
      </c>
      <c r="K165" t="s">
        <v>46</v>
      </c>
      <c r="L165" t="s">
        <v>13</v>
      </c>
      <c r="M165">
        <v>1</v>
      </c>
      <c r="N165" t="str">
        <f t="shared" si="2"/>
        <v>INSERT INTO TNL_RATING.dbo.usps_rate_master VALUES ('USPS', '2/13/2025', '2/13/2026', 12659, 'US', 'Priority Mail Express', 8, 16, 'L', 60.97, 'Wedgewood_USPS_2025', 'NonCubic','1');</v>
      </c>
    </row>
    <row r="166" spans="1:14" x14ac:dyDescent="0.3">
      <c r="A166" t="s">
        <v>11</v>
      </c>
      <c r="B166" s="1" t="s">
        <v>43</v>
      </c>
      <c r="C166" s="1" t="s">
        <v>44</v>
      </c>
      <c r="D166">
        <v>12659</v>
      </c>
      <c r="E166" t="s">
        <v>12</v>
      </c>
      <c r="F166" t="s">
        <v>42</v>
      </c>
      <c r="G166">
        <v>8</v>
      </c>
      <c r="H166">
        <v>17</v>
      </c>
      <c r="I166" t="s">
        <v>45</v>
      </c>
      <c r="J166" cm="1">
        <f t="array" ref="J166">IFERROR(
    _xlfn.XLOOKUP(G166, 'Wedgewood Pharm-PME-Yr2-2025'!$E$4:$L$4,
        _xlfn.XLOOKUP('Rate Load'!H166, 'Wedgewood Pharm-PME-Yr2-2025'!$D$5:$D$28,
            'Wedgewood Pharm-PME-Yr2-2025'!$E$5:$L$28, 0, 0),
        0, 0),
    _xlfn.XLOOKUP(G166, 'Wedgewood Pharm-PME-Yr2-2025'!$E$4:$L$4,
        _xlfn.XLOOKUP('Rate Load'!L166, 'Wedgewood Pharm-PME-Yr2-2025'!$D$5:$D$28,
            'Wedgewood Pharm-PME-Yr2-2025'!$E$5:$L$28, 0, 0),
        0, 0)
)</f>
        <v>63.6</v>
      </c>
      <c r="K166" t="s">
        <v>46</v>
      </c>
      <c r="L166" t="s">
        <v>13</v>
      </c>
      <c r="M166">
        <v>1</v>
      </c>
      <c r="N166" t="str">
        <f t="shared" si="2"/>
        <v>INSERT INTO TNL_RATING.dbo.usps_rate_master VALUES ('USPS', '2/13/2025', '2/13/2026', 12659, 'US', 'Priority Mail Express', 8, 17, 'L', 63.6, 'Wedgewood_USPS_2025', 'NonCubic','1');</v>
      </c>
    </row>
    <row r="167" spans="1:14" x14ac:dyDescent="0.3">
      <c r="A167" t="s">
        <v>11</v>
      </c>
      <c r="B167" s="1" t="s">
        <v>43</v>
      </c>
      <c r="C167" s="1" t="s">
        <v>44</v>
      </c>
      <c r="D167">
        <v>12659</v>
      </c>
      <c r="E167" t="s">
        <v>12</v>
      </c>
      <c r="F167" t="s">
        <v>42</v>
      </c>
      <c r="G167">
        <v>8</v>
      </c>
      <c r="H167">
        <v>18</v>
      </c>
      <c r="I167" t="s">
        <v>45</v>
      </c>
      <c r="J167" cm="1">
        <f t="array" ref="J167">IFERROR(
    _xlfn.XLOOKUP(G167, 'Wedgewood Pharm-PME-Yr2-2025'!$E$4:$L$4,
        _xlfn.XLOOKUP('Rate Load'!H167, 'Wedgewood Pharm-PME-Yr2-2025'!$D$5:$D$28,
            'Wedgewood Pharm-PME-Yr2-2025'!$E$5:$L$28, 0, 0),
        0, 0),
    _xlfn.XLOOKUP(G167, 'Wedgewood Pharm-PME-Yr2-2025'!$E$4:$L$4,
        _xlfn.XLOOKUP('Rate Load'!L167, 'Wedgewood Pharm-PME-Yr2-2025'!$D$5:$D$28,
            'Wedgewood Pharm-PME-Yr2-2025'!$E$5:$L$28, 0, 0),
        0, 0)
)</f>
        <v>66.23</v>
      </c>
      <c r="K167" t="s">
        <v>46</v>
      </c>
      <c r="L167" t="s">
        <v>13</v>
      </c>
      <c r="M167">
        <v>1</v>
      </c>
      <c r="N167" t="str">
        <f t="shared" si="2"/>
        <v>INSERT INTO TNL_RATING.dbo.usps_rate_master VALUES ('USPS', '2/13/2025', '2/13/2026', 12659, 'US', 'Priority Mail Express', 8, 18, 'L', 66.23, 'Wedgewood_USPS_2025', 'NonCubic','1');</v>
      </c>
    </row>
    <row r="168" spans="1:14" x14ac:dyDescent="0.3">
      <c r="A168" t="s">
        <v>11</v>
      </c>
      <c r="B168" s="1" t="s">
        <v>43</v>
      </c>
      <c r="C168" s="1" t="s">
        <v>44</v>
      </c>
      <c r="D168">
        <v>12659</v>
      </c>
      <c r="E168" t="s">
        <v>12</v>
      </c>
      <c r="F168" t="s">
        <v>42</v>
      </c>
      <c r="G168">
        <v>8</v>
      </c>
      <c r="H168">
        <v>19</v>
      </c>
      <c r="I168" t="s">
        <v>45</v>
      </c>
      <c r="J168" cm="1">
        <f t="array" ref="J168">IFERROR(
    _xlfn.XLOOKUP(G168, 'Wedgewood Pharm-PME-Yr2-2025'!$E$4:$L$4,
        _xlfn.XLOOKUP('Rate Load'!H168, 'Wedgewood Pharm-PME-Yr2-2025'!$D$5:$D$28,
            'Wedgewood Pharm-PME-Yr2-2025'!$E$5:$L$28, 0, 0),
        0, 0),
    _xlfn.XLOOKUP(G168, 'Wedgewood Pharm-PME-Yr2-2025'!$E$4:$L$4,
        _xlfn.XLOOKUP('Rate Load'!L168, 'Wedgewood Pharm-PME-Yr2-2025'!$D$5:$D$28,
            'Wedgewood Pharm-PME-Yr2-2025'!$E$5:$L$28, 0, 0),
        0, 0)
)</f>
        <v>68.87</v>
      </c>
      <c r="K168" t="s">
        <v>46</v>
      </c>
      <c r="L168" t="s">
        <v>13</v>
      </c>
      <c r="M168">
        <v>1</v>
      </c>
      <c r="N168" t="str">
        <f t="shared" si="2"/>
        <v>INSERT INTO TNL_RATING.dbo.usps_rate_master VALUES ('USPS', '2/13/2025', '2/13/2026', 12659, 'US', 'Priority Mail Express', 8, 19, 'L', 68.87, 'Wedgewood_USPS_2025', 'NonCubic','1');</v>
      </c>
    </row>
    <row r="169" spans="1:14" x14ac:dyDescent="0.3">
      <c r="A169" t="s">
        <v>11</v>
      </c>
      <c r="B169" s="1" t="s">
        <v>43</v>
      </c>
      <c r="C169" s="1" t="s">
        <v>44</v>
      </c>
      <c r="D169">
        <v>12659</v>
      </c>
      <c r="E169" t="s">
        <v>12</v>
      </c>
      <c r="F169" t="s">
        <v>42</v>
      </c>
      <c r="G169">
        <v>8</v>
      </c>
      <c r="H169">
        <v>20</v>
      </c>
      <c r="I169" t="s">
        <v>45</v>
      </c>
      <c r="J169" cm="1">
        <f t="array" ref="J169">IFERROR(
    _xlfn.XLOOKUP(G169, 'Wedgewood Pharm-PME-Yr2-2025'!$E$4:$L$4,
        _xlfn.XLOOKUP('Rate Load'!H169, 'Wedgewood Pharm-PME-Yr2-2025'!$D$5:$D$28,
            'Wedgewood Pharm-PME-Yr2-2025'!$E$5:$L$28, 0, 0),
        0, 0),
    _xlfn.XLOOKUP(G169, 'Wedgewood Pharm-PME-Yr2-2025'!$E$4:$L$4,
        _xlfn.XLOOKUP('Rate Load'!L169, 'Wedgewood Pharm-PME-Yr2-2025'!$D$5:$D$28,
            'Wedgewood Pharm-PME-Yr2-2025'!$E$5:$L$28, 0, 0),
        0, 0)
)</f>
        <v>71.5</v>
      </c>
      <c r="K169" t="s">
        <v>46</v>
      </c>
      <c r="L169" t="s">
        <v>13</v>
      </c>
      <c r="M169">
        <v>1</v>
      </c>
      <c r="N169" t="str">
        <f t="shared" si="2"/>
        <v>INSERT INTO TNL_RATING.dbo.usps_rate_master VALUES ('USPS', '2/13/2025', '2/13/2026', 12659, 'US', 'Priority Mail Express', 8, 20, 'L', 71.5, 'Wedgewood_USPS_2025', 'NonCubic','1');</v>
      </c>
    </row>
    <row r="170" spans="1:14" x14ac:dyDescent="0.3">
      <c r="A170" t="s">
        <v>11</v>
      </c>
      <c r="B170" s="1" t="s">
        <v>43</v>
      </c>
      <c r="C170" s="1" t="s">
        <v>44</v>
      </c>
      <c r="D170">
        <v>12659</v>
      </c>
      <c r="E170" t="s">
        <v>12</v>
      </c>
      <c r="F170" t="s">
        <v>42</v>
      </c>
      <c r="G170">
        <v>1</v>
      </c>
      <c r="H170">
        <v>0</v>
      </c>
      <c r="I170" t="s">
        <v>45</v>
      </c>
      <c r="J170" cm="1">
        <f t="array" ref="J170">IFERROR(
    _xlfn.XLOOKUP(G170, 'Wedgewood Pharm-PME-Yr2-2025'!$E$4:$L$4,
        _xlfn.XLOOKUP('Rate Load'!H170, 'Wedgewood Pharm-PME-Yr2-2025'!$D$5:$D$28,
            'Wedgewood Pharm-PME-Yr2-2025'!$E$5:$L$28, 0, 0),
        0, 0),
    _xlfn.XLOOKUP(G170, 'Wedgewood Pharm-PME-Yr2-2025'!$E$4:$L$4,
        _xlfn.XLOOKUP('Rate Load'!L170, 'Wedgewood Pharm-PME-Yr2-2025'!$D$5:$D$28,
            'Wedgewood Pharm-PME-Yr2-2025'!$E$5:$L$28, 0, 0),
        0, 0)
)</f>
        <v>25.060000000000002</v>
      </c>
      <c r="K170" t="s">
        <v>46</v>
      </c>
      <c r="L170" t="s">
        <v>22</v>
      </c>
      <c r="M170">
        <v>1</v>
      </c>
      <c r="N170" t="str">
        <f t="shared" si="2"/>
        <v>INSERT INTO TNL_RATING.dbo.usps_rate_master VALUES ('USPS', '2/13/2025', '2/13/2026', 12659, 'US', 'Priority Mail Express', 1, 0, 'L', 25.06, 'Wedgewood_USPS_2025', 'Flat-Rate Envelope','1');</v>
      </c>
    </row>
    <row r="171" spans="1:14" x14ac:dyDescent="0.3">
      <c r="A171" t="s">
        <v>11</v>
      </c>
      <c r="B171" s="1" t="s">
        <v>43</v>
      </c>
      <c r="C171" s="1" t="s">
        <v>44</v>
      </c>
      <c r="D171">
        <v>12659</v>
      </c>
      <c r="E171" t="s">
        <v>12</v>
      </c>
      <c r="F171" t="s">
        <v>42</v>
      </c>
      <c r="G171">
        <v>2</v>
      </c>
      <c r="H171">
        <v>0</v>
      </c>
      <c r="I171" t="s">
        <v>45</v>
      </c>
      <c r="J171" cm="1">
        <f t="array" ref="J171">IFERROR(
    _xlfn.XLOOKUP(G171, 'Wedgewood Pharm-PME-Yr2-2025'!$E$4:$L$4,
        _xlfn.XLOOKUP('Rate Load'!H171, 'Wedgewood Pharm-PME-Yr2-2025'!$D$5:$D$28,
            'Wedgewood Pharm-PME-Yr2-2025'!$E$5:$L$28, 0, 0),
        0, 0),
    _xlfn.XLOOKUP(G171, 'Wedgewood Pharm-PME-Yr2-2025'!$E$4:$L$4,
        _xlfn.XLOOKUP('Rate Load'!L171, 'Wedgewood Pharm-PME-Yr2-2025'!$D$5:$D$28,
            'Wedgewood Pharm-PME-Yr2-2025'!$E$5:$L$28, 0, 0),
        0, 0)
)</f>
        <v>25.060000000000002</v>
      </c>
      <c r="K171" t="s">
        <v>46</v>
      </c>
      <c r="L171" t="s">
        <v>22</v>
      </c>
      <c r="M171">
        <v>1</v>
      </c>
      <c r="N171" t="str">
        <f t="shared" si="2"/>
        <v>INSERT INTO TNL_RATING.dbo.usps_rate_master VALUES ('USPS', '2/13/2025', '2/13/2026', 12659, 'US', 'Priority Mail Express', 2, 0, 'L', 25.06, 'Wedgewood_USPS_2025', 'Flat-Rate Envelope','1');</v>
      </c>
    </row>
    <row r="172" spans="1:14" x14ac:dyDescent="0.3">
      <c r="A172" t="s">
        <v>11</v>
      </c>
      <c r="B172" s="1" t="s">
        <v>43</v>
      </c>
      <c r="C172" s="1" t="s">
        <v>44</v>
      </c>
      <c r="D172">
        <v>12659</v>
      </c>
      <c r="E172" t="s">
        <v>12</v>
      </c>
      <c r="F172" t="s">
        <v>42</v>
      </c>
      <c r="G172">
        <v>3</v>
      </c>
      <c r="H172">
        <v>0</v>
      </c>
      <c r="I172" t="s">
        <v>45</v>
      </c>
      <c r="J172" cm="1">
        <f t="array" ref="J172">IFERROR(
    _xlfn.XLOOKUP(G172, 'Wedgewood Pharm-PME-Yr2-2025'!$E$4:$L$4,
        _xlfn.XLOOKUP('Rate Load'!H172, 'Wedgewood Pharm-PME-Yr2-2025'!$D$5:$D$28,
            'Wedgewood Pharm-PME-Yr2-2025'!$E$5:$L$28, 0, 0),
        0, 0),
    _xlfn.XLOOKUP(G172, 'Wedgewood Pharm-PME-Yr2-2025'!$E$4:$L$4,
        _xlfn.XLOOKUP('Rate Load'!L172, 'Wedgewood Pharm-PME-Yr2-2025'!$D$5:$D$28,
            'Wedgewood Pharm-PME-Yr2-2025'!$E$5:$L$28, 0, 0),
        0, 0)
)</f>
        <v>25.060000000000002</v>
      </c>
      <c r="K172" t="s">
        <v>46</v>
      </c>
      <c r="L172" t="s">
        <v>22</v>
      </c>
      <c r="M172">
        <v>1</v>
      </c>
      <c r="N172" t="str">
        <f t="shared" si="2"/>
        <v>INSERT INTO TNL_RATING.dbo.usps_rate_master VALUES ('USPS', '2/13/2025', '2/13/2026', 12659, 'US', 'Priority Mail Express', 3, 0, 'L', 25.06, 'Wedgewood_USPS_2025', 'Flat-Rate Envelope','1');</v>
      </c>
    </row>
    <row r="173" spans="1:14" x14ac:dyDescent="0.3">
      <c r="A173" t="s">
        <v>11</v>
      </c>
      <c r="B173" s="1" t="s">
        <v>43</v>
      </c>
      <c r="C173" s="1" t="s">
        <v>44</v>
      </c>
      <c r="D173">
        <v>12659</v>
      </c>
      <c r="E173" t="s">
        <v>12</v>
      </c>
      <c r="F173" t="s">
        <v>42</v>
      </c>
      <c r="G173">
        <v>4</v>
      </c>
      <c r="H173">
        <v>0</v>
      </c>
      <c r="I173" t="s">
        <v>45</v>
      </c>
      <c r="J173" cm="1">
        <f t="array" ref="J173">IFERROR(
    _xlfn.XLOOKUP(G173, 'Wedgewood Pharm-PME-Yr2-2025'!$E$4:$L$4,
        _xlfn.XLOOKUP('Rate Load'!H173, 'Wedgewood Pharm-PME-Yr2-2025'!$D$5:$D$28,
            'Wedgewood Pharm-PME-Yr2-2025'!$E$5:$L$28, 0, 0),
        0, 0),
    _xlfn.XLOOKUP(G173, 'Wedgewood Pharm-PME-Yr2-2025'!$E$4:$L$4,
        _xlfn.XLOOKUP('Rate Load'!L173, 'Wedgewood Pharm-PME-Yr2-2025'!$D$5:$D$28,
            'Wedgewood Pharm-PME-Yr2-2025'!$E$5:$L$28, 0, 0),
        0, 0)
)</f>
        <v>25.060000000000002</v>
      </c>
      <c r="K173" t="s">
        <v>46</v>
      </c>
      <c r="L173" t="s">
        <v>22</v>
      </c>
      <c r="M173">
        <v>1</v>
      </c>
      <c r="N173" t="str">
        <f t="shared" si="2"/>
        <v>INSERT INTO TNL_RATING.dbo.usps_rate_master VALUES ('USPS', '2/13/2025', '2/13/2026', 12659, 'US', 'Priority Mail Express', 4, 0, 'L', 25.06, 'Wedgewood_USPS_2025', 'Flat-Rate Envelope','1');</v>
      </c>
    </row>
    <row r="174" spans="1:14" x14ac:dyDescent="0.3">
      <c r="A174" t="s">
        <v>11</v>
      </c>
      <c r="B174" s="1" t="s">
        <v>43</v>
      </c>
      <c r="C174" s="1" t="s">
        <v>44</v>
      </c>
      <c r="D174">
        <v>12659</v>
      </c>
      <c r="E174" t="s">
        <v>12</v>
      </c>
      <c r="F174" t="s">
        <v>42</v>
      </c>
      <c r="G174">
        <v>5</v>
      </c>
      <c r="H174">
        <v>0</v>
      </c>
      <c r="I174" t="s">
        <v>45</v>
      </c>
      <c r="J174" cm="1">
        <f t="array" ref="J174">IFERROR(
    _xlfn.XLOOKUP(G174, 'Wedgewood Pharm-PME-Yr2-2025'!$E$4:$L$4,
        _xlfn.XLOOKUP('Rate Load'!H174, 'Wedgewood Pharm-PME-Yr2-2025'!$D$5:$D$28,
            'Wedgewood Pharm-PME-Yr2-2025'!$E$5:$L$28, 0, 0),
        0, 0),
    _xlfn.XLOOKUP(G174, 'Wedgewood Pharm-PME-Yr2-2025'!$E$4:$L$4,
        _xlfn.XLOOKUP('Rate Load'!L174, 'Wedgewood Pharm-PME-Yr2-2025'!$D$5:$D$28,
            'Wedgewood Pharm-PME-Yr2-2025'!$E$5:$L$28, 0, 0),
        0, 0)
)</f>
        <v>25.060000000000002</v>
      </c>
      <c r="K174" t="s">
        <v>46</v>
      </c>
      <c r="L174" t="s">
        <v>22</v>
      </c>
      <c r="M174">
        <v>1</v>
      </c>
      <c r="N174" t="str">
        <f t="shared" si="2"/>
        <v>INSERT INTO TNL_RATING.dbo.usps_rate_master VALUES ('USPS', '2/13/2025', '2/13/2026', 12659, 'US', 'Priority Mail Express', 5, 0, 'L', 25.06, 'Wedgewood_USPS_2025', 'Flat-Rate Envelope','1');</v>
      </c>
    </row>
    <row r="175" spans="1:14" x14ac:dyDescent="0.3">
      <c r="A175" t="s">
        <v>11</v>
      </c>
      <c r="B175" s="1" t="s">
        <v>43</v>
      </c>
      <c r="C175" s="1" t="s">
        <v>44</v>
      </c>
      <c r="D175">
        <v>12659</v>
      </c>
      <c r="E175" t="s">
        <v>12</v>
      </c>
      <c r="F175" t="s">
        <v>42</v>
      </c>
      <c r="G175">
        <v>6</v>
      </c>
      <c r="H175">
        <v>0</v>
      </c>
      <c r="I175" t="s">
        <v>45</v>
      </c>
      <c r="J175" cm="1">
        <f t="array" ref="J175">IFERROR(
    _xlfn.XLOOKUP(G175, 'Wedgewood Pharm-PME-Yr2-2025'!$E$4:$L$4,
        _xlfn.XLOOKUP('Rate Load'!H175, 'Wedgewood Pharm-PME-Yr2-2025'!$D$5:$D$28,
            'Wedgewood Pharm-PME-Yr2-2025'!$E$5:$L$28, 0, 0),
        0, 0),
    _xlfn.XLOOKUP(G175, 'Wedgewood Pharm-PME-Yr2-2025'!$E$4:$L$4,
        _xlfn.XLOOKUP('Rate Load'!L175, 'Wedgewood Pharm-PME-Yr2-2025'!$D$5:$D$28,
            'Wedgewood Pharm-PME-Yr2-2025'!$E$5:$L$28, 0, 0),
        0, 0)
)</f>
        <v>25.060000000000002</v>
      </c>
      <c r="K175" t="s">
        <v>46</v>
      </c>
      <c r="L175" t="s">
        <v>22</v>
      </c>
      <c r="M175">
        <v>1</v>
      </c>
      <c r="N175" t="str">
        <f t="shared" si="2"/>
        <v>INSERT INTO TNL_RATING.dbo.usps_rate_master VALUES ('USPS', '2/13/2025', '2/13/2026', 12659, 'US', 'Priority Mail Express', 6, 0, 'L', 25.06, 'Wedgewood_USPS_2025', 'Flat-Rate Envelope','1');</v>
      </c>
    </row>
    <row r="176" spans="1:14" x14ac:dyDescent="0.3">
      <c r="A176" t="s">
        <v>11</v>
      </c>
      <c r="B176" s="1" t="s">
        <v>43</v>
      </c>
      <c r="C176" s="1" t="s">
        <v>44</v>
      </c>
      <c r="D176">
        <v>12659</v>
      </c>
      <c r="E176" t="s">
        <v>12</v>
      </c>
      <c r="F176" t="s">
        <v>42</v>
      </c>
      <c r="G176">
        <v>7</v>
      </c>
      <c r="H176">
        <v>0</v>
      </c>
      <c r="I176" t="s">
        <v>45</v>
      </c>
      <c r="J176" cm="1">
        <f t="array" ref="J176">IFERROR(
    _xlfn.XLOOKUP(G176, 'Wedgewood Pharm-PME-Yr2-2025'!$E$4:$L$4,
        _xlfn.XLOOKUP('Rate Load'!H176, 'Wedgewood Pharm-PME-Yr2-2025'!$D$5:$D$28,
            'Wedgewood Pharm-PME-Yr2-2025'!$E$5:$L$28, 0, 0),
        0, 0),
    _xlfn.XLOOKUP(G176, 'Wedgewood Pharm-PME-Yr2-2025'!$E$4:$L$4,
        _xlfn.XLOOKUP('Rate Load'!L176, 'Wedgewood Pharm-PME-Yr2-2025'!$D$5:$D$28,
            'Wedgewood Pharm-PME-Yr2-2025'!$E$5:$L$28, 0, 0),
        0, 0)
)</f>
        <v>25.060000000000002</v>
      </c>
      <c r="K176" t="s">
        <v>46</v>
      </c>
      <c r="L176" t="s">
        <v>22</v>
      </c>
      <c r="M176">
        <v>1</v>
      </c>
      <c r="N176" t="str">
        <f t="shared" si="2"/>
        <v>INSERT INTO TNL_RATING.dbo.usps_rate_master VALUES ('USPS', '2/13/2025', '2/13/2026', 12659, 'US', 'Priority Mail Express', 7, 0, 'L', 25.06, 'Wedgewood_USPS_2025', 'Flat-Rate Envelope','1');</v>
      </c>
    </row>
    <row r="177" spans="1:14" x14ac:dyDescent="0.3">
      <c r="A177" t="s">
        <v>11</v>
      </c>
      <c r="B177" s="1" t="s">
        <v>43</v>
      </c>
      <c r="C177" s="1" t="s">
        <v>44</v>
      </c>
      <c r="D177">
        <v>12659</v>
      </c>
      <c r="E177" t="s">
        <v>12</v>
      </c>
      <c r="F177" t="s">
        <v>42</v>
      </c>
      <c r="G177">
        <v>8</v>
      </c>
      <c r="H177">
        <v>0</v>
      </c>
      <c r="I177" t="s">
        <v>45</v>
      </c>
      <c r="J177" cm="1">
        <f t="array" ref="J177">IFERROR(
    _xlfn.XLOOKUP(G177, 'Wedgewood Pharm-PME-Yr2-2025'!$E$4:$L$4,
        _xlfn.XLOOKUP('Rate Load'!H177, 'Wedgewood Pharm-PME-Yr2-2025'!$D$5:$D$28,
            'Wedgewood Pharm-PME-Yr2-2025'!$E$5:$L$28, 0, 0),
        0, 0),
    _xlfn.XLOOKUP(G177, 'Wedgewood Pharm-PME-Yr2-2025'!$E$4:$L$4,
        _xlfn.XLOOKUP('Rate Load'!L177, 'Wedgewood Pharm-PME-Yr2-2025'!$D$5:$D$28,
            'Wedgewood Pharm-PME-Yr2-2025'!$E$5:$L$28, 0, 0),
        0, 0)
)</f>
        <v>25.060000000000002</v>
      </c>
      <c r="K177" t="s">
        <v>46</v>
      </c>
      <c r="L177" t="s">
        <v>22</v>
      </c>
      <c r="M177">
        <v>1</v>
      </c>
      <c r="N177" t="str">
        <f t="shared" si="2"/>
        <v>INSERT INTO TNL_RATING.dbo.usps_rate_master VALUES ('USPS', '2/13/2025', '2/13/2026', 12659, 'US', 'Priority Mail Express', 8, 0, 'L', 25.06, 'Wedgewood_USPS_2025', 'Flat-Rate Envelope','1');</v>
      </c>
    </row>
    <row r="178" spans="1:14" x14ac:dyDescent="0.3">
      <c r="A178" t="s">
        <v>11</v>
      </c>
      <c r="B178" s="1" t="s">
        <v>43</v>
      </c>
      <c r="C178" s="1" t="s">
        <v>44</v>
      </c>
      <c r="D178">
        <v>12659</v>
      </c>
      <c r="E178" t="s">
        <v>12</v>
      </c>
      <c r="F178" t="s">
        <v>42</v>
      </c>
      <c r="G178">
        <v>1</v>
      </c>
      <c r="H178">
        <v>0</v>
      </c>
      <c r="I178" t="s">
        <v>45</v>
      </c>
      <c r="J178" cm="1">
        <f t="array" ref="J178">IFERROR(
    _xlfn.XLOOKUP(G178, 'Wedgewood Pharm-PME-Yr2-2025'!$E$4:$L$4,
        _xlfn.XLOOKUP('Rate Load'!H178, 'Wedgewood Pharm-PME-Yr2-2025'!$D$5:$D$28,
            'Wedgewood Pharm-PME-Yr2-2025'!$E$5:$L$28, 0, 0),
        0, 0),
    _xlfn.XLOOKUP(G178, 'Wedgewood Pharm-PME-Yr2-2025'!$E$4:$L$4,
        _xlfn.XLOOKUP('Rate Load'!L178, 'Wedgewood Pharm-PME-Yr2-2025'!$D$5:$D$28,
            'Wedgewood Pharm-PME-Yr2-2025'!$E$5:$L$28, 0, 0),
        0, 0)
)</f>
        <v>25.32</v>
      </c>
      <c r="K178" t="s">
        <v>46</v>
      </c>
      <c r="L178" t="s">
        <v>23</v>
      </c>
      <c r="M178">
        <v>1</v>
      </c>
      <c r="N178" t="str">
        <f t="shared" si="2"/>
        <v>INSERT INTO TNL_RATING.dbo.usps_rate_master VALUES ('USPS', '2/13/2025', '2/13/2026', 12659, 'US', 'Priority Mail Express', 1, 0, 'L', 25.32, 'Wedgewood_USPS_2025', 'Legal Flat-Rate Envelope','1');</v>
      </c>
    </row>
    <row r="179" spans="1:14" x14ac:dyDescent="0.3">
      <c r="A179" t="s">
        <v>11</v>
      </c>
      <c r="B179" s="1" t="s">
        <v>43</v>
      </c>
      <c r="C179" s="1" t="s">
        <v>44</v>
      </c>
      <c r="D179">
        <v>12659</v>
      </c>
      <c r="E179" t="s">
        <v>12</v>
      </c>
      <c r="F179" t="s">
        <v>42</v>
      </c>
      <c r="G179">
        <v>2</v>
      </c>
      <c r="H179">
        <v>0</v>
      </c>
      <c r="I179" t="s">
        <v>45</v>
      </c>
      <c r="J179" cm="1">
        <f t="array" ref="J179">IFERROR(
    _xlfn.XLOOKUP(G179, 'Wedgewood Pharm-PME-Yr2-2025'!$E$4:$L$4,
        _xlfn.XLOOKUP('Rate Load'!H179, 'Wedgewood Pharm-PME-Yr2-2025'!$D$5:$D$28,
            'Wedgewood Pharm-PME-Yr2-2025'!$E$5:$L$28, 0, 0),
        0, 0),
    _xlfn.XLOOKUP(G179, 'Wedgewood Pharm-PME-Yr2-2025'!$E$4:$L$4,
        _xlfn.XLOOKUP('Rate Load'!L179, 'Wedgewood Pharm-PME-Yr2-2025'!$D$5:$D$28,
            'Wedgewood Pharm-PME-Yr2-2025'!$E$5:$L$28, 0, 0),
        0, 0)
)</f>
        <v>25.32</v>
      </c>
      <c r="K179" t="s">
        <v>46</v>
      </c>
      <c r="L179" t="s">
        <v>23</v>
      </c>
      <c r="M179">
        <v>1</v>
      </c>
      <c r="N179" t="str">
        <f t="shared" si="2"/>
        <v>INSERT INTO TNL_RATING.dbo.usps_rate_master VALUES ('USPS', '2/13/2025', '2/13/2026', 12659, 'US', 'Priority Mail Express', 2, 0, 'L', 25.32, 'Wedgewood_USPS_2025', 'Legal Flat-Rate Envelope','1');</v>
      </c>
    </row>
    <row r="180" spans="1:14" x14ac:dyDescent="0.3">
      <c r="A180" t="s">
        <v>11</v>
      </c>
      <c r="B180" s="1" t="s">
        <v>43</v>
      </c>
      <c r="C180" s="1" t="s">
        <v>44</v>
      </c>
      <c r="D180">
        <v>12659</v>
      </c>
      <c r="E180" t="s">
        <v>12</v>
      </c>
      <c r="F180" t="s">
        <v>42</v>
      </c>
      <c r="G180">
        <v>3</v>
      </c>
      <c r="H180">
        <v>0</v>
      </c>
      <c r="I180" t="s">
        <v>45</v>
      </c>
      <c r="J180" cm="1">
        <f t="array" ref="J180">IFERROR(
    _xlfn.XLOOKUP(G180, 'Wedgewood Pharm-PME-Yr2-2025'!$E$4:$L$4,
        _xlfn.XLOOKUP('Rate Load'!H180, 'Wedgewood Pharm-PME-Yr2-2025'!$D$5:$D$28,
            'Wedgewood Pharm-PME-Yr2-2025'!$E$5:$L$28, 0, 0),
        0, 0),
    _xlfn.XLOOKUP(G180, 'Wedgewood Pharm-PME-Yr2-2025'!$E$4:$L$4,
        _xlfn.XLOOKUP('Rate Load'!L180, 'Wedgewood Pharm-PME-Yr2-2025'!$D$5:$D$28,
            'Wedgewood Pharm-PME-Yr2-2025'!$E$5:$L$28, 0, 0),
        0, 0)
)</f>
        <v>25.32</v>
      </c>
      <c r="K180" t="s">
        <v>46</v>
      </c>
      <c r="L180" t="s">
        <v>23</v>
      </c>
      <c r="M180">
        <v>1</v>
      </c>
      <c r="N180" t="str">
        <f t="shared" si="2"/>
        <v>INSERT INTO TNL_RATING.dbo.usps_rate_master VALUES ('USPS', '2/13/2025', '2/13/2026', 12659, 'US', 'Priority Mail Express', 3, 0, 'L', 25.32, 'Wedgewood_USPS_2025', 'Legal Flat-Rate Envelope','1');</v>
      </c>
    </row>
    <row r="181" spans="1:14" x14ac:dyDescent="0.3">
      <c r="A181" t="s">
        <v>11</v>
      </c>
      <c r="B181" s="1" t="s">
        <v>43</v>
      </c>
      <c r="C181" s="1" t="s">
        <v>44</v>
      </c>
      <c r="D181">
        <v>12659</v>
      </c>
      <c r="E181" t="s">
        <v>12</v>
      </c>
      <c r="F181" t="s">
        <v>42</v>
      </c>
      <c r="G181">
        <v>4</v>
      </c>
      <c r="H181">
        <v>0</v>
      </c>
      <c r="I181" t="s">
        <v>45</v>
      </c>
      <c r="J181" cm="1">
        <f t="array" ref="J181">IFERROR(
    _xlfn.XLOOKUP(G181, 'Wedgewood Pharm-PME-Yr2-2025'!$E$4:$L$4,
        _xlfn.XLOOKUP('Rate Load'!H181, 'Wedgewood Pharm-PME-Yr2-2025'!$D$5:$D$28,
            'Wedgewood Pharm-PME-Yr2-2025'!$E$5:$L$28, 0, 0),
        0, 0),
    _xlfn.XLOOKUP(G181, 'Wedgewood Pharm-PME-Yr2-2025'!$E$4:$L$4,
        _xlfn.XLOOKUP('Rate Load'!L181, 'Wedgewood Pharm-PME-Yr2-2025'!$D$5:$D$28,
            'Wedgewood Pharm-PME-Yr2-2025'!$E$5:$L$28, 0, 0),
        0, 0)
)</f>
        <v>25.32</v>
      </c>
      <c r="K181" t="s">
        <v>46</v>
      </c>
      <c r="L181" t="s">
        <v>23</v>
      </c>
      <c r="M181">
        <v>1</v>
      </c>
      <c r="N181" t="str">
        <f t="shared" si="2"/>
        <v>INSERT INTO TNL_RATING.dbo.usps_rate_master VALUES ('USPS', '2/13/2025', '2/13/2026', 12659, 'US', 'Priority Mail Express', 4, 0, 'L', 25.32, 'Wedgewood_USPS_2025', 'Legal Flat-Rate Envelope','1');</v>
      </c>
    </row>
    <row r="182" spans="1:14" x14ac:dyDescent="0.3">
      <c r="A182" t="s">
        <v>11</v>
      </c>
      <c r="B182" s="1" t="s">
        <v>43</v>
      </c>
      <c r="C182" s="1" t="s">
        <v>44</v>
      </c>
      <c r="D182">
        <v>12659</v>
      </c>
      <c r="E182" t="s">
        <v>12</v>
      </c>
      <c r="F182" t="s">
        <v>42</v>
      </c>
      <c r="G182">
        <v>5</v>
      </c>
      <c r="H182">
        <v>0</v>
      </c>
      <c r="I182" t="s">
        <v>45</v>
      </c>
      <c r="J182" cm="1">
        <f t="array" ref="J182">IFERROR(
    _xlfn.XLOOKUP(G182, 'Wedgewood Pharm-PME-Yr2-2025'!$E$4:$L$4,
        _xlfn.XLOOKUP('Rate Load'!H182, 'Wedgewood Pharm-PME-Yr2-2025'!$D$5:$D$28,
            'Wedgewood Pharm-PME-Yr2-2025'!$E$5:$L$28, 0, 0),
        0, 0),
    _xlfn.XLOOKUP(G182, 'Wedgewood Pharm-PME-Yr2-2025'!$E$4:$L$4,
        _xlfn.XLOOKUP('Rate Load'!L182, 'Wedgewood Pharm-PME-Yr2-2025'!$D$5:$D$28,
            'Wedgewood Pharm-PME-Yr2-2025'!$E$5:$L$28, 0, 0),
        0, 0)
)</f>
        <v>25.32</v>
      </c>
      <c r="K182" t="s">
        <v>46</v>
      </c>
      <c r="L182" t="s">
        <v>23</v>
      </c>
      <c r="M182">
        <v>1</v>
      </c>
      <c r="N182" t="str">
        <f t="shared" si="2"/>
        <v>INSERT INTO TNL_RATING.dbo.usps_rate_master VALUES ('USPS', '2/13/2025', '2/13/2026', 12659, 'US', 'Priority Mail Express', 5, 0, 'L', 25.32, 'Wedgewood_USPS_2025', 'Legal Flat-Rate Envelope','1');</v>
      </c>
    </row>
    <row r="183" spans="1:14" x14ac:dyDescent="0.3">
      <c r="A183" t="s">
        <v>11</v>
      </c>
      <c r="B183" s="1" t="s">
        <v>43</v>
      </c>
      <c r="C183" s="1" t="s">
        <v>44</v>
      </c>
      <c r="D183">
        <v>12659</v>
      </c>
      <c r="E183" t="s">
        <v>12</v>
      </c>
      <c r="F183" t="s">
        <v>42</v>
      </c>
      <c r="G183">
        <v>6</v>
      </c>
      <c r="H183">
        <v>0</v>
      </c>
      <c r="I183" t="s">
        <v>45</v>
      </c>
      <c r="J183" cm="1">
        <f t="array" ref="J183">IFERROR(
    _xlfn.XLOOKUP(G183, 'Wedgewood Pharm-PME-Yr2-2025'!$E$4:$L$4,
        _xlfn.XLOOKUP('Rate Load'!H183, 'Wedgewood Pharm-PME-Yr2-2025'!$D$5:$D$28,
            'Wedgewood Pharm-PME-Yr2-2025'!$E$5:$L$28, 0, 0),
        0, 0),
    _xlfn.XLOOKUP(G183, 'Wedgewood Pharm-PME-Yr2-2025'!$E$4:$L$4,
        _xlfn.XLOOKUP('Rate Load'!L183, 'Wedgewood Pharm-PME-Yr2-2025'!$D$5:$D$28,
            'Wedgewood Pharm-PME-Yr2-2025'!$E$5:$L$28, 0, 0),
        0, 0)
)</f>
        <v>25.32</v>
      </c>
      <c r="K183" t="s">
        <v>46</v>
      </c>
      <c r="L183" t="s">
        <v>23</v>
      </c>
      <c r="M183">
        <v>1</v>
      </c>
      <c r="N183" t="str">
        <f t="shared" si="2"/>
        <v>INSERT INTO TNL_RATING.dbo.usps_rate_master VALUES ('USPS', '2/13/2025', '2/13/2026', 12659, 'US', 'Priority Mail Express', 6, 0, 'L', 25.32, 'Wedgewood_USPS_2025', 'Legal Flat-Rate Envelope','1');</v>
      </c>
    </row>
    <row r="184" spans="1:14" x14ac:dyDescent="0.3">
      <c r="A184" t="s">
        <v>11</v>
      </c>
      <c r="B184" s="1" t="s">
        <v>43</v>
      </c>
      <c r="C184" s="1" t="s">
        <v>44</v>
      </c>
      <c r="D184">
        <v>12659</v>
      </c>
      <c r="E184" t="s">
        <v>12</v>
      </c>
      <c r="F184" t="s">
        <v>42</v>
      </c>
      <c r="G184">
        <v>7</v>
      </c>
      <c r="H184">
        <v>0</v>
      </c>
      <c r="I184" t="s">
        <v>45</v>
      </c>
      <c r="J184" cm="1">
        <f t="array" ref="J184">IFERROR(
    _xlfn.XLOOKUP(G184, 'Wedgewood Pharm-PME-Yr2-2025'!$E$4:$L$4,
        _xlfn.XLOOKUP('Rate Load'!H184, 'Wedgewood Pharm-PME-Yr2-2025'!$D$5:$D$28,
            'Wedgewood Pharm-PME-Yr2-2025'!$E$5:$L$28, 0, 0),
        0, 0),
    _xlfn.XLOOKUP(G184, 'Wedgewood Pharm-PME-Yr2-2025'!$E$4:$L$4,
        _xlfn.XLOOKUP('Rate Load'!L184, 'Wedgewood Pharm-PME-Yr2-2025'!$D$5:$D$28,
            'Wedgewood Pharm-PME-Yr2-2025'!$E$5:$L$28, 0, 0),
        0, 0)
)</f>
        <v>25.32</v>
      </c>
      <c r="K184" t="s">
        <v>46</v>
      </c>
      <c r="L184" t="s">
        <v>23</v>
      </c>
      <c r="M184">
        <v>1</v>
      </c>
      <c r="N184" t="str">
        <f t="shared" si="2"/>
        <v>INSERT INTO TNL_RATING.dbo.usps_rate_master VALUES ('USPS', '2/13/2025', '2/13/2026', 12659, 'US', 'Priority Mail Express', 7, 0, 'L', 25.32, 'Wedgewood_USPS_2025', 'Legal Flat-Rate Envelope','1');</v>
      </c>
    </row>
    <row r="185" spans="1:14" x14ac:dyDescent="0.3">
      <c r="A185" t="s">
        <v>11</v>
      </c>
      <c r="B185" s="1" t="s">
        <v>43</v>
      </c>
      <c r="C185" s="1" t="s">
        <v>44</v>
      </c>
      <c r="D185">
        <v>12659</v>
      </c>
      <c r="E185" t="s">
        <v>12</v>
      </c>
      <c r="F185" t="s">
        <v>42</v>
      </c>
      <c r="G185">
        <v>8</v>
      </c>
      <c r="H185">
        <v>0</v>
      </c>
      <c r="I185" t="s">
        <v>45</v>
      </c>
      <c r="J185" cm="1">
        <f t="array" ref="J185">IFERROR(
    _xlfn.XLOOKUP(G185, 'Wedgewood Pharm-PME-Yr2-2025'!$E$4:$L$4,
        _xlfn.XLOOKUP('Rate Load'!H185, 'Wedgewood Pharm-PME-Yr2-2025'!$D$5:$D$28,
            'Wedgewood Pharm-PME-Yr2-2025'!$E$5:$L$28, 0, 0),
        0, 0),
    _xlfn.XLOOKUP(G185, 'Wedgewood Pharm-PME-Yr2-2025'!$E$4:$L$4,
        _xlfn.XLOOKUP('Rate Load'!L185, 'Wedgewood Pharm-PME-Yr2-2025'!$D$5:$D$28,
            'Wedgewood Pharm-PME-Yr2-2025'!$E$5:$L$28, 0, 0),
        0, 0)
)</f>
        <v>25.32</v>
      </c>
      <c r="K185" t="s">
        <v>46</v>
      </c>
      <c r="L185" t="s">
        <v>23</v>
      </c>
      <c r="M185">
        <v>1</v>
      </c>
      <c r="N185" t="str">
        <f t="shared" si="2"/>
        <v>INSERT INTO TNL_RATING.dbo.usps_rate_master VALUES ('USPS', '2/13/2025', '2/13/2026', 12659, 'US', 'Priority Mail Express', 8, 0, 'L', 25.32, 'Wedgewood_USPS_2025', 'Legal Flat-Rate Envelope','1');</v>
      </c>
    </row>
    <row r="186" spans="1:14" x14ac:dyDescent="0.3">
      <c r="A186" t="s">
        <v>11</v>
      </c>
      <c r="B186" s="1" t="s">
        <v>43</v>
      </c>
      <c r="C186" s="1" t="s">
        <v>44</v>
      </c>
      <c r="D186">
        <v>12659</v>
      </c>
      <c r="E186" t="s">
        <v>12</v>
      </c>
      <c r="F186" t="s">
        <v>42</v>
      </c>
      <c r="G186">
        <v>1</v>
      </c>
      <c r="H186">
        <v>0</v>
      </c>
      <c r="I186" t="s">
        <v>45</v>
      </c>
      <c r="J186" cm="1">
        <f t="array" ref="J186">IFERROR(
    _xlfn.XLOOKUP(G186, 'Wedgewood Pharm-PME-Yr2-2025'!$E$4:$L$4,
        _xlfn.XLOOKUP('Rate Load'!H186, 'Wedgewood Pharm-PME-Yr2-2025'!$D$5:$D$28,
            'Wedgewood Pharm-PME-Yr2-2025'!$E$5:$L$28, 0, 0),
        0, 0),
    _xlfn.XLOOKUP(G186, 'Wedgewood Pharm-PME-Yr2-2025'!$E$4:$L$4,
        _xlfn.XLOOKUP('Rate Load'!L186, 'Wedgewood Pharm-PME-Yr2-2025'!$D$5:$D$28,
            'Wedgewood Pharm-PME-Yr2-2025'!$E$5:$L$28, 0, 0),
        0, 0)
)</f>
        <v>25.520000000000003</v>
      </c>
      <c r="K186" t="s">
        <v>46</v>
      </c>
      <c r="L186" t="s">
        <v>24</v>
      </c>
      <c r="M186">
        <v>1</v>
      </c>
      <c r="N186" t="str">
        <f t="shared" si="2"/>
        <v>INSERT INTO TNL_RATING.dbo.usps_rate_master VALUES ('USPS', '2/13/2025', '2/13/2026', 12659, 'US', 'Priority Mail Express', 1, 0, 'L', 25.52, 'Wedgewood_USPS_2025', 'Padded Flat-Rate Envelope','1');</v>
      </c>
    </row>
    <row r="187" spans="1:14" x14ac:dyDescent="0.3">
      <c r="A187" t="s">
        <v>11</v>
      </c>
      <c r="B187" s="1" t="s">
        <v>43</v>
      </c>
      <c r="C187" s="1" t="s">
        <v>44</v>
      </c>
      <c r="D187">
        <v>12659</v>
      </c>
      <c r="E187" t="s">
        <v>12</v>
      </c>
      <c r="F187" t="s">
        <v>42</v>
      </c>
      <c r="G187">
        <v>2</v>
      </c>
      <c r="H187">
        <v>0</v>
      </c>
      <c r="I187" t="s">
        <v>45</v>
      </c>
      <c r="J187" cm="1">
        <f t="array" ref="J187">IFERROR(
    _xlfn.XLOOKUP(G187, 'Wedgewood Pharm-PME-Yr2-2025'!$E$4:$L$4,
        _xlfn.XLOOKUP('Rate Load'!H187, 'Wedgewood Pharm-PME-Yr2-2025'!$D$5:$D$28,
            'Wedgewood Pharm-PME-Yr2-2025'!$E$5:$L$28, 0, 0),
        0, 0),
    _xlfn.XLOOKUP(G187, 'Wedgewood Pharm-PME-Yr2-2025'!$E$4:$L$4,
        _xlfn.XLOOKUP('Rate Load'!L187, 'Wedgewood Pharm-PME-Yr2-2025'!$D$5:$D$28,
            'Wedgewood Pharm-PME-Yr2-2025'!$E$5:$L$28, 0, 0),
        0, 0)
)</f>
        <v>25.520000000000003</v>
      </c>
      <c r="K187" t="s">
        <v>46</v>
      </c>
      <c r="L187" t="s">
        <v>24</v>
      </c>
      <c r="M187">
        <v>1</v>
      </c>
      <c r="N187" t="str">
        <f t="shared" si="2"/>
        <v>INSERT INTO TNL_RATING.dbo.usps_rate_master VALUES ('USPS', '2/13/2025', '2/13/2026', 12659, 'US', 'Priority Mail Express', 2, 0, 'L', 25.52, 'Wedgewood_USPS_2025', 'Padded Flat-Rate Envelope','1');</v>
      </c>
    </row>
    <row r="188" spans="1:14" x14ac:dyDescent="0.3">
      <c r="A188" t="s">
        <v>11</v>
      </c>
      <c r="B188" s="1" t="s">
        <v>43</v>
      </c>
      <c r="C188" s="1" t="s">
        <v>44</v>
      </c>
      <c r="D188">
        <v>12659</v>
      </c>
      <c r="E188" t="s">
        <v>12</v>
      </c>
      <c r="F188" t="s">
        <v>42</v>
      </c>
      <c r="G188">
        <v>3</v>
      </c>
      <c r="H188">
        <v>0</v>
      </c>
      <c r="I188" t="s">
        <v>45</v>
      </c>
      <c r="J188" cm="1">
        <f t="array" ref="J188">IFERROR(
    _xlfn.XLOOKUP(G188, 'Wedgewood Pharm-PME-Yr2-2025'!$E$4:$L$4,
        _xlfn.XLOOKUP('Rate Load'!H188, 'Wedgewood Pharm-PME-Yr2-2025'!$D$5:$D$28,
            'Wedgewood Pharm-PME-Yr2-2025'!$E$5:$L$28, 0, 0),
        0, 0),
    _xlfn.XLOOKUP(G188, 'Wedgewood Pharm-PME-Yr2-2025'!$E$4:$L$4,
        _xlfn.XLOOKUP('Rate Load'!L188, 'Wedgewood Pharm-PME-Yr2-2025'!$D$5:$D$28,
            'Wedgewood Pharm-PME-Yr2-2025'!$E$5:$L$28, 0, 0),
        0, 0)
)</f>
        <v>25.520000000000003</v>
      </c>
      <c r="K188" t="s">
        <v>46</v>
      </c>
      <c r="L188" t="s">
        <v>24</v>
      </c>
      <c r="M188">
        <v>1</v>
      </c>
      <c r="N188" t="str">
        <f t="shared" si="2"/>
        <v>INSERT INTO TNL_RATING.dbo.usps_rate_master VALUES ('USPS', '2/13/2025', '2/13/2026', 12659, 'US', 'Priority Mail Express', 3, 0, 'L', 25.52, 'Wedgewood_USPS_2025', 'Padded Flat-Rate Envelope','1');</v>
      </c>
    </row>
    <row r="189" spans="1:14" x14ac:dyDescent="0.3">
      <c r="A189" t="s">
        <v>11</v>
      </c>
      <c r="B189" s="1" t="s">
        <v>43</v>
      </c>
      <c r="C189" s="1" t="s">
        <v>44</v>
      </c>
      <c r="D189">
        <v>12659</v>
      </c>
      <c r="E189" t="s">
        <v>12</v>
      </c>
      <c r="F189" t="s">
        <v>42</v>
      </c>
      <c r="G189">
        <v>4</v>
      </c>
      <c r="H189">
        <v>0</v>
      </c>
      <c r="I189" t="s">
        <v>45</v>
      </c>
      <c r="J189" cm="1">
        <f t="array" ref="J189">IFERROR(
    _xlfn.XLOOKUP(G189, 'Wedgewood Pharm-PME-Yr2-2025'!$E$4:$L$4,
        _xlfn.XLOOKUP('Rate Load'!H189, 'Wedgewood Pharm-PME-Yr2-2025'!$D$5:$D$28,
            'Wedgewood Pharm-PME-Yr2-2025'!$E$5:$L$28, 0, 0),
        0, 0),
    _xlfn.XLOOKUP(G189, 'Wedgewood Pharm-PME-Yr2-2025'!$E$4:$L$4,
        _xlfn.XLOOKUP('Rate Load'!L189, 'Wedgewood Pharm-PME-Yr2-2025'!$D$5:$D$28,
            'Wedgewood Pharm-PME-Yr2-2025'!$E$5:$L$28, 0, 0),
        0, 0)
)</f>
        <v>25.520000000000003</v>
      </c>
      <c r="K189" t="s">
        <v>46</v>
      </c>
      <c r="L189" t="s">
        <v>24</v>
      </c>
      <c r="M189">
        <v>1</v>
      </c>
      <c r="N189" t="str">
        <f t="shared" si="2"/>
        <v>INSERT INTO TNL_RATING.dbo.usps_rate_master VALUES ('USPS', '2/13/2025', '2/13/2026', 12659, 'US', 'Priority Mail Express', 4, 0, 'L', 25.52, 'Wedgewood_USPS_2025', 'Padded Flat-Rate Envelope','1');</v>
      </c>
    </row>
    <row r="190" spans="1:14" x14ac:dyDescent="0.3">
      <c r="A190" t="s">
        <v>11</v>
      </c>
      <c r="B190" s="1" t="s">
        <v>43</v>
      </c>
      <c r="C190" s="1" t="s">
        <v>44</v>
      </c>
      <c r="D190">
        <v>12659</v>
      </c>
      <c r="E190" t="s">
        <v>12</v>
      </c>
      <c r="F190" t="s">
        <v>42</v>
      </c>
      <c r="G190">
        <v>5</v>
      </c>
      <c r="H190">
        <v>0</v>
      </c>
      <c r="I190" t="s">
        <v>45</v>
      </c>
      <c r="J190" cm="1">
        <f t="array" ref="J190">IFERROR(
    _xlfn.XLOOKUP(G190, 'Wedgewood Pharm-PME-Yr2-2025'!$E$4:$L$4,
        _xlfn.XLOOKUP('Rate Load'!H190, 'Wedgewood Pharm-PME-Yr2-2025'!$D$5:$D$28,
            'Wedgewood Pharm-PME-Yr2-2025'!$E$5:$L$28, 0, 0),
        0, 0),
    _xlfn.XLOOKUP(G190, 'Wedgewood Pharm-PME-Yr2-2025'!$E$4:$L$4,
        _xlfn.XLOOKUP('Rate Load'!L190, 'Wedgewood Pharm-PME-Yr2-2025'!$D$5:$D$28,
            'Wedgewood Pharm-PME-Yr2-2025'!$E$5:$L$28, 0, 0),
        0, 0)
)</f>
        <v>25.520000000000003</v>
      </c>
      <c r="K190" t="s">
        <v>46</v>
      </c>
      <c r="L190" t="s">
        <v>24</v>
      </c>
      <c r="M190">
        <v>1</v>
      </c>
      <c r="N190" t="str">
        <f t="shared" si="2"/>
        <v>INSERT INTO TNL_RATING.dbo.usps_rate_master VALUES ('USPS', '2/13/2025', '2/13/2026', 12659, 'US', 'Priority Mail Express', 5, 0, 'L', 25.52, 'Wedgewood_USPS_2025', 'Padded Flat-Rate Envelope','1');</v>
      </c>
    </row>
    <row r="191" spans="1:14" x14ac:dyDescent="0.3">
      <c r="A191" t="s">
        <v>11</v>
      </c>
      <c r="B191" s="1" t="s">
        <v>43</v>
      </c>
      <c r="C191" s="1" t="s">
        <v>44</v>
      </c>
      <c r="D191">
        <v>12659</v>
      </c>
      <c r="E191" t="s">
        <v>12</v>
      </c>
      <c r="F191" t="s">
        <v>42</v>
      </c>
      <c r="G191">
        <v>6</v>
      </c>
      <c r="H191">
        <v>0</v>
      </c>
      <c r="I191" t="s">
        <v>45</v>
      </c>
      <c r="J191" cm="1">
        <f t="array" ref="J191">IFERROR(
    _xlfn.XLOOKUP(G191, 'Wedgewood Pharm-PME-Yr2-2025'!$E$4:$L$4,
        _xlfn.XLOOKUP('Rate Load'!H191, 'Wedgewood Pharm-PME-Yr2-2025'!$D$5:$D$28,
            'Wedgewood Pharm-PME-Yr2-2025'!$E$5:$L$28, 0, 0),
        0, 0),
    _xlfn.XLOOKUP(G191, 'Wedgewood Pharm-PME-Yr2-2025'!$E$4:$L$4,
        _xlfn.XLOOKUP('Rate Load'!L191, 'Wedgewood Pharm-PME-Yr2-2025'!$D$5:$D$28,
            'Wedgewood Pharm-PME-Yr2-2025'!$E$5:$L$28, 0, 0),
        0, 0)
)</f>
        <v>25.520000000000003</v>
      </c>
      <c r="K191" t="s">
        <v>46</v>
      </c>
      <c r="L191" t="s">
        <v>24</v>
      </c>
      <c r="M191">
        <v>1</v>
      </c>
      <c r="N191" t="str">
        <f t="shared" si="2"/>
        <v>INSERT INTO TNL_RATING.dbo.usps_rate_master VALUES ('USPS', '2/13/2025', '2/13/2026', 12659, 'US', 'Priority Mail Express', 6, 0, 'L', 25.52, 'Wedgewood_USPS_2025', 'Padded Flat-Rate Envelope','1');</v>
      </c>
    </row>
    <row r="192" spans="1:14" x14ac:dyDescent="0.3">
      <c r="A192" t="s">
        <v>11</v>
      </c>
      <c r="B192" s="1" t="s">
        <v>43</v>
      </c>
      <c r="C192" s="1" t="s">
        <v>44</v>
      </c>
      <c r="D192">
        <v>12659</v>
      </c>
      <c r="E192" t="s">
        <v>12</v>
      </c>
      <c r="F192" t="s">
        <v>42</v>
      </c>
      <c r="G192">
        <v>7</v>
      </c>
      <c r="H192">
        <v>0</v>
      </c>
      <c r="I192" t="s">
        <v>45</v>
      </c>
      <c r="J192" cm="1">
        <f t="array" ref="J192">IFERROR(
    _xlfn.XLOOKUP(G192, 'Wedgewood Pharm-PME-Yr2-2025'!$E$4:$L$4,
        _xlfn.XLOOKUP('Rate Load'!H192, 'Wedgewood Pharm-PME-Yr2-2025'!$D$5:$D$28,
            'Wedgewood Pharm-PME-Yr2-2025'!$E$5:$L$28, 0, 0),
        0, 0),
    _xlfn.XLOOKUP(G192, 'Wedgewood Pharm-PME-Yr2-2025'!$E$4:$L$4,
        _xlfn.XLOOKUP('Rate Load'!L192, 'Wedgewood Pharm-PME-Yr2-2025'!$D$5:$D$28,
            'Wedgewood Pharm-PME-Yr2-2025'!$E$5:$L$28, 0, 0),
        0, 0)
)</f>
        <v>25.520000000000003</v>
      </c>
      <c r="K192" t="s">
        <v>46</v>
      </c>
      <c r="L192" t="s">
        <v>24</v>
      </c>
      <c r="M192">
        <v>1</v>
      </c>
      <c r="N192" t="str">
        <f t="shared" si="2"/>
        <v>INSERT INTO TNL_RATING.dbo.usps_rate_master VALUES ('USPS', '2/13/2025', '2/13/2026', 12659, 'US', 'Priority Mail Express', 7, 0, 'L', 25.52, 'Wedgewood_USPS_2025', 'Padded Flat-Rate Envelope','1');</v>
      </c>
    </row>
    <row r="193" spans="1:14" x14ac:dyDescent="0.3">
      <c r="A193" t="s">
        <v>11</v>
      </c>
      <c r="B193" s="1" t="s">
        <v>43</v>
      </c>
      <c r="C193" s="1" t="s">
        <v>44</v>
      </c>
      <c r="D193">
        <v>12659</v>
      </c>
      <c r="E193" t="s">
        <v>12</v>
      </c>
      <c r="F193" t="s">
        <v>42</v>
      </c>
      <c r="G193">
        <v>8</v>
      </c>
      <c r="H193">
        <v>0</v>
      </c>
      <c r="I193" t="s">
        <v>45</v>
      </c>
      <c r="J193" cm="1">
        <f t="array" ref="J193">IFERROR(
    _xlfn.XLOOKUP(G193, 'Wedgewood Pharm-PME-Yr2-2025'!$E$4:$L$4,
        _xlfn.XLOOKUP('Rate Load'!H193, 'Wedgewood Pharm-PME-Yr2-2025'!$D$5:$D$28,
            'Wedgewood Pharm-PME-Yr2-2025'!$E$5:$L$28, 0, 0),
        0, 0),
    _xlfn.XLOOKUP(G193, 'Wedgewood Pharm-PME-Yr2-2025'!$E$4:$L$4,
        _xlfn.XLOOKUP('Rate Load'!L193, 'Wedgewood Pharm-PME-Yr2-2025'!$D$5:$D$28,
            'Wedgewood Pharm-PME-Yr2-2025'!$E$5:$L$28, 0, 0),
        0, 0)
)</f>
        <v>25.520000000000003</v>
      </c>
      <c r="K193" t="s">
        <v>46</v>
      </c>
      <c r="L193" t="s">
        <v>24</v>
      </c>
      <c r="M193">
        <v>1</v>
      </c>
      <c r="N193" t="str">
        <f t="shared" si="2"/>
        <v>INSERT INTO TNL_RATING.dbo.usps_rate_master VALUES ('USPS', '2/13/2025', '2/13/2026', 12659, 'US', 'Priority Mail Express', 8, 0, 'L', 25.52, 'Wedgewood_USPS_2025', 'Padded Flat-Rate Envelope','1');</v>
      </c>
    </row>
    <row r="194" spans="1:14" x14ac:dyDescent="0.3">
      <c r="A194" t="s">
        <v>11</v>
      </c>
      <c r="B194" s="1" t="s">
        <v>43</v>
      </c>
      <c r="C194" s="1" t="s">
        <v>44</v>
      </c>
      <c r="D194">
        <v>12659</v>
      </c>
      <c r="E194" t="s">
        <v>12</v>
      </c>
      <c r="F194" t="s">
        <v>47</v>
      </c>
      <c r="G194">
        <v>1</v>
      </c>
      <c r="H194">
        <v>0.5</v>
      </c>
      <c r="I194" t="s">
        <v>45</v>
      </c>
      <c r="J194" cm="1">
        <f t="array" ref="J194">IFERROR(
    _xlfn.XLOOKUP(G194, 'Wedgewood Pharm-PM-Yr2-2025'!$E$4:$L$4,
        _xlfn.XLOOKUP('Rate Load'!H194, 'Wedgewood Pharm-PM-Yr2-2025'!$D$5:$D$31,
            'Wedgewood Pharm-PM-Yr2-2025'!$E$5:$L$31, 0, 0),
        0, 0),
    _xlfn.XLOOKUP(G194, 'Wedgewood Pharm-PM-Yr2-2025'!$E$4:$L$4,
        _xlfn.XLOOKUP('Rate Load'!L194, 'Wedgewood Pharm-PM-Yr2-2025'!$D$5:$D$31,
            'Wedgewood Pharm-PM-Yr2-2025'!$E$5:$L$31, 0, 0),
        0, 0)
)</f>
        <v>6.95</v>
      </c>
      <c r="K194" t="s">
        <v>46</v>
      </c>
      <c r="L194" t="s">
        <v>13</v>
      </c>
      <c r="M194">
        <v>1</v>
      </c>
      <c r="N194" t="str">
        <f t="shared" si="2"/>
        <v>INSERT INTO TNL_RATING.dbo.usps_rate_master VALUES ('USPS', '2/13/2025', '2/13/2026', 12659, 'US', 'Priority Mail', 1, 0.5, 'L', 6.95, 'Wedgewood_USPS_2025', 'NonCubic','1');</v>
      </c>
    </row>
    <row r="195" spans="1:14" x14ac:dyDescent="0.3">
      <c r="A195" t="s">
        <v>11</v>
      </c>
      <c r="B195" s="1" t="s">
        <v>43</v>
      </c>
      <c r="C195" s="1" t="s">
        <v>44</v>
      </c>
      <c r="D195">
        <v>12659</v>
      </c>
      <c r="E195" t="s">
        <v>12</v>
      </c>
      <c r="F195" t="s">
        <v>47</v>
      </c>
      <c r="G195">
        <v>1</v>
      </c>
      <c r="H195">
        <v>1</v>
      </c>
      <c r="I195" t="s">
        <v>45</v>
      </c>
      <c r="J195" cm="1">
        <f t="array" ref="J195">IFERROR(
    _xlfn.XLOOKUP(G195, 'Wedgewood Pharm-PM-Yr2-2025'!$E$4:$L$4,
        _xlfn.XLOOKUP('Rate Load'!H195, 'Wedgewood Pharm-PM-Yr2-2025'!$D$5:$D$31,
            'Wedgewood Pharm-PM-Yr2-2025'!$E$5:$L$31, 0, 0),
        0, 0),
    _xlfn.XLOOKUP(G195, 'Wedgewood Pharm-PM-Yr2-2025'!$E$4:$L$4,
        _xlfn.XLOOKUP('Rate Load'!L195, 'Wedgewood Pharm-PM-Yr2-2025'!$D$5:$D$31,
            'Wedgewood Pharm-PM-Yr2-2025'!$E$5:$L$31, 0, 0),
        0, 0)
)</f>
        <v>6.95</v>
      </c>
      <c r="K195" t="s">
        <v>46</v>
      </c>
      <c r="L195" t="s">
        <v>13</v>
      </c>
      <c r="M195">
        <v>1</v>
      </c>
      <c r="N195" t="str">
        <f t="shared" ref="N195:N258" si="3">"INSERT INTO TNL_RATING.dbo.usps_rate_master VALUES ('" &amp; A195 &amp; "', '" &amp; B195 &amp; "', '" &amp; C195 &amp; "', " &amp; D195 &amp; ", '" &amp; E195 &amp; "', '" &amp; F195 &amp; "', " &amp; G195 &amp; ", " &amp; H195 &amp; ", '" &amp; I195 &amp; "', " &amp; J195 &amp; ", '" &amp; K195 &amp; "', '" &amp; L195 &amp; "','" &amp; M195 &amp; "');"</f>
        <v>INSERT INTO TNL_RATING.dbo.usps_rate_master VALUES ('USPS', '2/13/2025', '2/13/2026', 12659, 'US', 'Priority Mail', 1, 1, 'L', 6.95, 'Wedgewood_USPS_2025', 'NonCubic','1');</v>
      </c>
    </row>
    <row r="196" spans="1:14" x14ac:dyDescent="0.3">
      <c r="A196" t="s">
        <v>11</v>
      </c>
      <c r="B196" s="1" t="s">
        <v>43</v>
      </c>
      <c r="C196" s="1" t="s">
        <v>44</v>
      </c>
      <c r="D196">
        <v>12659</v>
      </c>
      <c r="E196" t="s">
        <v>12</v>
      </c>
      <c r="F196" t="s">
        <v>47</v>
      </c>
      <c r="G196">
        <v>1</v>
      </c>
      <c r="H196">
        <v>2</v>
      </c>
      <c r="I196" t="s">
        <v>45</v>
      </c>
      <c r="J196" cm="1">
        <f t="array" ref="J196">IFERROR(
    _xlfn.XLOOKUP(G196, 'Wedgewood Pharm-PM-Yr2-2025'!$E$4:$L$4,
        _xlfn.XLOOKUP('Rate Load'!H196, 'Wedgewood Pharm-PM-Yr2-2025'!$D$5:$D$31,
            'Wedgewood Pharm-PM-Yr2-2025'!$E$5:$L$31, 0, 0),
        0, 0),
    _xlfn.XLOOKUP(G196, 'Wedgewood Pharm-PM-Yr2-2025'!$E$4:$L$4,
        _xlfn.XLOOKUP('Rate Load'!L196, 'Wedgewood Pharm-PM-Yr2-2025'!$D$5:$D$31,
            'Wedgewood Pharm-PM-Yr2-2025'!$E$5:$L$31, 0, 0),
        0, 0)
)</f>
        <v>6.97</v>
      </c>
      <c r="K196" t="s">
        <v>46</v>
      </c>
      <c r="L196" t="s">
        <v>13</v>
      </c>
      <c r="M196">
        <v>1</v>
      </c>
      <c r="N196" t="str">
        <f t="shared" si="3"/>
        <v>INSERT INTO TNL_RATING.dbo.usps_rate_master VALUES ('USPS', '2/13/2025', '2/13/2026', 12659, 'US', 'Priority Mail', 1, 2, 'L', 6.97, 'Wedgewood_USPS_2025', 'NonCubic','1');</v>
      </c>
    </row>
    <row r="197" spans="1:14" x14ac:dyDescent="0.3">
      <c r="A197" t="s">
        <v>11</v>
      </c>
      <c r="B197" s="1" t="s">
        <v>43</v>
      </c>
      <c r="C197" s="1" t="s">
        <v>44</v>
      </c>
      <c r="D197">
        <v>12659</v>
      </c>
      <c r="E197" t="s">
        <v>12</v>
      </c>
      <c r="F197" t="s">
        <v>47</v>
      </c>
      <c r="G197">
        <v>1</v>
      </c>
      <c r="H197">
        <v>3</v>
      </c>
      <c r="I197" t="s">
        <v>45</v>
      </c>
      <c r="J197" cm="1">
        <f t="array" ref="J197">IFERROR(
    _xlfn.XLOOKUP(G197, 'Wedgewood Pharm-PM-Yr2-2025'!$E$4:$L$4,
        _xlfn.XLOOKUP('Rate Load'!H197, 'Wedgewood Pharm-PM-Yr2-2025'!$D$5:$D$31,
            'Wedgewood Pharm-PM-Yr2-2025'!$E$5:$L$31, 0, 0),
        0, 0),
    _xlfn.XLOOKUP(G197, 'Wedgewood Pharm-PM-Yr2-2025'!$E$4:$L$4,
        _xlfn.XLOOKUP('Rate Load'!L197, 'Wedgewood Pharm-PM-Yr2-2025'!$D$5:$D$31,
            'Wedgewood Pharm-PM-Yr2-2025'!$E$5:$L$31, 0, 0),
        0, 0)
)</f>
        <v>7.0699999999999994</v>
      </c>
      <c r="K197" t="s">
        <v>46</v>
      </c>
      <c r="L197" t="s">
        <v>13</v>
      </c>
      <c r="M197">
        <v>1</v>
      </c>
      <c r="N197" t="str">
        <f t="shared" si="3"/>
        <v>INSERT INTO TNL_RATING.dbo.usps_rate_master VALUES ('USPS', '2/13/2025', '2/13/2026', 12659, 'US', 'Priority Mail', 1, 3, 'L', 7.07, 'Wedgewood_USPS_2025', 'NonCubic','1');</v>
      </c>
    </row>
    <row r="198" spans="1:14" x14ac:dyDescent="0.3">
      <c r="A198" t="s">
        <v>11</v>
      </c>
      <c r="B198" s="1" t="s">
        <v>43</v>
      </c>
      <c r="C198" s="1" t="s">
        <v>44</v>
      </c>
      <c r="D198">
        <v>12659</v>
      </c>
      <c r="E198" t="s">
        <v>12</v>
      </c>
      <c r="F198" t="s">
        <v>47</v>
      </c>
      <c r="G198">
        <v>1</v>
      </c>
      <c r="H198">
        <v>4</v>
      </c>
      <c r="I198" t="s">
        <v>45</v>
      </c>
      <c r="J198" cm="1">
        <f t="array" ref="J198">IFERROR(
    _xlfn.XLOOKUP(G198, 'Wedgewood Pharm-PM-Yr2-2025'!$E$4:$L$4,
        _xlfn.XLOOKUP('Rate Load'!H198, 'Wedgewood Pharm-PM-Yr2-2025'!$D$5:$D$31,
            'Wedgewood Pharm-PM-Yr2-2025'!$E$5:$L$31, 0, 0),
        0, 0),
    _xlfn.XLOOKUP(G198, 'Wedgewood Pharm-PM-Yr2-2025'!$E$4:$L$4,
        _xlfn.XLOOKUP('Rate Load'!L198, 'Wedgewood Pharm-PM-Yr2-2025'!$D$5:$D$31,
            'Wedgewood Pharm-PM-Yr2-2025'!$E$5:$L$31, 0, 0),
        0, 0)
)</f>
        <v>7.2299999999999995</v>
      </c>
      <c r="K198" t="s">
        <v>46</v>
      </c>
      <c r="L198" t="s">
        <v>13</v>
      </c>
      <c r="M198">
        <v>1</v>
      </c>
      <c r="N198" t="str">
        <f t="shared" si="3"/>
        <v>INSERT INTO TNL_RATING.dbo.usps_rate_master VALUES ('USPS', '2/13/2025', '2/13/2026', 12659, 'US', 'Priority Mail', 1, 4, 'L', 7.23, 'Wedgewood_USPS_2025', 'NonCubic','1');</v>
      </c>
    </row>
    <row r="199" spans="1:14" x14ac:dyDescent="0.3">
      <c r="A199" t="s">
        <v>11</v>
      </c>
      <c r="B199" s="1" t="s">
        <v>43</v>
      </c>
      <c r="C199" s="1" t="s">
        <v>44</v>
      </c>
      <c r="D199">
        <v>12659</v>
      </c>
      <c r="E199" t="s">
        <v>12</v>
      </c>
      <c r="F199" t="s">
        <v>47</v>
      </c>
      <c r="G199">
        <v>1</v>
      </c>
      <c r="H199">
        <v>5</v>
      </c>
      <c r="I199" t="s">
        <v>45</v>
      </c>
      <c r="J199" cm="1">
        <f t="array" ref="J199">IFERROR(
    _xlfn.XLOOKUP(G199, 'Wedgewood Pharm-PM-Yr2-2025'!$E$4:$L$4,
        _xlfn.XLOOKUP('Rate Load'!H199, 'Wedgewood Pharm-PM-Yr2-2025'!$D$5:$D$31,
            'Wedgewood Pharm-PM-Yr2-2025'!$E$5:$L$31, 0, 0),
        0, 0),
    _xlfn.XLOOKUP(G199, 'Wedgewood Pharm-PM-Yr2-2025'!$E$4:$L$4,
        _xlfn.XLOOKUP('Rate Load'!L199, 'Wedgewood Pharm-PM-Yr2-2025'!$D$5:$D$31,
            'Wedgewood Pharm-PM-Yr2-2025'!$E$5:$L$31, 0, 0),
        0, 0)
)</f>
        <v>7.2299999999999995</v>
      </c>
      <c r="K199" t="s">
        <v>46</v>
      </c>
      <c r="L199" t="s">
        <v>13</v>
      </c>
      <c r="M199">
        <v>1</v>
      </c>
      <c r="N199" t="str">
        <f t="shared" si="3"/>
        <v>INSERT INTO TNL_RATING.dbo.usps_rate_master VALUES ('USPS', '2/13/2025', '2/13/2026', 12659, 'US', 'Priority Mail', 1, 5, 'L', 7.23, 'Wedgewood_USPS_2025', 'NonCubic','1');</v>
      </c>
    </row>
    <row r="200" spans="1:14" x14ac:dyDescent="0.3">
      <c r="A200" t="s">
        <v>11</v>
      </c>
      <c r="B200" s="1" t="s">
        <v>43</v>
      </c>
      <c r="C200" s="1" t="s">
        <v>44</v>
      </c>
      <c r="D200">
        <v>12659</v>
      </c>
      <c r="E200" t="s">
        <v>12</v>
      </c>
      <c r="F200" t="s">
        <v>47</v>
      </c>
      <c r="G200">
        <v>1</v>
      </c>
      <c r="H200">
        <v>6</v>
      </c>
      <c r="I200" t="s">
        <v>45</v>
      </c>
      <c r="J200" cm="1">
        <f t="array" ref="J200">IFERROR(
    _xlfn.XLOOKUP(G200, 'Wedgewood Pharm-PM-Yr2-2025'!$E$4:$L$4,
        _xlfn.XLOOKUP('Rate Load'!H200, 'Wedgewood Pharm-PM-Yr2-2025'!$D$5:$D$31,
            'Wedgewood Pharm-PM-Yr2-2025'!$E$5:$L$31, 0, 0),
        0, 0),
    _xlfn.XLOOKUP(G200, 'Wedgewood Pharm-PM-Yr2-2025'!$E$4:$L$4,
        _xlfn.XLOOKUP('Rate Load'!L200, 'Wedgewood Pharm-PM-Yr2-2025'!$D$5:$D$31,
            'Wedgewood Pharm-PM-Yr2-2025'!$E$5:$L$31, 0, 0),
        0, 0)
)</f>
        <v>7.33</v>
      </c>
      <c r="K200" t="s">
        <v>46</v>
      </c>
      <c r="L200" t="s">
        <v>13</v>
      </c>
      <c r="M200">
        <v>1</v>
      </c>
      <c r="N200" t="str">
        <f t="shared" si="3"/>
        <v>INSERT INTO TNL_RATING.dbo.usps_rate_master VALUES ('USPS', '2/13/2025', '2/13/2026', 12659, 'US', 'Priority Mail', 1, 6, 'L', 7.33, 'Wedgewood_USPS_2025', 'NonCubic','1');</v>
      </c>
    </row>
    <row r="201" spans="1:14" x14ac:dyDescent="0.3">
      <c r="A201" t="s">
        <v>11</v>
      </c>
      <c r="B201" s="1" t="s">
        <v>43</v>
      </c>
      <c r="C201" s="1" t="s">
        <v>44</v>
      </c>
      <c r="D201">
        <v>12659</v>
      </c>
      <c r="E201" t="s">
        <v>12</v>
      </c>
      <c r="F201" t="s">
        <v>47</v>
      </c>
      <c r="G201">
        <v>1</v>
      </c>
      <c r="H201">
        <v>7</v>
      </c>
      <c r="I201" t="s">
        <v>45</v>
      </c>
      <c r="J201" cm="1">
        <f t="array" ref="J201">IFERROR(
    _xlfn.XLOOKUP(G201, 'Wedgewood Pharm-PM-Yr2-2025'!$E$4:$L$4,
        _xlfn.XLOOKUP('Rate Load'!H201, 'Wedgewood Pharm-PM-Yr2-2025'!$D$5:$D$31,
            'Wedgewood Pharm-PM-Yr2-2025'!$E$5:$L$31, 0, 0),
        0, 0),
    _xlfn.XLOOKUP(G201, 'Wedgewood Pharm-PM-Yr2-2025'!$E$4:$L$4,
        _xlfn.XLOOKUP('Rate Load'!L201, 'Wedgewood Pharm-PM-Yr2-2025'!$D$5:$D$31,
            'Wedgewood Pharm-PM-Yr2-2025'!$E$5:$L$31, 0, 0),
        0, 0)
)</f>
        <v>8.4499999999999993</v>
      </c>
      <c r="K201" t="s">
        <v>46</v>
      </c>
      <c r="L201" t="s">
        <v>13</v>
      </c>
      <c r="M201">
        <v>1</v>
      </c>
      <c r="N201" t="str">
        <f t="shared" si="3"/>
        <v>INSERT INTO TNL_RATING.dbo.usps_rate_master VALUES ('USPS', '2/13/2025', '2/13/2026', 12659, 'US', 'Priority Mail', 1, 7, 'L', 8.45, 'Wedgewood_USPS_2025', 'NonCubic','1');</v>
      </c>
    </row>
    <row r="202" spans="1:14" x14ac:dyDescent="0.3">
      <c r="A202" t="s">
        <v>11</v>
      </c>
      <c r="B202" s="1" t="s">
        <v>43</v>
      </c>
      <c r="C202" s="1" t="s">
        <v>44</v>
      </c>
      <c r="D202">
        <v>12659</v>
      </c>
      <c r="E202" t="s">
        <v>12</v>
      </c>
      <c r="F202" t="s">
        <v>47</v>
      </c>
      <c r="G202">
        <v>1</v>
      </c>
      <c r="H202">
        <v>8</v>
      </c>
      <c r="I202" t="s">
        <v>45</v>
      </c>
      <c r="J202" cm="1">
        <f t="array" ref="J202">IFERROR(
    _xlfn.XLOOKUP(G202, 'Wedgewood Pharm-PM-Yr2-2025'!$E$4:$L$4,
        _xlfn.XLOOKUP('Rate Load'!H202, 'Wedgewood Pharm-PM-Yr2-2025'!$D$5:$D$31,
            'Wedgewood Pharm-PM-Yr2-2025'!$E$5:$L$31, 0, 0),
        0, 0),
    _xlfn.XLOOKUP(G202, 'Wedgewood Pharm-PM-Yr2-2025'!$E$4:$L$4,
        _xlfn.XLOOKUP('Rate Load'!L202, 'Wedgewood Pharm-PM-Yr2-2025'!$D$5:$D$31,
            'Wedgewood Pharm-PM-Yr2-2025'!$E$5:$L$31, 0, 0),
        0, 0)
)</f>
        <v>8.7200000000000006</v>
      </c>
      <c r="K202" t="s">
        <v>46</v>
      </c>
      <c r="L202" t="s">
        <v>13</v>
      </c>
      <c r="M202">
        <v>1</v>
      </c>
      <c r="N202" t="str">
        <f t="shared" si="3"/>
        <v>INSERT INTO TNL_RATING.dbo.usps_rate_master VALUES ('USPS', '2/13/2025', '2/13/2026', 12659, 'US', 'Priority Mail', 1, 8, 'L', 8.72, 'Wedgewood_USPS_2025', 'NonCubic','1');</v>
      </c>
    </row>
    <row r="203" spans="1:14" x14ac:dyDescent="0.3">
      <c r="A203" t="s">
        <v>11</v>
      </c>
      <c r="B203" s="1" t="s">
        <v>43</v>
      </c>
      <c r="C203" s="1" t="s">
        <v>44</v>
      </c>
      <c r="D203">
        <v>12659</v>
      </c>
      <c r="E203" t="s">
        <v>12</v>
      </c>
      <c r="F203" t="s">
        <v>47</v>
      </c>
      <c r="G203">
        <v>1</v>
      </c>
      <c r="H203">
        <v>9</v>
      </c>
      <c r="I203" t="s">
        <v>45</v>
      </c>
      <c r="J203" cm="1">
        <f t="array" ref="J203">IFERROR(
    _xlfn.XLOOKUP(G203, 'Wedgewood Pharm-PM-Yr2-2025'!$E$4:$L$4,
        _xlfn.XLOOKUP('Rate Load'!H203, 'Wedgewood Pharm-PM-Yr2-2025'!$D$5:$D$31,
            'Wedgewood Pharm-PM-Yr2-2025'!$E$5:$L$31, 0, 0),
        0, 0),
    _xlfn.XLOOKUP(G203, 'Wedgewood Pharm-PM-Yr2-2025'!$E$4:$L$4,
        _xlfn.XLOOKUP('Rate Load'!L203, 'Wedgewood Pharm-PM-Yr2-2025'!$D$5:$D$31,
            'Wedgewood Pharm-PM-Yr2-2025'!$E$5:$L$31, 0, 0),
        0, 0)
)</f>
        <v>9.14</v>
      </c>
      <c r="K203" t="s">
        <v>46</v>
      </c>
      <c r="L203" t="s">
        <v>13</v>
      </c>
      <c r="M203">
        <v>1</v>
      </c>
      <c r="N203" t="str">
        <f t="shared" si="3"/>
        <v>INSERT INTO TNL_RATING.dbo.usps_rate_master VALUES ('USPS', '2/13/2025', '2/13/2026', 12659, 'US', 'Priority Mail', 1, 9, 'L', 9.14, 'Wedgewood_USPS_2025', 'NonCubic','1');</v>
      </c>
    </row>
    <row r="204" spans="1:14" x14ac:dyDescent="0.3">
      <c r="A204" t="s">
        <v>11</v>
      </c>
      <c r="B204" s="1" t="s">
        <v>43</v>
      </c>
      <c r="C204" s="1" t="s">
        <v>44</v>
      </c>
      <c r="D204">
        <v>12659</v>
      </c>
      <c r="E204" t="s">
        <v>12</v>
      </c>
      <c r="F204" t="s">
        <v>47</v>
      </c>
      <c r="G204">
        <v>1</v>
      </c>
      <c r="H204">
        <v>10</v>
      </c>
      <c r="I204" t="s">
        <v>45</v>
      </c>
      <c r="J204" cm="1">
        <f t="array" ref="J204">IFERROR(
    _xlfn.XLOOKUP(G204, 'Wedgewood Pharm-PM-Yr2-2025'!$E$4:$L$4,
        _xlfn.XLOOKUP('Rate Load'!H204, 'Wedgewood Pharm-PM-Yr2-2025'!$D$5:$D$31,
            'Wedgewood Pharm-PM-Yr2-2025'!$E$5:$L$31, 0, 0),
        0, 0),
    _xlfn.XLOOKUP(G204, 'Wedgewood Pharm-PM-Yr2-2025'!$E$4:$L$4,
        _xlfn.XLOOKUP('Rate Load'!L204, 'Wedgewood Pharm-PM-Yr2-2025'!$D$5:$D$31,
            'Wedgewood Pharm-PM-Yr2-2025'!$E$5:$L$31, 0, 0),
        0, 0)
)</f>
        <v>9.48</v>
      </c>
      <c r="K204" t="s">
        <v>46</v>
      </c>
      <c r="L204" t="s">
        <v>13</v>
      </c>
      <c r="M204">
        <v>1</v>
      </c>
      <c r="N204" t="str">
        <f t="shared" si="3"/>
        <v>INSERT INTO TNL_RATING.dbo.usps_rate_master VALUES ('USPS', '2/13/2025', '2/13/2026', 12659, 'US', 'Priority Mail', 1, 10, 'L', 9.48, 'Wedgewood_USPS_2025', 'NonCubic','1');</v>
      </c>
    </row>
    <row r="205" spans="1:14" x14ac:dyDescent="0.3">
      <c r="A205" t="s">
        <v>11</v>
      </c>
      <c r="B205" s="1" t="s">
        <v>43</v>
      </c>
      <c r="C205" s="1" t="s">
        <v>44</v>
      </c>
      <c r="D205">
        <v>12659</v>
      </c>
      <c r="E205" t="s">
        <v>12</v>
      </c>
      <c r="F205" t="s">
        <v>47</v>
      </c>
      <c r="G205">
        <v>1</v>
      </c>
      <c r="H205">
        <v>11</v>
      </c>
      <c r="I205" t="s">
        <v>45</v>
      </c>
      <c r="J205" cm="1">
        <f t="array" ref="J205">IFERROR(
    _xlfn.XLOOKUP(G205, 'Wedgewood Pharm-PM-Yr2-2025'!$E$4:$L$4,
        _xlfn.XLOOKUP('Rate Load'!H205, 'Wedgewood Pharm-PM-Yr2-2025'!$D$5:$D$31,
            'Wedgewood Pharm-PM-Yr2-2025'!$E$5:$L$31, 0, 0),
        0, 0),
    _xlfn.XLOOKUP(G205, 'Wedgewood Pharm-PM-Yr2-2025'!$E$4:$L$4,
        _xlfn.XLOOKUP('Rate Load'!L205, 'Wedgewood Pharm-PM-Yr2-2025'!$D$5:$D$31,
            'Wedgewood Pharm-PM-Yr2-2025'!$E$5:$L$31, 0, 0),
        0, 0)
)</f>
        <v>10.18</v>
      </c>
      <c r="K205" t="s">
        <v>46</v>
      </c>
      <c r="L205" t="s">
        <v>13</v>
      </c>
      <c r="M205">
        <v>1</v>
      </c>
      <c r="N205" t="str">
        <f t="shared" si="3"/>
        <v>INSERT INTO TNL_RATING.dbo.usps_rate_master VALUES ('USPS', '2/13/2025', '2/13/2026', 12659, 'US', 'Priority Mail', 1, 11, 'L', 10.18, 'Wedgewood_USPS_2025', 'NonCubic','1');</v>
      </c>
    </row>
    <row r="206" spans="1:14" x14ac:dyDescent="0.3">
      <c r="A206" t="s">
        <v>11</v>
      </c>
      <c r="B206" s="1" t="s">
        <v>43</v>
      </c>
      <c r="C206" s="1" t="s">
        <v>44</v>
      </c>
      <c r="D206">
        <v>12659</v>
      </c>
      <c r="E206" t="s">
        <v>12</v>
      </c>
      <c r="F206" t="s">
        <v>47</v>
      </c>
      <c r="G206">
        <v>1</v>
      </c>
      <c r="H206">
        <v>12</v>
      </c>
      <c r="I206" t="s">
        <v>45</v>
      </c>
      <c r="J206" cm="1">
        <f t="array" ref="J206">IFERROR(
    _xlfn.XLOOKUP(G206, 'Wedgewood Pharm-PM-Yr2-2025'!$E$4:$L$4,
        _xlfn.XLOOKUP('Rate Load'!H206, 'Wedgewood Pharm-PM-Yr2-2025'!$D$5:$D$31,
            'Wedgewood Pharm-PM-Yr2-2025'!$E$5:$L$31, 0, 0),
        0, 0),
    _xlfn.XLOOKUP(G206, 'Wedgewood Pharm-PM-Yr2-2025'!$E$4:$L$4,
        _xlfn.XLOOKUP('Rate Load'!L206, 'Wedgewood Pharm-PM-Yr2-2025'!$D$5:$D$31,
            'Wedgewood Pharm-PM-Yr2-2025'!$E$5:$L$31, 0, 0),
        0, 0)
)</f>
        <v>10.53</v>
      </c>
      <c r="K206" t="s">
        <v>46</v>
      </c>
      <c r="L206" t="s">
        <v>13</v>
      </c>
      <c r="M206">
        <v>1</v>
      </c>
      <c r="N206" t="str">
        <f t="shared" si="3"/>
        <v>INSERT INTO TNL_RATING.dbo.usps_rate_master VALUES ('USPS', '2/13/2025', '2/13/2026', 12659, 'US', 'Priority Mail', 1, 12, 'L', 10.53, 'Wedgewood_USPS_2025', 'NonCubic','1');</v>
      </c>
    </row>
    <row r="207" spans="1:14" x14ac:dyDescent="0.3">
      <c r="A207" t="s">
        <v>11</v>
      </c>
      <c r="B207" s="1" t="s">
        <v>43</v>
      </c>
      <c r="C207" s="1" t="s">
        <v>44</v>
      </c>
      <c r="D207">
        <v>12659</v>
      </c>
      <c r="E207" t="s">
        <v>12</v>
      </c>
      <c r="F207" t="s">
        <v>47</v>
      </c>
      <c r="G207">
        <v>1</v>
      </c>
      <c r="H207">
        <v>13</v>
      </c>
      <c r="I207" t="s">
        <v>45</v>
      </c>
      <c r="J207" cm="1">
        <f t="array" ref="J207">IFERROR(
    _xlfn.XLOOKUP(G207, 'Wedgewood Pharm-PM-Yr2-2025'!$E$4:$L$4,
        _xlfn.XLOOKUP('Rate Load'!H207, 'Wedgewood Pharm-PM-Yr2-2025'!$D$5:$D$31,
            'Wedgewood Pharm-PM-Yr2-2025'!$E$5:$L$31, 0, 0),
        0, 0),
    _xlfn.XLOOKUP(G207, 'Wedgewood Pharm-PM-Yr2-2025'!$E$4:$L$4,
        _xlfn.XLOOKUP('Rate Load'!L207, 'Wedgewood Pharm-PM-Yr2-2025'!$D$5:$D$31,
            'Wedgewood Pharm-PM-Yr2-2025'!$E$5:$L$31, 0, 0),
        0, 0)
)</f>
        <v>10.91</v>
      </c>
      <c r="K207" t="s">
        <v>46</v>
      </c>
      <c r="L207" t="s">
        <v>13</v>
      </c>
      <c r="M207">
        <v>1</v>
      </c>
      <c r="N207" t="str">
        <f t="shared" si="3"/>
        <v>INSERT INTO TNL_RATING.dbo.usps_rate_master VALUES ('USPS', '2/13/2025', '2/13/2026', 12659, 'US', 'Priority Mail', 1, 13, 'L', 10.91, 'Wedgewood_USPS_2025', 'NonCubic','1');</v>
      </c>
    </row>
    <row r="208" spans="1:14" x14ac:dyDescent="0.3">
      <c r="A208" t="s">
        <v>11</v>
      </c>
      <c r="B208" s="1" t="s">
        <v>43</v>
      </c>
      <c r="C208" s="1" t="s">
        <v>44</v>
      </c>
      <c r="D208">
        <v>12659</v>
      </c>
      <c r="E208" t="s">
        <v>12</v>
      </c>
      <c r="F208" t="s">
        <v>47</v>
      </c>
      <c r="G208">
        <v>1</v>
      </c>
      <c r="H208">
        <v>14</v>
      </c>
      <c r="I208" t="s">
        <v>45</v>
      </c>
      <c r="J208" cm="1">
        <f t="array" ref="J208">IFERROR(
    _xlfn.XLOOKUP(G208, 'Wedgewood Pharm-PM-Yr2-2025'!$E$4:$L$4,
        _xlfn.XLOOKUP('Rate Load'!H208, 'Wedgewood Pharm-PM-Yr2-2025'!$D$5:$D$31,
            'Wedgewood Pharm-PM-Yr2-2025'!$E$5:$L$31, 0, 0),
        0, 0),
    _xlfn.XLOOKUP(G208, 'Wedgewood Pharm-PM-Yr2-2025'!$E$4:$L$4,
        _xlfn.XLOOKUP('Rate Load'!L208, 'Wedgewood Pharm-PM-Yr2-2025'!$D$5:$D$31,
            'Wedgewood Pharm-PM-Yr2-2025'!$E$5:$L$31, 0, 0),
        0, 0)
)</f>
        <v>11.32</v>
      </c>
      <c r="K208" t="s">
        <v>46</v>
      </c>
      <c r="L208" t="s">
        <v>13</v>
      </c>
      <c r="M208">
        <v>1</v>
      </c>
      <c r="N208" t="str">
        <f t="shared" si="3"/>
        <v>INSERT INTO TNL_RATING.dbo.usps_rate_master VALUES ('USPS', '2/13/2025', '2/13/2026', 12659, 'US', 'Priority Mail', 1, 14, 'L', 11.32, 'Wedgewood_USPS_2025', 'NonCubic','1');</v>
      </c>
    </row>
    <row r="209" spans="1:14" x14ac:dyDescent="0.3">
      <c r="A209" t="s">
        <v>11</v>
      </c>
      <c r="B209" s="1" t="s">
        <v>43</v>
      </c>
      <c r="C209" s="1" t="s">
        <v>44</v>
      </c>
      <c r="D209">
        <v>12659</v>
      </c>
      <c r="E209" t="s">
        <v>12</v>
      </c>
      <c r="F209" t="s">
        <v>47</v>
      </c>
      <c r="G209">
        <v>1</v>
      </c>
      <c r="H209">
        <v>15</v>
      </c>
      <c r="I209" t="s">
        <v>45</v>
      </c>
      <c r="J209" cm="1">
        <f t="array" ref="J209">IFERROR(
    _xlfn.XLOOKUP(G209, 'Wedgewood Pharm-PM-Yr2-2025'!$E$4:$L$4,
        _xlfn.XLOOKUP('Rate Load'!H209, 'Wedgewood Pharm-PM-Yr2-2025'!$D$5:$D$31,
            'Wedgewood Pharm-PM-Yr2-2025'!$E$5:$L$31, 0, 0),
        0, 0),
    _xlfn.XLOOKUP(G209, 'Wedgewood Pharm-PM-Yr2-2025'!$E$4:$L$4,
        _xlfn.XLOOKUP('Rate Load'!L209, 'Wedgewood Pharm-PM-Yr2-2025'!$D$5:$D$31,
            'Wedgewood Pharm-PM-Yr2-2025'!$E$5:$L$31, 0, 0),
        0, 0)
)</f>
        <v>11.629999999999999</v>
      </c>
      <c r="K209" t="s">
        <v>46</v>
      </c>
      <c r="L209" t="s">
        <v>13</v>
      </c>
      <c r="M209">
        <v>1</v>
      </c>
      <c r="N209" t="str">
        <f t="shared" si="3"/>
        <v>INSERT INTO TNL_RATING.dbo.usps_rate_master VALUES ('USPS', '2/13/2025', '2/13/2026', 12659, 'US', 'Priority Mail', 1, 15, 'L', 11.63, 'Wedgewood_USPS_2025', 'NonCubic','1');</v>
      </c>
    </row>
    <row r="210" spans="1:14" x14ac:dyDescent="0.3">
      <c r="A210" t="s">
        <v>11</v>
      </c>
      <c r="B210" s="1" t="s">
        <v>43</v>
      </c>
      <c r="C210" s="1" t="s">
        <v>44</v>
      </c>
      <c r="D210">
        <v>12659</v>
      </c>
      <c r="E210" t="s">
        <v>12</v>
      </c>
      <c r="F210" t="s">
        <v>47</v>
      </c>
      <c r="G210">
        <v>1</v>
      </c>
      <c r="H210">
        <v>16</v>
      </c>
      <c r="I210" t="s">
        <v>45</v>
      </c>
      <c r="J210" cm="1">
        <f t="array" ref="J210">IFERROR(
    _xlfn.XLOOKUP(G210, 'Wedgewood Pharm-PM-Yr2-2025'!$E$4:$L$4,
        _xlfn.XLOOKUP('Rate Load'!H210, 'Wedgewood Pharm-PM-Yr2-2025'!$D$5:$D$31,
            'Wedgewood Pharm-PM-Yr2-2025'!$E$5:$L$31, 0, 0),
        0, 0),
    _xlfn.XLOOKUP(G210, 'Wedgewood Pharm-PM-Yr2-2025'!$E$4:$L$4,
        _xlfn.XLOOKUP('Rate Load'!L210, 'Wedgewood Pharm-PM-Yr2-2025'!$D$5:$D$31,
            'Wedgewood Pharm-PM-Yr2-2025'!$E$5:$L$31, 0, 0),
        0, 0)
)</f>
        <v>12.09</v>
      </c>
      <c r="K210" t="s">
        <v>46</v>
      </c>
      <c r="L210" t="s">
        <v>13</v>
      </c>
      <c r="M210">
        <v>1</v>
      </c>
      <c r="N210" t="str">
        <f t="shared" si="3"/>
        <v>INSERT INTO TNL_RATING.dbo.usps_rate_master VALUES ('USPS', '2/13/2025', '2/13/2026', 12659, 'US', 'Priority Mail', 1, 16, 'L', 12.09, 'Wedgewood_USPS_2025', 'NonCubic','1');</v>
      </c>
    </row>
    <row r="211" spans="1:14" x14ac:dyDescent="0.3">
      <c r="A211" t="s">
        <v>11</v>
      </c>
      <c r="B211" s="1" t="s">
        <v>43</v>
      </c>
      <c r="C211" s="1" t="s">
        <v>44</v>
      </c>
      <c r="D211">
        <v>12659</v>
      </c>
      <c r="E211" t="s">
        <v>12</v>
      </c>
      <c r="F211" t="s">
        <v>47</v>
      </c>
      <c r="G211">
        <v>1</v>
      </c>
      <c r="H211">
        <v>17</v>
      </c>
      <c r="I211" t="s">
        <v>45</v>
      </c>
      <c r="J211" cm="1">
        <f t="array" ref="J211">IFERROR(
    _xlfn.XLOOKUP(G211, 'Wedgewood Pharm-PM-Yr2-2025'!$E$4:$L$4,
        _xlfn.XLOOKUP('Rate Load'!H211, 'Wedgewood Pharm-PM-Yr2-2025'!$D$5:$D$31,
            'Wedgewood Pharm-PM-Yr2-2025'!$E$5:$L$31, 0, 0),
        0, 0),
    _xlfn.XLOOKUP(G211, 'Wedgewood Pharm-PM-Yr2-2025'!$E$4:$L$4,
        _xlfn.XLOOKUP('Rate Load'!L211, 'Wedgewood Pharm-PM-Yr2-2025'!$D$5:$D$31,
            'Wedgewood Pharm-PM-Yr2-2025'!$E$5:$L$31, 0, 0),
        0, 0)
)</f>
        <v>12.45</v>
      </c>
      <c r="K211" t="s">
        <v>46</v>
      </c>
      <c r="L211" t="s">
        <v>13</v>
      </c>
      <c r="M211">
        <v>1</v>
      </c>
      <c r="N211" t="str">
        <f t="shared" si="3"/>
        <v>INSERT INTO TNL_RATING.dbo.usps_rate_master VALUES ('USPS', '2/13/2025', '2/13/2026', 12659, 'US', 'Priority Mail', 1, 17, 'L', 12.45, 'Wedgewood_USPS_2025', 'NonCubic','1');</v>
      </c>
    </row>
    <row r="212" spans="1:14" x14ac:dyDescent="0.3">
      <c r="A212" t="s">
        <v>11</v>
      </c>
      <c r="B212" s="1" t="s">
        <v>43</v>
      </c>
      <c r="C212" s="1" t="s">
        <v>44</v>
      </c>
      <c r="D212">
        <v>12659</v>
      </c>
      <c r="E212" t="s">
        <v>12</v>
      </c>
      <c r="F212" t="s">
        <v>47</v>
      </c>
      <c r="G212">
        <v>1</v>
      </c>
      <c r="H212">
        <v>18</v>
      </c>
      <c r="I212" t="s">
        <v>45</v>
      </c>
      <c r="J212" cm="1">
        <f t="array" ref="J212">IFERROR(
    _xlfn.XLOOKUP(G212, 'Wedgewood Pharm-PM-Yr2-2025'!$E$4:$L$4,
        _xlfn.XLOOKUP('Rate Load'!H212, 'Wedgewood Pharm-PM-Yr2-2025'!$D$5:$D$31,
            'Wedgewood Pharm-PM-Yr2-2025'!$E$5:$L$31, 0, 0),
        0, 0),
    _xlfn.XLOOKUP(G212, 'Wedgewood Pharm-PM-Yr2-2025'!$E$4:$L$4,
        _xlfn.XLOOKUP('Rate Load'!L212, 'Wedgewood Pharm-PM-Yr2-2025'!$D$5:$D$31,
            'Wedgewood Pharm-PM-Yr2-2025'!$E$5:$L$31, 0, 0),
        0, 0)
)</f>
        <v>12.86</v>
      </c>
      <c r="K212" t="s">
        <v>46</v>
      </c>
      <c r="L212" t="s">
        <v>13</v>
      </c>
      <c r="M212">
        <v>1</v>
      </c>
      <c r="N212" t="str">
        <f t="shared" si="3"/>
        <v>INSERT INTO TNL_RATING.dbo.usps_rate_master VALUES ('USPS', '2/13/2025', '2/13/2026', 12659, 'US', 'Priority Mail', 1, 18, 'L', 12.86, 'Wedgewood_USPS_2025', 'NonCubic','1');</v>
      </c>
    </row>
    <row r="213" spans="1:14" x14ac:dyDescent="0.3">
      <c r="A213" t="s">
        <v>11</v>
      </c>
      <c r="B213" s="1" t="s">
        <v>43</v>
      </c>
      <c r="C213" s="1" t="s">
        <v>44</v>
      </c>
      <c r="D213">
        <v>12659</v>
      </c>
      <c r="E213" t="s">
        <v>12</v>
      </c>
      <c r="F213" t="s">
        <v>47</v>
      </c>
      <c r="G213">
        <v>1</v>
      </c>
      <c r="H213">
        <v>19</v>
      </c>
      <c r="I213" t="s">
        <v>45</v>
      </c>
      <c r="J213" cm="1">
        <f t="array" ref="J213">IFERROR(
    _xlfn.XLOOKUP(G213, 'Wedgewood Pharm-PM-Yr2-2025'!$E$4:$L$4,
        _xlfn.XLOOKUP('Rate Load'!H213, 'Wedgewood Pharm-PM-Yr2-2025'!$D$5:$D$31,
            'Wedgewood Pharm-PM-Yr2-2025'!$E$5:$L$31, 0, 0),
        0, 0),
    _xlfn.XLOOKUP(G213, 'Wedgewood Pharm-PM-Yr2-2025'!$E$4:$L$4,
        _xlfn.XLOOKUP('Rate Load'!L213, 'Wedgewood Pharm-PM-Yr2-2025'!$D$5:$D$31,
            'Wedgewood Pharm-PM-Yr2-2025'!$E$5:$L$31, 0, 0),
        0, 0)
)</f>
        <v>13.22</v>
      </c>
      <c r="K213" t="s">
        <v>46</v>
      </c>
      <c r="L213" t="s">
        <v>13</v>
      </c>
      <c r="M213">
        <v>1</v>
      </c>
      <c r="N213" t="str">
        <f t="shared" si="3"/>
        <v>INSERT INTO TNL_RATING.dbo.usps_rate_master VALUES ('USPS', '2/13/2025', '2/13/2026', 12659, 'US', 'Priority Mail', 1, 19, 'L', 13.22, 'Wedgewood_USPS_2025', 'NonCubic','1');</v>
      </c>
    </row>
    <row r="214" spans="1:14" x14ac:dyDescent="0.3">
      <c r="A214" t="s">
        <v>11</v>
      </c>
      <c r="B214" s="1" t="s">
        <v>43</v>
      </c>
      <c r="C214" s="1" t="s">
        <v>44</v>
      </c>
      <c r="D214">
        <v>12659</v>
      </c>
      <c r="E214" t="s">
        <v>12</v>
      </c>
      <c r="F214" t="s">
        <v>47</v>
      </c>
      <c r="G214">
        <v>1</v>
      </c>
      <c r="H214">
        <v>20</v>
      </c>
      <c r="I214" t="s">
        <v>45</v>
      </c>
      <c r="J214" cm="1">
        <f t="array" ref="J214">IFERROR(
    _xlfn.XLOOKUP(G214, 'Wedgewood Pharm-PM-Yr2-2025'!$E$4:$L$4,
        _xlfn.XLOOKUP('Rate Load'!H214, 'Wedgewood Pharm-PM-Yr2-2025'!$D$5:$D$31,
            'Wedgewood Pharm-PM-Yr2-2025'!$E$5:$L$31, 0, 0),
        0, 0),
    _xlfn.XLOOKUP(G214, 'Wedgewood Pharm-PM-Yr2-2025'!$E$4:$L$4,
        _xlfn.XLOOKUP('Rate Load'!L214, 'Wedgewood Pharm-PM-Yr2-2025'!$D$5:$D$31,
            'Wedgewood Pharm-PM-Yr2-2025'!$E$5:$L$31, 0, 0),
        0, 0)
)</f>
        <v>13.56</v>
      </c>
      <c r="K214" t="s">
        <v>46</v>
      </c>
      <c r="L214" t="s">
        <v>13</v>
      </c>
      <c r="M214">
        <v>1</v>
      </c>
      <c r="N214" t="str">
        <f t="shared" si="3"/>
        <v>INSERT INTO TNL_RATING.dbo.usps_rate_master VALUES ('USPS', '2/13/2025', '2/13/2026', 12659, 'US', 'Priority Mail', 1, 20, 'L', 13.56, 'Wedgewood_USPS_2025', 'NonCubic','1');</v>
      </c>
    </row>
    <row r="215" spans="1:14" x14ac:dyDescent="0.3">
      <c r="A215" t="s">
        <v>11</v>
      </c>
      <c r="B215" s="1" t="s">
        <v>43</v>
      </c>
      <c r="C215" s="1" t="s">
        <v>44</v>
      </c>
      <c r="D215">
        <v>12659</v>
      </c>
      <c r="E215" t="s">
        <v>12</v>
      </c>
      <c r="F215" t="s">
        <v>47</v>
      </c>
      <c r="G215">
        <v>2</v>
      </c>
      <c r="H215">
        <v>0.5</v>
      </c>
      <c r="I215" t="s">
        <v>45</v>
      </c>
      <c r="J215" cm="1">
        <f t="array" ref="J215">IFERROR(
    _xlfn.XLOOKUP(G215, 'Wedgewood Pharm-PM-Yr2-2025'!$E$4:$L$4,
        _xlfn.XLOOKUP('Rate Load'!H215, 'Wedgewood Pharm-PM-Yr2-2025'!$D$5:$D$31,
            'Wedgewood Pharm-PM-Yr2-2025'!$E$5:$L$31, 0, 0),
        0, 0),
    _xlfn.XLOOKUP(G215, 'Wedgewood Pharm-PM-Yr2-2025'!$E$4:$L$4,
        _xlfn.XLOOKUP('Rate Load'!L215, 'Wedgewood Pharm-PM-Yr2-2025'!$D$5:$D$31,
            'Wedgewood Pharm-PM-Yr2-2025'!$E$5:$L$31, 0, 0),
        0, 0)
)</f>
        <v>6.97</v>
      </c>
      <c r="K215" t="s">
        <v>46</v>
      </c>
      <c r="L215" t="s">
        <v>13</v>
      </c>
      <c r="M215">
        <v>1</v>
      </c>
      <c r="N215" t="str">
        <f t="shared" si="3"/>
        <v>INSERT INTO TNL_RATING.dbo.usps_rate_master VALUES ('USPS', '2/13/2025', '2/13/2026', 12659, 'US', 'Priority Mail', 2, 0.5, 'L', 6.97, 'Wedgewood_USPS_2025', 'NonCubic','1');</v>
      </c>
    </row>
    <row r="216" spans="1:14" x14ac:dyDescent="0.3">
      <c r="A216" t="s">
        <v>11</v>
      </c>
      <c r="B216" s="1" t="s">
        <v>43</v>
      </c>
      <c r="C216" s="1" t="s">
        <v>44</v>
      </c>
      <c r="D216">
        <v>12659</v>
      </c>
      <c r="E216" t="s">
        <v>12</v>
      </c>
      <c r="F216" t="s">
        <v>47</v>
      </c>
      <c r="G216">
        <v>2</v>
      </c>
      <c r="H216">
        <v>1</v>
      </c>
      <c r="I216" t="s">
        <v>45</v>
      </c>
      <c r="J216" cm="1">
        <f t="array" ref="J216">IFERROR(
    _xlfn.XLOOKUP(G216, 'Wedgewood Pharm-PM-Yr2-2025'!$E$4:$L$4,
        _xlfn.XLOOKUP('Rate Load'!H216, 'Wedgewood Pharm-PM-Yr2-2025'!$D$5:$D$31,
            'Wedgewood Pharm-PM-Yr2-2025'!$E$5:$L$31, 0, 0),
        0, 0),
    _xlfn.XLOOKUP(G216, 'Wedgewood Pharm-PM-Yr2-2025'!$E$4:$L$4,
        _xlfn.XLOOKUP('Rate Load'!L216, 'Wedgewood Pharm-PM-Yr2-2025'!$D$5:$D$31,
            'Wedgewood Pharm-PM-Yr2-2025'!$E$5:$L$31, 0, 0),
        0, 0)
)</f>
        <v>6.97</v>
      </c>
      <c r="K216" t="s">
        <v>46</v>
      </c>
      <c r="L216" t="s">
        <v>13</v>
      </c>
      <c r="M216">
        <v>1</v>
      </c>
      <c r="N216" t="str">
        <f t="shared" si="3"/>
        <v>INSERT INTO TNL_RATING.dbo.usps_rate_master VALUES ('USPS', '2/13/2025', '2/13/2026', 12659, 'US', 'Priority Mail', 2, 1, 'L', 6.97, 'Wedgewood_USPS_2025', 'NonCubic','1');</v>
      </c>
    </row>
    <row r="217" spans="1:14" x14ac:dyDescent="0.3">
      <c r="A217" t="s">
        <v>11</v>
      </c>
      <c r="B217" s="1" t="s">
        <v>43</v>
      </c>
      <c r="C217" s="1" t="s">
        <v>44</v>
      </c>
      <c r="D217">
        <v>12659</v>
      </c>
      <c r="E217" t="s">
        <v>12</v>
      </c>
      <c r="F217" t="s">
        <v>47</v>
      </c>
      <c r="G217">
        <v>2</v>
      </c>
      <c r="H217">
        <v>2</v>
      </c>
      <c r="I217" t="s">
        <v>45</v>
      </c>
      <c r="J217" cm="1">
        <f t="array" ref="J217">IFERROR(
    _xlfn.XLOOKUP(G217, 'Wedgewood Pharm-PM-Yr2-2025'!$E$4:$L$4,
        _xlfn.XLOOKUP('Rate Load'!H217, 'Wedgewood Pharm-PM-Yr2-2025'!$D$5:$D$31,
            'Wedgewood Pharm-PM-Yr2-2025'!$E$5:$L$31, 0, 0),
        0, 0),
    _xlfn.XLOOKUP(G217, 'Wedgewood Pharm-PM-Yr2-2025'!$E$4:$L$4,
        _xlfn.XLOOKUP('Rate Load'!L217, 'Wedgewood Pharm-PM-Yr2-2025'!$D$5:$D$31,
            'Wedgewood Pharm-PM-Yr2-2025'!$E$5:$L$31, 0, 0),
        0, 0)
)</f>
        <v>6.97</v>
      </c>
      <c r="K217" t="s">
        <v>46</v>
      </c>
      <c r="L217" t="s">
        <v>13</v>
      </c>
      <c r="M217">
        <v>1</v>
      </c>
      <c r="N217" t="str">
        <f t="shared" si="3"/>
        <v>INSERT INTO TNL_RATING.dbo.usps_rate_master VALUES ('USPS', '2/13/2025', '2/13/2026', 12659, 'US', 'Priority Mail', 2, 2, 'L', 6.97, 'Wedgewood_USPS_2025', 'NonCubic','1');</v>
      </c>
    </row>
    <row r="218" spans="1:14" x14ac:dyDescent="0.3">
      <c r="A218" t="s">
        <v>11</v>
      </c>
      <c r="B218" s="1" t="s">
        <v>43</v>
      </c>
      <c r="C218" s="1" t="s">
        <v>44</v>
      </c>
      <c r="D218">
        <v>12659</v>
      </c>
      <c r="E218" t="s">
        <v>12</v>
      </c>
      <c r="F218" t="s">
        <v>47</v>
      </c>
      <c r="G218">
        <v>2</v>
      </c>
      <c r="H218">
        <v>3</v>
      </c>
      <c r="I218" t="s">
        <v>45</v>
      </c>
      <c r="J218" cm="1">
        <f t="array" ref="J218">IFERROR(
    _xlfn.XLOOKUP(G218, 'Wedgewood Pharm-PM-Yr2-2025'!$E$4:$L$4,
        _xlfn.XLOOKUP('Rate Load'!H218, 'Wedgewood Pharm-PM-Yr2-2025'!$D$5:$D$31,
            'Wedgewood Pharm-PM-Yr2-2025'!$E$5:$L$31, 0, 0),
        0, 0),
    _xlfn.XLOOKUP(G218, 'Wedgewood Pharm-PM-Yr2-2025'!$E$4:$L$4,
        _xlfn.XLOOKUP('Rate Load'!L218, 'Wedgewood Pharm-PM-Yr2-2025'!$D$5:$D$31,
            'Wedgewood Pharm-PM-Yr2-2025'!$E$5:$L$31, 0, 0),
        0, 0)
)</f>
        <v>7.1499999999999995</v>
      </c>
      <c r="K218" t="s">
        <v>46</v>
      </c>
      <c r="L218" t="s">
        <v>13</v>
      </c>
      <c r="M218">
        <v>1</v>
      </c>
      <c r="N218" t="str">
        <f t="shared" si="3"/>
        <v>INSERT INTO TNL_RATING.dbo.usps_rate_master VALUES ('USPS', '2/13/2025', '2/13/2026', 12659, 'US', 'Priority Mail', 2, 3, 'L', 7.15, 'Wedgewood_USPS_2025', 'NonCubic','1');</v>
      </c>
    </row>
    <row r="219" spans="1:14" x14ac:dyDescent="0.3">
      <c r="A219" t="s">
        <v>11</v>
      </c>
      <c r="B219" s="1" t="s">
        <v>43</v>
      </c>
      <c r="C219" s="1" t="s">
        <v>44</v>
      </c>
      <c r="D219">
        <v>12659</v>
      </c>
      <c r="E219" t="s">
        <v>12</v>
      </c>
      <c r="F219" t="s">
        <v>47</v>
      </c>
      <c r="G219">
        <v>2</v>
      </c>
      <c r="H219">
        <v>4</v>
      </c>
      <c r="I219" t="s">
        <v>45</v>
      </c>
      <c r="J219" cm="1">
        <f t="array" ref="J219">IFERROR(
    _xlfn.XLOOKUP(G219, 'Wedgewood Pharm-PM-Yr2-2025'!$E$4:$L$4,
        _xlfn.XLOOKUP('Rate Load'!H219, 'Wedgewood Pharm-PM-Yr2-2025'!$D$5:$D$31,
            'Wedgewood Pharm-PM-Yr2-2025'!$E$5:$L$31, 0, 0),
        0, 0),
    _xlfn.XLOOKUP(G219, 'Wedgewood Pharm-PM-Yr2-2025'!$E$4:$L$4,
        _xlfn.XLOOKUP('Rate Load'!L219, 'Wedgewood Pharm-PM-Yr2-2025'!$D$5:$D$31,
            'Wedgewood Pharm-PM-Yr2-2025'!$E$5:$L$31, 0, 0),
        0, 0)
)</f>
        <v>7.33</v>
      </c>
      <c r="K219" t="s">
        <v>46</v>
      </c>
      <c r="L219" t="s">
        <v>13</v>
      </c>
      <c r="M219">
        <v>1</v>
      </c>
      <c r="N219" t="str">
        <f t="shared" si="3"/>
        <v>INSERT INTO TNL_RATING.dbo.usps_rate_master VALUES ('USPS', '2/13/2025', '2/13/2026', 12659, 'US', 'Priority Mail', 2, 4, 'L', 7.33, 'Wedgewood_USPS_2025', 'NonCubic','1');</v>
      </c>
    </row>
    <row r="220" spans="1:14" x14ac:dyDescent="0.3">
      <c r="A220" t="s">
        <v>11</v>
      </c>
      <c r="B220" s="1" t="s">
        <v>43</v>
      </c>
      <c r="C220" s="1" t="s">
        <v>44</v>
      </c>
      <c r="D220">
        <v>12659</v>
      </c>
      <c r="E220" t="s">
        <v>12</v>
      </c>
      <c r="F220" t="s">
        <v>47</v>
      </c>
      <c r="G220">
        <v>2</v>
      </c>
      <c r="H220">
        <v>5</v>
      </c>
      <c r="I220" t="s">
        <v>45</v>
      </c>
      <c r="J220" cm="1">
        <f t="array" ref="J220">IFERROR(
    _xlfn.XLOOKUP(G220, 'Wedgewood Pharm-PM-Yr2-2025'!$E$4:$L$4,
        _xlfn.XLOOKUP('Rate Load'!H220, 'Wedgewood Pharm-PM-Yr2-2025'!$D$5:$D$31,
            'Wedgewood Pharm-PM-Yr2-2025'!$E$5:$L$31, 0, 0),
        0, 0),
    _xlfn.XLOOKUP(G220, 'Wedgewood Pharm-PM-Yr2-2025'!$E$4:$L$4,
        _xlfn.XLOOKUP('Rate Load'!L220, 'Wedgewood Pharm-PM-Yr2-2025'!$D$5:$D$31,
            'Wedgewood Pharm-PM-Yr2-2025'!$E$5:$L$31, 0, 0),
        0, 0)
)</f>
        <v>7.37</v>
      </c>
      <c r="K220" t="s">
        <v>46</v>
      </c>
      <c r="L220" t="s">
        <v>13</v>
      </c>
      <c r="M220">
        <v>1</v>
      </c>
      <c r="N220" t="str">
        <f t="shared" si="3"/>
        <v>INSERT INTO TNL_RATING.dbo.usps_rate_master VALUES ('USPS', '2/13/2025', '2/13/2026', 12659, 'US', 'Priority Mail', 2, 5, 'L', 7.37, 'Wedgewood_USPS_2025', 'NonCubic','1');</v>
      </c>
    </row>
    <row r="221" spans="1:14" x14ac:dyDescent="0.3">
      <c r="A221" t="s">
        <v>11</v>
      </c>
      <c r="B221" s="1" t="s">
        <v>43</v>
      </c>
      <c r="C221" s="1" t="s">
        <v>44</v>
      </c>
      <c r="D221">
        <v>12659</v>
      </c>
      <c r="E221" t="s">
        <v>12</v>
      </c>
      <c r="F221" t="s">
        <v>47</v>
      </c>
      <c r="G221">
        <v>2</v>
      </c>
      <c r="H221">
        <v>6</v>
      </c>
      <c r="I221" t="s">
        <v>45</v>
      </c>
      <c r="J221" cm="1">
        <f t="array" ref="J221">IFERROR(
    _xlfn.XLOOKUP(G221, 'Wedgewood Pharm-PM-Yr2-2025'!$E$4:$L$4,
        _xlfn.XLOOKUP('Rate Load'!H221, 'Wedgewood Pharm-PM-Yr2-2025'!$D$5:$D$31,
            'Wedgewood Pharm-PM-Yr2-2025'!$E$5:$L$31, 0, 0),
        0, 0),
    _xlfn.XLOOKUP(G221, 'Wedgewood Pharm-PM-Yr2-2025'!$E$4:$L$4,
        _xlfn.XLOOKUP('Rate Load'!L221, 'Wedgewood Pharm-PM-Yr2-2025'!$D$5:$D$31,
            'Wedgewood Pharm-PM-Yr2-2025'!$E$5:$L$31, 0, 0),
        0, 0)
)</f>
        <v>7.84</v>
      </c>
      <c r="K221" t="s">
        <v>46</v>
      </c>
      <c r="L221" t="s">
        <v>13</v>
      </c>
      <c r="M221">
        <v>1</v>
      </c>
      <c r="N221" t="str">
        <f t="shared" si="3"/>
        <v>INSERT INTO TNL_RATING.dbo.usps_rate_master VALUES ('USPS', '2/13/2025', '2/13/2026', 12659, 'US', 'Priority Mail', 2, 6, 'L', 7.84, 'Wedgewood_USPS_2025', 'NonCubic','1');</v>
      </c>
    </row>
    <row r="222" spans="1:14" x14ac:dyDescent="0.3">
      <c r="A222" t="s">
        <v>11</v>
      </c>
      <c r="B222" s="1" t="s">
        <v>43</v>
      </c>
      <c r="C222" s="1" t="s">
        <v>44</v>
      </c>
      <c r="D222">
        <v>12659</v>
      </c>
      <c r="E222" t="s">
        <v>12</v>
      </c>
      <c r="F222" t="s">
        <v>47</v>
      </c>
      <c r="G222">
        <v>2</v>
      </c>
      <c r="H222">
        <v>7</v>
      </c>
      <c r="I222" t="s">
        <v>45</v>
      </c>
      <c r="J222" cm="1">
        <f t="array" ref="J222">IFERROR(
    _xlfn.XLOOKUP(G222, 'Wedgewood Pharm-PM-Yr2-2025'!$E$4:$L$4,
        _xlfn.XLOOKUP('Rate Load'!H222, 'Wedgewood Pharm-PM-Yr2-2025'!$D$5:$D$31,
            'Wedgewood Pharm-PM-Yr2-2025'!$E$5:$L$31, 0, 0),
        0, 0),
    _xlfn.XLOOKUP(G222, 'Wedgewood Pharm-PM-Yr2-2025'!$E$4:$L$4,
        _xlfn.XLOOKUP('Rate Load'!L222, 'Wedgewood Pharm-PM-Yr2-2025'!$D$5:$D$31,
            'Wedgewood Pharm-PM-Yr2-2025'!$E$5:$L$31, 0, 0),
        0, 0)
)</f>
        <v>8.5399999999999991</v>
      </c>
      <c r="K222" t="s">
        <v>46</v>
      </c>
      <c r="L222" t="s">
        <v>13</v>
      </c>
      <c r="M222">
        <v>1</v>
      </c>
      <c r="N222" t="str">
        <f t="shared" si="3"/>
        <v>INSERT INTO TNL_RATING.dbo.usps_rate_master VALUES ('USPS', '2/13/2025', '2/13/2026', 12659, 'US', 'Priority Mail', 2, 7, 'L', 8.54, 'Wedgewood_USPS_2025', 'NonCubic','1');</v>
      </c>
    </row>
    <row r="223" spans="1:14" x14ac:dyDescent="0.3">
      <c r="A223" t="s">
        <v>11</v>
      </c>
      <c r="B223" s="1" t="s">
        <v>43</v>
      </c>
      <c r="C223" s="1" t="s">
        <v>44</v>
      </c>
      <c r="D223">
        <v>12659</v>
      </c>
      <c r="E223" t="s">
        <v>12</v>
      </c>
      <c r="F223" t="s">
        <v>47</v>
      </c>
      <c r="G223">
        <v>2</v>
      </c>
      <c r="H223">
        <v>8</v>
      </c>
      <c r="I223" t="s">
        <v>45</v>
      </c>
      <c r="J223" cm="1">
        <f t="array" ref="J223">IFERROR(
    _xlfn.XLOOKUP(G223, 'Wedgewood Pharm-PM-Yr2-2025'!$E$4:$L$4,
        _xlfn.XLOOKUP('Rate Load'!H223, 'Wedgewood Pharm-PM-Yr2-2025'!$D$5:$D$31,
            'Wedgewood Pharm-PM-Yr2-2025'!$E$5:$L$31, 0, 0),
        0, 0),
    _xlfn.XLOOKUP(G223, 'Wedgewood Pharm-PM-Yr2-2025'!$E$4:$L$4,
        _xlfn.XLOOKUP('Rate Load'!L223, 'Wedgewood Pharm-PM-Yr2-2025'!$D$5:$D$31,
            'Wedgewood Pharm-PM-Yr2-2025'!$E$5:$L$31, 0, 0),
        0, 0)
)</f>
        <v>8.75</v>
      </c>
      <c r="K223" t="s">
        <v>46</v>
      </c>
      <c r="L223" t="s">
        <v>13</v>
      </c>
      <c r="M223">
        <v>1</v>
      </c>
      <c r="N223" t="str">
        <f t="shared" si="3"/>
        <v>INSERT INTO TNL_RATING.dbo.usps_rate_master VALUES ('USPS', '2/13/2025', '2/13/2026', 12659, 'US', 'Priority Mail', 2, 8, 'L', 8.75, 'Wedgewood_USPS_2025', 'NonCubic','1');</v>
      </c>
    </row>
    <row r="224" spans="1:14" x14ac:dyDescent="0.3">
      <c r="A224" t="s">
        <v>11</v>
      </c>
      <c r="B224" s="1" t="s">
        <v>43</v>
      </c>
      <c r="C224" s="1" t="s">
        <v>44</v>
      </c>
      <c r="D224">
        <v>12659</v>
      </c>
      <c r="E224" t="s">
        <v>12</v>
      </c>
      <c r="F224" t="s">
        <v>47</v>
      </c>
      <c r="G224">
        <v>2</v>
      </c>
      <c r="H224">
        <v>9</v>
      </c>
      <c r="I224" t="s">
        <v>45</v>
      </c>
      <c r="J224" cm="1">
        <f t="array" ref="J224">IFERROR(
    _xlfn.XLOOKUP(G224, 'Wedgewood Pharm-PM-Yr2-2025'!$E$4:$L$4,
        _xlfn.XLOOKUP('Rate Load'!H224, 'Wedgewood Pharm-PM-Yr2-2025'!$D$5:$D$31,
            'Wedgewood Pharm-PM-Yr2-2025'!$E$5:$L$31, 0, 0),
        0, 0),
    _xlfn.XLOOKUP(G224, 'Wedgewood Pharm-PM-Yr2-2025'!$E$4:$L$4,
        _xlfn.XLOOKUP('Rate Load'!L224, 'Wedgewood Pharm-PM-Yr2-2025'!$D$5:$D$31,
            'Wedgewood Pharm-PM-Yr2-2025'!$E$5:$L$31, 0, 0),
        0, 0)
)</f>
        <v>9.32</v>
      </c>
      <c r="K224" t="s">
        <v>46</v>
      </c>
      <c r="L224" t="s">
        <v>13</v>
      </c>
      <c r="M224">
        <v>1</v>
      </c>
      <c r="N224" t="str">
        <f t="shared" si="3"/>
        <v>INSERT INTO TNL_RATING.dbo.usps_rate_master VALUES ('USPS', '2/13/2025', '2/13/2026', 12659, 'US', 'Priority Mail', 2, 9, 'L', 9.32, 'Wedgewood_USPS_2025', 'NonCubic','1');</v>
      </c>
    </row>
    <row r="225" spans="1:14" x14ac:dyDescent="0.3">
      <c r="A225" t="s">
        <v>11</v>
      </c>
      <c r="B225" s="1" t="s">
        <v>43</v>
      </c>
      <c r="C225" s="1" t="s">
        <v>44</v>
      </c>
      <c r="D225">
        <v>12659</v>
      </c>
      <c r="E225" t="s">
        <v>12</v>
      </c>
      <c r="F225" t="s">
        <v>47</v>
      </c>
      <c r="G225">
        <v>2</v>
      </c>
      <c r="H225">
        <v>10</v>
      </c>
      <c r="I225" t="s">
        <v>45</v>
      </c>
      <c r="J225" cm="1">
        <f t="array" ref="J225">IFERROR(
    _xlfn.XLOOKUP(G225, 'Wedgewood Pharm-PM-Yr2-2025'!$E$4:$L$4,
        _xlfn.XLOOKUP('Rate Load'!H225, 'Wedgewood Pharm-PM-Yr2-2025'!$D$5:$D$31,
            'Wedgewood Pharm-PM-Yr2-2025'!$E$5:$L$31, 0, 0),
        0, 0),
    _xlfn.XLOOKUP(G225, 'Wedgewood Pharm-PM-Yr2-2025'!$E$4:$L$4,
        _xlfn.XLOOKUP('Rate Load'!L225, 'Wedgewood Pharm-PM-Yr2-2025'!$D$5:$D$31,
            'Wedgewood Pharm-PM-Yr2-2025'!$E$5:$L$31, 0, 0),
        0, 0)
)</f>
        <v>9.81</v>
      </c>
      <c r="K225" t="s">
        <v>46</v>
      </c>
      <c r="L225" t="s">
        <v>13</v>
      </c>
      <c r="M225">
        <v>1</v>
      </c>
      <c r="N225" t="str">
        <f t="shared" si="3"/>
        <v>INSERT INTO TNL_RATING.dbo.usps_rate_master VALUES ('USPS', '2/13/2025', '2/13/2026', 12659, 'US', 'Priority Mail', 2, 10, 'L', 9.81, 'Wedgewood_USPS_2025', 'NonCubic','1');</v>
      </c>
    </row>
    <row r="226" spans="1:14" x14ac:dyDescent="0.3">
      <c r="A226" t="s">
        <v>11</v>
      </c>
      <c r="B226" s="1" t="s">
        <v>43</v>
      </c>
      <c r="C226" s="1" t="s">
        <v>44</v>
      </c>
      <c r="D226">
        <v>12659</v>
      </c>
      <c r="E226" t="s">
        <v>12</v>
      </c>
      <c r="F226" t="s">
        <v>47</v>
      </c>
      <c r="G226">
        <v>2</v>
      </c>
      <c r="H226">
        <v>11</v>
      </c>
      <c r="I226" t="s">
        <v>45</v>
      </c>
      <c r="J226" cm="1">
        <f t="array" ref="J226">IFERROR(
    _xlfn.XLOOKUP(G226, 'Wedgewood Pharm-PM-Yr2-2025'!$E$4:$L$4,
        _xlfn.XLOOKUP('Rate Load'!H226, 'Wedgewood Pharm-PM-Yr2-2025'!$D$5:$D$31,
            'Wedgewood Pharm-PM-Yr2-2025'!$E$5:$L$31, 0, 0),
        0, 0),
    _xlfn.XLOOKUP(G226, 'Wedgewood Pharm-PM-Yr2-2025'!$E$4:$L$4,
        _xlfn.XLOOKUP('Rate Load'!L226, 'Wedgewood Pharm-PM-Yr2-2025'!$D$5:$D$31,
            'Wedgewood Pharm-PM-Yr2-2025'!$E$5:$L$31, 0, 0),
        0, 0)
)</f>
        <v>10.92</v>
      </c>
      <c r="K226" t="s">
        <v>46</v>
      </c>
      <c r="L226" t="s">
        <v>13</v>
      </c>
      <c r="M226">
        <v>1</v>
      </c>
      <c r="N226" t="str">
        <f t="shared" si="3"/>
        <v>INSERT INTO TNL_RATING.dbo.usps_rate_master VALUES ('USPS', '2/13/2025', '2/13/2026', 12659, 'US', 'Priority Mail', 2, 11, 'L', 10.92, 'Wedgewood_USPS_2025', 'NonCubic','1');</v>
      </c>
    </row>
    <row r="227" spans="1:14" x14ac:dyDescent="0.3">
      <c r="A227" t="s">
        <v>11</v>
      </c>
      <c r="B227" s="1" t="s">
        <v>43</v>
      </c>
      <c r="C227" s="1" t="s">
        <v>44</v>
      </c>
      <c r="D227">
        <v>12659</v>
      </c>
      <c r="E227" t="s">
        <v>12</v>
      </c>
      <c r="F227" t="s">
        <v>47</v>
      </c>
      <c r="G227">
        <v>2</v>
      </c>
      <c r="H227">
        <v>12</v>
      </c>
      <c r="I227" t="s">
        <v>45</v>
      </c>
      <c r="J227" cm="1">
        <f t="array" ref="J227">IFERROR(
    _xlfn.XLOOKUP(G227, 'Wedgewood Pharm-PM-Yr2-2025'!$E$4:$L$4,
        _xlfn.XLOOKUP('Rate Load'!H227, 'Wedgewood Pharm-PM-Yr2-2025'!$D$5:$D$31,
            'Wedgewood Pharm-PM-Yr2-2025'!$E$5:$L$31, 0, 0),
        0, 0),
    _xlfn.XLOOKUP(G227, 'Wedgewood Pharm-PM-Yr2-2025'!$E$4:$L$4,
        _xlfn.XLOOKUP('Rate Load'!L227, 'Wedgewood Pharm-PM-Yr2-2025'!$D$5:$D$31,
            'Wedgewood Pharm-PM-Yr2-2025'!$E$5:$L$31, 0, 0),
        0, 0)
)</f>
        <v>11.33</v>
      </c>
      <c r="K227" t="s">
        <v>46</v>
      </c>
      <c r="L227" t="s">
        <v>13</v>
      </c>
      <c r="M227">
        <v>1</v>
      </c>
      <c r="N227" t="str">
        <f t="shared" si="3"/>
        <v>INSERT INTO TNL_RATING.dbo.usps_rate_master VALUES ('USPS', '2/13/2025', '2/13/2026', 12659, 'US', 'Priority Mail', 2, 12, 'L', 11.33, 'Wedgewood_USPS_2025', 'NonCubic','1');</v>
      </c>
    </row>
    <row r="228" spans="1:14" x14ac:dyDescent="0.3">
      <c r="A228" t="s">
        <v>11</v>
      </c>
      <c r="B228" s="1" t="s">
        <v>43</v>
      </c>
      <c r="C228" s="1" t="s">
        <v>44</v>
      </c>
      <c r="D228">
        <v>12659</v>
      </c>
      <c r="E228" t="s">
        <v>12</v>
      </c>
      <c r="F228" t="s">
        <v>47</v>
      </c>
      <c r="G228">
        <v>2</v>
      </c>
      <c r="H228">
        <v>13</v>
      </c>
      <c r="I228" t="s">
        <v>45</v>
      </c>
      <c r="J228" cm="1">
        <f t="array" ref="J228">IFERROR(
    _xlfn.XLOOKUP(G228, 'Wedgewood Pharm-PM-Yr2-2025'!$E$4:$L$4,
        _xlfn.XLOOKUP('Rate Load'!H228, 'Wedgewood Pharm-PM-Yr2-2025'!$D$5:$D$31,
            'Wedgewood Pharm-PM-Yr2-2025'!$E$5:$L$31, 0, 0),
        0, 0),
    _xlfn.XLOOKUP(G228, 'Wedgewood Pharm-PM-Yr2-2025'!$E$4:$L$4,
        _xlfn.XLOOKUP('Rate Load'!L228, 'Wedgewood Pharm-PM-Yr2-2025'!$D$5:$D$31,
            'Wedgewood Pharm-PM-Yr2-2025'!$E$5:$L$31, 0, 0),
        0, 0)
)</f>
        <v>11.77</v>
      </c>
      <c r="K228" t="s">
        <v>46</v>
      </c>
      <c r="L228" t="s">
        <v>13</v>
      </c>
      <c r="M228">
        <v>1</v>
      </c>
      <c r="N228" t="str">
        <f t="shared" si="3"/>
        <v>INSERT INTO TNL_RATING.dbo.usps_rate_master VALUES ('USPS', '2/13/2025', '2/13/2026', 12659, 'US', 'Priority Mail', 2, 13, 'L', 11.77, 'Wedgewood_USPS_2025', 'NonCubic','1');</v>
      </c>
    </row>
    <row r="229" spans="1:14" x14ac:dyDescent="0.3">
      <c r="A229" t="s">
        <v>11</v>
      </c>
      <c r="B229" s="1" t="s">
        <v>43</v>
      </c>
      <c r="C229" s="1" t="s">
        <v>44</v>
      </c>
      <c r="D229">
        <v>12659</v>
      </c>
      <c r="E229" t="s">
        <v>12</v>
      </c>
      <c r="F229" t="s">
        <v>47</v>
      </c>
      <c r="G229">
        <v>2</v>
      </c>
      <c r="H229">
        <v>14</v>
      </c>
      <c r="I229" t="s">
        <v>45</v>
      </c>
      <c r="J229" cm="1">
        <f t="array" ref="J229">IFERROR(
    _xlfn.XLOOKUP(G229, 'Wedgewood Pharm-PM-Yr2-2025'!$E$4:$L$4,
        _xlfn.XLOOKUP('Rate Load'!H229, 'Wedgewood Pharm-PM-Yr2-2025'!$D$5:$D$31,
            'Wedgewood Pharm-PM-Yr2-2025'!$E$5:$L$31, 0, 0),
        0, 0),
    _xlfn.XLOOKUP(G229, 'Wedgewood Pharm-PM-Yr2-2025'!$E$4:$L$4,
        _xlfn.XLOOKUP('Rate Load'!L229, 'Wedgewood Pharm-PM-Yr2-2025'!$D$5:$D$31,
            'Wedgewood Pharm-PM-Yr2-2025'!$E$5:$L$31, 0, 0),
        0, 0)
)</f>
        <v>12.24</v>
      </c>
      <c r="K229" t="s">
        <v>46</v>
      </c>
      <c r="L229" t="s">
        <v>13</v>
      </c>
      <c r="M229">
        <v>1</v>
      </c>
      <c r="N229" t="str">
        <f t="shared" si="3"/>
        <v>INSERT INTO TNL_RATING.dbo.usps_rate_master VALUES ('USPS', '2/13/2025', '2/13/2026', 12659, 'US', 'Priority Mail', 2, 14, 'L', 12.24, 'Wedgewood_USPS_2025', 'NonCubic','1');</v>
      </c>
    </row>
    <row r="230" spans="1:14" x14ac:dyDescent="0.3">
      <c r="A230" t="s">
        <v>11</v>
      </c>
      <c r="B230" s="1" t="s">
        <v>43</v>
      </c>
      <c r="C230" s="1" t="s">
        <v>44</v>
      </c>
      <c r="D230">
        <v>12659</v>
      </c>
      <c r="E230" t="s">
        <v>12</v>
      </c>
      <c r="F230" t="s">
        <v>47</v>
      </c>
      <c r="G230">
        <v>2</v>
      </c>
      <c r="H230">
        <v>15</v>
      </c>
      <c r="I230" t="s">
        <v>45</v>
      </c>
      <c r="J230" cm="1">
        <f t="array" ref="J230">IFERROR(
    _xlfn.XLOOKUP(G230, 'Wedgewood Pharm-PM-Yr2-2025'!$E$4:$L$4,
        _xlfn.XLOOKUP('Rate Load'!H230, 'Wedgewood Pharm-PM-Yr2-2025'!$D$5:$D$31,
            'Wedgewood Pharm-PM-Yr2-2025'!$E$5:$L$31, 0, 0),
        0, 0),
    _xlfn.XLOOKUP(G230, 'Wedgewood Pharm-PM-Yr2-2025'!$E$4:$L$4,
        _xlfn.XLOOKUP('Rate Load'!L230, 'Wedgewood Pharm-PM-Yr2-2025'!$D$5:$D$31,
            'Wedgewood Pharm-PM-Yr2-2025'!$E$5:$L$31, 0, 0),
        0, 0)
)</f>
        <v>12.62</v>
      </c>
      <c r="K230" t="s">
        <v>46</v>
      </c>
      <c r="L230" t="s">
        <v>13</v>
      </c>
      <c r="M230">
        <v>1</v>
      </c>
      <c r="N230" t="str">
        <f t="shared" si="3"/>
        <v>INSERT INTO TNL_RATING.dbo.usps_rate_master VALUES ('USPS', '2/13/2025', '2/13/2026', 12659, 'US', 'Priority Mail', 2, 15, 'L', 12.62, 'Wedgewood_USPS_2025', 'NonCubic','1');</v>
      </c>
    </row>
    <row r="231" spans="1:14" x14ac:dyDescent="0.3">
      <c r="A231" t="s">
        <v>11</v>
      </c>
      <c r="B231" s="1" t="s">
        <v>43</v>
      </c>
      <c r="C231" s="1" t="s">
        <v>44</v>
      </c>
      <c r="D231">
        <v>12659</v>
      </c>
      <c r="E231" t="s">
        <v>12</v>
      </c>
      <c r="F231" t="s">
        <v>47</v>
      </c>
      <c r="G231">
        <v>2</v>
      </c>
      <c r="H231">
        <v>16</v>
      </c>
      <c r="I231" t="s">
        <v>45</v>
      </c>
      <c r="J231" cm="1">
        <f t="array" ref="J231">IFERROR(
    _xlfn.XLOOKUP(G231, 'Wedgewood Pharm-PM-Yr2-2025'!$E$4:$L$4,
        _xlfn.XLOOKUP('Rate Load'!H231, 'Wedgewood Pharm-PM-Yr2-2025'!$D$5:$D$31,
            'Wedgewood Pharm-PM-Yr2-2025'!$E$5:$L$31, 0, 0),
        0, 0),
    _xlfn.XLOOKUP(G231, 'Wedgewood Pharm-PM-Yr2-2025'!$E$4:$L$4,
        _xlfn.XLOOKUP('Rate Load'!L231, 'Wedgewood Pharm-PM-Yr2-2025'!$D$5:$D$31,
            'Wedgewood Pharm-PM-Yr2-2025'!$E$5:$L$31, 0, 0),
        0, 0)
)</f>
        <v>13.14</v>
      </c>
      <c r="K231" t="s">
        <v>46</v>
      </c>
      <c r="L231" t="s">
        <v>13</v>
      </c>
      <c r="M231">
        <v>1</v>
      </c>
      <c r="N231" t="str">
        <f t="shared" si="3"/>
        <v>INSERT INTO TNL_RATING.dbo.usps_rate_master VALUES ('USPS', '2/13/2025', '2/13/2026', 12659, 'US', 'Priority Mail', 2, 16, 'L', 13.14, 'Wedgewood_USPS_2025', 'NonCubic','1');</v>
      </c>
    </row>
    <row r="232" spans="1:14" x14ac:dyDescent="0.3">
      <c r="A232" t="s">
        <v>11</v>
      </c>
      <c r="B232" s="1" t="s">
        <v>43</v>
      </c>
      <c r="C232" s="1" t="s">
        <v>44</v>
      </c>
      <c r="D232">
        <v>12659</v>
      </c>
      <c r="E232" t="s">
        <v>12</v>
      </c>
      <c r="F232" t="s">
        <v>47</v>
      </c>
      <c r="G232">
        <v>2</v>
      </c>
      <c r="H232">
        <v>17</v>
      </c>
      <c r="I232" t="s">
        <v>45</v>
      </c>
      <c r="J232" cm="1">
        <f t="array" ref="J232">IFERROR(
    _xlfn.XLOOKUP(G232, 'Wedgewood Pharm-PM-Yr2-2025'!$E$4:$L$4,
        _xlfn.XLOOKUP('Rate Load'!H232, 'Wedgewood Pharm-PM-Yr2-2025'!$D$5:$D$31,
            'Wedgewood Pharm-PM-Yr2-2025'!$E$5:$L$31, 0, 0),
        0, 0),
    _xlfn.XLOOKUP(G232, 'Wedgewood Pharm-PM-Yr2-2025'!$E$4:$L$4,
        _xlfn.XLOOKUP('Rate Load'!L232, 'Wedgewood Pharm-PM-Yr2-2025'!$D$5:$D$31,
            'Wedgewood Pharm-PM-Yr2-2025'!$E$5:$L$31, 0, 0),
        0, 0)
)</f>
        <v>13.57</v>
      </c>
      <c r="K232" t="s">
        <v>46</v>
      </c>
      <c r="L232" t="s">
        <v>13</v>
      </c>
      <c r="M232">
        <v>1</v>
      </c>
      <c r="N232" t="str">
        <f t="shared" si="3"/>
        <v>INSERT INTO TNL_RATING.dbo.usps_rate_master VALUES ('USPS', '2/13/2025', '2/13/2026', 12659, 'US', 'Priority Mail', 2, 17, 'L', 13.57, 'Wedgewood_USPS_2025', 'NonCubic','1');</v>
      </c>
    </row>
    <row r="233" spans="1:14" x14ac:dyDescent="0.3">
      <c r="A233" t="s">
        <v>11</v>
      </c>
      <c r="B233" s="1" t="s">
        <v>43</v>
      </c>
      <c r="C233" s="1" t="s">
        <v>44</v>
      </c>
      <c r="D233">
        <v>12659</v>
      </c>
      <c r="E233" t="s">
        <v>12</v>
      </c>
      <c r="F233" t="s">
        <v>47</v>
      </c>
      <c r="G233">
        <v>2</v>
      </c>
      <c r="H233">
        <v>18</v>
      </c>
      <c r="I233" t="s">
        <v>45</v>
      </c>
      <c r="J233" cm="1">
        <f t="array" ref="J233">IFERROR(
    _xlfn.XLOOKUP(G233, 'Wedgewood Pharm-PM-Yr2-2025'!$E$4:$L$4,
        _xlfn.XLOOKUP('Rate Load'!H233, 'Wedgewood Pharm-PM-Yr2-2025'!$D$5:$D$31,
            'Wedgewood Pharm-PM-Yr2-2025'!$E$5:$L$31, 0, 0),
        0, 0),
    _xlfn.XLOOKUP(G233, 'Wedgewood Pharm-PM-Yr2-2025'!$E$4:$L$4,
        _xlfn.XLOOKUP('Rate Load'!L233, 'Wedgewood Pharm-PM-Yr2-2025'!$D$5:$D$31,
            'Wedgewood Pharm-PM-Yr2-2025'!$E$5:$L$31, 0, 0),
        0, 0)
)</f>
        <v>13.76</v>
      </c>
      <c r="K233" t="s">
        <v>46</v>
      </c>
      <c r="L233" t="s">
        <v>13</v>
      </c>
      <c r="M233">
        <v>1</v>
      </c>
      <c r="N233" t="str">
        <f t="shared" si="3"/>
        <v>INSERT INTO TNL_RATING.dbo.usps_rate_master VALUES ('USPS', '2/13/2025', '2/13/2026', 12659, 'US', 'Priority Mail', 2, 18, 'L', 13.76, 'Wedgewood_USPS_2025', 'NonCubic','1');</v>
      </c>
    </row>
    <row r="234" spans="1:14" x14ac:dyDescent="0.3">
      <c r="A234" t="s">
        <v>11</v>
      </c>
      <c r="B234" s="1" t="s">
        <v>43</v>
      </c>
      <c r="C234" s="1" t="s">
        <v>44</v>
      </c>
      <c r="D234">
        <v>12659</v>
      </c>
      <c r="E234" t="s">
        <v>12</v>
      </c>
      <c r="F234" t="s">
        <v>47</v>
      </c>
      <c r="G234">
        <v>2</v>
      </c>
      <c r="H234">
        <v>19</v>
      </c>
      <c r="I234" t="s">
        <v>45</v>
      </c>
      <c r="J234" cm="1">
        <f t="array" ref="J234">IFERROR(
    _xlfn.XLOOKUP(G234, 'Wedgewood Pharm-PM-Yr2-2025'!$E$4:$L$4,
        _xlfn.XLOOKUP('Rate Load'!H234, 'Wedgewood Pharm-PM-Yr2-2025'!$D$5:$D$31,
            'Wedgewood Pharm-PM-Yr2-2025'!$E$5:$L$31, 0, 0),
        0, 0),
    _xlfn.XLOOKUP(G234, 'Wedgewood Pharm-PM-Yr2-2025'!$E$4:$L$4,
        _xlfn.XLOOKUP('Rate Load'!L234, 'Wedgewood Pharm-PM-Yr2-2025'!$D$5:$D$31,
            'Wedgewood Pharm-PM-Yr2-2025'!$E$5:$L$31, 0, 0),
        0, 0)
)</f>
        <v>14.08</v>
      </c>
      <c r="K234" t="s">
        <v>46</v>
      </c>
      <c r="L234" t="s">
        <v>13</v>
      </c>
      <c r="M234">
        <v>1</v>
      </c>
      <c r="N234" t="str">
        <f t="shared" si="3"/>
        <v>INSERT INTO TNL_RATING.dbo.usps_rate_master VALUES ('USPS', '2/13/2025', '2/13/2026', 12659, 'US', 'Priority Mail', 2, 19, 'L', 14.08, 'Wedgewood_USPS_2025', 'NonCubic','1');</v>
      </c>
    </row>
    <row r="235" spans="1:14" x14ac:dyDescent="0.3">
      <c r="A235" t="s">
        <v>11</v>
      </c>
      <c r="B235" s="1" t="s">
        <v>43</v>
      </c>
      <c r="C235" s="1" t="s">
        <v>44</v>
      </c>
      <c r="D235">
        <v>12659</v>
      </c>
      <c r="E235" t="s">
        <v>12</v>
      </c>
      <c r="F235" t="s">
        <v>47</v>
      </c>
      <c r="G235">
        <v>2</v>
      </c>
      <c r="H235">
        <v>20</v>
      </c>
      <c r="I235" t="s">
        <v>45</v>
      </c>
      <c r="J235" cm="1">
        <f t="array" ref="J235">IFERROR(
    _xlfn.XLOOKUP(G235, 'Wedgewood Pharm-PM-Yr2-2025'!$E$4:$L$4,
        _xlfn.XLOOKUP('Rate Load'!H235, 'Wedgewood Pharm-PM-Yr2-2025'!$D$5:$D$31,
            'Wedgewood Pharm-PM-Yr2-2025'!$E$5:$L$31, 0, 0),
        0, 0),
    _xlfn.XLOOKUP(G235, 'Wedgewood Pharm-PM-Yr2-2025'!$E$4:$L$4,
        _xlfn.XLOOKUP('Rate Load'!L235, 'Wedgewood Pharm-PM-Yr2-2025'!$D$5:$D$31,
            'Wedgewood Pharm-PM-Yr2-2025'!$E$5:$L$31, 0, 0),
        0, 0)
)</f>
        <v>14.35</v>
      </c>
      <c r="K235" t="s">
        <v>46</v>
      </c>
      <c r="L235" t="s">
        <v>13</v>
      </c>
      <c r="M235">
        <v>1</v>
      </c>
      <c r="N235" t="str">
        <f t="shared" si="3"/>
        <v>INSERT INTO TNL_RATING.dbo.usps_rate_master VALUES ('USPS', '2/13/2025', '2/13/2026', 12659, 'US', 'Priority Mail', 2, 20, 'L', 14.35, 'Wedgewood_USPS_2025', 'NonCubic','1');</v>
      </c>
    </row>
    <row r="236" spans="1:14" x14ac:dyDescent="0.3">
      <c r="A236" t="s">
        <v>11</v>
      </c>
      <c r="B236" s="1" t="s">
        <v>43</v>
      </c>
      <c r="C236" s="1" t="s">
        <v>44</v>
      </c>
      <c r="D236">
        <v>12659</v>
      </c>
      <c r="E236" t="s">
        <v>12</v>
      </c>
      <c r="F236" t="s">
        <v>47</v>
      </c>
      <c r="G236">
        <v>3</v>
      </c>
      <c r="H236">
        <v>0.5</v>
      </c>
      <c r="I236" t="s">
        <v>45</v>
      </c>
      <c r="J236" cm="1">
        <f t="array" ref="J236">IFERROR(
    _xlfn.XLOOKUP(G236, 'Wedgewood Pharm-PM-Yr2-2025'!$E$4:$L$4,
        _xlfn.XLOOKUP('Rate Load'!H236, 'Wedgewood Pharm-PM-Yr2-2025'!$D$5:$D$31,
            'Wedgewood Pharm-PM-Yr2-2025'!$E$5:$L$31, 0, 0),
        0, 0),
    _xlfn.XLOOKUP(G236, 'Wedgewood Pharm-PM-Yr2-2025'!$E$4:$L$4,
        _xlfn.XLOOKUP('Rate Load'!L236, 'Wedgewood Pharm-PM-Yr2-2025'!$D$5:$D$31,
            'Wedgewood Pharm-PM-Yr2-2025'!$E$5:$L$31, 0, 0),
        0, 0)
)</f>
        <v>6.97</v>
      </c>
      <c r="K236" t="s">
        <v>46</v>
      </c>
      <c r="L236" t="s">
        <v>13</v>
      </c>
      <c r="M236">
        <v>1</v>
      </c>
      <c r="N236" t="str">
        <f t="shared" si="3"/>
        <v>INSERT INTO TNL_RATING.dbo.usps_rate_master VALUES ('USPS', '2/13/2025', '2/13/2026', 12659, 'US', 'Priority Mail', 3, 0.5, 'L', 6.97, 'Wedgewood_USPS_2025', 'NonCubic','1');</v>
      </c>
    </row>
    <row r="237" spans="1:14" x14ac:dyDescent="0.3">
      <c r="A237" t="s">
        <v>11</v>
      </c>
      <c r="B237" s="1" t="s">
        <v>43</v>
      </c>
      <c r="C237" s="1" t="s">
        <v>44</v>
      </c>
      <c r="D237">
        <v>12659</v>
      </c>
      <c r="E237" t="s">
        <v>12</v>
      </c>
      <c r="F237" t="s">
        <v>47</v>
      </c>
      <c r="G237">
        <v>3</v>
      </c>
      <c r="H237">
        <v>1</v>
      </c>
      <c r="I237" t="s">
        <v>45</v>
      </c>
      <c r="J237" cm="1">
        <f t="array" ref="J237">IFERROR(
    _xlfn.XLOOKUP(G237, 'Wedgewood Pharm-PM-Yr2-2025'!$E$4:$L$4,
        _xlfn.XLOOKUP('Rate Load'!H237, 'Wedgewood Pharm-PM-Yr2-2025'!$D$5:$D$31,
            'Wedgewood Pharm-PM-Yr2-2025'!$E$5:$L$31, 0, 0),
        0, 0),
    _xlfn.XLOOKUP(G237, 'Wedgewood Pharm-PM-Yr2-2025'!$E$4:$L$4,
        _xlfn.XLOOKUP('Rate Load'!L237, 'Wedgewood Pharm-PM-Yr2-2025'!$D$5:$D$31,
            'Wedgewood Pharm-PM-Yr2-2025'!$E$5:$L$31, 0, 0),
        0, 0)
)</f>
        <v>6.97</v>
      </c>
      <c r="K237" t="s">
        <v>46</v>
      </c>
      <c r="L237" t="s">
        <v>13</v>
      </c>
      <c r="M237">
        <v>1</v>
      </c>
      <c r="N237" t="str">
        <f t="shared" si="3"/>
        <v>INSERT INTO TNL_RATING.dbo.usps_rate_master VALUES ('USPS', '2/13/2025', '2/13/2026', 12659, 'US', 'Priority Mail', 3, 1, 'L', 6.97, 'Wedgewood_USPS_2025', 'NonCubic','1');</v>
      </c>
    </row>
    <row r="238" spans="1:14" x14ac:dyDescent="0.3">
      <c r="A238" t="s">
        <v>11</v>
      </c>
      <c r="B238" s="1" t="s">
        <v>43</v>
      </c>
      <c r="C238" s="1" t="s">
        <v>44</v>
      </c>
      <c r="D238">
        <v>12659</v>
      </c>
      <c r="E238" t="s">
        <v>12</v>
      </c>
      <c r="F238" t="s">
        <v>47</v>
      </c>
      <c r="G238">
        <v>3</v>
      </c>
      <c r="H238">
        <v>2</v>
      </c>
      <c r="I238" t="s">
        <v>45</v>
      </c>
      <c r="J238" cm="1">
        <f t="array" ref="J238">IFERROR(
    _xlfn.XLOOKUP(G238, 'Wedgewood Pharm-PM-Yr2-2025'!$E$4:$L$4,
        _xlfn.XLOOKUP('Rate Load'!H238, 'Wedgewood Pharm-PM-Yr2-2025'!$D$5:$D$31,
            'Wedgewood Pharm-PM-Yr2-2025'!$E$5:$L$31, 0, 0),
        0, 0),
    _xlfn.XLOOKUP(G238, 'Wedgewood Pharm-PM-Yr2-2025'!$E$4:$L$4,
        _xlfn.XLOOKUP('Rate Load'!L238, 'Wedgewood Pharm-PM-Yr2-2025'!$D$5:$D$31,
            'Wedgewood Pharm-PM-Yr2-2025'!$E$5:$L$31, 0, 0),
        0, 0)
)</f>
        <v>6.97</v>
      </c>
      <c r="K238" t="s">
        <v>46</v>
      </c>
      <c r="L238" t="s">
        <v>13</v>
      </c>
      <c r="M238">
        <v>1</v>
      </c>
      <c r="N238" t="str">
        <f t="shared" si="3"/>
        <v>INSERT INTO TNL_RATING.dbo.usps_rate_master VALUES ('USPS', '2/13/2025', '2/13/2026', 12659, 'US', 'Priority Mail', 3, 2, 'L', 6.97, 'Wedgewood_USPS_2025', 'NonCubic','1');</v>
      </c>
    </row>
    <row r="239" spans="1:14" x14ac:dyDescent="0.3">
      <c r="A239" t="s">
        <v>11</v>
      </c>
      <c r="B239" s="1" t="s">
        <v>43</v>
      </c>
      <c r="C239" s="1" t="s">
        <v>44</v>
      </c>
      <c r="D239">
        <v>12659</v>
      </c>
      <c r="E239" t="s">
        <v>12</v>
      </c>
      <c r="F239" t="s">
        <v>47</v>
      </c>
      <c r="G239">
        <v>3</v>
      </c>
      <c r="H239">
        <v>3</v>
      </c>
      <c r="I239" t="s">
        <v>45</v>
      </c>
      <c r="J239" cm="1">
        <f t="array" ref="J239">IFERROR(
    _xlfn.XLOOKUP(G239, 'Wedgewood Pharm-PM-Yr2-2025'!$E$4:$L$4,
        _xlfn.XLOOKUP('Rate Load'!H239, 'Wedgewood Pharm-PM-Yr2-2025'!$D$5:$D$31,
            'Wedgewood Pharm-PM-Yr2-2025'!$E$5:$L$31, 0, 0),
        0, 0),
    _xlfn.XLOOKUP(G239, 'Wedgewood Pharm-PM-Yr2-2025'!$E$4:$L$4,
        _xlfn.XLOOKUP('Rate Load'!L239, 'Wedgewood Pharm-PM-Yr2-2025'!$D$5:$D$31,
            'Wedgewood Pharm-PM-Yr2-2025'!$E$5:$L$31, 0, 0),
        0, 0)
)</f>
        <v>7.2799999999999994</v>
      </c>
      <c r="K239" t="s">
        <v>46</v>
      </c>
      <c r="L239" t="s">
        <v>13</v>
      </c>
      <c r="M239">
        <v>1</v>
      </c>
      <c r="N239" t="str">
        <f t="shared" si="3"/>
        <v>INSERT INTO TNL_RATING.dbo.usps_rate_master VALUES ('USPS', '2/13/2025', '2/13/2026', 12659, 'US', 'Priority Mail', 3, 3, 'L', 7.28, 'Wedgewood_USPS_2025', 'NonCubic','1');</v>
      </c>
    </row>
    <row r="240" spans="1:14" x14ac:dyDescent="0.3">
      <c r="A240" t="s">
        <v>11</v>
      </c>
      <c r="B240" s="1" t="s">
        <v>43</v>
      </c>
      <c r="C240" s="1" t="s">
        <v>44</v>
      </c>
      <c r="D240">
        <v>12659</v>
      </c>
      <c r="E240" t="s">
        <v>12</v>
      </c>
      <c r="F240" t="s">
        <v>47</v>
      </c>
      <c r="G240">
        <v>3</v>
      </c>
      <c r="H240">
        <v>4</v>
      </c>
      <c r="I240" t="s">
        <v>45</v>
      </c>
      <c r="J240" cm="1">
        <f t="array" ref="J240">IFERROR(
    _xlfn.XLOOKUP(G240, 'Wedgewood Pharm-PM-Yr2-2025'!$E$4:$L$4,
        _xlfn.XLOOKUP('Rate Load'!H240, 'Wedgewood Pharm-PM-Yr2-2025'!$D$5:$D$31,
            'Wedgewood Pharm-PM-Yr2-2025'!$E$5:$L$31, 0, 0),
        0, 0),
    _xlfn.XLOOKUP(G240, 'Wedgewood Pharm-PM-Yr2-2025'!$E$4:$L$4,
        _xlfn.XLOOKUP('Rate Load'!L240, 'Wedgewood Pharm-PM-Yr2-2025'!$D$5:$D$31,
            'Wedgewood Pharm-PM-Yr2-2025'!$E$5:$L$31, 0, 0),
        0, 0)
)</f>
        <v>7.35</v>
      </c>
      <c r="K240" t="s">
        <v>46</v>
      </c>
      <c r="L240" t="s">
        <v>13</v>
      </c>
      <c r="M240">
        <v>1</v>
      </c>
      <c r="N240" t="str">
        <f t="shared" si="3"/>
        <v>INSERT INTO TNL_RATING.dbo.usps_rate_master VALUES ('USPS', '2/13/2025', '2/13/2026', 12659, 'US', 'Priority Mail', 3, 4, 'L', 7.35, 'Wedgewood_USPS_2025', 'NonCubic','1');</v>
      </c>
    </row>
    <row r="241" spans="1:14" x14ac:dyDescent="0.3">
      <c r="A241" t="s">
        <v>11</v>
      </c>
      <c r="B241" s="1" t="s">
        <v>43</v>
      </c>
      <c r="C241" s="1" t="s">
        <v>44</v>
      </c>
      <c r="D241">
        <v>12659</v>
      </c>
      <c r="E241" t="s">
        <v>12</v>
      </c>
      <c r="F241" t="s">
        <v>47</v>
      </c>
      <c r="G241">
        <v>3</v>
      </c>
      <c r="H241">
        <v>5</v>
      </c>
      <c r="I241" t="s">
        <v>45</v>
      </c>
      <c r="J241" cm="1">
        <f t="array" ref="J241">IFERROR(
    _xlfn.XLOOKUP(G241, 'Wedgewood Pharm-PM-Yr2-2025'!$E$4:$L$4,
        _xlfn.XLOOKUP('Rate Load'!H241, 'Wedgewood Pharm-PM-Yr2-2025'!$D$5:$D$31,
            'Wedgewood Pharm-PM-Yr2-2025'!$E$5:$L$31, 0, 0),
        0, 0),
    _xlfn.XLOOKUP(G241, 'Wedgewood Pharm-PM-Yr2-2025'!$E$4:$L$4,
        _xlfn.XLOOKUP('Rate Load'!L241, 'Wedgewood Pharm-PM-Yr2-2025'!$D$5:$D$31,
            'Wedgewood Pharm-PM-Yr2-2025'!$E$5:$L$31, 0, 0),
        0, 0)
)</f>
        <v>7.3999999999999995</v>
      </c>
      <c r="K241" t="s">
        <v>46</v>
      </c>
      <c r="L241" t="s">
        <v>13</v>
      </c>
      <c r="M241">
        <v>1</v>
      </c>
      <c r="N241" t="str">
        <f t="shared" si="3"/>
        <v>INSERT INTO TNL_RATING.dbo.usps_rate_master VALUES ('USPS', '2/13/2025', '2/13/2026', 12659, 'US', 'Priority Mail', 3, 5, 'L', 7.4, 'Wedgewood_USPS_2025', 'NonCubic','1');</v>
      </c>
    </row>
    <row r="242" spans="1:14" x14ac:dyDescent="0.3">
      <c r="A242" t="s">
        <v>11</v>
      </c>
      <c r="B242" s="1" t="s">
        <v>43</v>
      </c>
      <c r="C242" s="1" t="s">
        <v>44</v>
      </c>
      <c r="D242">
        <v>12659</v>
      </c>
      <c r="E242" t="s">
        <v>12</v>
      </c>
      <c r="F242" t="s">
        <v>47</v>
      </c>
      <c r="G242">
        <v>3</v>
      </c>
      <c r="H242">
        <v>6</v>
      </c>
      <c r="I242" t="s">
        <v>45</v>
      </c>
      <c r="J242" cm="1">
        <f t="array" ref="J242">IFERROR(
    _xlfn.XLOOKUP(G242, 'Wedgewood Pharm-PM-Yr2-2025'!$E$4:$L$4,
        _xlfn.XLOOKUP('Rate Load'!H242, 'Wedgewood Pharm-PM-Yr2-2025'!$D$5:$D$31,
            'Wedgewood Pharm-PM-Yr2-2025'!$E$5:$L$31, 0, 0),
        0, 0),
    _xlfn.XLOOKUP(G242, 'Wedgewood Pharm-PM-Yr2-2025'!$E$4:$L$4,
        _xlfn.XLOOKUP('Rate Load'!L242, 'Wedgewood Pharm-PM-Yr2-2025'!$D$5:$D$31,
            'Wedgewood Pharm-PM-Yr2-2025'!$E$5:$L$31, 0, 0),
        0, 0)
)</f>
        <v>7.9799999999999995</v>
      </c>
      <c r="K242" t="s">
        <v>46</v>
      </c>
      <c r="L242" t="s">
        <v>13</v>
      </c>
      <c r="M242">
        <v>1</v>
      </c>
      <c r="N242" t="str">
        <f t="shared" si="3"/>
        <v>INSERT INTO TNL_RATING.dbo.usps_rate_master VALUES ('USPS', '2/13/2025', '2/13/2026', 12659, 'US', 'Priority Mail', 3, 6, 'L', 7.98, 'Wedgewood_USPS_2025', 'NonCubic','1');</v>
      </c>
    </row>
    <row r="243" spans="1:14" x14ac:dyDescent="0.3">
      <c r="A243" t="s">
        <v>11</v>
      </c>
      <c r="B243" s="1" t="s">
        <v>43</v>
      </c>
      <c r="C243" s="1" t="s">
        <v>44</v>
      </c>
      <c r="D243">
        <v>12659</v>
      </c>
      <c r="E243" t="s">
        <v>12</v>
      </c>
      <c r="F243" t="s">
        <v>47</v>
      </c>
      <c r="G243">
        <v>3</v>
      </c>
      <c r="H243">
        <v>7</v>
      </c>
      <c r="I243" t="s">
        <v>45</v>
      </c>
      <c r="J243" cm="1">
        <f t="array" ref="J243">IFERROR(
    _xlfn.XLOOKUP(G243, 'Wedgewood Pharm-PM-Yr2-2025'!$E$4:$L$4,
        _xlfn.XLOOKUP('Rate Load'!H243, 'Wedgewood Pharm-PM-Yr2-2025'!$D$5:$D$31,
            'Wedgewood Pharm-PM-Yr2-2025'!$E$5:$L$31, 0, 0),
        0, 0),
    _xlfn.XLOOKUP(G243, 'Wedgewood Pharm-PM-Yr2-2025'!$E$4:$L$4,
        _xlfn.XLOOKUP('Rate Load'!L243, 'Wedgewood Pharm-PM-Yr2-2025'!$D$5:$D$31,
            'Wedgewood Pharm-PM-Yr2-2025'!$E$5:$L$31, 0, 0),
        0, 0)
)</f>
        <v>9.64</v>
      </c>
      <c r="K243" t="s">
        <v>46</v>
      </c>
      <c r="L243" t="s">
        <v>13</v>
      </c>
      <c r="M243">
        <v>1</v>
      </c>
      <c r="N243" t="str">
        <f t="shared" si="3"/>
        <v>INSERT INTO TNL_RATING.dbo.usps_rate_master VALUES ('USPS', '2/13/2025', '2/13/2026', 12659, 'US', 'Priority Mail', 3, 7, 'L', 9.64, 'Wedgewood_USPS_2025', 'NonCubic','1');</v>
      </c>
    </row>
    <row r="244" spans="1:14" x14ac:dyDescent="0.3">
      <c r="A244" t="s">
        <v>11</v>
      </c>
      <c r="B244" s="1" t="s">
        <v>43</v>
      </c>
      <c r="C244" s="1" t="s">
        <v>44</v>
      </c>
      <c r="D244">
        <v>12659</v>
      </c>
      <c r="E244" t="s">
        <v>12</v>
      </c>
      <c r="F244" t="s">
        <v>47</v>
      </c>
      <c r="G244">
        <v>3</v>
      </c>
      <c r="H244">
        <v>8</v>
      </c>
      <c r="I244" t="s">
        <v>45</v>
      </c>
      <c r="J244" cm="1">
        <f t="array" ref="J244">IFERROR(
    _xlfn.XLOOKUP(G244, 'Wedgewood Pharm-PM-Yr2-2025'!$E$4:$L$4,
        _xlfn.XLOOKUP('Rate Load'!H244, 'Wedgewood Pharm-PM-Yr2-2025'!$D$5:$D$31,
            'Wedgewood Pharm-PM-Yr2-2025'!$E$5:$L$31, 0, 0),
        0, 0),
    _xlfn.XLOOKUP(G244, 'Wedgewood Pharm-PM-Yr2-2025'!$E$4:$L$4,
        _xlfn.XLOOKUP('Rate Load'!L244, 'Wedgewood Pharm-PM-Yr2-2025'!$D$5:$D$31,
            'Wedgewood Pharm-PM-Yr2-2025'!$E$5:$L$31, 0, 0),
        0, 0)
)</f>
        <v>10.119999999999999</v>
      </c>
      <c r="K244" t="s">
        <v>46</v>
      </c>
      <c r="L244" t="s">
        <v>13</v>
      </c>
      <c r="M244">
        <v>1</v>
      </c>
      <c r="N244" t="str">
        <f t="shared" si="3"/>
        <v>INSERT INTO TNL_RATING.dbo.usps_rate_master VALUES ('USPS', '2/13/2025', '2/13/2026', 12659, 'US', 'Priority Mail', 3, 8, 'L', 10.12, 'Wedgewood_USPS_2025', 'NonCubic','1');</v>
      </c>
    </row>
    <row r="245" spans="1:14" x14ac:dyDescent="0.3">
      <c r="A245" t="s">
        <v>11</v>
      </c>
      <c r="B245" s="1" t="s">
        <v>43</v>
      </c>
      <c r="C245" s="1" t="s">
        <v>44</v>
      </c>
      <c r="D245">
        <v>12659</v>
      </c>
      <c r="E245" t="s">
        <v>12</v>
      </c>
      <c r="F245" t="s">
        <v>47</v>
      </c>
      <c r="G245">
        <v>3</v>
      </c>
      <c r="H245">
        <v>9</v>
      </c>
      <c r="I245" t="s">
        <v>45</v>
      </c>
      <c r="J245" cm="1">
        <f t="array" ref="J245">IFERROR(
    _xlfn.XLOOKUP(G245, 'Wedgewood Pharm-PM-Yr2-2025'!$E$4:$L$4,
        _xlfn.XLOOKUP('Rate Load'!H245, 'Wedgewood Pharm-PM-Yr2-2025'!$D$5:$D$31,
            'Wedgewood Pharm-PM-Yr2-2025'!$E$5:$L$31, 0, 0),
        0, 0),
    _xlfn.XLOOKUP(G245, 'Wedgewood Pharm-PM-Yr2-2025'!$E$4:$L$4,
        _xlfn.XLOOKUP('Rate Load'!L245, 'Wedgewood Pharm-PM-Yr2-2025'!$D$5:$D$31,
            'Wedgewood Pharm-PM-Yr2-2025'!$E$5:$L$31, 0, 0),
        0, 0)
)</f>
        <v>10.56</v>
      </c>
      <c r="K245" t="s">
        <v>46</v>
      </c>
      <c r="L245" t="s">
        <v>13</v>
      </c>
      <c r="M245">
        <v>1</v>
      </c>
      <c r="N245" t="str">
        <f t="shared" si="3"/>
        <v>INSERT INTO TNL_RATING.dbo.usps_rate_master VALUES ('USPS', '2/13/2025', '2/13/2026', 12659, 'US', 'Priority Mail', 3, 9, 'L', 10.56, 'Wedgewood_USPS_2025', 'NonCubic','1');</v>
      </c>
    </row>
    <row r="246" spans="1:14" x14ac:dyDescent="0.3">
      <c r="A246" t="s">
        <v>11</v>
      </c>
      <c r="B246" s="1" t="s">
        <v>43</v>
      </c>
      <c r="C246" s="1" t="s">
        <v>44</v>
      </c>
      <c r="D246">
        <v>12659</v>
      </c>
      <c r="E246" t="s">
        <v>12</v>
      </c>
      <c r="F246" t="s">
        <v>47</v>
      </c>
      <c r="G246">
        <v>3</v>
      </c>
      <c r="H246">
        <v>10</v>
      </c>
      <c r="I246" t="s">
        <v>45</v>
      </c>
      <c r="J246" cm="1">
        <f t="array" ref="J246">IFERROR(
    _xlfn.XLOOKUP(G246, 'Wedgewood Pharm-PM-Yr2-2025'!$E$4:$L$4,
        _xlfn.XLOOKUP('Rate Load'!H246, 'Wedgewood Pharm-PM-Yr2-2025'!$D$5:$D$31,
            'Wedgewood Pharm-PM-Yr2-2025'!$E$5:$L$31, 0, 0),
        0, 0),
    _xlfn.XLOOKUP(G246, 'Wedgewood Pharm-PM-Yr2-2025'!$E$4:$L$4,
        _xlfn.XLOOKUP('Rate Load'!L246, 'Wedgewood Pharm-PM-Yr2-2025'!$D$5:$D$31,
            'Wedgewood Pharm-PM-Yr2-2025'!$E$5:$L$31, 0, 0),
        0, 0)
)</f>
        <v>11.049999999999999</v>
      </c>
      <c r="K246" t="s">
        <v>46</v>
      </c>
      <c r="L246" t="s">
        <v>13</v>
      </c>
      <c r="M246">
        <v>1</v>
      </c>
      <c r="N246" t="str">
        <f t="shared" si="3"/>
        <v>INSERT INTO TNL_RATING.dbo.usps_rate_master VALUES ('USPS', '2/13/2025', '2/13/2026', 12659, 'US', 'Priority Mail', 3, 10, 'L', 11.05, 'Wedgewood_USPS_2025', 'NonCubic','1');</v>
      </c>
    </row>
    <row r="247" spans="1:14" x14ac:dyDescent="0.3">
      <c r="A247" t="s">
        <v>11</v>
      </c>
      <c r="B247" s="1" t="s">
        <v>43</v>
      </c>
      <c r="C247" s="1" t="s">
        <v>44</v>
      </c>
      <c r="D247">
        <v>12659</v>
      </c>
      <c r="E247" t="s">
        <v>12</v>
      </c>
      <c r="F247" t="s">
        <v>47</v>
      </c>
      <c r="G247">
        <v>3</v>
      </c>
      <c r="H247">
        <v>11</v>
      </c>
      <c r="I247" t="s">
        <v>45</v>
      </c>
      <c r="J247" cm="1">
        <f t="array" ref="J247">IFERROR(
    _xlfn.XLOOKUP(G247, 'Wedgewood Pharm-PM-Yr2-2025'!$E$4:$L$4,
        _xlfn.XLOOKUP('Rate Load'!H247, 'Wedgewood Pharm-PM-Yr2-2025'!$D$5:$D$31,
            'Wedgewood Pharm-PM-Yr2-2025'!$E$5:$L$31, 0, 0),
        0, 0),
    _xlfn.XLOOKUP(G247, 'Wedgewood Pharm-PM-Yr2-2025'!$E$4:$L$4,
        _xlfn.XLOOKUP('Rate Load'!L247, 'Wedgewood Pharm-PM-Yr2-2025'!$D$5:$D$31,
            'Wedgewood Pharm-PM-Yr2-2025'!$E$5:$L$31, 0, 0),
        0, 0)
)</f>
        <v>11.75</v>
      </c>
      <c r="K247" t="s">
        <v>46</v>
      </c>
      <c r="L247" t="s">
        <v>13</v>
      </c>
      <c r="M247">
        <v>1</v>
      </c>
      <c r="N247" t="str">
        <f t="shared" si="3"/>
        <v>INSERT INTO TNL_RATING.dbo.usps_rate_master VALUES ('USPS', '2/13/2025', '2/13/2026', 12659, 'US', 'Priority Mail', 3, 11, 'L', 11.75, 'Wedgewood_USPS_2025', 'NonCubic','1');</v>
      </c>
    </row>
    <row r="248" spans="1:14" x14ac:dyDescent="0.3">
      <c r="A248" t="s">
        <v>11</v>
      </c>
      <c r="B248" s="1" t="s">
        <v>43</v>
      </c>
      <c r="C248" s="1" t="s">
        <v>44</v>
      </c>
      <c r="D248">
        <v>12659</v>
      </c>
      <c r="E248" t="s">
        <v>12</v>
      </c>
      <c r="F248" t="s">
        <v>47</v>
      </c>
      <c r="G248">
        <v>3</v>
      </c>
      <c r="H248">
        <v>12</v>
      </c>
      <c r="I248" t="s">
        <v>45</v>
      </c>
      <c r="J248" cm="1">
        <f t="array" ref="J248">IFERROR(
    _xlfn.XLOOKUP(G248, 'Wedgewood Pharm-PM-Yr2-2025'!$E$4:$L$4,
        _xlfn.XLOOKUP('Rate Load'!H248, 'Wedgewood Pharm-PM-Yr2-2025'!$D$5:$D$31,
            'Wedgewood Pharm-PM-Yr2-2025'!$E$5:$L$31, 0, 0),
        0, 0),
    _xlfn.XLOOKUP(G248, 'Wedgewood Pharm-PM-Yr2-2025'!$E$4:$L$4,
        _xlfn.XLOOKUP('Rate Load'!L248, 'Wedgewood Pharm-PM-Yr2-2025'!$D$5:$D$31,
            'Wedgewood Pharm-PM-Yr2-2025'!$E$5:$L$31, 0, 0),
        0, 0)
)</f>
        <v>12.25</v>
      </c>
      <c r="K248" t="s">
        <v>46</v>
      </c>
      <c r="L248" t="s">
        <v>13</v>
      </c>
      <c r="M248">
        <v>1</v>
      </c>
      <c r="N248" t="str">
        <f t="shared" si="3"/>
        <v>INSERT INTO TNL_RATING.dbo.usps_rate_master VALUES ('USPS', '2/13/2025', '2/13/2026', 12659, 'US', 'Priority Mail', 3, 12, 'L', 12.25, 'Wedgewood_USPS_2025', 'NonCubic','1');</v>
      </c>
    </row>
    <row r="249" spans="1:14" x14ac:dyDescent="0.3">
      <c r="A249" t="s">
        <v>11</v>
      </c>
      <c r="B249" s="1" t="s">
        <v>43</v>
      </c>
      <c r="C249" s="1" t="s">
        <v>44</v>
      </c>
      <c r="D249">
        <v>12659</v>
      </c>
      <c r="E249" t="s">
        <v>12</v>
      </c>
      <c r="F249" t="s">
        <v>47</v>
      </c>
      <c r="G249">
        <v>3</v>
      </c>
      <c r="H249">
        <v>13</v>
      </c>
      <c r="I249" t="s">
        <v>45</v>
      </c>
      <c r="J249" cm="1">
        <f t="array" ref="J249">IFERROR(
    _xlfn.XLOOKUP(G249, 'Wedgewood Pharm-PM-Yr2-2025'!$E$4:$L$4,
        _xlfn.XLOOKUP('Rate Load'!H249, 'Wedgewood Pharm-PM-Yr2-2025'!$D$5:$D$31,
            'Wedgewood Pharm-PM-Yr2-2025'!$E$5:$L$31, 0, 0),
        0, 0),
    _xlfn.XLOOKUP(G249, 'Wedgewood Pharm-PM-Yr2-2025'!$E$4:$L$4,
        _xlfn.XLOOKUP('Rate Load'!L249, 'Wedgewood Pharm-PM-Yr2-2025'!$D$5:$D$31,
            'Wedgewood Pharm-PM-Yr2-2025'!$E$5:$L$31, 0, 0),
        0, 0)
)</f>
        <v>12.77</v>
      </c>
      <c r="K249" t="s">
        <v>46</v>
      </c>
      <c r="L249" t="s">
        <v>13</v>
      </c>
      <c r="M249">
        <v>1</v>
      </c>
      <c r="N249" t="str">
        <f t="shared" si="3"/>
        <v>INSERT INTO TNL_RATING.dbo.usps_rate_master VALUES ('USPS', '2/13/2025', '2/13/2026', 12659, 'US', 'Priority Mail', 3, 13, 'L', 12.77, 'Wedgewood_USPS_2025', 'NonCubic','1');</v>
      </c>
    </row>
    <row r="250" spans="1:14" x14ac:dyDescent="0.3">
      <c r="A250" t="s">
        <v>11</v>
      </c>
      <c r="B250" s="1" t="s">
        <v>43</v>
      </c>
      <c r="C250" s="1" t="s">
        <v>44</v>
      </c>
      <c r="D250">
        <v>12659</v>
      </c>
      <c r="E250" t="s">
        <v>12</v>
      </c>
      <c r="F250" t="s">
        <v>47</v>
      </c>
      <c r="G250">
        <v>3</v>
      </c>
      <c r="H250">
        <v>14</v>
      </c>
      <c r="I250" t="s">
        <v>45</v>
      </c>
      <c r="J250" cm="1">
        <f t="array" ref="J250">IFERROR(
    _xlfn.XLOOKUP(G250, 'Wedgewood Pharm-PM-Yr2-2025'!$E$4:$L$4,
        _xlfn.XLOOKUP('Rate Load'!H250, 'Wedgewood Pharm-PM-Yr2-2025'!$D$5:$D$31,
            'Wedgewood Pharm-PM-Yr2-2025'!$E$5:$L$31, 0, 0),
        0, 0),
    _xlfn.XLOOKUP(G250, 'Wedgewood Pharm-PM-Yr2-2025'!$E$4:$L$4,
        _xlfn.XLOOKUP('Rate Load'!L250, 'Wedgewood Pharm-PM-Yr2-2025'!$D$5:$D$31,
            'Wedgewood Pharm-PM-Yr2-2025'!$E$5:$L$31, 0, 0),
        0, 0)
)</f>
        <v>13.28</v>
      </c>
      <c r="K250" t="s">
        <v>46</v>
      </c>
      <c r="L250" t="s">
        <v>13</v>
      </c>
      <c r="M250">
        <v>1</v>
      </c>
      <c r="N250" t="str">
        <f t="shared" si="3"/>
        <v>INSERT INTO TNL_RATING.dbo.usps_rate_master VALUES ('USPS', '2/13/2025', '2/13/2026', 12659, 'US', 'Priority Mail', 3, 14, 'L', 13.28, 'Wedgewood_USPS_2025', 'NonCubic','1');</v>
      </c>
    </row>
    <row r="251" spans="1:14" x14ac:dyDescent="0.3">
      <c r="A251" t="s">
        <v>11</v>
      </c>
      <c r="B251" s="1" t="s">
        <v>43</v>
      </c>
      <c r="C251" s="1" t="s">
        <v>44</v>
      </c>
      <c r="D251">
        <v>12659</v>
      </c>
      <c r="E251" t="s">
        <v>12</v>
      </c>
      <c r="F251" t="s">
        <v>47</v>
      </c>
      <c r="G251">
        <v>3</v>
      </c>
      <c r="H251">
        <v>15</v>
      </c>
      <c r="I251" t="s">
        <v>45</v>
      </c>
      <c r="J251" cm="1">
        <f t="array" ref="J251">IFERROR(
    _xlfn.XLOOKUP(G251, 'Wedgewood Pharm-PM-Yr2-2025'!$E$4:$L$4,
        _xlfn.XLOOKUP('Rate Load'!H251, 'Wedgewood Pharm-PM-Yr2-2025'!$D$5:$D$31,
            'Wedgewood Pharm-PM-Yr2-2025'!$E$5:$L$31, 0, 0),
        0, 0),
    _xlfn.XLOOKUP(G251, 'Wedgewood Pharm-PM-Yr2-2025'!$E$4:$L$4,
        _xlfn.XLOOKUP('Rate Load'!L251, 'Wedgewood Pharm-PM-Yr2-2025'!$D$5:$D$31,
            'Wedgewood Pharm-PM-Yr2-2025'!$E$5:$L$31, 0, 0),
        0, 0)
)</f>
        <v>13.78</v>
      </c>
      <c r="K251" t="s">
        <v>46</v>
      </c>
      <c r="L251" t="s">
        <v>13</v>
      </c>
      <c r="M251">
        <v>1</v>
      </c>
      <c r="N251" t="str">
        <f t="shared" si="3"/>
        <v>INSERT INTO TNL_RATING.dbo.usps_rate_master VALUES ('USPS', '2/13/2025', '2/13/2026', 12659, 'US', 'Priority Mail', 3, 15, 'L', 13.78, 'Wedgewood_USPS_2025', 'NonCubic','1');</v>
      </c>
    </row>
    <row r="252" spans="1:14" x14ac:dyDescent="0.3">
      <c r="A252" t="s">
        <v>11</v>
      </c>
      <c r="B252" s="1" t="s">
        <v>43</v>
      </c>
      <c r="C252" s="1" t="s">
        <v>44</v>
      </c>
      <c r="D252">
        <v>12659</v>
      </c>
      <c r="E252" t="s">
        <v>12</v>
      </c>
      <c r="F252" t="s">
        <v>47</v>
      </c>
      <c r="G252">
        <v>3</v>
      </c>
      <c r="H252">
        <v>16</v>
      </c>
      <c r="I252" t="s">
        <v>45</v>
      </c>
      <c r="J252" cm="1">
        <f t="array" ref="J252">IFERROR(
    _xlfn.XLOOKUP(G252, 'Wedgewood Pharm-PM-Yr2-2025'!$E$4:$L$4,
        _xlfn.XLOOKUP('Rate Load'!H252, 'Wedgewood Pharm-PM-Yr2-2025'!$D$5:$D$31,
            'Wedgewood Pharm-PM-Yr2-2025'!$E$5:$L$31, 0, 0),
        0, 0),
    _xlfn.XLOOKUP(G252, 'Wedgewood Pharm-PM-Yr2-2025'!$E$4:$L$4,
        _xlfn.XLOOKUP('Rate Load'!L252, 'Wedgewood Pharm-PM-Yr2-2025'!$D$5:$D$31,
            'Wedgewood Pharm-PM-Yr2-2025'!$E$5:$L$31, 0, 0),
        0, 0)
)</f>
        <v>14.29</v>
      </c>
      <c r="K252" t="s">
        <v>46</v>
      </c>
      <c r="L252" t="s">
        <v>13</v>
      </c>
      <c r="M252">
        <v>1</v>
      </c>
      <c r="N252" t="str">
        <f t="shared" si="3"/>
        <v>INSERT INTO TNL_RATING.dbo.usps_rate_master VALUES ('USPS', '2/13/2025', '2/13/2026', 12659, 'US', 'Priority Mail', 3, 16, 'L', 14.29, 'Wedgewood_USPS_2025', 'NonCubic','1');</v>
      </c>
    </row>
    <row r="253" spans="1:14" x14ac:dyDescent="0.3">
      <c r="A253" t="s">
        <v>11</v>
      </c>
      <c r="B253" s="1" t="s">
        <v>43</v>
      </c>
      <c r="C253" s="1" t="s">
        <v>44</v>
      </c>
      <c r="D253">
        <v>12659</v>
      </c>
      <c r="E253" t="s">
        <v>12</v>
      </c>
      <c r="F253" t="s">
        <v>47</v>
      </c>
      <c r="G253">
        <v>3</v>
      </c>
      <c r="H253">
        <v>17</v>
      </c>
      <c r="I253" t="s">
        <v>45</v>
      </c>
      <c r="J253" cm="1">
        <f t="array" ref="J253">IFERROR(
    _xlfn.XLOOKUP(G253, 'Wedgewood Pharm-PM-Yr2-2025'!$E$4:$L$4,
        _xlfn.XLOOKUP('Rate Load'!H253, 'Wedgewood Pharm-PM-Yr2-2025'!$D$5:$D$31,
            'Wedgewood Pharm-PM-Yr2-2025'!$E$5:$L$31, 0, 0),
        0, 0),
    _xlfn.XLOOKUP(G253, 'Wedgewood Pharm-PM-Yr2-2025'!$E$4:$L$4,
        _xlfn.XLOOKUP('Rate Load'!L253, 'Wedgewood Pharm-PM-Yr2-2025'!$D$5:$D$31,
            'Wedgewood Pharm-PM-Yr2-2025'!$E$5:$L$31, 0, 0),
        0, 0)
)</f>
        <v>14.7</v>
      </c>
      <c r="K253" t="s">
        <v>46</v>
      </c>
      <c r="L253" t="s">
        <v>13</v>
      </c>
      <c r="M253">
        <v>1</v>
      </c>
      <c r="N253" t="str">
        <f t="shared" si="3"/>
        <v>INSERT INTO TNL_RATING.dbo.usps_rate_master VALUES ('USPS', '2/13/2025', '2/13/2026', 12659, 'US', 'Priority Mail', 3, 17, 'L', 14.7, 'Wedgewood_USPS_2025', 'NonCubic','1');</v>
      </c>
    </row>
    <row r="254" spans="1:14" x14ac:dyDescent="0.3">
      <c r="A254" t="s">
        <v>11</v>
      </c>
      <c r="B254" s="1" t="s">
        <v>43</v>
      </c>
      <c r="C254" s="1" t="s">
        <v>44</v>
      </c>
      <c r="D254">
        <v>12659</v>
      </c>
      <c r="E254" t="s">
        <v>12</v>
      </c>
      <c r="F254" t="s">
        <v>47</v>
      </c>
      <c r="G254">
        <v>3</v>
      </c>
      <c r="H254">
        <v>18</v>
      </c>
      <c r="I254" t="s">
        <v>45</v>
      </c>
      <c r="J254" cm="1">
        <f t="array" ref="J254">IFERROR(
    _xlfn.XLOOKUP(G254, 'Wedgewood Pharm-PM-Yr2-2025'!$E$4:$L$4,
        _xlfn.XLOOKUP('Rate Load'!H254, 'Wedgewood Pharm-PM-Yr2-2025'!$D$5:$D$31,
            'Wedgewood Pharm-PM-Yr2-2025'!$E$5:$L$31, 0, 0),
        0, 0),
    _xlfn.XLOOKUP(G254, 'Wedgewood Pharm-PM-Yr2-2025'!$E$4:$L$4,
        _xlfn.XLOOKUP('Rate Load'!L254, 'Wedgewood Pharm-PM-Yr2-2025'!$D$5:$D$31,
            'Wedgewood Pharm-PM-Yr2-2025'!$E$5:$L$31, 0, 0),
        0, 0)
)</f>
        <v>14.93</v>
      </c>
      <c r="K254" t="s">
        <v>46</v>
      </c>
      <c r="L254" t="s">
        <v>13</v>
      </c>
      <c r="M254">
        <v>1</v>
      </c>
      <c r="N254" t="str">
        <f t="shared" si="3"/>
        <v>INSERT INTO TNL_RATING.dbo.usps_rate_master VALUES ('USPS', '2/13/2025', '2/13/2026', 12659, 'US', 'Priority Mail', 3, 18, 'L', 14.93, 'Wedgewood_USPS_2025', 'NonCubic','1');</v>
      </c>
    </row>
    <row r="255" spans="1:14" x14ac:dyDescent="0.3">
      <c r="A255" t="s">
        <v>11</v>
      </c>
      <c r="B255" s="1" t="s">
        <v>43</v>
      </c>
      <c r="C255" s="1" t="s">
        <v>44</v>
      </c>
      <c r="D255">
        <v>12659</v>
      </c>
      <c r="E255" t="s">
        <v>12</v>
      </c>
      <c r="F255" t="s">
        <v>47</v>
      </c>
      <c r="G255">
        <v>3</v>
      </c>
      <c r="H255">
        <v>19</v>
      </c>
      <c r="I255" t="s">
        <v>45</v>
      </c>
      <c r="J255" cm="1">
        <f t="array" ref="J255">IFERROR(
    _xlfn.XLOOKUP(G255, 'Wedgewood Pharm-PM-Yr2-2025'!$E$4:$L$4,
        _xlfn.XLOOKUP('Rate Load'!H255, 'Wedgewood Pharm-PM-Yr2-2025'!$D$5:$D$31,
            'Wedgewood Pharm-PM-Yr2-2025'!$E$5:$L$31, 0, 0),
        0, 0),
    _xlfn.XLOOKUP(G255, 'Wedgewood Pharm-PM-Yr2-2025'!$E$4:$L$4,
        _xlfn.XLOOKUP('Rate Load'!L255, 'Wedgewood Pharm-PM-Yr2-2025'!$D$5:$D$31,
            'Wedgewood Pharm-PM-Yr2-2025'!$E$5:$L$31, 0, 0),
        0, 0)
)</f>
        <v>15.42</v>
      </c>
      <c r="K255" t="s">
        <v>46</v>
      </c>
      <c r="L255" t="s">
        <v>13</v>
      </c>
      <c r="M255">
        <v>1</v>
      </c>
      <c r="N255" t="str">
        <f t="shared" si="3"/>
        <v>INSERT INTO TNL_RATING.dbo.usps_rate_master VALUES ('USPS', '2/13/2025', '2/13/2026', 12659, 'US', 'Priority Mail', 3, 19, 'L', 15.42, 'Wedgewood_USPS_2025', 'NonCubic','1');</v>
      </c>
    </row>
    <row r="256" spans="1:14" x14ac:dyDescent="0.3">
      <c r="A256" t="s">
        <v>11</v>
      </c>
      <c r="B256" s="1" t="s">
        <v>43</v>
      </c>
      <c r="C256" s="1" t="s">
        <v>44</v>
      </c>
      <c r="D256">
        <v>12659</v>
      </c>
      <c r="E256" t="s">
        <v>12</v>
      </c>
      <c r="F256" t="s">
        <v>47</v>
      </c>
      <c r="G256">
        <v>3</v>
      </c>
      <c r="H256">
        <v>20</v>
      </c>
      <c r="I256" t="s">
        <v>45</v>
      </c>
      <c r="J256" cm="1">
        <f t="array" ref="J256">IFERROR(
    _xlfn.XLOOKUP(G256, 'Wedgewood Pharm-PM-Yr2-2025'!$E$4:$L$4,
        _xlfn.XLOOKUP('Rate Load'!H256, 'Wedgewood Pharm-PM-Yr2-2025'!$D$5:$D$31,
            'Wedgewood Pharm-PM-Yr2-2025'!$E$5:$L$31, 0, 0),
        0, 0),
    _xlfn.XLOOKUP(G256, 'Wedgewood Pharm-PM-Yr2-2025'!$E$4:$L$4,
        _xlfn.XLOOKUP('Rate Load'!L256, 'Wedgewood Pharm-PM-Yr2-2025'!$D$5:$D$31,
            'Wedgewood Pharm-PM-Yr2-2025'!$E$5:$L$31, 0, 0),
        0, 0)
)</f>
        <v>15.74</v>
      </c>
      <c r="K256" t="s">
        <v>46</v>
      </c>
      <c r="L256" t="s">
        <v>13</v>
      </c>
      <c r="M256">
        <v>1</v>
      </c>
      <c r="N256" t="str">
        <f t="shared" si="3"/>
        <v>INSERT INTO TNL_RATING.dbo.usps_rate_master VALUES ('USPS', '2/13/2025', '2/13/2026', 12659, 'US', 'Priority Mail', 3, 20, 'L', 15.74, 'Wedgewood_USPS_2025', 'NonCubic','1');</v>
      </c>
    </row>
    <row r="257" spans="1:14" x14ac:dyDescent="0.3">
      <c r="A257" t="s">
        <v>11</v>
      </c>
      <c r="B257" s="1" t="s">
        <v>43</v>
      </c>
      <c r="C257" s="1" t="s">
        <v>44</v>
      </c>
      <c r="D257">
        <v>12659</v>
      </c>
      <c r="E257" t="s">
        <v>12</v>
      </c>
      <c r="F257" t="s">
        <v>47</v>
      </c>
      <c r="G257">
        <v>4</v>
      </c>
      <c r="H257">
        <v>0.5</v>
      </c>
      <c r="I257" t="s">
        <v>45</v>
      </c>
      <c r="J257" cm="1">
        <f t="array" ref="J257">IFERROR(
    _xlfn.XLOOKUP(G257, 'Wedgewood Pharm-PM-Yr2-2025'!$E$4:$L$4,
        _xlfn.XLOOKUP('Rate Load'!H257, 'Wedgewood Pharm-PM-Yr2-2025'!$D$5:$D$31,
            'Wedgewood Pharm-PM-Yr2-2025'!$E$5:$L$31, 0, 0),
        0, 0),
    _xlfn.XLOOKUP(G257, 'Wedgewood Pharm-PM-Yr2-2025'!$E$4:$L$4,
        _xlfn.XLOOKUP('Rate Load'!L257, 'Wedgewood Pharm-PM-Yr2-2025'!$D$5:$D$31,
            'Wedgewood Pharm-PM-Yr2-2025'!$E$5:$L$31, 0, 0),
        0, 0)
)</f>
        <v>6.97</v>
      </c>
      <c r="K257" t="s">
        <v>46</v>
      </c>
      <c r="L257" t="s">
        <v>13</v>
      </c>
      <c r="M257">
        <v>1</v>
      </c>
      <c r="N257" t="str">
        <f t="shared" si="3"/>
        <v>INSERT INTO TNL_RATING.dbo.usps_rate_master VALUES ('USPS', '2/13/2025', '2/13/2026', 12659, 'US', 'Priority Mail', 4, 0.5, 'L', 6.97, 'Wedgewood_USPS_2025', 'NonCubic','1');</v>
      </c>
    </row>
    <row r="258" spans="1:14" x14ac:dyDescent="0.3">
      <c r="A258" t="s">
        <v>11</v>
      </c>
      <c r="B258" s="1" t="s">
        <v>43</v>
      </c>
      <c r="C258" s="1" t="s">
        <v>44</v>
      </c>
      <c r="D258">
        <v>12659</v>
      </c>
      <c r="E258" t="s">
        <v>12</v>
      </c>
      <c r="F258" t="s">
        <v>47</v>
      </c>
      <c r="G258">
        <v>4</v>
      </c>
      <c r="H258">
        <v>1</v>
      </c>
      <c r="I258" t="s">
        <v>45</v>
      </c>
      <c r="J258" cm="1">
        <f t="array" ref="J258">IFERROR(
    _xlfn.XLOOKUP(G258, 'Wedgewood Pharm-PM-Yr2-2025'!$E$4:$L$4,
        _xlfn.XLOOKUP('Rate Load'!H258, 'Wedgewood Pharm-PM-Yr2-2025'!$D$5:$D$31,
            'Wedgewood Pharm-PM-Yr2-2025'!$E$5:$L$31, 0, 0),
        0, 0),
    _xlfn.XLOOKUP(G258, 'Wedgewood Pharm-PM-Yr2-2025'!$E$4:$L$4,
        _xlfn.XLOOKUP('Rate Load'!L258, 'Wedgewood Pharm-PM-Yr2-2025'!$D$5:$D$31,
            'Wedgewood Pharm-PM-Yr2-2025'!$E$5:$L$31, 0, 0),
        0, 0)
)</f>
        <v>6.97</v>
      </c>
      <c r="K258" t="s">
        <v>46</v>
      </c>
      <c r="L258" t="s">
        <v>13</v>
      </c>
      <c r="M258">
        <v>1</v>
      </c>
      <c r="N258" t="str">
        <f t="shared" si="3"/>
        <v>INSERT INTO TNL_RATING.dbo.usps_rate_master VALUES ('USPS', '2/13/2025', '2/13/2026', 12659, 'US', 'Priority Mail', 4, 1, 'L', 6.97, 'Wedgewood_USPS_2025', 'NonCubic','1');</v>
      </c>
    </row>
    <row r="259" spans="1:14" x14ac:dyDescent="0.3">
      <c r="A259" t="s">
        <v>11</v>
      </c>
      <c r="B259" s="1" t="s">
        <v>43</v>
      </c>
      <c r="C259" s="1" t="s">
        <v>44</v>
      </c>
      <c r="D259">
        <v>12659</v>
      </c>
      <c r="E259" t="s">
        <v>12</v>
      </c>
      <c r="F259" t="s">
        <v>47</v>
      </c>
      <c r="G259">
        <v>4</v>
      </c>
      <c r="H259">
        <v>2</v>
      </c>
      <c r="I259" t="s">
        <v>45</v>
      </c>
      <c r="J259" cm="1">
        <f t="array" ref="J259">IFERROR(
    _xlfn.XLOOKUP(G259, 'Wedgewood Pharm-PM-Yr2-2025'!$E$4:$L$4,
        _xlfn.XLOOKUP('Rate Load'!H259, 'Wedgewood Pharm-PM-Yr2-2025'!$D$5:$D$31,
            'Wedgewood Pharm-PM-Yr2-2025'!$E$5:$L$31, 0, 0),
        0, 0),
    _xlfn.XLOOKUP(G259, 'Wedgewood Pharm-PM-Yr2-2025'!$E$4:$L$4,
        _xlfn.XLOOKUP('Rate Load'!L259, 'Wedgewood Pharm-PM-Yr2-2025'!$D$5:$D$31,
            'Wedgewood Pharm-PM-Yr2-2025'!$E$5:$L$31, 0, 0),
        0, 0)
)</f>
        <v>7.09</v>
      </c>
      <c r="K259" t="s">
        <v>46</v>
      </c>
      <c r="L259" t="s">
        <v>13</v>
      </c>
      <c r="M259">
        <v>1</v>
      </c>
      <c r="N259" t="str">
        <f t="shared" ref="N259:N322" si="4">"INSERT INTO TNL_RATING.dbo.usps_rate_master VALUES ('" &amp; A259 &amp; "', '" &amp; B259 &amp; "', '" &amp; C259 &amp; "', " &amp; D259 &amp; ", '" &amp; E259 &amp; "', '" &amp; F259 &amp; "', " &amp; G259 &amp; ", " &amp; H259 &amp; ", '" &amp; I259 &amp; "', " &amp; J259 &amp; ", '" &amp; K259 &amp; "', '" &amp; L259 &amp; "','" &amp; M259 &amp; "');"</f>
        <v>INSERT INTO TNL_RATING.dbo.usps_rate_master VALUES ('USPS', '2/13/2025', '2/13/2026', 12659, 'US', 'Priority Mail', 4, 2, 'L', 7.09, 'Wedgewood_USPS_2025', 'NonCubic','1');</v>
      </c>
    </row>
    <row r="260" spans="1:14" x14ac:dyDescent="0.3">
      <c r="A260" t="s">
        <v>11</v>
      </c>
      <c r="B260" s="1" t="s">
        <v>43</v>
      </c>
      <c r="C260" s="1" t="s">
        <v>44</v>
      </c>
      <c r="D260">
        <v>12659</v>
      </c>
      <c r="E260" t="s">
        <v>12</v>
      </c>
      <c r="F260" t="s">
        <v>47</v>
      </c>
      <c r="G260">
        <v>4</v>
      </c>
      <c r="H260">
        <v>3</v>
      </c>
      <c r="I260" t="s">
        <v>45</v>
      </c>
      <c r="J260" cm="1">
        <f t="array" ref="J260">IFERROR(
    _xlfn.XLOOKUP(G260, 'Wedgewood Pharm-PM-Yr2-2025'!$E$4:$L$4,
        _xlfn.XLOOKUP('Rate Load'!H260, 'Wedgewood Pharm-PM-Yr2-2025'!$D$5:$D$31,
            'Wedgewood Pharm-PM-Yr2-2025'!$E$5:$L$31, 0, 0),
        0, 0),
    _xlfn.XLOOKUP(G260, 'Wedgewood Pharm-PM-Yr2-2025'!$E$4:$L$4,
        _xlfn.XLOOKUP('Rate Load'!L260, 'Wedgewood Pharm-PM-Yr2-2025'!$D$5:$D$31,
            'Wedgewood Pharm-PM-Yr2-2025'!$E$5:$L$31, 0, 0),
        0, 0)
)</f>
        <v>7.3599999999999994</v>
      </c>
      <c r="K260" t="s">
        <v>46</v>
      </c>
      <c r="L260" t="s">
        <v>13</v>
      </c>
      <c r="M260">
        <v>1</v>
      </c>
      <c r="N260" t="str">
        <f t="shared" si="4"/>
        <v>INSERT INTO TNL_RATING.dbo.usps_rate_master VALUES ('USPS', '2/13/2025', '2/13/2026', 12659, 'US', 'Priority Mail', 4, 3, 'L', 7.36, 'Wedgewood_USPS_2025', 'NonCubic','1');</v>
      </c>
    </row>
    <row r="261" spans="1:14" x14ac:dyDescent="0.3">
      <c r="A261" t="s">
        <v>11</v>
      </c>
      <c r="B261" s="1" t="s">
        <v>43</v>
      </c>
      <c r="C261" s="1" t="s">
        <v>44</v>
      </c>
      <c r="D261">
        <v>12659</v>
      </c>
      <c r="E261" t="s">
        <v>12</v>
      </c>
      <c r="F261" t="s">
        <v>47</v>
      </c>
      <c r="G261">
        <v>4</v>
      </c>
      <c r="H261">
        <v>4</v>
      </c>
      <c r="I261" t="s">
        <v>45</v>
      </c>
      <c r="J261" cm="1">
        <f t="array" ref="J261">IFERROR(
    _xlfn.XLOOKUP(G261, 'Wedgewood Pharm-PM-Yr2-2025'!$E$4:$L$4,
        _xlfn.XLOOKUP('Rate Load'!H261, 'Wedgewood Pharm-PM-Yr2-2025'!$D$5:$D$31,
            'Wedgewood Pharm-PM-Yr2-2025'!$E$5:$L$31, 0, 0),
        0, 0),
    _xlfn.XLOOKUP(G261, 'Wedgewood Pharm-PM-Yr2-2025'!$E$4:$L$4,
        _xlfn.XLOOKUP('Rate Load'!L261, 'Wedgewood Pharm-PM-Yr2-2025'!$D$5:$D$31,
            'Wedgewood Pharm-PM-Yr2-2025'!$E$5:$L$31, 0, 0),
        0, 0)
)</f>
        <v>7.3999999999999995</v>
      </c>
      <c r="K261" t="s">
        <v>46</v>
      </c>
      <c r="L261" t="s">
        <v>13</v>
      </c>
      <c r="M261">
        <v>1</v>
      </c>
      <c r="N261" t="str">
        <f t="shared" si="4"/>
        <v>INSERT INTO TNL_RATING.dbo.usps_rate_master VALUES ('USPS', '2/13/2025', '2/13/2026', 12659, 'US', 'Priority Mail', 4, 4, 'L', 7.4, 'Wedgewood_USPS_2025', 'NonCubic','1');</v>
      </c>
    </row>
    <row r="262" spans="1:14" x14ac:dyDescent="0.3">
      <c r="A262" t="s">
        <v>11</v>
      </c>
      <c r="B262" s="1" t="s">
        <v>43</v>
      </c>
      <c r="C262" s="1" t="s">
        <v>44</v>
      </c>
      <c r="D262">
        <v>12659</v>
      </c>
      <c r="E262" t="s">
        <v>12</v>
      </c>
      <c r="F262" t="s">
        <v>47</v>
      </c>
      <c r="G262">
        <v>4</v>
      </c>
      <c r="H262">
        <v>5</v>
      </c>
      <c r="I262" t="s">
        <v>45</v>
      </c>
      <c r="J262" cm="1">
        <f t="array" ref="J262">IFERROR(
    _xlfn.XLOOKUP(G262, 'Wedgewood Pharm-PM-Yr2-2025'!$E$4:$L$4,
        _xlfn.XLOOKUP('Rate Load'!H262, 'Wedgewood Pharm-PM-Yr2-2025'!$D$5:$D$31,
            'Wedgewood Pharm-PM-Yr2-2025'!$E$5:$L$31, 0, 0),
        0, 0),
    _xlfn.XLOOKUP(G262, 'Wedgewood Pharm-PM-Yr2-2025'!$E$4:$L$4,
        _xlfn.XLOOKUP('Rate Load'!L262, 'Wedgewood Pharm-PM-Yr2-2025'!$D$5:$D$31,
            'Wedgewood Pharm-PM-Yr2-2025'!$E$5:$L$31, 0, 0),
        0, 0)
)</f>
        <v>7.6099999999999994</v>
      </c>
      <c r="K262" t="s">
        <v>46</v>
      </c>
      <c r="L262" t="s">
        <v>13</v>
      </c>
      <c r="M262">
        <v>1</v>
      </c>
      <c r="N262" t="str">
        <f t="shared" si="4"/>
        <v>INSERT INTO TNL_RATING.dbo.usps_rate_master VALUES ('USPS', '2/13/2025', '2/13/2026', 12659, 'US', 'Priority Mail', 4, 5, 'L', 7.61, 'Wedgewood_USPS_2025', 'NonCubic','1');</v>
      </c>
    </row>
    <row r="263" spans="1:14" x14ac:dyDescent="0.3">
      <c r="A263" t="s">
        <v>11</v>
      </c>
      <c r="B263" s="1" t="s">
        <v>43</v>
      </c>
      <c r="C263" s="1" t="s">
        <v>44</v>
      </c>
      <c r="D263">
        <v>12659</v>
      </c>
      <c r="E263" t="s">
        <v>12</v>
      </c>
      <c r="F263" t="s">
        <v>47</v>
      </c>
      <c r="G263">
        <v>4</v>
      </c>
      <c r="H263">
        <v>6</v>
      </c>
      <c r="I263" t="s">
        <v>45</v>
      </c>
      <c r="J263" cm="1">
        <f t="array" ref="J263">IFERROR(
    _xlfn.XLOOKUP(G263, 'Wedgewood Pharm-PM-Yr2-2025'!$E$4:$L$4,
        _xlfn.XLOOKUP('Rate Load'!H263, 'Wedgewood Pharm-PM-Yr2-2025'!$D$5:$D$31,
            'Wedgewood Pharm-PM-Yr2-2025'!$E$5:$L$31, 0, 0),
        0, 0),
    _xlfn.XLOOKUP(G263, 'Wedgewood Pharm-PM-Yr2-2025'!$E$4:$L$4,
        _xlfn.XLOOKUP('Rate Load'!L263, 'Wedgewood Pharm-PM-Yr2-2025'!$D$5:$D$31,
            'Wedgewood Pharm-PM-Yr2-2025'!$E$5:$L$31, 0, 0),
        0, 0)
)</f>
        <v>8.06</v>
      </c>
      <c r="K263" t="s">
        <v>46</v>
      </c>
      <c r="L263" t="s">
        <v>13</v>
      </c>
      <c r="M263">
        <v>1</v>
      </c>
      <c r="N263" t="str">
        <f t="shared" si="4"/>
        <v>INSERT INTO TNL_RATING.dbo.usps_rate_master VALUES ('USPS', '2/13/2025', '2/13/2026', 12659, 'US', 'Priority Mail', 4, 6, 'L', 8.06, 'Wedgewood_USPS_2025', 'NonCubic','1');</v>
      </c>
    </row>
    <row r="264" spans="1:14" x14ac:dyDescent="0.3">
      <c r="A264" t="s">
        <v>11</v>
      </c>
      <c r="B264" s="1" t="s">
        <v>43</v>
      </c>
      <c r="C264" s="1" t="s">
        <v>44</v>
      </c>
      <c r="D264">
        <v>12659</v>
      </c>
      <c r="E264" t="s">
        <v>12</v>
      </c>
      <c r="F264" t="s">
        <v>47</v>
      </c>
      <c r="G264">
        <v>4</v>
      </c>
      <c r="H264">
        <v>7</v>
      </c>
      <c r="I264" t="s">
        <v>45</v>
      </c>
      <c r="J264" cm="1">
        <f t="array" ref="J264">IFERROR(
    _xlfn.XLOOKUP(G264, 'Wedgewood Pharm-PM-Yr2-2025'!$E$4:$L$4,
        _xlfn.XLOOKUP('Rate Load'!H264, 'Wedgewood Pharm-PM-Yr2-2025'!$D$5:$D$31,
            'Wedgewood Pharm-PM-Yr2-2025'!$E$5:$L$31, 0, 0),
        0, 0),
    _xlfn.XLOOKUP(G264, 'Wedgewood Pharm-PM-Yr2-2025'!$E$4:$L$4,
        _xlfn.XLOOKUP('Rate Load'!L264, 'Wedgewood Pharm-PM-Yr2-2025'!$D$5:$D$31,
            'Wedgewood Pharm-PM-Yr2-2025'!$E$5:$L$31, 0, 0),
        0, 0)
)</f>
        <v>10.15</v>
      </c>
      <c r="K264" t="s">
        <v>46</v>
      </c>
      <c r="L264" t="s">
        <v>13</v>
      </c>
      <c r="M264">
        <v>1</v>
      </c>
      <c r="N264" t="str">
        <f t="shared" si="4"/>
        <v>INSERT INTO TNL_RATING.dbo.usps_rate_master VALUES ('USPS', '2/13/2025', '2/13/2026', 12659, 'US', 'Priority Mail', 4, 7, 'L', 10.15, 'Wedgewood_USPS_2025', 'NonCubic','1');</v>
      </c>
    </row>
    <row r="265" spans="1:14" x14ac:dyDescent="0.3">
      <c r="A265" t="s">
        <v>11</v>
      </c>
      <c r="B265" s="1" t="s">
        <v>43</v>
      </c>
      <c r="C265" s="1" t="s">
        <v>44</v>
      </c>
      <c r="D265">
        <v>12659</v>
      </c>
      <c r="E265" t="s">
        <v>12</v>
      </c>
      <c r="F265" t="s">
        <v>47</v>
      </c>
      <c r="G265">
        <v>4</v>
      </c>
      <c r="H265">
        <v>8</v>
      </c>
      <c r="I265" t="s">
        <v>45</v>
      </c>
      <c r="J265" cm="1">
        <f t="array" ref="J265">IFERROR(
    _xlfn.XLOOKUP(G265, 'Wedgewood Pharm-PM-Yr2-2025'!$E$4:$L$4,
        _xlfn.XLOOKUP('Rate Load'!H265, 'Wedgewood Pharm-PM-Yr2-2025'!$D$5:$D$31,
            'Wedgewood Pharm-PM-Yr2-2025'!$E$5:$L$31, 0, 0),
        0, 0),
    _xlfn.XLOOKUP(G265, 'Wedgewood Pharm-PM-Yr2-2025'!$E$4:$L$4,
        _xlfn.XLOOKUP('Rate Load'!L265, 'Wedgewood Pharm-PM-Yr2-2025'!$D$5:$D$31,
            'Wedgewood Pharm-PM-Yr2-2025'!$E$5:$L$31, 0, 0),
        0, 0)
)</f>
        <v>11.19</v>
      </c>
      <c r="K265" t="s">
        <v>46</v>
      </c>
      <c r="L265" t="s">
        <v>13</v>
      </c>
      <c r="M265">
        <v>1</v>
      </c>
      <c r="N265" t="str">
        <f t="shared" si="4"/>
        <v>INSERT INTO TNL_RATING.dbo.usps_rate_master VALUES ('USPS', '2/13/2025', '2/13/2026', 12659, 'US', 'Priority Mail', 4, 8, 'L', 11.19, 'Wedgewood_USPS_2025', 'NonCubic','1');</v>
      </c>
    </row>
    <row r="266" spans="1:14" x14ac:dyDescent="0.3">
      <c r="A266" t="s">
        <v>11</v>
      </c>
      <c r="B266" s="1" t="s">
        <v>43</v>
      </c>
      <c r="C266" s="1" t="s">
        <v>44</v>
      </c>
      <c r="D266">
        <v>12659</v>
      </c>
      <c r="E266" t="s">
        <v>12</v>
      </c>
      <c r="F266" t="s">
        <v>47</v>
      </c>
      <c r="G266">
        <v>4</v>
      </c>
      <c r="H266">
        <v>9</v>
      </c>
      <c r="I266" t="s">
        <v>45</v>
      </c>
      <c r="J266" cm="1">
        <f t="array" ref="J266">IFERROR(
    _xlfn.XLOOKUP(G266, 'Wedgewood Pharm-PM-Yr2-2025'!$E$4:$L$4,
        _xlfn.XLOOKUP('Rate Load'!H266, 'Wedgewood Pharm-PM-Yr2-2025'!$D$5:$D$31,
            'Wedgewood Pharm-PM-Yr2-2025'!$E$5:$L$31, 0, 0),
        0, 0),
    _xlfn.XLOOKUP(G266, 'Wedgewood Pharm-PM-Yr2-2025'!$E$4:$L$4,
        _xlfn.XLOOKUP('Rate Load'!L266, 'Wedgewood Pharm-PM-Yr2-2025'!$D$5:$D$31,
            'Wedgewood Pharm-PM-Yr2-2025'!$E$5:$L$31, 0, 0),
        0, 0)
)</f>
        <v>11.73</v>
      </c>
      <c r="K266" t="s">
        <v>46</v>
      </c>
      <c r="L266" t="s">
        <v>13</v>
      </c>
      <c r="M266">
        <v>1</v>
      </c>
      <c r="N266" t="str">
        <f t="shared" si="4"/>
        <v>INSERT INTO TNL_RATING.dbo.usps_rate_master VALUES ('USPS', '2/13/2025', '2/13/2026', 12659, 'US', 'Priority Mail', 4, 9, 'L', 11.73, 'Wedgewood_USPS_2025', 'NonCubic','1');</v>
      </c>
    </row>
    <row r="267" spans="1:14" x14ac:dyDescent="0.3">
      <c r="A267" t="s">
        <v>11</v>
      </c>
      <c r="B267" s="1" t="s">
        <v>43</v>
      </c>
      <c r="C267" s="1" t="s">
        <v>44</v>
      </c>
      <c r="D267">
        <v>12659</v>
      </c>
      <c r="E267" t="s">
        <v>12</v>
      </c>
      <c r="F267" t="s">
        <v>47</v>
      </c>
      <c r="G267">
        <v>4</v>
      </c>
      <c r="H267">
        <v>10</v>
      </c>
      <c r="I267" t="s">
        <v>45</v>
      </c>
      <c r="J267" cm="1">
        <f t="array" ref="J267">IFERROR(
    _xlfn.XLOOKUP(G267, 'Wedgewood Pharm-PM-Yr2-2025'!$E$4:$L$4,
        _xlfn.XLOOKUP('Rate Load'!H267, 'Wedgewood Pharm-PM-Yr2-2025'!$D$5:$D$31,
            'Wedgewood Pharm-PM-Yr2-2025'!$E$5:$L$31, 0, 0),
        0, 0),
    _xlfn.XLOOKUP(G267, 'Wedgewood Pharm-PM-Yr2-2025'!$E$4:$L$4,
        _xlfn.XLOOKUP('Rate Load'!L267, 'Wedgewood Pharm-PM-Yr2-2025'!$D$5:$D$31,
            'Wedgewood Pharm-PM-Yr2-2025'!$E$5:$L$31, 0, 0),
        0, 0)
)</f>
        <v>12.08</v>
      </c>
      <c r="K267" t="s">
        <v>46</v>
      </c>
      <c r="L267" t="s">
        <v>13</v>
      </c>
      <c r="M267">
        <v>1</v>
      </c>
      <c r="N267" t="str">
        <f t="shared" si="4"/>
        <v>INSERT INTO TNL_RATING.dbo.usps_rate_master VALUES ('USPS', '2/13/2025', '2/13/2026', 12659, 'US', 'Priority Mail', 4, 10, 'L', 12.08, 'Wedgewood_USPS_2025', 'NonCubic','1');</v>
      </c>
    </row>
    <row r="268" spans="1:14" x14ac:dyDescent="0.3">
      <c r="A268" t="s">
        <v>11</v>
      </c>
      <c r="B268" s="1" t="s">
        <v>43</v>
      </c>
      <c r="C268" s="1" t="s">
        <v>44</v>
      </c>
      <c r="D268">
        <v>12659</v>
      </c>
      <c r="E268" t="s">
        <v>12</v>
      </c>
      <c r="F268" t="s">
        <v>47</v>
      </c>
      <c r="G268">
        <v>4</v>
      </c>
      <c r="H268">
        <v>11</v>
      </c>
      <c r="I268" t="s">
        <v>45</v>
      </c>
      <c r="J268" cm="1">
        <f t="array" ref="J268">IFERROR(
    _xlfn.XLOOKUP(G268, 'Wedgewood Pharm-PM-Yr2-2025'!$E$4:$L$4,
        _xlfn.XLOOKUP('Rate Load'!H268, 'Wedgewood Pharm-PM-Yr2-2025'!$D$5:$D$31,
            'Wedgewood Pharm-PM-Yr2-2025'!$E$5:$L$31, 0, 0),
        0, 0),
    _xlfn.XLOOKUP(G268, 'Wedgewood Pharm-PM-Yr2-2025'!$E$4:$L$4,
        _xlfn.XLOOKUP('Rate Load'!L268, 'Wedgewood Pharm-PM-Yr2-2025'!$D$5:$D$31,
            'Wedgewood Pharm-PM-Yr2-2025'!$E$5:$L$31, 0, 0),
        0, 0)
)</f>
        <v>13.15</v>
      </c>
      <c r="K268" t="s">
        <v>46</v>
      </c>
      <c r="L268" t="s">
        <v>13</v>
      </c>
      <c r="M268">
        <v>1</v>
      </c>
      <c r="N268" t="str">
        <f t="shared" si="4"/>
        <v>INSERT INTO TNL_RATING.dbo.usps_rate_master VALUES ('USPS', '2/13/2025', '2/13/2026', 12659, 'US', 'Priority Mail', 4, 11, 'L', 13.15, 'Wedgewood_USPS_2025', 'NonCubic','1');</v>
      </c>
    </row>
    <row r="269" spans="1:14" x14ac:dyDescent="0.3">
      <c r="A269" t="s">
        <v>11</v>
      </c>
      <c r="B269" s="1" t="s">
        <v>43</v>
      </c>
      <c r="C269" s="1" t="s">
        <v>44</v>
      </c>
      <c r="D269">
        <v>12659</v>
      </c>
      <c r="E269" t="s">
        <v>12</v>
      </c>
      <c r="F269" t="s">
        <v>47</v>
      </c>
      <c r="G269">
        <v>4</v>
      </c>
      <c r="H269">
        <v>12</v>
      </c>
      <c r="I269" t="s">
        <v>45</v>
      </c>
      <c r="J269" cm="1">
        <f t="array" ref="J269">IFERROR(
    _xlfn.XLOOKUP(G269, 'Wedgewood Pharm-PM-Yr2-2025'!$E$4:$L$4,
        _xlfn.XLOOKUP('Rate Load'!H269, 'Wedgewood Pharm-PM-Yr2-2025'!$D$5:$D$31,
            'Wedgewood Pharm-PM-Yr2-2025'!$E$5:$L$31, 0, 0),
        0, 0),
    _xlfn.XLOOKUP(G269, 'Wedgewood Pharm-PM-Yr2-2025'!$E$4:$L$4,
        _xlfn.XLOOKUP('Rate Load'!L269, 'Wedgewood Pharm-PM-Yr2-2025'!$D$5:$D$31,
            'Wedgewood Pharm-PM-Yr2-2025'!$E$5:$L$31, 0, 0),
        0, 0)
)</f>
        <v>13.76</v>
      </c>
      <c r="K269" t="s">
        <v>46</v>
      </c>
      <c r="L269" t="s">
        <v>13</v>
      </c>
      <c r="M269">
        <v>1</v>
      </c>
      <c r="N269" t="str">
        <f t="shared" si="4"/>
        <v>INSERT INTO TNL_RATING.dbo.usps_rate_master VALUES ('USPS', '2/13/2025', '2/13/2026', 12659, 'US', 'Priority Mail', 4, 12, 'L', 13.76, 'Wedgewood_USPS_2025', 'NonCubic','1');</v>
      </c>
    </row>
    <row r="270" spans="1:14" x14ac:dyDescent="0.3">
      <c r="A270" t="s">
        <v>11</v>
      </c>
      <c r="B270" s="1" t="s">
        <v>43</v>
      </c>
      <c r="C270" s="1" t="s">
        <v>44</v>
      </c>
      <c r="D270">
        <v>12659</v>
      </c>
      <c r="E270" t="s">
        <v>12</v>
      </c>
      <c r="F270" t="s">
        <v>47</v>
      </c>
      <c r="G270">
        <v>4</v>
      </c>
      <c r="H270">
        <v>13</v>
      </c>
      <c r="I270" t="s">
        <v>45</v>
      </c>
      <c r="J270" cm="1">
        <f t="array" ref="J270">IFERROR(
    _xlfn.XLOOKUP(G270, 'Wedgewood Pharm-PM-Yr2-2025'!$E$4:$L$4,
        _xlfn.XLOOKUP('Rate Load'!H270, 'Wedgewood Pharm-PM-Yr2-2025'!$D$5:$D$31,
            'Wedgewood Pharm-PM-Yr2-2025'!$E$5:$L$31, 0, 0),
        0, 0),
    _xlfn.XLOOKUP(G270, 'Wedgewood Pharm-PM-Yr2-2025'!$E$4:$L$4,
        _xlfn.XLOOKUP('Rate Load'!L270, 'Wedgewood Pharm-PM-Yr2-2025'!$D$5:$D$31,
            'Wedgewood Pharm-PM-Yr2-2025'!$E$5:$L$31, 0, 0),
        0, 0)
)</f>
        <v>14.209999999999999</v>
      </c>
      <c r="K270" t="s">
        <v>46</v>
      </c>
      <c r="L270" t="s">
        <v>13</v>
      </c>
      <c r="M270">
        <v>1</v>
      </c>
      <c r="N270" t="str">
        <f t="shared" si="4"/>
        <v>INSERT INTO TNL_RATING.dbo.usps_rate_master VALUES ('USPS', '2/13/2025', '2/13/2026', 12659, 'US', 'Priority Mail', 4, 13, 'L', 14.21, 'Wedgewood_USPS_2025', 'NonCubic','1');</v>
      </c>
    </row>
    <row r="271" spans="1:14" x14ac:dyDescent="0.3">
      <c r="A271" t="s">
        <v>11</v>
      </c>
      <c r="B271" s="1" t="s">
        <v>43</v>
      </c>
      <c r="C271" s="1" t="s">
        <v>44</v>
      </c>
      <c r="D271">
        <v>12659</v>
      </c>
      <c r="E271" t="s">
        <v>12</v>
      </c>
      <c r="F271" t="s">
        <v>47</v>
      </c>
      <c r="G271">
        <v>4</v>
      </c>
      <c r="H271">
        <v>14</v>
      </c>
      <c r="I271" t="s">
        <v>45</v>
      </c>
      <c r="J271" cm="1">
        <f t="array" ref="J271">IFERROR(
    _xlfn.XLOOKUP(G271, 'Wedgewood Pharm-PM-Yr2-2025'!$E$4:$L$4,
        _xlfn.XLOOKUP('Rate Load'!H271, 'Wedgewood Pharm-PM-Yr2-2025'!$D$5:$D$31,
            'Wedgewood Pharm-PM-Yr2-2025'!$E$5:$L$31, 0, 0),
        0, 0),
    _xlfn.XLOOKUP(G271, 'Wedgewood Pharm-PM-Yr2-2025'!$E$4:$L$4,
        _xlfn.XLOOKUP('Rate Load'!L271, 'Wedgewood Pharm-PM-Yr2-2025'!$D$5:$D$31,
            'Wedgewood Pharm-PM-Yr2-2025'!$E$5:$L$31, 0, 0),
        0, 0)
)</f>
        <v>14.459999999999999</v>
      </c>
      <c r="K271" t="s">
        <v>46</v>
      </c>
      <c r="L271" t="s">
        <v>13</v>
      </c>
      <c r="M271">
        <v>1</v>
      </c>
      <c r="N271" t="str">
        <f t="shared" si="4"/>
        <v>INSERT INTO TNL_RATING.dbo.usps_rate_master VALUES ('USPS', '2/13/2025', '2/13/2026', 12659, 'US', 'Priority Mail', 4, 14, 'L', 14.46, 'Wedgewood_USPS_2025', 'NonCubic','1');</v>
      </c>
    </row>
    <row r="272" spans="1:14" x14ac:dyDescent="0.3">
      <c r="A272" t="s">
        <v>11</v>
      </c>
      <c r="B272" s="1" t="s">
        <v>43</v>
      </c>
      <c r="C272" s="1" t="s">
        <v>44</v>
      </c>
      <c r="D272">
        <v>12659</v>
      </c>
      <c r="E272" t="s">
        <v>12</v>
      </c>
      <c r="F272" t="s">
        <v>47</v>
      </c>
      <c r="G272">
        <v>4</v>
      </c>
      <c r="H272">
        <v>15</v>
      </c>
      <c r="I272" t="s">
        <v>45</v>
      </c>
      <c r="J272" cm="1">
        <f t="array" ref="J272">IFERROR(
    _xlfn.XLOOKUP(G272, 'Wedgewood Pharm-PM-Yr2-2025'!$E$4:$L$4,
        _xlfn.XLOOKUP('Rate Load'!H272, 'Wedgewood Pharm-PM-Yr2-2025'!$D$5:$D$31,
            'Wedgewood Pharm-PM-Yr2-2025'!$E$5:$L$31, 0, 0),
        0, 0),
    _xlfn.XLOOKUP(G272, 'Wedgewood Pharm-PM-Yr2-2025'!$E$4:$L$4,
        _xlfn.XLOOKUP('Rate Load'!L272, 'Wedgewood Pharm-PM-Yr2-2025'!$D$5:$D$31,
            'Wedgewood Pharm-PM-Yr2-2025'!$E$5:$L$31, 0, 0),
        0, 0)
)</f>
        <v>14.879999999999999</v>
      </c>
      <c r="K272" t="s">
        <v>46</v>
      </c>
      <c r="L272" t="s">
        <v>13</v>
      </c>
      <c r="M272">
        <v>1</v>
      </c>
      <c r="N272" t="str">
        <f t="shared" si="4"/>
        <v>INSERT INTO TNL_RATING.dbo.usps_rate_master VALUES ('USPS', '2/13/2025', '2/13/2026', 12659, 'US', 'Priority Mail', 4, 15, 'L', 14.88, 'Wedgewood_USPS_2025', 'NonCubic','1');</v>
      </c>
    </row>
    <row r="273" spans="1:14" x14ac:dyDescent="0.3">
      <c r="A273" t="s">
        <v>11</v>
      </c>
      <c r="B273" s="1" t="s">
        <v>43</v>
      </c>
      <c r="C273" s="1" t="s">
        <v>44</v>
      </c>
      <c r="D273">
        <v>12659</v>
      </c>
      <c r="E273" t="s">
        <v>12</v>
      </c>
      <c r="F273" t="s">
        <v>47</v>
      </c>
      <c r="G273">
        <v>4</v>
      </c>
      <c r="H273">
        <v>16</v>
      </c>
      <c r="I273" t="s">
        <v>45</v>
      </c>
      <c r="J273" cm="1">
        <f t="array" ref="J273">IFERROR(
    _xlfn.XLOOKUP(G273, 'Wedgewood Pharm-PM-Yr2-2025'!$E$4:$L$4,
        _xlfn.XLOOKUP('Rate Load'!H273, 'Wedgewood Pharm-PM-Yr2-2025'!$D$5:$D$31,
            'Wedgewood Pharm-PM-Yr2-2025'!$E$5:$L$31, 0, 0),
        0, 0),
    _xlfn.XLOOKUP(G273, 'Wedgewood Pharm-PM-Yr2-2025'!$E$4:$L$4,
        _xlfn.XLOOKUP('Rate Load'!L273, 'Wedgewood Pharm-PM-Yr2-2025'!$D$5:$D$31,
            'Wedgewood Pharm-PM-Yr2-2025'!$E$5:$L$31, 0, 0),
        0, 0)
)</f>
        <v>15.129999999999999</v>
      </c>
      <c r="K273" t="s">
        <v>46</v>
      </c>
      <c r="L273" t="s">
        <v>13</v>
      </c>
      <c r="M273">
        <v>1</v>
      </c>
      <c r="N273" t="str">
        <f t="shared" si="4"/>
        <v>INSERT INTO TNL_RATING.dbo.usps_rate_master VALUES ('USPS', '2/13/2025', '2/13/2026', 12659, 'US', 'Priority Mail', 4, 16, 'L', 15.13, 'Wedgewood_USPS_2025', 'NonCubic','1');</v>
      </c>
    </row>
    <row r="274" spans="1:14" x14ac:dyDescent="0.3">
      <c r="A274" t="s">
        <v>11</v>
      </c>
      <c r="B274" s="1" t="s">
        <v>43</v>
      </c>
      <c r="C274" s="1" t="s">
        <v>44</v>
      </c>
      <c r="D274">
        <v>12659</v>
      </c>
      <c r="E274" t="s">
        <v>12</v>
      </c>
      <c r="F274" t="s">
        <v>47</v>
      </c>
      <c r="G274">
        <v>4</v>
      </c>
      <c r="H274">
        <v>17</v>
      </c>
      <c r="I274" t="s">
        <v>45</v>
      </c>
      <c r="J274" cm="1">
        <f t="array" ref="J274">IFERROR(
    _xlfn.XLOOKUP(G274, 'Wedgewood Pharm-PM-Yr2-2025'!$E$4:$L$4,
        _xlfn.XLOOKUP('Rate Load'!H274, 'Wedgewood Pharm-PM-Yr2-2025'!$D$5:$D$31,
            'Wedgewood Pharm-PM-Yr2-2025'!$E$5:$L$31, 0, 0),
        0, 0),
    _xlfn.XLOOKUP(G274, 'Wedgewood Pharm-PM-Yr2-2025'!$E$4:$L$4,
        _xlfn.XLOOKUP('Rate Load'!L274, 'Wedgewood Pharm-PM-Yr2-2025'!$D$5:$D$31,
            'Wedgewood Pharm-PM-Yr2-2025'!$E$5:$L$31, 0, 0),
        0, 0)
)</f>
        <v>15.53</v>
      </c>
      <c r="K274" t="s">
        <v>46</v>
      </c>
      <c r="L274" t="s">
        <v>13</v>
      </c>
      <c r="M274">
        <v>1</v>
      </c>
      <c r="N274" t="str">
        <f t="shared" si="4"/>
        <v>INSERT INTO TNL_RATING.dbo.usps_rate_master VALUES ('USPS', '2/13/2025', '2/13/2026', 12659, 'US', 'Priority Mail', 4, 17, 'L', 15.53, 'Wedgewood_USPS_2025', 'NonCubic','1');</v>
      </c>
    </row>
    <row r="275" spans="1:14" x14ac:dyDescent="0.3">
      <c r="A275" t="s">
        <v>11</v>
      </c>
      <c r="B275" s="1" t="s">
        <v>43</v>
      </c>
      <c r="C275" s="1" t="s">
        <v>44</v>
      </c>
      <c r="D275">
        <v>12659</v>
      </c>
      <c r="E275" t="s">
        <v>12</v>
      </c>
      <c r="F275" t="s">
        <v>47</v>
      </c>
      <c r="G275">
        <v>4</v>
      </c>
      <c r="H275">
        <v>18</v>
      </c>
      <c r="I275" t="s">
        <v>45</v>
      </c>
      <c r="J275" cm="1">
        <f t="array" ref="J275">IFERROR(
    _xlfn.XLOOKUP(G275, 'Wedgewood Pharm-PM-Yr2-2025'!$E$4:$L$4,
        _xlfn.XLOOKUP('Rate Load'!H275, 'Wedgewood Pharm-PM-Yr2-2025'!$D$5:$D$31,
            'Wedgewood Pharm-PM-Yr2-2025'!$E$5:$L$31, 0, 0),
        0, 0),
    _xlfn.XLOOKUP(G275, 'Wedgewood Pharm-PM-Yr2-2025'!$E$4:$L$4,
        _xlfn.XLOOKUP('Rate Load'!L275, 'Wedgewood Pharm-PM-Yr2-2025'!$D$5:$D$31,
            'Wedgewood Pharm-PM-Yr2-2025'!$E$5:$L$31, 0, 0),
        0, 0)
)</f>
        <v>15.799999999999999</v>
      </c>
      <c r="K275" t="s">
        <v>46</v>
      </c>
      <c r="L275" t="s">
        <v>13</v>
      </c>
      <c r="M275">
        <v>1</v>
      </c>
      <c r="N275" t="str">
        <f t="shared" si="4"/>
        <v>INSERT INTO TNL_RATING.dbo.usps_rate_master VALUES ('USPS', '2/13/2025', '2/13/2026', 12659, 'US', 'Priority Mail', 4, 18, 'L', 15.8, 'Wedgewood_USPS_2025', 'NonCubic','1');</v>
      </c>
    </row>
    <row r="276" spans="1:14" x14ac:dyDescent="0.3">
      <c r="A276" t="s">
        <v>11</v>
      </c>
      <c r="B276" s="1" t="s">
        <v>43</v>
      </c>
      <c r="C276" s="1" t="s">
        <v>44</v>
      </c>
      <c r="D276">
        <v>12659</v>
      </c>
      <c r="E276" t="s">
        <v>12</v>
      </c>
      <c r="F276" t="s">
        <v>47</v>
      </c>
      <c r="G276">
        <v>4</v>
      </c>
      <c r="H276">
        <v>19</v>
      </c>
      <c r="I276" t="s">
        <v>45</v>
      </c>
      <c r="J276" cm="1">
        <f t="array" ref="J276">IFERROR(
    _xlfn.XLOOKUP(G276, 'Wedgewood Pharm-PM-Yr2-2025'!$E$4:$L$4,
        _xlfn.XLOOKUP('Rate Load'!H276, 'Wedgewood Pharm-PM-Yr2-2025'!$D$5:$D$31,
            'Wedgewood Pharm-PM-Yr2-2025'!$E$5:$L$31, 0, 0),
        0, 0),
    _xlfn.XLOOKUP(G276, 'Wedgewood Pharm-PM-Yr2-2025'!$E$4:$L$4,
        _xlfn.XLOOKUP('Rate Load'!L276, 'Wedgewood Pharm-PM-Yr2-2025'!$D$5:$D$31,
            'Wedgewood Pharm-PM-Yr2-2025'!$E$5:$L$31, 0, 0),
        0, 0)
)</f>
        <v>16.290000000000003</v>
      </c>
      <c r="K276" t="s">
        <v>46</v>
      </c>
      <c r="L276" t="s">
        <v>13</v>
      </c>
      <c r="M276">
        <v>1</v>
      </c>
      <c r="N276" t="str">
        <f t="shared" si="4"/>
        <v>INSERT INTO TNL_RATING.dbo.usps_rate_master VALUES ('USPS', '2/13/2025', '2/13/2026', 12659, 'US', 'Priority Mail', 4, 19, 'L', 16.29, 'Wedgewood_USPS_2025', 'NonCubic','1');</v>
      </c>
    </row>
    <row r="277" spans="1:14" x14ac:dyDescent="0.3">
      <c r="A277" t="s">
        <v>11</v>
      </c>
      <c r="B277" s="1" t="s">
        <v>43</v>
      </c>
      <c r="C277" s="1" t="s">
        <v>44</v>
      </c>
      <c r="D277">
        <v>12659</v>
      </c>
      <c r="E277" t="s">
        <v>12</v>
      </c>
      <c r="F277" t="s">
        <v>47</v>
      </c>
      <c r="G277">
        <v>4</v>
      </c>
      <c r="H277">
        <v>20</v>
      </c>
      <c r="I277" t="s">
        <v>45</v>
      </c>
      <c r="J277" cm="1">
        <f t="array" ref="J277">IFERROR(
    _xlfn.XLOOKUP(G277, 'Wedgewood Pharm-PM-Yr2-2025'!$E$4:$L$4,
        _xlfn.XLOOKUP('Rate Load'!H277, 'Wedgewood Pharm-PM-Yr2-2025'!$D$5:$D$31,
            'Wedgewood Pharm-PM-Yr2-2025'!$E$5:$L$31, 0, 0),
        0, 0),
    _xlfn.XLOOKUP(G277, 'Wedgewood Pharm-PM-Yr2-2025'!$E$4:$L$4,
        _xlfn.XLOOKUP('Rate Load'!L277, 'Wedgewood Pharm-PM-Yr2-2025'!$D$5:$D$31,
            'Wedgewood Pharm-PM-Yr2-2025'!$E$5:$L$31, 0, 0),
        0, 0)
)</f>
        <v>16.690000000000001</v>
      </c>
      <c r="K277" t="s">
        <v>46</v>
      </c>
      <c r="L277" t="s">
        <v>13</v>
      </c>
      <c r="M277">
        <v>1</v>
      </c>
      <c r="N277" t="str">
        <f t="shared" si="4"/>
        <v>INSERT INTO TNL_RATING.dbo.usps_rate_master VALUES ('USPS', '2/13/2025', '2/13/2026', 12659, 'US', 'Priority Mail', 4, 20, 'L', 16.69, 'Wedgewood_USPS_2025', 'NonCubic','1');</v>
      </c>
    </row>
    <row r="278" spans="1:14" x14ac:dyDescent="0.3">
      <c r="A278" t="s">
        <v>11</v>
      </c>
      <c r="B278" s="1" t="s">
        <v>43</v>
      </c>
      <c r="C278" s="1" t="s">
        <v>44</v>
      </c>
      <c r="D278">
        <v>12659</v>
      </c>
      <c r="E278" t="s">
        <v>12</v>
      </c>
      <c r="F278" t="s">
        <v>47</v>
      </c>
      <c r="G278">
        <v>5</v>
      </c>
      <c r="H278">
        <v>0.5</v>
      </c>
      <c r="I278" t="s">
        <v>45</v>
      </c>
      <c r="J278" cm="1">
        <f t="array" ref="J278">IFERROR(
    _xlfn.XLOOKUP(G278, 'Wedgewood Pharm-PM-Yr2-2025'!$E$4:$L$4,
        _xlfn.XLOOKUP('Rate Load'!H278, 'Wedgewood Pharm-PM-Yr2-2025'!$D$5:$D$31,
            'Wedgewood Pharm-PM-Yr2-2025'!$E$5:$L$31, 0, 0),
        0, 0),
    _xlfn.XLOOKUP(G278, 'Wedgewood Pharm-PM-Yr2-2025'!$E$4:$L$4,
        _xlfn.XLOOKUP('Rate Load'!L278, 'Wedgewood Pharm-PM-Yr2-2025'!$D$5:$D$31,
            'Wedgewood Pharm-PM-Yr2-2025'!$E$5:$L$31, 0, 0),
        0, 0)
)</f>
        <v>6.97</v>
      </c>
      <c r="K278" t="s">
        <v>46</v>
      </c>
      <c r="L278" t="s">
        <v>13</v>
      </c>
      <c r="M278">
        <v>1</v>
      </c>
      <c r="N278" t="str">
        <f t="shared" si="4"/>
        <v>INSERT INTO TNL_RATING.dbo.usps_rate_master VALUES ('USPS', '2/13/2025', '2/13/2026', 12659, 'US', 'Priority Mail', 5, 0.5, 'L', 6.97, 'Wedgewood_USPS_2025', 'NonCubic','1');</v>
      </c>
    </row>
    <row r="279" spans="1:14" x14ac:dyDescent="0.3">
      <c r="A279" t="s">
        <v>11</v>
      </c>
      <c r="B279" s="1" t="s">
        <v>43</v>
      </c>
      <c r="C279" s="1" t="s">
        <v>44</v>
      </c>
      <c r="D279">
        <v>12659</v>
      </c>
      <c r="E279" t="s">
        <v>12</v>
      </c>
      <c r="F279" t="s">
        <v>47</v>
      </c>
      <c r="G279">
        <v>5</v>
      </c>
      <c r="H279">
        <v>1</v>
      </c>
      <c r="I279" t="s">
        <v>45</v>
      </c>
      <c r="J279" cm="1">
        <f t="array" ref="J279">IFERROR(
    _xlfn.XLOOKUP(G279, 'Wedgewood Pharm-PM-Yr2-2025'!$E$4:$L$4,
        _xlfn.XLOOKUP('Rate Load'!H279, 'Wedgewood Pharm-PM-Yr2-2025'!$D$5:$D$31,
            'Wedgewood Pharm-PM-Yr2-2025'!$E$5:$L$31, 0, 0),
        0, 0),
    _xlfn.XLOOKUP(G279, 'Wedgewood Pharm-PM-Yr2-2025'!$E$4:$L$4,
        _xlfn.XLOOKUP('Rate Load'!L279, 'Wedgewood Pharm-PM-Yr2-2025'!$D$5:$D$31,
            'Wedgewood Pharm-PM-Yr2-2025'!$E$5:$L$31, 0, 0),
        0, 0)
)</f>
        <v>7.1099999999999994</v>
      </c>
      <c r="K279" t="s">
        <v>46</v>
      </c>
      <c r="L279" t="s">
        <v>13</v>
      </c>
      <c r="M279">
        <v>1</v>
      </c>
      <c r="N279" t="str">
        <f t="shared" si="4"/>
        <v>INSERT INTO TNL_RATING.dbo.usps_rate_master VALUES ('USPS', '2/13/2025', '2/13/2026', 12659, 'US', 'Priority Mail', 5, 1, 'L', 7.11, 'Wedgewood_USPS_2025', 'NonCubic','1');</v>
      </c>
    </row>
    <row r="280" spans="1:14" x14ac:dyDescent="0.3">
      <c r="A280" t="s">
        <v>11</v>
      </c>
      <c r="B280" s="1" t="s">
        <v>43</v>
      </c>
      <c r="C280" s="1" t="s">
        <v>44</v>
      </c>
      <c r="D280">
        <v>12659</v>
      </c>
      <c r="E280" t="s">
        <v>12</v>
      </c>
      <c r="F280" t="s">
        <v>47</v>
      </c>
      <c r="G280">
        <v>5</v>
      </c>
      <c r="H280">
        <v>2</v>
      </c>
      <c r="I280" t="s">
        <v>45</v>
      </c>
      <c r="J280" cm="1">
        <f t="array" ref="J280">IFERROR(
    _xlfn.XLOOKUP(G280, 'Wedgewood Pharm-PM-Yr2-2025'!$E$4:$L$4,
        _xlfn.XLOOKUP('Rate Load'!H280, 'Wedgewood Pharm-PM-Yr2-2025'!$D$5:$D$31,
            'Wedgewood Pharm-PM-Yr2-2025'!$E$5:$L$31, 0, 0),
        0, 0),
    _xlfn.XLOOKUP(G280, 'Wedgewood Pharm-PM-Yr2-2025'!$E$4:$L$4,
        _xlfn.XLOOKUP('Rate Load'!L280, 'Wedgewood Pharm-PM-Yr2-2025'!$D$5:$D$31,
            'Wedgewood Pharm-PM-Yr2-2025'!$E$5:$L$31, 0, 0),
        0, 0)
)</f>
        <v>8.1199999999999992</v>
      </c>
      <c r="K280" t="s">
        <v>46</v>
      </c>
      <c r="L280" t="s">
        <v>13</v>
      </c>
      <c r="M280">
        <v>1</v>
      </c>
      <c r="N280" t="str">
        <f t="shared" si="4"/>
        <v>INSERT INTO TNL_RATING.dbo.usps_rate_master VALUES ('USPS', '2/13/2025', '2/13/2026', 12659, 'US', 'Priority Mail', 5, 2, 'L', 8.12, 'Wedgewood_USPS_2025', 'NonCubic','1');</v>
      </c>
    </row>
    <row r="281" spans="1:14" x14ac:dyDescent="0.3">
      <c r="A281" t="s">
        <v>11</v>
      </c>
      <c r="B281" s="1" t="s">
        <v>43</v>
      </c>
      <c r="C281" s="1" t="s">
        <v>44</v>
      </c>
      <c r="D281">
        <v>12659</v>
      </c>
      <c r="E281" t="s">
        <v>12</v>
      </c>
      <c r="F281" t="s">
        <v>47</v>
      </c>
      <c r="G281">
        <v>5</v>
      </c>
      <c r="H281">
        <v>3</v>
      </c>
      <c r="I281" t="s">
        <v>45</v>
      </c>
      <c r="J281" cm="1">
        <f t="array" ref="J281">IFERROR(
    _xlfn.XLOOKUP(G281, 'Wedgewood Pharm-PM-Yr2-2025'!$E$4:$L$4,
        _xlfn.XLOOKUP('Rate Load'!H281, 'Wedgewood Pharm-PM-Yr2-2025'!$D$5:$D$31,
            'Wedgewood Pharm-PM-Yr2-2025'!$E$5:$L$31, 0, 0),
        0, 0),
    _xlfn.XLOOKUP(G281, 'Wedgewood Pharm-PM-Yr2-2025'!$E$4:$L$4,
        _xlfn.XLOOKUP('Rate Load'!L281, 'Wedgewood Pharm-PM-Yr2-2025'!$D$5:$D$31,
            'Wedgewood Pharm-PM-Yr2-2025'!$E$5:$L$31, 0, 0),
        0, 0)
)</f>
        <v>9.82</v>
      </c>
      <c r="K281" t="s">
        <v>46</v>
      </c>
      <c r="L281" t="s">
        <v>13</v>
      </c>
      <c r="M281">
        <v>1</v>
      </c>
      <c r="N281" t="str">
        <f t="shared" si="4"/>
        <v>INSERT INTO TNL_RATING.dbo.usps_rate_master VALUES ('USPS', '2/13/2025', '2/13/2026', 12659, 'US', 'Priority Mail', 5, 3, 'L', 9.82, 'Wedgewood_USPS_2025', 'NonCubic','1');</v>
      </c>
    </row>
    <row r="282" spans="1:14" x14ac:dyDescent="0.3">
      <c r="A282" t="s">
        <v>11</v>
      </c>
      <c r="B282" s="1" t="s">
        <v>43</v>
      </c>
      <c r="C282" s="1" t="s">
        <v>44</v>
      </c>
      <c r="D282">
        <v>12659</v>
      </c>
      <c r="E282" t="s">
        <v>12</v>
      </c>
      <c r="F282" t="s">
        <v>47</v>
      </c>
      <c r="G282">
        <v>5</v>
      </c>
      <c r="H282">
        <v>4</v>
      </c>
      <c r="I282" t="s">
        <v>45</v>
      </c>
      <c r="J282" cm="1">
        <f t="array" ref="J282">IFERROR(
    _xlfn.XLOOKUP(G282, 'Wedgewood Pharm-PM-Yr2-2025'!$E$4:$L$4,
        _xlfn.XLOOKUP('Rate Load'!H282, 'Wedgewood Pharm-PM-Yr2-2025'!$D$5:$D$31,
            'Wedgewood Pharm-PM-Yr2-2025'!$E$5:$L$31, 0, 0),
        0, 0),
    _xlfn.XLOOKUP(G282, 'Wedgewood Pharm-PM-Yr2-2025'!$E$4:$L$4,
        _xlfn.XLOOKUP('Rate Load'!L282, 'Wedgewood Pharm-PM-Yr2-2025'!$D$5:$D$31,
            'Wedgewood Pharm-PM-Yr2-2025'!$E$5:$L$31, 0, 0),
        0, 0)
)</f>
        <v>11.51</v>
      </c>
      <c r="K282" t="s">
        <v>46</v>
      </c>
      <c r="L282" t="s">
        <v>13</v>
      </c>
      <c r="M282">
        <v>1</v>
      </c>
      <c r="N282" t="str">
        <f t="shared" si="4"/>
        <v>INSERT INTO TNL_RATING.dbo.usps_rate_master VALUES ('USPS', '2/13/2025', '2/13/2026', 12659, 'US', 'Priority Mail', 5, 4, 'L', 11.51, 'Wedgewood_USPS_2025', 'NonCubic','1');</v>
      </c>
    </row>
    <row r="283" spans="1:14" x14ac:dyDescent="0.3">
      <c r="A283" t="s">
        <v>11</v>
      </c>
      <c r="B283" s="1" t="s">
        <v>43</v>
      </c>
      <c r="C283" s="1" t="s">
        <v>44</v>
      </c>
      <c r="D283">
        <v>12659</v>
      </c>
      <c r="E283" t="s">
        <v>12</v>
      </c>
      <c r="F283" t="s">
        <v>47</v>
      </c>
      <c r="G283">
        <v>5</v>
      </c>
      <c r="H283">
        <v>5</v>
      </c>
      <c r="I283" t="s">
        <v>45</v>
      </c>
      <c r="J283" cm="1">
        <f t="array" ref="J283">IFERROR(
    _xlfn.XLOOKUP(G283, 'Wedgewood Pharm-PM-Yr2-2025'!$E$4:$L$4,
        _xlfn.XLOOKUP('Rate Load'!H283, 'Wedgewood Pharm-PM-Yr2-2025'!$D$5:$D$31,
            'Wedgewood Pharm-PM-Yr2-2025'!$E$5:$L$31, 0, 0),
        0, 0),
    _xlfn.XLOOKUP(G283, 'Wedgewood Pharm-PM-Yr2-2025'!$E$4:$L$4,
        _xlfn.XLOOKUP('Rate Load'!L283, 'Wedgewood Pharm-PM-Yr2-2025'!$D$5:$D$31,
            'Wedgewood Pharm-PM-Yr2-2025'!$E$5:$L$31, 0, 0),
        0, 0)
)</f>
        <v>12.709999999999999</v>
      </c>
      <c r="K283" t="s">
        <v>46</v>
      </c>
      <c r="L283" t="s">
        <v>13</v>
      </c>
      <c r="M283">
        <v>1</v>
      </c>
      <c r="N283" t="str">
        <f t="shared" si="4"/>
        <v>INSERT INTO TNL_RATING.dbo.usps_rate_master VALUES ('USPS', '2/13/2025', '2/13/2026', 12659, 'US', 'Priority Mail', 5, 5, 'L', 12.71, 'Wedgewood_USPS_2025', 'NonCubic','1');</v>
      </c>
    </row>
    <row r="284" spans="1:14" x14ac:dyDescent="0.3">
      <c r="A284" t="s">
        <v>11</v>
      </c>
      <c r="B284" s="1" t="s">
        <v>43</v>
      </c>
      <c r="C284" s="1" t="s">
        <v>44</v>
      </c>
      <c r="D284">
        <v>12659</v>
      </c>
      <c r="E284" t="s">
        <v>12</v>
      </c>
      <c r="F284" t="s">
        <v>47</v>
      </c>
      <c r="G284">
        <v>5</v>
      </c>
      <c r="H284">
        <v>6</v>
      </c>
      <c r="I284" t="s">
        <v>45</v>
      </c>
      <c r="J284" cm="1">
        <f t="array" ref="J284">IFERROR(
    _xlfn.XLOOKUP(G284, 'Wedgewood Pharm-PM-Yr2-2025'!$E$4:$L$4,
        _xlfn.XLOOKUP('Rate Load'!H284, 'Wedgewood Pharm-PM-Yr2-2025'!$D$5:$D$31,
            'Wedgewood Pharm-PM-Yr2-2025'!$E$5:$L$31, 0, 0),
        0, 0),
    _xlfn.XLOOKUP(G284, 'Wedgewood Pharm-PM-Yr2-2025'!$E$4:$L$4,
        _xlfn.XLOOKUP('Rate Load'!L284, 'Wedgewood Pharm-PM-Yr2-2025'!$D$5:$D$31,
            'Wedgewood Pharm-PM-Yr2-2025'!$E$5:$L$31, 0, 0),
        0, 0)
)</f>
        <v>14.18</v>
      </c>
      <c r="K284" t="s">
        <v>46</v>
      </c>
      <c r="L284" t="s">
        <v>13</v>
      </c>
      <c r="M284">
        <v>1</v>
      </c>
      <c r="N284" t="str">
        <f t="shared" si="4"/>
        <v>INSERT INTO TNL_RATING.dbo.usps_rate_master VALUES ('USPS', '2/13/2025', '2/13/2026', 12659, 'US', 'Priority Mail', 5, 6, 'L', 14.18, 'Wedgewood_USPS_2025', 'NonCubic','1');</v>
      </c>
    </row>
    <row r="285" spans="1:14" x14ac:dyDescent="0.3">
      <c r="A285" t="s">
        <v>11</v>
      </c>
      <c r="B285" s="1" t="s">
        <v>43</v>
      </c>
      <c r="C285" s="1" t="s">
        <v>44</v>
      </c>
      <c r="D285">
        <v>12659</v>
      </c>
      <c r="E285" t="s">
        <v>12</v>
      </c>
      <c r="F285" t="s">
        <v>47</v>
      </c>
      <c r="G285">
        <v>5</v>
      </c>
      <c r="H285">
        <v>7</v>
      </c>
      <c r="I285" t="s">
        <v>45</v>
      </c>
      <c r="J285" cm="1">
        <f t="array" ref="J285">IFERROR(
    _xlfn.XLOOKUP(G285, 'Wedgewood Pharm-PM-Yr2-2025'!$E$4:$L$4,
        _xlfn.XLOOKUP('Rate Load'!H285, 'Wedgewood Pharm-PM-Yr2-2025'!$D$5:$D$31,
            'Wedgewood Pharm-PM-Yr2-2025'!$E$5:$L$31, 0, 0),
        0, 0),
    _xlfn.XLOOKUP(G285, 'Wedgewood Pharm-PM-Yr2-2025'!$E$4:$L$4,
        _xlfn.XLOOKUP('Rate Load'!L285, 'Wedgewood Pharm-PM-Yr2-2025'!$D$5:$D$31,
            'Wedgewood Pharm-PM-Yr2-2025'!$E$5:$L$31, 0, 0),
        0, 0)
)</f>
        <v>15.129999999999999</v>
      </c>
      <c r="K285" t="s">
        <v>46</v>
      </c>
      <c r="L285" t="s">
        <v>13</v>
      </c>
      <c r="M285">
        <v>1</v>
      </c>
      <c r="N285" t="str">
        <f t="shared" si="4"/>
        <v>INSERT INTO TNL_RATING.dbo.usps_rate_master VALUES ('USPS', '2/13/2025', '2/13/2026', 12659, 'US', 'Priority Mail', 5, 7, 'L', 15.13, 'Wedgewood_USPS_2025', 'NonCubic','1');</v>
      </c>
    </row>
    <row r="286" spans="1:14" x14ac:dyDescent="0.3">
      <c r="A286" t="s">
        <v>11</v>
      </c>
      <c r="B286" s="1" t="s">
        <v>43</v>
      </c>
      <c r="C286" s="1" t="s">
        <v>44</v>
      </c>
      <c r="D286">
        <v>12659</v>
      </c>
      <c r="E286" t="s">
        <v>12</v>
      </c>
      <c r="F286" t="s">
        <v>47</v>
      </c>
      <c r="G286">
        <v>5</v>
      </c>
      <c r="H286">
        <v>8</v>
      </c>
      <c r="I286" t="s">
        <v>45</v>
      </c>
      <c r="J286" cm="1">
        <f t="array" ref="J286">IFERROR(
    _xlfn.XLOOKUP(G286, 'Wedgewood Pharm-PM-Yr2-2025'!$E$4:$L$4,
        _xlfn.XLOOKUP('Rate Load'!H286, 'Wedgewood Pharm-PM-Yr2-2025'!$D$5:$D$31,
            'Wedgewood Pharm-PM-Yr2-2025'!$E$5:$L$31, 0, 0),
        0, 0),
    _xlfn.XLOOKUP(G286, 'Wedgewood Pharm-PM-Yr2-2025'!$E$4:$L$4,
        _xlfn.XLOOKUP('Rate Load'!L286, 'Wedgewood Pharm-PM-Yr2-2025'!$D$5:$D$31,
            'Wedgewood Pharm-PM-Yr2-2025'!$E$5:$L$31, 0, 0),
        0, 0)
)</f>
        <v>16.05</v>
      </c>
      <c r="K286" t="s">
        <v>46</v>
      </c>
      <c r="L286" t="s">
        <v>13</v>
      </c>
      <c r="M286">
        <v>1</v>
      </c>
      <c r="N286" t="str">
        <f t="shared" si="4"/>
        <v>INSERT INTO TNL_RATING.dbo.usps_rate_master VALUES ('USPS', '2/13/2025', '2/13/2026', 12659, 'US', 'Priority Mail', 5, 8, 'L', 16.05, 'Wedgewood_USPS_2025', 'NonCubic','1');</v>
      </c>
    </row>
    <row r="287" spans="1:14" x14ac:dyDescent="0.3">
      <c r="A287" t="s">
        <v>11</v>
      </c>
      <c r="B287" s="1" t="s">
        <v>43</v>
      </c>
      <c r="C287" s="1" t="s">
        <v>44</v>
      </c>
      <c r="D287">
        <v>12659</v>
      </c>
      <c r="E287" t="s">
        <v>12</v>
      </c>
      <c r="F287" t="s">
        <v>47</v>
      </c>
      <c r="G287">
        <v>5</v>
      </c>
      <c r="H287">
        <v>9</v>
      </c>
      <c r="I287" t="s">
        <v>45</v>
      </c>
      <c r="J287" cm="1">
        <f t="array" ref="J287">IFERROR(
    _xlfn.XLOOKUP(G287, 'Wedgewood Pharm-PM-Yr2-2025'!$E$4:$L$4,
        _xlfn.XLOOKUP('Rate Load'!H287, 'Wedgewood Pharm-PM-Yr2-2025'!$D$5:$D$31,
            'Wedgewood Pharm-PM-Yr2-2025'!$E$5:$L$31, 0, 0),
        0, 0),
    _xlfn.XLOOKUP(G287, 'Wedgewood Pharm-PM-Yr2-2025'!$E$4:$L$4,
        _xlfn.XLOOKUP('Rate Load'!L287, 'Wedgewood Pharm-PM-Yr2-2025'!$D$5:$D$31,
            'Wedgewood Pharm-PM-Yr2-2025'!$E$5:$L$31, 0, 0),
        0, 0)
)</f>
        <v>16.96</v>
      </c>
      <c r="K287" t="s">
        <v>46</v>
      </c>
      <c r="L287" t="s">
        <v>13</v>
      </c>
      <c r="M287">
        <v>1</v>
      </c>
      <c r="N287" t="str">
        <f t="shared" si="4"/>
        <v>INSERT INTO TNL_RATING.dbo.usps_rate_master VALUES ('USPS', '2/13/2025', '2/13/2026', 12659, 'US', 'Priority Mail', 5, 9, 'L', 16.96, 'Wedgewood_USPS_2025', 'NonCubic','1');</v>
      </c>
    </row>
    <row r="288" spans="1:14" x14ac:dyDescent="0.3">
      <c r="A288" t="s">
        <v>11</v>
      </c>
      <c r="B288" s="1" t="s">
        <v>43</v>
      </c>
      <c r="C288" s="1" t="s">
        <v>44</v>
      </c>
      <c r="D288">
        <v>12659</v>
      </c>
      <c r="E288" t="s">
        <v>12</v>
      </c>
      <c r="F288" t="s">
        <v>47</v>
      </c>
      <c r="G288">
        <v>5</v>
      </c>
      <c r="H288">
        <v>10</v>
      </c>
      <c r="I288" t="s">
        <v>45</v>
      </c>
      <c r="J288" cm="1">
        <f t="array" ref="J288">IFERROR(
    _xlfn.XLOOKUP(G288, 'Wedgewood Pharm-PM-Yr2-2025'!$E$4:$L$4,
        _xlfn.XLOOKUP('Rate Load'!H288, 'Wedgewood Pharm-PM-Yr2-2025'!$D$5:$D$31,
            'Wedgewood Pharm-PM-Yr2-2025'!$E$5:$L$31, 0, 0),
        0, 0),
    _xlfn.XLOOKUP(G288, 'Wedgewood Pharm-PM-Yr2-2025'!$E$4:$L$4,
        _xlfn.XLOOKUP('Rate Load'!L288, 'Wedgewood Pharm-PM-Yr2-2025'!$D$5:$D$31,
            'Wedgewood Pharm-PM-Yr2-2025'!$E$5:$L$31, 0, 0),
        0, 0)
)</f>
        <v>17.84</v>
      </c>
      <c r="K288" t="s">
        <v>46</v>
      </c>
      <c r="L288" t="s">
        <v>13</v>
      </c>
      <c r="M288">
        <v>1</v>
      </c>
      <c r="N288" t="str">
        <f t="shared" si="4"/>
        <v>INSERT INTO TNL_RATING.dbo.usps_rate_master VALUES ('USPS', '2/13/2025', '2/13/2026', 12659, 'US', 'Priority Mail', 5, 10, 'L', 17.84, 'Wedgewood_USPS_2025', 'NonCubic','1');</v>
      </c>
    </row>
    <row r="289" spans="1:14" x14ac:dyDescent="0.3">
      <c r="A289" t="s">
        <v>11</v>
      </c>
      <c r="B289" s="1" t="s">
        <v>43</v>
      </c>
      <c r="C289" s="1" t="s">
        <v>44</v>
      </c>
      <c r="D289">
        <v>12659</v>
      </c>
      <c r="E289" t="s">
        <v>12</v>
      </c>
      <c r="F289" t="s">
        <v>47</v>
      </c>
      <c r="G289">
        <v>5</v>
      </c>
      <c r="H289">
        <v>11</v>
      </c>
      <c r="I289" t="s">
        <v>45</v>
      </c>
      <c r="J289" cm="1">
        <f t="array" ref="J289">IFERROR(
    _xlfn.XLOOKUP(G289, 'Wedgewood Pharm-PM-Yr2-2025'!$E$4:$L$4,
        _xlfn.XLOOKUP('Rate Load'!H289, 'Wedgewood Pharm-PM-Yr2-2025'!$D$5:$D$31,
            'Wedgewood Pharm-PM-Yr2-2025'!$E$5:$L$31, 0, 0),
        0, 0),
    _xlfn.XLOOKUP(G289, 'Wedgewood Pharm-PM-Yr2-2025'!$E$4:$L$4,
        _xlfn.XLOOKUP('Rate Load'!L289, 'Wedgewood Pharm-PM-Yr2-2025'!$D$5:$D$31,
            'Wedgewood Pharm-PM-Yr2-2025'!$E$5:$L$31, 0, 0),
        0, 0)
)</f>
        <v>18.990000000000002</v>
      </c>
      <c r="K289" t="s">
        <v>46</v>
      </c>
      <c r="L289" t="s">
        <v>13</v>
      </c>
      <c r="M289">
        <v>1</v>
      </c>
      <c r="N289" t="str">
        <f t="shared" si="4"/>
        <v>INSERT INTO TNL_RATING.dbo.usps_rate_master VALUES ('USPS', '2/13/2025', '2/13/2026', 12659, 'US', 'Priority Mail', 5, 11, 'L', 18.99, 'Wedgewood_USPS_2025', 'NonCubic','1');</v>
      </c>
    </row>
    <row r="290" spans="1:14" x14ac:dyDescent="0.3">
      <c r="A290" t="s">
        <v>11</v>
      </c>
      <c r="B290" s="1" t="s">
        <v>43</v>
      </c>
      <c r="C290" s="1" t="s">
        <v>44</v>
      </c>
      <c r="D290">
        <v>12659</v>
      </c>
      <c r="E290" t="s">
        <v>12</v>
      </c>
      <c r="F290" t="s">
        <v>47</v>
      </c>
      <c r="G290">
        <v>5</v>
      </c>
      <c r="H290">
        <v>12</v>
      </c>
      <c r="I290" t="s">
        <v>45</v>
      </c>
      <c r="J290" cm="1">
        <f t="array" ref="J290">IFERROR(
    _xlfn.XLOOKUP(G290, 'Wedgewood Pharm-PM-Yr2-2025'!$E$4:$L$4,
        _xlfn.XLOOKUP('Rate Load'!H290, 'Wedgewood Pharm-PM-Yr2-2025'!$D$5:$D$31,
            'Wedgewood Pharm-PM-Yr2-2025'!$E$5:$L$31, 0, 0),
        0, 0),
    _xlfn.XLOOKUP(G290, 'Wedgewood Pharm-PM-Yr2-2025'!$E$4:$L$4,
        _xlfn.XLOOKUP('Rate Load'!L290, 'Wedgewood Pharm-PM-Yr2-2025'!$D$5:$D$31,
            'Wedgewood Pharm-PM-Yr2-2025'!$E$5:$L$31, 0, 0),
        0, 0)
)</f>
        <v>20.09</v>
      </c>
      <c r="K290" t="s">
        <v>46</v>
      </c>
      <c r="L290" t="s">
        <v>13</v>
      </c>
      <c r="M290">
        <v>1</v>
      </c>
      <c r="N290" t="str">
        <f t="shared" si="4"/>
        <v>INSERT INTO TNL_RATING.dbo.usps_rate_master VALUES ('USPS', '2/13/2025', '2/13/2026', 12659, 'US', 'Priority Mail', 5, 12, 'L', 20.09, 'Wedgewood_USPS_2025', 'NonCubic','1');</v>
      </c>
    </row>
    <row r="291" spans="1:14" x14ac:dyDescent="0.3">
      <c r="A291" t="s">
        <v>11</v>
      </c>
      <c r="B291" s="1" t="s">
        <v>43</v>
      </c>
      <c r="C291" s="1" t="s">
        <v>44</v>
      </c>
      <c r="D291">
        <v>12659</v>
      </c>
      <c r="E291" t="s">
        <v>12</v>
      </c>
      <c r="F291" t="s">
        <v>47</v>
      </c>
      <c r="G291">
        <v>5</v>
      </c>
      <c r="H291">
        <v>13</v>
      </c>
      <c r="I291" t="s">
        <v>45</v>
      </c>
      <c r="J291" cm="1">
        <f t="array" ref="J291">IFERROR(
    _xlfn.XLOOKUP(G291, 'Wedgewood Pharm-PM-Yr2-2025'!$E$4:$L$4,
        _xlfn.XLOOKUP('Rate Load'!H291, 'Wedgewood Pharm-PM-Yr2-2025'!$D$5:$D$31,
            'Wedgewood Pharm-PM-Yr2-2025'!$E$5:$L$31, 0, 0),
        0, 0),
    _xlfn.XLOOKUP(G291, 'Wedgewood Pharm-PM-Yr2-2025'!$E$4:$L$4,
        _xlfn.XLOOKUP('Rate Load'!L291, 'Wedgewood Pharm-PM-Yr2-2025'!$D$5:$D$31,
            'Wedgewood Pharm-PM-Yr2-2025'!$E$5:$L$31, 0, 0),
        0, 0)
)</f>
        <v>21.19</v>
      </c>
      <c r="K291" t="s">
        <v>46</v>
      </c>
      <c r="L291" t="s">
        <v>13</v>
      </c>
      <c r="M291">
        <v>1</v>
      </c>
      <c r="N291" t="str">
        <f t="shared" si="4"/>
        <v>INSERT INTO TNL_RATING.dbo.usps_rate_master VALUES ('USPS', '2/13/2025', '2/13/2026', 12659, 'US', 'Priority Mail', 5, 13, 'L', 21.19, 'Wedgewood_USPS_2025', 'NonCubic','1');</v>
      </c>
    </row>
    <row r="292" spans="1:14" x14ac:dyDescent="0.3">
      <c r="A292" t="s">
        <v>11</v>
      </c>
      <c r="B292" s="1" t="s">
        <v>43</v>
      </c>
      <c r="C292" s="1" t="s">
        <v>44</v>
      </c>
      <c r="D292">
        <v>12659</v>
      </c>
      <c r="E292" t="s">
        <v>12</v>
      </c>
      <c r="F292" t="s">
        <v>47</v>
      </c>
      <c r="G292">
        <v>5</v>
      </c>
      <c r="H292">
        <v>14</v>
      </c>
      <c r="I292" t="s">
        <v>45</v>
      </c>
      <c r="J292" cm="1">
        <f t="array" ref="J292">IFERROR(
    _xlfn.XLOOKUP(G292, 'Wedgewood Pharm-PM-Yr2-2025'!$E$4:$L$4,
        _xlfn.XLOOKUP('Rate Load'!H292, 'Wedgewood Pharm-PM-Yr2-2025'!$D$5:$D$31,
            'Wedgewood Pharm-PM-Yr2-2025'!$E$5:$L$31, 0, 0),
        0, 0),
    _xlfn.XLOOKUP(G292, 'Wedgewood Pharm-PM-Yr2-2025'!$E$4:$L$4,
        _xlfn.XLOOKUP('Rate Load'!L292, 'Wedgewood Pharm-PM-Yr2-2025'!$D$5:$D$31,
            'Wedgewood Pharm-PM-Yr2-2025'!$E$5:$L$31, 0, 0),
        0, 0)
)</f>
        <v>22.3</v>
      </c>
      <c r="K292" t="s">
        <v>46</v>
      </c>
      <c r="L292" t="s">
        <v>13</v>
      </c>
      <c r="M292">
        <v>1</v>
      </c>
      <c r="N292" t="str">
        <f t="shared" si="4"/>
        <v>INSERT INTO TNL_RATING.dbo.usps_rate_master VALUES ('USPS', '2/13/2025', '2/13/2026', 12659, 'US', 'Priority Mail', 5, 14, 'L', 22.3, 'Wedgewood_USPS_2025', 'NonCubic','1');</v>
      </c>
    </row>
    <row r="293" spans="1:14" x14ac:dyDescent="0.3">
      <c r="A293" t="s">
        <v>11</v>
      </c>
      <c r="B293" s="1" t="s">
        <v>43</v>
      </c>
      <c r="C293" s="1" t="s">
        <v>44</v>
      </c>
      <c r="D293">
        <v>12659</v>
      </c>
      <c r="E293" t="s">
        <v>12</v>
      </c>
      <c r="F293" t="s">
        <v>47</v>
      </c>
      <c r="G293">
        <v>5</v>
      </c>
      <c r="H293">
        <v>15</v>
      </c>
      <c r="I293" t="s">
        <v>45</v>
      </c>
      <c r="J293" cm="1">
        <f t="array" ref="J293">IFERROR(
    _xlfn.XLOOKUP(G293, 'Wedgewood Pharm-PM-Yr2-2025'!$E$4:$L$4,
        _xlfn.XLOOKUP('Rate Load'!H293, 'Wedgewood Pharm-PM-Yr2-2025'!$D$5:$D$31,
            'Wedgewood Pharm-PM-Yr2-2025'!$E$5:$L$31, 0, 0),
        0, 0),
    _xlfn.XLOOKUP(G293, 'Wedgewood Pharm-PM-Yr2-2025'!$E$4:$L$4,
        _xlfn.XLOOKUP('Rate Load'!L293, 'Wedgewood Pharm-PM-Yr2-2025'!$D$5:$D$31,
            'Wedgewood Pharm-PM-Yr2-2025'!$E$5:$L$31, 0, 0),
        0, 0)
)</f>
        <v>23.400000000000002</v>
      </c>
      <c r="K293" t="s">
        <v>46</v>
      </c>
      <c r="L293" t="s">
        <v>13</v>
      </c>
      <c r="M293">
        <v>1</v>
      </c>
      <c r="N293" t="str">
        <f t="shared" si="4"/>
        <v>INSERT INTO TNL_RATING.dbo.usps_rate_master VALUES ('USPS', '2/13/2025', '2/13/2026', 12659, 'US', 'Priority Mail', 5, 15, 'L', 23.4, 'Wedgewood_USPS_2025', 'NonCubic','1');</v>
      </c>
    </row>
    <row r="294" spans="1:14" x14ac:dyDescent="0.3">
      <c r="A294" t="s">
        <v>11</v>
      </c>
      <c r="B294" s="1" t="s">
        <v>43</v>
      </c>
      <c r="C294" s="1" t="s">
        <v>44</v>
      </c>
      <c r="D294">
        <v>12659</v>
      </c>
      <c r="E294" t="s">
        <v>12</v>
      </c>
      <c r="F294" t="s">
        <v>47</v>
      </c>
      <c r="G294">
        <v>5</v>
      </c>
      <c r="H294">
        <v>16</v>
      </c>
      <c r="I294" t="s">
        <v>45</v>
      </c>
      <c r="J294" cm="1">
        <f t="array" ref="J294">IFERROR(
    _xlfn.XLOOKUP(G294, 'Wedgewood Pharm-PM-Yr2-2025'!$E$4:$L$4,
        _xlfn.XLOOKUP('Rate Load'!H294, 'Wedgewood Pharm-PM-Yr2-2025'!$D$5:$D$31,
            'Wedgewood Pharm-PM-Yr2-2025'!$E$5:$L$31, 0, 0),
        0, 0),
    _xlfn.XLOOKUP(G294, 'Wedgewood Pharm-PM-Yr2-2025'!$E$4:$L$4,
        _xlfn.XLOOKUP('Rate Load'!L294, 'Wedgewood Pharm-PM-Yr2-2025'!$D$5:$D$31,
            'Wedgewood Pharm-PM-Yr2-2025'!$E$5:$L$31, 0, 0),
        0, 0)
)</f>
        <v>24.490000000000002</v>
      </c>
      <c r="K294" t="s">
        <v>46</v>
      </c>
      <c r="L294" t="s">
        <v>13</v>
      </c>
      <c r="M294">
        <v>1</v>
      </c>
      <c r="N294" t="str">
        <f t="shared" si="4"/>
        <v>INSERT INTO TNL_RATING.dbo.usps_rate_master VALUES ('USPS', '2/13/2025', '2/13/2026', 12659, 'US', 'Priority Mail', 5, 16, 'L', 24.49, 'Wedgewood_USPS_2025', 'NonCubic','1');</v>
      </c>
    </row>
    <row r="295" spans="1:14" x14ac:dyDescent="0.3">
      <c r="A295" t="s">
        <v>11</v>
      </c>
      <c r="B295" s="1" t="s">
        <v>43</v>
      </c>
      <c r="C295" s="1" t="s">
        <v>44</v>
      </c>
      <c r="D295">
        <v>12659</v>
      </c>
      <c r="E295" t="s">
        <v>12</v>
      </c>
      <c r="F295" t="s">
        <v>47</v>
      </c>
      <c r="G295">
        <v>5</v>
      </c>
      <c r="H295">
        <v>17</v>
      </c>
      <c r="I295" t="s">
        <v>45</v>
      </c>
      <c r="J295" cm="1">
        <f t="array" ref="J295">IFERROR(
    _xlfn.XLOOKUP(G295, 'Wedgewood Pharm-PM-Yr2-2025'!$E$4:$L$4,
        _xlfn.XLOOKUP('Rate Load'!H295, 'Wedgewood Pharm-PM-Yr2-2025'!$D$5:$D$31,
            'Wedgewood Pharm-PM-Yr2-2025'!$E$5:$L$31, 0, 0),
        0, 0),
    _xlfn.XLOOKUP(G295, 'Wedgewood Pharm-PM-Yr2-2025'!$E$4:$L$4,
        _xlfn.XLOOKUP('Rate Load'!L295, 'Wedgewood Pharm-PM-Yr2-2025'!$D$5:$D$31,
            'Wedgewood Pharm-PM-Yr2-2025'!$E$5:$L$31, 0, 0),
        0, 0)
)</f>
        <v>25.59</v>
      </c>
      <c r="K295" t="s">
        <v>46</v>
      </c>
      <c r="L295" t="s">
        <v>13</v>
      </c>
      <c r="M295">
        <v>1</v>
      </c>
      <c r="N295" t="str">
        <f t="shared" si="4"/>
        <v>INSERT INTO TNL_RATING.dbo.usps_rate_master VALUES ('USPS', '2/13/2025', '2/13/2026', 12659, 'US', 'Priority Mail', 5, 17, 'L', 25.59, 'Wedgewood_USPS_2025', 'NonCubic','1');</v>
      </c>
    </row>
    <row r="296" spans="1:14" x14ac:dyDescent="0.3">
      <c r="A296" t="s">
        <v>11</v>
      </c>
      <c r="B296" s="1" t="s">
        <v>43</v>
      </c>
      <c r="C296" s="1" t="s">
        <v>44</v>
      </c>
      <c r="D296">
        <v>12659</v>
      </c>
      <c r="E296" t="s">
        <v>12</v>
      </c>
      <c r="F296" t="s">
        <v>47</v>
      </c>
      <c r="G296">
        <v>5</v>
      </c>
      <c r="H296">
        <v>18</v>
      </c>
      <c r="I296" t="s">
        <v>45</v>
      </c>
      <c r="J296" cm="1">
        <f t="array" ref="J296">IFERROR(
    _xlfn.XLOOKUP(G296, 'Wedgewood Pharm-PM-Yr2-2025'!$E$4:$L$4,
        _xlfn.XLOOKUP('Rate Load'!H296, 'Wedgewood Pharm-PM-Yr2-2025'!$D$5:$D$31,
            'Wedgewood Pharm-PM-Yr2-2025'!$E$5:$L$31, 0, 0),
        0, 0),
    _xlfn.XLOOKUP(G296, 'Wedgewood Pharm-PM-Yr2-2025'!$E$4:$L$4,
        _xlfn.XLOOKUP('Rate Load'!L296, 'Wedgewood Pharm-PM-Yr2-2025'!$D$5:$D$31,
            'Wedgewood Pharm-PM-Yr2-2025'!$E$5:$L$31, 0, 0),
        0, 0)
)</f>
        <v>26.680000000000003</v>
      </c>
      <c r="K296" t="s">
        <v>46</v>
      </c>
      <c r="L296" t="s">
        <v>13</v>
      </c>
      <c r="M296">
        <v>1</v>
      </c>
      <c r="N296" t="str">
        <f t="shared" si="4"/>
        <v>INSERT INTO TNL_RATING.dbo.usps_rate_master VALUES ('USPS', '2/13/2025', '2/13/2026', 12659, 'US', 'Priority Mail', 5, 18, 'L', 26.68, 'Wedgewood_USPS_2025', 'NonCubic','1');</v>
      </c>
    </row>
    <row r="297" spans="1:14" x14ac:dyDescent="0.3">
      <c r="A297" t="s">
        <v>11</v>
      </c>
      <c r="B297" s="1" t="s">
        <v>43</v>
      </c>
      <c r="C297" s="1" t="s">
        <v>44</v>
      </c>
      <c r="D297">
        <v>12659</v>
      </c>
      <c r="E297" t="s">
        <v>12</v>
      </c>
      <c r="F297" t="s">
        <v>47</v>
      </c>
      <c r="G297">
        <v>5</v>
      </c>
      <c r="H297">
        <v>19</v>
      </c>
      <c r="I297" t="s">
        <v>45</v>
      </c>
      <c r="J297" cm="1">
        <f t="array" ref="J297">IFERROR(
    _xlfn.XLOOKUP(G297, 'Wedgewood Pharm-PM-Yr2-2025'!$E$4:$L$4,
        _xlfn.XLOOKUP('Rate Load'!H297, 'Wedgewood Pharm-PM-Yr2-2025'!$D$5:$D$31,
            'Wedgewood Pharm-PM-Yr2-2025'!$E$5:$L$31, 0, 0),
        0, 0),
    _xlfn.XLOOKUP(G297, 'Wedgewood Pharm-PM-Yr2-2025'!$E$4:$L$4,
        _xlfn.XLOOKUP('Rate Load'!L297, 'Wedgewood Pharm-PM-Yr2-2025'!$D$5:$D$31,
            'Wedgewood Pharm-PM-Yr2-2025'!$E$5:$L$31, 0, 0),
        0, 0)
)</f>
        <v>27.790000000000003</v>
      </c>
      <c r="K297" t="s">
        <v>46</v>
      </c>
      <c r="L297" t="s">
        <v>13</v>
      </c>
      <c r="M297">
        <v>1</v>
      </c>
      <c r="N297" t="str">
        <f t="shared" si="4"/>
        <v>INSERT INTO TNL_RATING.dbo.usps_rate_master VALUES ('USPS', '2/13/2025', '2/13/2026', 12659, 'US', 'Priority Mail', 5, 19, 'L', 27.79, 'Wedgewood_USPS_2025', 'NonCubic','1');</v>
      </c>
    </row>
    <row r="298" spans="1:14" x14ac:dyDescent="0.3">
      <c r="A298" t="s">
        <v>11</v>
      </c>
      <c r="B298" s="1" t="s">
        <v>43</v>
      </c>
      <c r="C298" s="1" t="s">
        <v>44</v>
      </c>
      <c r="D298">
        <v>12659</v>
      </c>
      <c r="E298" t="s">
        <v>12</v>
      </c>
      <c r="F298" t="s">
        <v>47</v>
      </c>
      <c r="G298">
        <v>5</v>
      </c>
      <c r="H298">
        <v>20</v>
      </c>
      <c r="I298" t="s">
        <v>45</v>
      </c>
      <c r="J298" cm="1">
        <f t="array" ref="J298">IFERROR(
    _xlfn.XLOOKUP(G298, 'Wedgewood Pharm-PM-Yr2-2025'!$E$4:$L$4,
        _xlfn.XLOOKUP('Rate Load'!H298, 'Wedgewood Pharm-PM-Yr2-2025'!$D$5:$D$31,
            'Wedgewood Pharm-PM-Yr2-2025'!$E$5:$L$31, 0, 0),
        0, 0),
    _xlfn.XLOOKUP(G298, 'Wedgewood Pharm-PM-Yr2-2025'!$E$4:$L$4,
        _xlfn.XLOOKUP('Rate Load'!L298, 'Wedgewood Pharm-PM-Yr2-2025'!$D$5:$D$31,
            'Wedgewood Pharm-PM-Yr2-2025'!$E$5:$L$31, 0, 0),
        0, 0)
)</f>
        <v>28.87</v>
      </c>
      <c r="K298" t="s">
        <v>46</v>
      </c>
      <c r="L298" t="s">
        <v>13</v>
      </c>
      <c r="M298">
        <v>1</v>
      </c>
      <c r="N298" t="str">
        <f t="shared" si="4"/>
        <v>INSERT INTO TNL_RATING.dbo.usps_rate_master VALUES ('USPS', '2/13/2025', '2/13/2026', 12659, 'US', 'Priority Mail', 5, 20, 'L', 28.87, 'Wedgewood_USPS_2025', 'NonCubic','1');</v>
      </c>
    </row>
    <row r="299" spans="1:14" x14ac:dyDescent="0.3">
      <c r="A299" t="s">
        <v>11</v>
      </c>
      <c r="B299" s="1" t="s">
        <v>43</v>
      </c>
      <c r="C299" s="1" t="s">
        <v>44</v>
      </c>
      <c r="D299">
        <v>12659</v>
      </c>
      <c r="E299" t="s">
        <v>12</v>
      </c>
      <c r="F299" t="s">
        <v>47</v>
      </c>
      <c r="G299">
        <v>6</v>
      </c>
      <c r="H299">
        <v>0.5</v>
      </c>
      <c r="I299" t="s">
        <v>45</v>
      </c>
      <c r="J299" cm="1">
        <f t="array" ref="J299">IFERROR(
    _xlfn.XLOOKUP(G299, 'Wedgewood Pharm-PM-Yr2-2025'!$E$4:$L$4,
        _xlfn.XLOOKUP('Rate Load'!H299, 'Wedgewood Pharm-PM-Yr2-2025'!$D$5:$D$31,
            'Wedgewood Pharm-PM-Yr2-2025'!$E$5:$L$31, 0, 0),
        0, 0),
    _xlfn.XLOOKUP(G299, 'Wedgewood Pharm-PM-Yr2-2025'!$E$4:$L$4,
        _xlfn.XLOOKUP('Rate Load'!L299, 'Wedgewood Pharm-PM-Yr2-2025'!$D$5:$D$31,
            'Wedgewood Pharm-PM-Yr2-2025'!$E$5:$L$31, 0, 0),
        0, 0)
)</f>
        <v>6.97</v>
      </c>
      <c r="K299" t="s">
        <v>46</v>
      </c>
      <c r="L299" t="s">
        <v>13</v>
      </c>
      <c r="M299">
        <v>1</v>
      </c>
      <c r="N299" t="str">
        <f t="shared" si="4"/>
        <v>INSERT INTO TNL_RATING.dbo.usps_rate_master VALUES ('USPS', '2/13/2025', '2/13/2026', 12659, 'US', 'Priority Mail', 6, 0.5, 'L', 6.97, 'Wedgewood_USPS_2025', 'NonCubic','1');</v>
      </c>
    </row>
    <row r="300" spans="1:14" x14ac:dyDescent="0.3">
      <c r="A300" t="s">
        <v>11</v>
      </c>
      <c r="B300" s="1" t="s">
        <v>43</v>
      </c>
      <c r="C300" s="1" t="s">
        <v>44</v>
      </c>
      <c r="D300">
        <v>12659</v>
      </c>
      <c r="E300" t="s">
        <v>12</v>
      </c>
      <c r="F300" t="s">
        <v>47</v>
      </c>
      <c r="G300">
        <v>6</v>
      </c>
      <c r="H300">
        <v>1</v>
      </c>
      <c r="I300" t="s">
        <v>45</v>
      </c>
      <c r="J300" cm="1">
        <f t="array" ref="J300">IFERROR(
    _xlfn.XLOOKUP(G300, 'Wedgewood Pharm-PM-Yr2-2025'!$E$4:$L$4,
        _xlfn.XLOOKUP('Rate Load'!H300, 'Wedgewood Pharm-PM-Yr2-2025'!$D$5:$D$31,
            'Wedgewood Pharm-PM-Yr2-2025'!$E$5:$L$31, 0, 0),
        0, 0),
    _xlfn.XLOOKUP(G300, 'Wedgewood Pharm-PM-Yr2-2025'!$E$4:$L$4,
        _xlfn.XLOOKUP('Rate Load'!L300, 'Wedgewood Pharm-PM-Yr2-2025'!$D$5:$D$31,
            'Wedgewood Pharm-PM-Yr2-2025'!$E$5:$L$31, 0, 0),
        0, 0)
)</f>
        <v>7.3599999999999994</v>
      </c>
      <c r="K300" t="s">
        <v>46</v>
      </c>
      <c r="L300" t="s">
        <v>13</v>
      </c>
      <c r="M300">
        <v>1</v>
      </c>
      <c r="N300" t="str">
        <f t="shared" si="4"/>
        <v>INSERT INTO TNL_RATING.dbo.usps_rate_master VALUES ('USPS', '2/13/2025', '2/13/2026', 12659, 'US', 'Priority Mail', 6, 1, 'L', 7.36, 'Wedgewood_USPS_2025', 'NonCubic','1');</v>
      </c>
    </row>
    <row r="301" spans="1:14" x14ac:dyDescent="0.3">
      <c r="A301" t="s">
        <v>11</v>
      </c>
      <c r="B301" s="1" t="s">
        <v>43</v>
      </c>
      <c r="C301" s="1" t="s">
        <v>44</v>
      </c>
      <c r="D301">
        <v>12659</v>
      </c>
      <c r="E301" t="s">
        <v>12</v>
      </c>
      <c r="F301" t="s">
        <v>47</v>
      </c>
      <c r="G301">
        <v>6</v>
      </c>
      <c r="H301">
        <v>2</v>
      </c>
      <c r="I301" t="s">
        <v>45</v>
      </c>
      <c r="J301" cm="1">
        <f t="array" ref="J301">IFERROR(
    _xlfn.XLOOKUP(G301, 'Wedgewood Pharm-PM-Yr2-2025'!$E$4:$L$4,
        _xlfn.XLOOKUP('Rate Load'!H301, 'Wedgewood Pharm-PM-Yr2-2025'!$D$5:$D$31,
            'Wedgewood Pharm-PM-Yr2-2025'!$E$5:$L$31, 0, 0),
        0, 0),
    _xlfn.XLOOKUP(G301, 'Wedgewood Pharm-PM-Yr2-2025'!$E$4:$L$4,
        _xlfn.XLOOKUP('Rate Load'!L301, 'Wedgewood Pharm-PM-Yr2-2025'!$D$5:$D$31,
            'Wedgewood Pharm-PM-Yr2-2025'!$E$5:$L$31, 0, 0),
        0, 0)
)</f>
        <v>9.17</v>
      </c>
      <c r="K301" t="s">
        <v>46</v>
      </c>
      <c r="L301" t="s">
        <v>13</v>
      </c>
      <c r="M301">
        <v>1</v>
      </c>
      <c r="N301" t="str">
        <f t="shared" si="4"/>
        <v>INSERT INTO TNL_RATING.dbo.usps_rate_master VALUES ('USPS', '2/13/2025', '2/13/2026', 12659, 'US', 'Priority Mail', 6, 2, 'L', 9.17, 'Wedgewood_USPS_2025', 'NonCubic','1');</v>
      </c>
    </row>
    <row r="302" spans="1:14" x14ac:dyDescent="0.3">
      <c r="A302" t="s">
        <v>11</v>
      </c>
      <c r="B302" s="1" t="s">
        <v>43</v>
      </c>
      <c r="C302" s="1" t="s">
        <v>44</v>
      </c>
      <c r="D302">
        <v>12659</v>
      </c>
      <c r="E302" t="s">
        <v>12</v>
      </c>
      <c r="F302" t="s">
        <v>47</v>
      </c>
      <c r="G302">
        <v>6</v>
      </c>
      <c r="H302">
        <v>3</v>
      </c>
      <c r="I302" t="s">
        <v>45</v>
      </c>
      <c r="J302" cm="1">
        <f t="array" ref="J302">IFERROR(
    _xlfn.XLOOKUP(G302, 'Wedgewood Pharm-PM-Yr2-2025'!$E$4:$L$4,
        _xlfn.XLOOKUP('Rate Load'!H302, 'Wedgewood Pharm-PM-Yr2-2025'!$D$5:$D$31,
            'Wedgewood Pharm-PM-Yr2-2025'!$E$5:$L$31, 0, 0),
        0, 0),
    _xlfn.XLOOKUP(G302, 'Wedgewood Pharm-PM-Yr2-2025'!$E$4:$L$4,
        _xlfn.XLOOKUP('Rate Load'!L302, 'Wedgewood Pharm-PM-Yr2-2025'!$D$5:$D$31,
            'Wedgewood Pharm-PM-Yr2-2025'!$E$5:$L$31, 0, 0),
        0, 0)
)</f>
        <v>12.66</v>
      </c>
      <c r="K302" t="s">
        <v>46</v>
      </c>
      <c r="L302" t="s">
        <v>13</v>
      </c>
      <c r="M302">
        <v>1</v>
      </c>
      <c r="N302" t="str">
        <f t="shared" si="4"/>
        <v>INSERT INTO TNL_RATING.dbo.usps_rate_master VALUES ('USPS', '2/13/2025', '2/13/2026', 12659, 'US', 'Priority Mail', 6, 3, 'L', 12.66, 'Wedgewood_USPS_2025', 'NonCubic','1');</v>
      </c>
    </row>
    <row r="303" spans="1:14" x14ac:dyDescent="0.3">
      <c r="A303" t="s">
        <v>11</v>
      </c>
      <c r="B303" s="1" t="s">
        <v>43</v>
      </c>
      <c r="C303" s="1" t="s">
        <v>44</v>
      </c>
      <c r="D303">
        <v>12659</v>
      </c>
      <c r="E303" t="s">
        <v>12</v>
      </c>
      <c r="F303" t="s">
        <v>47</v>
      </c>
      <c r="G303">
        <v>6</v>
      </c>
      <c r="H303">
        <v>4</v>
      </c>
      <c r="I303" t="s">
        <v>45</v>
      </c>
      <c r="J303" cm="1">
        <f t="array" ref="J303">IFERROR(
    _xlfn.XLOOKUP(G303, 'Wedgewood Pharm-PM-Yr2-2025'!$E$4:$L$4,
        _xlfn.XLOOKUP('Rate Load'!H303, 'Wedgewood Pharm-PM-Yr2-2025'!$D$5:$D$31,
            'Wedgewood Pharm-PM-Yr2-2025'!$E$5:$L$31, 0, 0),
        0, 0),
    _xlfn.XLOOKUP(G303, 'Wedgewood Pharm-PM-Yr2-2025'!$E$4:$L$4,
        _xlfn.XLOOKUP('Rate Load'!L303, 'Wedgewood Pharm-PM-Yr2-2025'!$D$5:$D$31,
            'Wedgewood Pharm-PM-Yr2-2025'!$E$5:$L$31, 0, 0),
        0, 0)
)</f>
        <v>14.65</v>
      </c>
      <c r="K303" t="s">
        <v>46</v>
      </c>
      <c r="L303" t="s">
        <v>13</v>
      </c>
      <c r="M303">
        <v>1</v>
      </c>
      <c r="N303" t="str">
        <f t="shared" si="4"/>
        <v>INSERT INTO TNL_RATING.dbo.usps_rate_master VALUES ('USPS', '2/13/2025', '2/13/2026', 12659, 'US', 'Priority Mail', 6, 4, 'L', 14.65, 'Wedgewood_USPS_2025', 'NonCubic','1');</v>
      </c>
    </row>
    <row r="304" spans="1:14" x14ac:dyDescent="0.3">
      <c r="A304" t="s">
        <v>11</v>
      </c>
      <c r="B304" s="1" t="s">
        <v>43</v>
      </c>
      <c r="C304" s="1" t="s">
        <v>44</v>
      </c>
      <c r="D304">
        <v>12659</v>
      </c>
      <c r="E304" t="s">
        <v>12</v>
      </c>
      <c r="F304" t="s">
        <v>47</v>
      </c>
      <c r="G304">
        <v>6</v>
      </c>
      <c r="H304">
        <v>5</v>
      </c>
      <c r="I304" t="s">
        <v>45</v>
      </c>
      <c r="J304" cm="1">
        <f t="array" ref="J304">IFERROR(
    _xlfn.XLOOKUP(G304, 'Wedgewood Pharm-PM-Yr2-2025'!$E$4:$L$4,
        _xlfn.XLOOKUP('Rate Load'!H304, 'Wedgewood Pharm-PM-Yr2-2025'!$D$5:$D$31,
            'Wedgewood Pharm-PM-Yr2-2025'!$E$5:$L$31, 0, 0),
        0, 0),
    _xlfn.XLOOKUP(G304, 'Wedgewood Pharm-PM-Yr2-2025'!$E$4:$L$4,
        _xlfn.XLOOKUP('Rate Load'!L304, 'Wedgewood Pharm-PM-Yr2-2025'!$D$5:$D$31,
            'Wedgewood Pharm-PM-Yr2-2025'!$E$5:$L$31, 0, 0),
        0, 0)
)</f>
        <v>16.05</v>
      </c>
      <c r="K304" t="s">
        <v>46</v>
      </c>
      <c r="L304" t="s">
        <v>13</v>
      </c>
      <c r="M304">
        <v>1</v>
      </c>
      <c r="N304" t="str">
        <f t="shared" si="4"/>
        <v>INSERT INTO TNL_RATING.dbo.usps_rate_master VALUES ('USPS', '2/13/2025', '2/13/2026', 12659, 'US', 'Priority Mail', 6, 5, 'L', 16.05, 'Wedgewood_USPS_2025', 'NonCubic','1');</v>
      </c>
    </row>
    <row r="305" spans="1:14" x14ac:dyDescent="0.3">
      <c r="A305" t="s">
        <v>11</v>
      </c>
      <c r="B305" s="1" t="s">
        <v>43</v>
      </c>
      <c r="C305" s="1" t="s">
        <v>44</v>
      </c>
      <c r="D305">
        <v>12659</v>
      </c>
      <c r="E305" t="s">
        <v>12</v>
      </c>
      <c r="F305" t="s">
        <v>47</v>
      </c>
      <c r="G305">
        <v>6</v>
      </c>
      <c r="H305">
        <v>6</v>
      </c>
      <c r="I305" t="s">
        <v>45</v>
      </c>
      <c r="J305" cm="1">
        <f t="array" ref="J305">IFERROR(
    _xlfn.XLOOKUP(G305, 'Wedgewood Pharm-PM-Yr2-2025'!$E$4:$L$4,
        _xlfn.XLOOKUP('Rate Load'!H305, 'Wedgewood Pharm-PM-Yr2-2025'!$D$5:$D$31,
            'Wedgewood Pharm-PM-Yr2-2025'!$E$5:$L$31, 0, 0),
        0, 0),
    _xlfn.XLOOKUP(G305, 'Wedgewood Pharm-PM-Yr2-2025'!$E$4:$L$4,
        _xlfn.XLOOKUP('Rate Load'!L305, 'Wedgewood Pharm-PM-Yr2-2025'!$D$5:$D$31,
            'Wedgewood Pharm-PM-Yr2-2025'!$E$5:$L$31, 0, 0),
        0, 0)
)</f>
        <v>18.040000000000003</v>
      </c>
      <c r="K305" t="s">
        <v>46</v>
      </c>
      <c r="L305" t="s">
        <v>13</v>
      </c>
      <c r="M305">
        <v>1</v>
      </c>
      <c r="N305" t="str">
        <f t="shared" si="4"/>
        <v>INSERT INTO TNL_RATING.dbo.usps_rate_master VALUES ('USPS', '2/13/2025', '2/13/2026', 12659, 'US', 'Priority Mail', 6, 6, 'L', 18.04, 'Wedgewood_USPS_2025', 'NonCubic','1');</v>
      </c>
    </row>
    <row r="306" spans="1:14" x14ac:dyDescent="0.3">
      <c r="A306" t="s">
        <v>11</v>
      </c>
      <c r="B306" s="1" t="s">
        <v>43</v>
      </c>
      <c r="C306" s="1" t="s">
        <v>44</v>
      </c>
      <c r="D306">
        <v>12659</v>
      </c>
      <c r="E306" t="s">
        <v>12</v>
      </c>
      <c r="F306" t="s">
        <v>47</v>
      </c>
      <c r="G306">
        <v>6</v>
      </c>
      <c r="H306">
        <v>7</v>
      </c>
      <c r="I306" t="s">
        <v>45</v>
      </c>
      <c r="J306" cm="1">
        <f t="array" ref="J306">IFERROR(
    _xlfn.XLOOKUP(G306, 'Wedgewood Pharm-PM-Yr2-2025'!$E$4:$L$4,
        _xlfn.XLOOKUP('Rate Load'!H306, 'Wedgewood Pharm-PM-Yr2-2025'!$D$5:$D$31,
            'Wedgewood Pharm-PM-Yr2-2025'!$E$5:$L$31, 0, 0),
        0, 0),
    _xlfn.XLOOKUP(G306, 'Wedgewood Pharm-PM-Yr2-2025'!$E$4:$L$4,
        _xlfn.XLOOKUP('Rate Load'!L306, 'Wedgewood Pharm-PM-Yr2-2025'!$D$5:$D$31,
            'Wedgewood Pharm-PM-Yr2-2025'!$E$5:$L$31, 0, 0),
        0, 0)
)</f>
        <v>19.430000000000003</v>
      </c>
      <c r="K306" t="s">
        <v>46</v>
      </c>
      <c r="L306" t="s">
        <v>13</v>
      </c>
      <c r="M306">
        <v>1</v>
      </c>
      <c r="N306" t="str">
        <f t="shared" si="4"/>
        <v>INSERT INTO TNL_RATING.dbo.usps_rate_master VALUES ('USPS', '2/13/2025', '2/13/2026', 12659, 'US', 'Priority Mail', 6, 7, 'L', 19.43, 'Wedgewood_USPS_2025', 'NonCubic','1');</v>
      </c>
    </row>
    <row r="307" spans="1:14" x14ac:dyDescent="0.3">
      <c r="A307" t="s">
        <v>11</v>
      </c>
      <c r="B307" s="1" t="s">
        <v>43</v>
      </c>
      <c r="C307" s="1" t="s">
        <v>44</v>
      </c>
      <c r="D307">
        <v>12659</v>
      </c>
      <c r="E307" t="s">
        <v>12</v>
      </c>
      <c r="F307" t="s">
        <v>47</v>
      </c>
      <c r="G307">
        <v>6</v>
      </c>
      <c r="H307">
        <v>8</v>
      </c>
      <c r="I307" t="s">
        <v>45</v>
      </c>
      <c r="J307" cm="1">
        <f t="array" ref="J307">IFERROR(
    _xlfn.XLOOKUP(G307, 'Wedgewood Pharm-PM-Yr2-2025'!$E$4:$L$4,
        _xlfn.XLOOKUP('Rate Load'!H307, 'Wedgewood Pharm-PM-Yr2-2025'!$D$5:$D$31,
            'Wedgewood Pharm-PM-Yr2-2025'!$E$5:$L$31, 0, 0),
        0, 0),
    _xlfn.XLOOKUP(G307, 'Wedgewood Pharm-PM-Yr2-2025'!$E$4:$L$4,
        _xlfn.XLOOKUP('Rate Load'!L307, 'Wedgewood Pharm-PM-Yr2-2025'!$D$5:$D$31,
            'Wedgewood Pharm-PM-Yr2-2025'!$E$5:$L$31, 0, 0),
        0, 0)
)</f>
        <v>20.76</v>
      </c>
      <c r="K307" t="s">
        <v>46</v>
      </c>
      <c r="L307" t="s">
        <v>13</v>
      </c>
      <c r="M307">
        <v>1</v>
      </c>
      <c r="N307" t="str">
        <f t="shared" si="4"/>
        <v>INSERT INTO TNL_RATING.dbo.usps_rate_master VALUES ('USPS', '2/13/2025', '2/13/2026', 12659, 'US', 'Priority Mail', 6, 8, 'L', 20.76, 'Wedgewood_USPS_2025', 'NonCubic','1');</v>
      </c>
    </row>
    <row r="308" spans="1:14" x14ac:dyDescent="0.3">
      <c r="A308" t="s">
        <v>11</v>
      </c>
      <c r="B308" s="1" t="s">
        <v>43</v>
      </c>
      <c r="C308" s="1" t="s">
        <v>44</v>
      </c>
      <c r="D308">
        <v>12659</v>
      </c>
      <c r="E308" t="s">
        <v>12</v>
      </c>
      <c r="F308" t="s">
        <v>47</v>
      </c>
      <c r="G308">
        <v>6</v>
      </c>
      <c r="H308">
        <v>9</v>
      </c>
      <c r="I308" t="s">
        <v>45</v>
      </c>
      <c r="J308" cm="1">
        <f t="array" ref="J308">IFERROR(
    _xlfn.XLOOKUP(G308, 'Wedgewood Pharm-PM-Yr2-2025'!$E$4:$L$4,
        _xlfn.XLOOKUP('Rate Load'!H308, 'Wedgewood Pharm-PM-Yr2-2025'!$D$5:$D$31,
            'Wedgewood Pharm-PM-Yr2-2025'!$E$5:$L$31, 0, 0),
        0, 0),
    _xlfn.XLOOKUP(G308, 'Wedgewood Pharm-PM-Yr2-2025'!$E$4:$L$4,
        _xlfn.XLOOKUP('Rate Load'!L308, 'Wedgewood Pharm-PM-Yr2-2025'!$D$5:$D$31,
            'Wedgewood Pharm-PM-Yr2-2025'!$E$5:$L$31, 0, 0),
        0, 0)
)</f>
        <v>22.03</v>
      </c>
      <c r="K308" t="s">
        <v>46</v>
      </c>
      <c r="L308" t="s">
        <v>13</v>
      </c>
      <c r="M308">
        <v>1</v>
      </c>
      <c r="N308" t="str">
        <f t="shared" si="4"/>
        <v>INSERT INTO TNL_RATING.dbo.usps_rate_master VALUES ('USPS', '2/13/2025', '2/13/2026', 12659, 'US', 'Priority Mail', 6, 9, 'L', 22.03, 'Wedgewood_USPS_2025', 'NonCubic','1');</v>
      </c>
    </row>
    <row r="309" spans="1:14" x14ac:dyDescent="0.3">
      <c r="A309" t="s">
        <v>11</v>
      </c>
      <c r="B309" s="1" t="s">
        <v>43</v>
      </c>
      <c r="C309" s="1" t="s">
        <v>44</v>
      </c>
      <c r="D309">
        <v>12659</v>
      </c>
      <c r="E309" t="s">
        <v>12</v>
      </c>
      <c r="F309" t="s">
        <v>47</v>
      </c>
      <c r="G309">
        <v>6</v>
      </c>
      <c r="H309">
        <v>10</v>
      </c>
      <c r="I309" t="s">
        <v>45</v>
      </c>
      <c r="J309" cm="1">
        <f t="array" ref="J309">IFERROR(
    _xlfn.XLOOKUP(G309, 'Wedgewood Pharm-PM-Yr2-2025'!$E$4:$L$4,
        _xlfn.XLOOKUP('Rate Load'!H309, 'Wedgewood Pharm-PM-Yr2-2025'!$D$5:$D$31,
            'Wedgewood Pharm-PM-Yr2-2025'!$E$5:$L$31, 0, 0),
        0, 0),
    _xlfn.XLOOKUP(G309, 'Wedgewood Pharm-PM-Yr2-2025'!$E$4:$L$4,
        _xlfn.XLOOKUP('Rate Load'!L309, 'Wedgewood Pharm-PM-Yr2-2025'!$D$5:$D$31,
            'Wedgewood Pharm-PM-Yr2-2025'!$E$5:$L$31, 0, 0),
        0, 0)
)</f>
        <v>23.3</v>
      </c>
      <c r="K309" t="s">
        <v>46</v>
      </c>
      <c r="L309" t="s">
        <v>13</v>
      </c>
      <c r="M309">
        <v>1</v>
      </c>
      <c r="N309" t="str">
        <f t="shared" si="4"/>
        <v>INSERT INTO TNL_RATING.dbo.usps_rate_master VALUES ('USPS', '2/13/2025', '2/13/2026', 12659, 'US', 'Priority Mail', 6, 10, 'L', 23.3, 'Wedgewood_USPS_2025', 'NonCubic','1');</v>
      </c>
    </row>
    <row r="310" spans="1:14" x14ac:dyDescent="0.3">
      <c r="A310" t="s">
        <v>11</v>
      </c>
      <c r="B310" s="1" t="s">
        <v>43</v>
      </c>
      <c r="C310" s="1" t="s">
        <v>44</v>
      </c>
      <c r="D310">
        <v>12659</v>
      </c>
      <c r="E310" t="s">
        <v>12</v>
      </c>
      <c r="F310" t="s">
        <v>47</v>
      </c>
      <c r="G310">
        <v>6</v>
      </c>
      <c r="H310">
        <v>11</v>
      </c>
      <c r="I310" t="s">
        <v>45</v>
      </c>
      <c r="J310" cm="1">
        <f t="array" ref="J310">IFERROR(
    _xlfn.XLOOKUP(G310, 'Wedgewood Pharm-PM-Yr2-2025'!$E$4:$L$4,
        _xlfn.XLOOKUP('Rate Load'!H310, 'Wedgewood Pharm-PM-Yr2-2025'!$D$5:$D$31,
            'Wedgewood Pharm-PM-Yr2-2025'!$E$5:$L$31, 0, 0),
        0, 0),
    _xlfn.XLOOKUP(G310, 'Wedgewood Pharm-PM-Yr2-2025'!$E$4:$L$4,
        _xlfn.XLOOKUP('Rate Load'!L310, 'Wedgewood Pharm-PM-Yr2-2025'!$D$5:$D$31,
            'Wedgewood Pharm-PM-Yr2-2025'!$E$5:$L$31, 0, 0),
        0, 0)
)</f>
        <v>23.35</v>
      </c>
      <c r="K310" t="s">
        <v>46</v>
      </c>
      <c r="L310" t="s">
        <v>13</v>
      </c>
      <c r="M310">
        <v>1</v>
      </c>
      <c r="N310" t="str">
        <f t="shared" si="4"/>
        <v>INSERT INTO TNL_RATING.dbo.usps_rate_master VALUES ('USPS', '2/13/2025', '2/13/2026', 12659, 'US', 'Priority Mail', 6, 11, 'L', 23.35, 'Wedgewood_USPS_2025', 'NonCubic','1');</v>
      </c>
    </row>
    <row r="311" spans="1:14" x14ac:dyDescent="0.3">
      <c r="A311" t="s">
        <v>11</v>
      </c>
      <c r="B311" s="1" t="s">
        <v>43</v>
      </c>
      <c r="C311" s="1" t="s">
        <v>44</v>
      </c>
      <c r="D311">
        <v>12659</v>
      </c>
      <c r="E311" t="s">
        <v>12</v>
      </c>
      <c r="F311" t="s">
        <v>47</v>
      </c>
      <c r="G311">
        <v>6</v>
      </c>
      <c r="H311">
        <v>12</v>
      </c>
      <c r="I311" t="s">
        <v>45</v>
      </c>
      <c r="J311" cm="1">
        <f t="array" ref="J311">IFERROR(
    _xlfn.XLOOKUP(G311, 'Wedgewood Pharm-PM-Yr2-2025'!$E$4:$L$4,
        _xlfn.XLOOKUP('Rate Load'!H311, 'Wedgewood Pharm-PM-Yr2-2025'!$D$5:$D$31,
            'Wedgewood Pharm-PM-Yr2-2025'!$E$5:$L$31, 0, 0),
        0, 0),
    _xlfn.XLOOKUP(G311, 'Wedgewood Pharm-PM-Yr2-2025'!$E$4:$L$4,
        _xlfn.XLOOKUP('Rate Load'!L311, 'Wedgewood Pharm-PM-Yr2-2025'!$D$5:$D$31,
            'Wedgewood Pharm-PM-Yr2-2025'!$E$5:$L$31, 0, 0),
        0, 0)
)</f>
        <v>24.700000000000003</v>
      </c>
      <c r="K311" t="s">
        <v>46</v>
      </c>
      <c r="L311" t="s">
        <v>13</v>
      </c>
      <c r="M311">
        <v>1</v>
      </c>
      <c r="N311" t="str">
        <f t="shared" si="4"/>
        <v>INSERT INTO TNL_RATING.dbo.usps_rate_master VALUES ('USPS', '2/13/2025', '2/13/2026', 12659, 'US', 'Priority Mail', 6, 12, 'L', 24.7, 'Wedgewood_USPS_2025', 'NonCubic','1');</v>
      </c>
    </row>
    <row r="312" spans="1:14" x14ac:dyDescent="0.3">
      <c r="A312" t="s">
        <v>11</v>
      </c>
      <c r="B312" s="1" t="s">
        <v>43</v>
      </c>
      <c r="C312" s="1" t="s">
        <v>44</v>
      </c>
      <c r="D312">
        <v>12659</v>
      </c>
      <c r="E312" t="s">
        <v>12</v>
      </c>
      <c r="F312" t="s">
        <v>47</v>
      </c>
      <c r="G312">
        <v>6</v>
      </c>
      <c r="H312">
        <v>13</v>
      </c>
      <c r="I312" t="s">
        <v>45</v>
      </c>
      <c r="J312" cm="1">
        <f t="array" ref="J312">IFERROR(
    _xlfn.XLOOKUP(G312, 'Wedgewood Pharm-PM-Yr2-2025'!$E$4:$L$4,
        _xlfn.XLOOKUP('Rate Load'!H312, 'Wedgewood Pharm-PM-Yr2-2025'!$D$5:$D$31,
            'Wedgewood Pharm-PM-Yr2-2025'!$E$5:$L$31, 0, 0),
        0, 0),
    _xlfn.XLOOKUP(G312, 'Wedgewood Pharm-PM-Yr2-2025'!$E$4:$L$4,
        _xlfn.XLOOKUP('Rate Load'!L312, 'Wedgewood Pharm-PM-Yr2-2025'!$D$5:$D$31,
            'Wedgewood Pharm-PM-Yr2-2025'!$E$5:$L$31, 0, 0),
        0, 0)
)</f>
        <v>26.05</v>
      </c>
      <c r="K312" t="s">
        <v>46</v>
      </c>
      <c r="L312" t="s">
        <v>13</v>
      </c>
      <c r="M312">
        <v>1</v>
      </c>
      <c r="N312" t="str">
        <f t="shared" si="4"/>
        <v>INSERT INTO TNL_RATING.dbo.usps_rate_master VALUES ('USPS', '2/13/2025', '2/13/2026', 12659, 'US', 'Priority Mail', 6, 13, 'L', 26.05, 'Wedgewood_USPS_2025', 'NonCubic','1');</v>
      </c>
    </row>
    <row r="313" spans="1:14" x14ac:dyDescent="0.3">
      <c r="A313" t="s">
        <v>11</v>
      </c>
      <c r="B313" s="1" t="s">
        <v>43</v>
      </c>
      <c r="C313" s="1" t="s">
        <v>44</v>
      </c>
      <c r="D313">
        <v>12659</v>
      </c>
      <c r="E313" t="s">
        <v>12</v>
      </c>
      <c r="F313" t="s">
        <v>47</v>
      </c>
      <c r="G313">
        <v>6</v>
      </c>
      <c r="H313">
        <v>14</v>
      </c>
      <c r="I313" t="s">
        <v>45</v>
      </c>
      <c r="J313" cm="1">
        <f t="array" ref="J313">IFERROR(
    _xlfn.XLOOKUP(G313, 'Wedgewood Pharm-PM-Yr2-2025'!$E$4:$L$4,
        _xlfn.XLOOKUP('Rate Load'!H313, 'Wedgewood Pharm-PM-Yr2-2025'!$D$5:$D$31,
            'Wedgewood Pharm-PM-Yr2-2025'!$E$5:$L$31, 0, 0),
        0, 0),
    _xlfn.XLOOKUP(G313, 'Wedgewood Pharm-PM-Yr2-2025'!$E$4:$L$4,
        _xlfn.XLOOKUP('Rate Load'!L313, 'Wedgewood Pharm-PM-Yr2-2025'!$D$5:$D$31,
            'Wedgewood Pharm-PM-Yr2-2025'!$E$5:$L$31, 0, 0),
        0, 0)
)</f>
        <v>27.360000000000003</v>
      </c>
      <c r="K313" t="s">
        <v>46</v>
      </c>
      <c r="L313" t="s">
        <v>13</v>
      </c>
      <c r="M313">
        <v>1</v>
      </c>
      <c r="N313" t="str">
        <f t="shared" si="4"/>
        <v>INSERT INTO TNL_RATING.dbo.usps_rate_master VALUES ('USPS', '2/13/2025', '2/13/2026', 12659, 'US', 'Priority Mail', 6, 14, 'L', 27.36, 'Wedgewood_USPS_2025', 'NonCubic','1');</v>
      </c>
    </row>
    <row r="314" spans="1:14" x14ac:dyDescent="0.3">
      <c r="A314" t="s">
        <v>11</v>
      </c>
      <c r="B314" s="1" t="s">
        <v>43</v>
      </c>
      <c r="C314" s="1" t="s">
        <v>44</v>
      </c>
      <c r="D314">
        <v>12659</v>
      </c>
      <c r="E314" t="s">
        <v>12</v>
      </c>
      <c r="F314" t="s">
        <v>47</v>
      </c>
      <c r="G314">
        <v>6</v>
      </c>
      <c r="H314">
        <v>15</v>
      </c>
      <c r="I314" t="s">
        <v>45</v>
      </c>
      <c r="J314" cm="1">
        <f t="array" ref="J314">IFERROR(
    _xlfn.XLOOKUP(G314, 'Wedgewood Pharm-PM-Yr2-2025'!$E$4:$L$4,
        _xlfn.XLOOKUP('Rate Load'!H314, 'Wedgewood Pharm-PM-Yr2-2025'!$D$5:$D$31,
            'Wedgewood Pharm-PM-Yr2-2025'!$E$5:$L$31, 0, 0),
        0, 0),
    _xlfn.XLOOKUP(G314, 'Wedgewood Pharm-PM-Yr2-2025'!$E$4:$L$4,
        _xlfn.XLOOKUP('Rate Load'!L314, 'Wedgewood Pharm-PM-Yr2-2025'!$D$5:$D$31,
            'Wedgewood Pharm-PM-Yr2-2025'!$E$5:$L$31, 0, 0),
        0, 0)
)</f>
        <v>28.64</v>
      </c>
      <c r="K314" t="s">
        <v>46</v>
      </c>
      <c r="L314" t="s">
        <v>13</v>
      </c>
      <c r="M314">
        <v>1</v>
      </c>
      <c r="N314" t="str">
        <f t="shared" si="4"/>
        <v>INSERT INTO TNL_RATING.dbo.usps_rate_master VALUES ('USPS', '2/13/2025', '2/13/2026', 12659, 'US', 'Priority Mail', 6, 15, 'L', 28.64, 'Wedgewood_USPS_2025', 'NonCubic','1');</v>
      </c>
    </row>
    <row r="315" spans="1:14" x14ac:dyDescent="0.3">
      <c r="A315" t="s">
        <v>11</v>
      </c>
      <c r="B315" s="1" t="s">
        <v>43</v>
      </c>
      <c r="C315" s="1" t="s">
        <v>44</v>
      </c>
      <c r="D315">
        <v>12659</v>
      </c>
      <c r="E315" t="s">
        <v>12</v>
      </c>
      <c r="F315" t="s">
        <v>47</v>
      </c>
      <c r="G315">
        <v>6</v>
      </c>
      <c r="H315">
        <v>16</v>
      </c>
      <c r="I315" t="s">
        <v>45</v>
      </c>
      <c r="J315" cm="1">
        <f t="array" ref="J315">IFERROR(
    _xlfn.XLOOKUP(G315, 'Wedgewood Pharm-PM-Yr2-2025'!$E$4:$L$4,
        _xlfn.XLOOKUP('Rate Load'!H315, 'Wedgewood Pharm-PM-Yr2-2025'!$D$5:$D$31,
            'Wedgewood Pharm-PM-Yr2-2025'!$E$5:$L$31, 0, 0),
        0, 0),
    _xlfn.XLOOKUP(G315, 'Wedgewood Pharm-PM-Yr2-2025'!$E$4:$L$4,
        _xlfn.XLOOKUP('Rate Load'!L315, 'Wedgewood Pharm-PM-Yr2-2025'!$D$5:$D$31,
            'Wedgewood Pharm-PM-Yr2-2025'!$E$5:$L$31, 0, 0),
        0, 0)
)</f>
        <v>29.94</v>
      </c>
      <c r="K315" t="s">
        <v>46</v>
      </c>
      <c r="L315" t="s">
        <v>13</v>
      </c>
      <c r="M315">
        <v>1</v>
      </c>
      <c r="N315" t="str">
        <f t="shared" si="4"/>
        <v>INSERT INTO TNL_RATING.dbo.usps_rate_master VALUES ('USPS', '2/13/2025', '2/13/2026', 12659, 'US', 'Priority Mail', 6, 16, 'L', 29.94, 'Wedgewood_USPS_2025', 'NonCubic','1');</v>
      </c>
    </row>
    <row r="316" spans="1:14" x14ac:dyDescent="0.3">
      <c r="A316" t="s">
        <v>11</v>
      </c>
      <c r="B316" s="1" t="s">
        <v>43</v>
      </c>
      <c r="C316" s="1" t="s">
        <v>44</v>
      </c>
      <c r="D316">
        <v>12659</v>
      </c>
      <c r="E316" t="s">
        <v>12</v>
      </c>
      <c r="F316" t="s">
        <v>47</v>
      </c>
      <c r="G316">
        <v>6</v>
      </c>
      <c r="H316">
        <v>17</v>
      </c>
      <c r="I316" t="s">
        <v>45</v>
      </c>
      <c r="J316" cm="1">
        <f t="array" ref="J316">IFERROR(
    _xlfn.XLOOKUP(G316, 'Wedgewood Pharm-PM-Yr2-2025'!$E$4:$L$4,
        _xlfn.XLOOKUP('Rate Load'!H316, 'Wedgewood Pharm-PM-Yr2-2025'!$D$5:$D$31,
            'Wedgewood Pharm-PM-Yr2-2025'!$E$5:$L$31, 0, 0),
        0, 0),
    _xlfn.XLOOKUP(G316, 'Wedgewood Pharm-PM-Yr2-2025'!$E$4:$L$4,
        _xlfn.XLOOKUP('Rate Load'!L316, 'Wedgewood Pharm-PM-Yr2-2025'!$D$5:$D$31,
            'Wedgewood Pharm-PM-Yr2-2025'!$E$5:$L$31, 0, 0),
        0, 0)
)</f>
        <v>31.220000000000002</v>
      </c>
      <c r="K316" t="s">
        <v>46</v>
      </c>
      <c r="L316" t="s">
        <v>13</v>
      </c>
      <c r="M316">
        <v>1</v>
      </c>
      <c r="N316" t="str">
        <f t="shared" si="4"/>
        <v>INSERT INTO TNL_RATING.dbo.usps_rate_master VALUES ('USPS', '2/13/2025', '2/13/2026', 12659, 'US', 'Priority Mail', 6, 17, 'L', 31.22, 'Wedgewood_USPS_2025', 'NonCubic','1');</v>
      </c>
    </row>
    <row r="317" spans="1:14" x14ac:dyDescent="0.3">
      <c r="A317" t="s">
        <v>11</v>
      </c>
      <c r="B317" s="1" t="s">
        <v>43</v>
      </c>
      <c r="C317" s="1" t="s">
        <v>44</v>
      </c>
      <c r="D317">
        <v>12659</v>
      </c>
      <c r="E317" t="s">
        <v>12</v>
      </c>
      <c r="F317" t="s">
        <v>47</v>
      </c>
      <c r="G317">
        <v>6</v>
      </c>
      <c r="H317">
        <v>18</v>
      </c>
      <c r="I317" t="s">
        <v>45</v>
      </c>
      <c r="J317" cm="1">
        <f t="array" ref="J317">IFERROR(
    _xlfn.XLOOKUP(G317, 'Wedgewood Pharm-PM-Yr2-2025'!$E$4:$L$4,
        _xlfn.XLOOKUP('Rate Load'!H317, 'Wedgewood Pharm-PM-Yr2-2025'!$D$5:$D$31,
            'Wedgewood Pharm-PM-Yr2-2025'!$E$5:$L$31, 0, 0),
        0, 0),
    _xlfn.XLOOKUP(G317, 'Wedgewood Pharm-PM-Yr2-2025'!$E$4:$L$4,
        _xlfn.XLOOKUP('Rate Load'!L317, 'Wedgewood Pharm-PM-Yr2-2025'!$D$5:$D$31,
            'Wedgewood Pharm-PM-Yr2-2025'!$E$5:$L$31, 0, 0),
        0, 0)
)</f>
        <v>32.519999999999996</v>
      </c>
      <c r="K317" t="s">
        <v>46</v>
      </c>
      <c r="L317" t="s">
        <v>13</v>
      </c>
      <c r="M317">
        <v>1</v>
      </c>
      <c r="N317" t="str">
        <f t="shared" si="4"/>
        <v>INSERT INTO TNL_RATING.dbo.usps_rate_master VALUES ('USPS', '2/13/2025', '2/13/2026', 12659, 'US', 'Priority Mail', 6, 18, 'L', 32.52, 'Wedgewood_USPS_2025', 'NonCubic','1');</v>
      </c>
    </row>
    <row r="318" spans="1:14" x14ac:dyDescent="0.3">
      <c r="A318" t="s">
        <v>11</v>
      </c>
      <c r="B318" s="1" t="s">
        <v>43</v>
      </c>
      <c r="C318" s="1" t="s">
        <v>44</v>
      </c>
      <c r="D318">
        <v>12659</v>
      </c>
      <c r="E318" t="s">
        <v>12</v>
      </c>
      <c r="F318" t="s">
        <v>47</v>
      </c>
      <c r="G318">
        <v>6</v>
      </c>
      <c r="H318">
        <v>19</v>
      </c>
      <c r="I318" t="s">
        <v>45</v>
      </c>
      <c r="J318" cm="1">
        <f t="array" ref="J318">IFERROR(
    _xlfn.XLOOKUP(G318, 'Wedgewood Pharm-PM-Yr2-2025'!$E$4:$L$4,
        _xlfn.XLOOKUP('Rate Load'!H318, 'Wedgewood Pharm-PM-Yr2-2025'!$D$5:$D$31,
            'Wedgewood Pharm-PM-Yr2-2025'!$E$5:$L$31, 0, 0),
        0, 0),
    _xlfn.XLOOKUP(G318, 'Wedgewood Pharm-PM-Yr2-2025'!$E$4:$L$4,
        _xlfn.XLOOKUP('Rate Load'!L318, 'Wedgewood Pharm-PM-Yr2-2025'!$D$5:$D$31,
            'Wedgewood Pharm-PM-Yr2-2025'!$E$5:$L$31, 0, 0),
        0, 0)
)</f>
        <v>33.82</v>
      </c>
      <c r="K318" t="s">
        <v>46</v>
      </c>
      <c r="L318" t="s">
        <v>13</v>
      </c>
      <c r="M318">
        <v>1</v>
      </c>
      <c r="N318" t="str">
        <f t="shared" si="4"/>
        <v>INSERT INTO TNL_RATING.dbo.usps_rate_master VALUES ('USPS', '2/13/2025', '2/13/2026', 12659, 'US', 'Priority Mail', 6, 19, 'L', 33.82, 'Wedgewood_USPS_2025', 'NonCubic','1');</v>
      </c>
    </row>
    <row r="319" spans="1:14" x14ac:dyDescent="0.3">
      <c r="A319" t="s">
        <v>11</v>
      </c>
      <c r="B319" s="1" t="s">
        <v>43</v>
      </c>
      <c r="C319" s="1" t="s">
        <v>44</v>
      </c>
      <c r="D319">
        <v>12659</v>
      </c>
      <c r="E319" t="s">
        <v>12</v>
      </c>
      <c r="F319" t="s">
        <v>47</v>
      </c>
      <c r="G319">
        <v>6</v>
      </c>
      <c r="H319">
        <v>20</v>
      </c>
      <c r="I319" t="s">
        <v>45</v>
      </c>
      <c r="J319" cm="1">
        <f t="array" ref="J319">IFERROR(
    _xlfn.XLOOKUP(G319, 'Wedgewood Pharm-PM-Yr2-2025'!$E$4:$L$4,
        _xlfn.XLOOKUP('Rate Load'!H319, 'Wedgewood Pharm-PM-Yr2-2025'!$D$5:$D$31,
            'Wedgewood Pharm-PM-Yr2-2025'!$E$5:$L$31, 0, 0),
        0, 0),
    _xlfn.XLOOKUP(G319, 'Wedgewood Pharm-PM-Yr2-2025'!$E$4:$L$4,
        _xlfn.XLOOKUP('Rate Load'!L319, 'Wedgewood Pharm-PM-Yr2-2025'!$D$5:$D$31,
            'Wedgewood Pharm-PM-Yr2-2025'!$E$5:$L$31, 0, 0),
        0, 0)
)</f>
        <v>35.11</v>
      </c>
      <c r="K319" t="s">
        <v>46</v>
      </c>
      <c r="L319" t="s">
        <v>13</v>
      </c>
      <c r="M319">
        <v>1</v>
      </c>
      <c r="N319" t="str">
        <f t="shared" si="4"/>
        <v>INSERT INTO TNL_RATING.dbo.usps_rate_master VALUES ('USPS', '2/13/2025', '2/13/2026', 12659, 'US', 'Priority Mail', 6, 20, 'L', 35.11, 'Wedgewood_USPS_2025', 'NonCubic','1');</v>
      </c>
    </row>
    <row r="320" spans="1:14" x14ac:dyDescent="0.3">
      <c r="A320" t="s">
        <v>11</v>
      </c>
      <c r="B320" s="1" t="s">
        <v>43</v>
      </c>
      <c r="C320" s="1" t="s">
        <v>44</v>
      </c>
      <c r="D320">
        <v>12659</v>
      </c>
      <c r="E320" t="s">
        <v>12</v>
      </c>
      <c r="F320" t="s">
        <v>47</v>
      </c>
      <c r="G320">
        <v>7</v>
      </c>
      <c r="H320">
        <v>0.5</v>
      </c>
      <c r="I320" t="s">
        <v>45</v>
      </c>
      <c r="J320" cm="1">
        <f t="array" ref="J320">IFERROR(
    _xlfn.XLOOKUP(G320, 'Wedgewood Pharm-PM-Yr2-2025'!$E$4:$L$4,
        _xlfn.XLOOKUP('Rate Load'!H320, 'Wedgewood Pharm-PM-Yr2-2025'!$D$5:$D$31,
            'Wedgewood Pharm-PM-Yr2-2025'!$E$5:$L$31, 0, 0),
        0, 0),
    _xlfn.XLOOKUP(G320, 'Wedgewood Pharm-PM-Yr2-2025'!$E$4:$L$4,
        _xlfn.XLOOKUP('Rate Load'!L320, 'Wedgewood Pharm-PM-Yr2-2025'!$D$5:$D$31,
            'Wedgewood Pharm-PM-Yr2-2025'!$E$5:$L$31, 0, 0),
        0, 0)
)</f>
        <v>7.8999999999999995</v>
      </c>
      <c r="K320" t="s">
        <v>46</v>
      </c>
      <c r="L320" t="s">
        <v>13</v>
      </c>
      <c r="M320">
        <v>1</v>
      </c>
      <c r="N320" t="str">
        <f t="shared" si="4"/>
        <v>INSERT INTO TNL_RATING.dbo.usps_rate_master VALUES ('USPS', '2/13/2025', '2/13/2026', 12659, 'US', 'Priority Mail', 7, 0.5, 'L', 7.9, 'Wedgewood_USPS_2025', 'NonCubic','1');</v>
      </c>
    </row>
    <row r="321" spans="1:14" x14ac:dyDescent="0.3">
      <c r="A321" t="s">
        <v>11</v>
      </c>
      <c r="B321" s="1" t="s">
        <v>43</v>
      </c>
      <c r="C321" s="1" t="s">
        <v>44</v>
      </c>
      <c r="D321">
        <v>12659</v>
      </c>
      <c r="E321" t="s">
        <v>12</v>
      </c>
      <c r="F321" t="s">
        <v>47</v>
      </c>
      <c r="G321">
        <v>7</v>
      </c>
      <c r="H321">
        <v>1</v>
      </c>
      <c r="I321" t="s">
        <v>45</v>
      </c>
      <c r="J321" cm="1">
        <f t="array" ref="J321">IFERROR(
    _xlfn.XLOOKUP(G321, 'Wedgewood Pharm-PM-Yr2-2025'!$E$4:$L$4,
        _xlfn.XLOOKUP('Rate Load'!H321, 'Wedgewood Pharm-PM-Yr2-2025'!$D$5:$D$31,
            'Wedgewood Pharm-PM-Yr2-2025'!$E$5:$L$31, 0, 0),
        0, 0),
    _xlfn.XLOOKUP(G321, 'Wedgewood Pharm-PM-Yr2-2025'!$E$4:$L$4,
        _xlfn.XLOOKUP('Rate Load'!L321, 'Wedgewood Pharm-PM-Yr2-2025'!$D$5:$D$31,
            'Wedgewood Pharm-PM-Yr2-2025'!$E$5:$L$31, 0, 0),
        0, 0)
)</f>
        <v>8.51</v>
      </c>
      <c r="K321" t="s">
        <v>46</v>
      </c>
      <c r="L321" t="s">
        <v>13</v>
      </c>
      <c r="M321">
        <v>1</v>
      </c>
      <c r="N321" t="str">
        <f t="shared" si="4"/>
        <v>INSERT INTO TNL_RATING.dbo.usps_rate_master VALUES ('USPS', '2/13/2025', '2/13/2026', 12659, 'US', 'Priority Mail', 7, 1, 'L', 8.51, 'Wedgewood_USPS_2025', 'NonCubic','1');</v>
      </c>
    </row>
    <row r="322" spans="1:14" x14ac:dyDescent="0.3">
      <c r="A322" t="s">
        <v>11</v>
      </c>
      <c r="B322" s="1" t="s">
        <v>43</v>
      </c>
      <c r="C322" s="1" t="s">
        <v>44</v>
      </c>
      <c r="D322">
        <v>12659</v>
      </c>
      <c r="E322" t="s">
        <v>12</v>
      </c>
      <c r="F322" t="s">
        <v>47</v>
      </c>
      <c r="G322">
        <v>7</v>
      </c>
      <c r="H322">
        <v>2</v>
      </c>
      <c r="I322" t="s">
        <v>45</v>
      </c>
      <c r="J322" cm="1">
        <f t="array" ref="J322">IFERROR(
    _xlfn.XLOOKUP(G322, 'Wedgewood Pharm-PM-Yr2-2025'!$E$4:$L$4,
        _xlfn.XLOOKUP('Rate Load'!H322, 'Wedgewood Pharm-PM-Yr2-2025'!$D$5:$D$31,
            'Wedgewood Pharm-PM-Yr2-2025'!$E$5:$L$31, 0, 0),
        0, 0),
    _xlfn.XLOOKUP(G322, 'Wedgewood Pharm-PM-Yr2-2025'!$E$4:$L$4,
        _xlfn.XLOOKUP('Rate Load'!L322, 'Wedgewood Pharm-PM-Yr2-2025'!$D$5:$D$31,
            'Wedgewood Pharm-PM-Yr2-2025'!$E$5:$L$31, 0, 0),
        0, 0)
)</f>
        <v>10.76</v>
      </c>
      <c r="K322" t="s">
        <v>46</v>
      </c>
      <c r="L322" t="s">
        <v>13</v>
      </c>
      <c r="M322">
        <v>1</v>
      </c>
      <c r="N322" t="str">
        <f t="shared" si="4"/>
        <v>INSERT INTO TNL_RATING.dbo.usps_rate_master VALUES ('USPS', '2/13/2025', '2/13/2026', 12659, 'US', 'Priority Mail', 7, 2, 'L', 10.76, 'Wedgewood_USPS_2025', 'NonCubic','1');</v>
      </c>
    </row>
    <row r="323" spans="1:14" x14ac:dyDescent="0.3">
      <c r="A323" t="s">
        <v>11</v>
      </c>
      <c r="B323" s="1" t="s">
        <v>43</v>
      </c>
      <c r="C323" s="1" t="s">
        <v>44</v>
      </c>
      <c r="D323">
        <v>12659</v>
      </c>
      <c r="E323" t="s">
        <v>12</v>
      </c>
      <c r="F323" t="s">
        <v>47</v>
      </c>
      <c r="G323">
        <v>7</v>
      </c>
      <c r="H323">
        <v>3</v>
      </c>
      <c r="I323" t="s">
        <v>45</v>
      </c>
      <c r="J323" cm="1">
        <f t="array" ref="J323">IFERROR(
    _xlfn.XLOOKUP(G323, 'Wedgewood Pharm-PM-Yr2-2025'!$E$4:$L$4,
        _xlfn.XLOOKUP('Rate Load'!H323, 'Wedgewood Pharm-PM-Yr2-2025'!$D$5:$D$31,
            'Wedgewood Pharm-PM-Yr2-2025'!$E$5:$L$31, 0, 0),
        0, 0),
    _xlfn.XLOOKUP(G323, 'Wedgewood Pharm-PM-Yr2-2025'!$E$4:$L$4,
        _xlfn.XLOOKUP('Rate Load'!L323, 'Wedgewood Pharm-PM-Yr2-2025'!$D$5:$D$31,
            'Wedgewood Pharm-PM-Yr2-2025'!$E$5:$L$31, 0, 0),
        0, 0)
)</f>
        <v>14.47</v>
      </c>
      <c r="K323" t="s">
        <v>46</v>
      </c>
      <c r="L323" t="s">
        <v>13</v>
      </c>
      <c r="M323">
        <v>1</v>
      </c>
      <c r="N323" t="str">
        <f t="shared" ref="N323:N386" si="5">"INSERT INTO TNL_RATING.dbo.usps_rate_master VALUES ('" &amp; A323 &amp; "', '" &amp; B323 &amp; "', '" &amp; C323 &amp; "', " &amp; D323 &amp; ", '" &amp; E323 &amp; "', '" &amp; F323 &amp; "', " &amp; G323 &amp; ", " &amp; H323 &amp; ", '" &amp; I323 &amp; "', " &amp; J323 &amp; ", '" &amp; K323 &amp; "', '" &amp; L323 &amp; "','" &amp; M323 &amp; "');"</f>
        <v>INSERT INTO TNL_RATING.dbo.usps_rate_master VALUES ('USPS', '2/13/2025', '2/13/2026', 12659, 'US', 'Priority Mail', 7, 3, 'L', 14.47, 'Wedgewood_USPS_2025', 'NonCubic','1');</v>
      </c>
    </row>
    <row r="324" spans="1:14" x14ac:dyDescent="0.3">
      <c r="A324" t="s">
        <v>11</v>
      </c>
      <c r="B324" s="1" t="s">
        <v>43</v>
      </c>
      <c r="C324" s="1" t="s">
        <v>44</v>
      </c>
      <c r="D324">
        <v>12659</v>
      </c>
      <c r="E324" t="s">
        <v>12</v>
      </c>
      <c r="F324" t="s">
        <v>47</v>
      </c>
      <c r="G324">
        <v>7</v>
      </c>
      <c r="H324">
        <v>4</v>
      </c>
      <c r="I324" t="s">
        <v>45</v>
      </c>
      <c r="J324" cm="1">
        <f t="array" ref="J324">IFERROR(
    _xlfn.XLOOKUP(G324, 'Wedgewood Pharm-PM-Yr2-2025'!$E$4:$L$4,
        _xlfn.XLOOKUP('Rate Load'!H324, 'Wedgewood Pharm-PM-Yr2-2025'!$D$5:$D$31,
            'Wedgewood Pharm-PM-Yr2-2025'!$E$5:$L$31, 0, 0),
        0, 0),
    _xlfn.XLOOKUP(G324, 'Wedgewood Pharm-PM-Yr2-2025'!$E$4:$L$4,
        _xlfn.XLOOKUP('Rate Load'!L324, 'Wedgewood Pharm-PM-Yr2-2025'!$D$5:$D$31,
            'Wedgewood Pharm-PM-Yr2-2025'!$E$5:$L$31, 0, 0),
        0, 0)
)</f>
        <v>17.180000000000003</v>
      </c>
      <c r="K324" t="s">
        <v>46</v>
      </c>
      <c r="L324" t="s">
        <v>13</v>
      </c>
      <c r="M324">
        <v>1</v>
      </c>
      <c r="N324" t="str">
        <f t="shared" si="5"/>
        <v>INSERT INTO TNL_RATING.dbo.usps_rate_master VALUES ('USPS', '2/13/2025', '2/13/2026', 12659, 'US', 'Priority Mail', 7, 4, 'L', 17.18, 'Wedgewood_USPS_2025', 'NonCubic','1');</v>
      </c>
    </row>
    <row r="325" spans="1:14" x14ac:dyDescent="0.3">
      <c r="A325" t="s">
        <v>11</v>
      </c>
      <c r="B325" s="1" t="s">
        <v>43</v>
      </c>
      <c r="C325" s="1" t="s">
        <v>44</v>
      </c>
      <c r="D325">
        <v>12659</v>
      </c>
      <c r="E325" t="s">
        <v>12</v>
      </c>
      <c r="F325" t="s">
        <v>47</v>
      </c>
      <c r="G325">
        <v>7</v>
      </c>
      <c r="H325">
        <v>5</v>
      </c>
      <c r="I325" t="s">
        <v>45</v>
      </c>
      <c r="J325" cm="1">
        <f t="array" ref="J325">IFERROR(
    _xlfn.XLOOKUP(G325, 'Wedgewood Pharm-PM-Yr2-2025'!$E$4:$L$4,
        _xlfn.XLOOKUP('Rate Load'!H325, 'Wedgewood Pharm-PM-Yr2-2025'!$D$5:$D$31,
            'Wedgewood Pharm-PM-Yr2-2025'!$E$5:$L$31, 0, 0),
        0, 0),
    _xlfn.XLOOKUP(G325, 'Wedgewood Pharm-PM-Yr2-2025'!$E$4:$L$4,
        _xlfn.XLOOKUP('Rate Load'!L325, 'Wedgewood Pharm-PM-Yr2-2025'!$D$5:$D$31,
            'Wedgewood Pharm-PM-Yr2-2025'!$E$5:$L$31, 0, 0),
        0, 0)
)</f>
        <v>19.53</v>
      </c>
      <c r="K325" t="s">
        <v>46</v>
      </c>
      <c r="L325" t="s">
        <v>13</v>
      </c>
      <c r="M325">
        <v>1</v>
      </c>
      <c r="N325" t="str">
        <f t="shared" si="5"/>
        <v>INSERT INTO TNL_RATING.dbo.usps_rate_master VALUES ('USPS', '2/13/2025', '2/13/2026', 12659, 'US', 'Priority Mail', 7, 5, 'L', 19.53, 'Wedgewood_USPS_2025', 'NonCubic','1');</v>
      </c>
    </row>
    <row r="326" spans="1:14" x14ac:dyDescent="0.3">
      <c r="A326" t="s">
        <v>11</v>
      </c>
      <c r="B326" s="1" t="s">
        <v>43</v>
      </c>
      <c r="C326" s="1" t="s">
        <v>44</v>
      </c>
      <c r="D326">
        <v>12659</v>
      </c>
      <c r="E326" t="s">
        <v>12</v>
      </c>
      <c r="F326" t="s">
        <v>47</v>
      </c>
      <c r="G326">
        <v>7</v>
      </c>
      <c r="H326">
        <v>6</v>
      </c>
      <c r="I326" t="s">
        <v>45</v>
      </c>
      <c r="J326" cm="1">
        <f t="array" ref="J326">IFERROR(
    _xlfn.XLOOKUP(G326, 'Wedgewood Pharm-PM-Yr2-2025'!$E$4:$L$4,
        _xlfn.XLOOKUP('Rate Load'!H326, 'Wedgewood Pharm-PM-Yr2-2025'!$D$5:$D$31,
            'Wedgewood Pharm-PM-Yr2-2025'!$E$5:$L$31, 0, 0),
        0, 0),
    _xlfn.XLOOKUP(G326, 'Wedgewood Pharm-PM-Yr2-2025'!$E$4:$L$4,
        _xlfn.XLOOKUP('Rate Load'!L326, 'Wedgewood Pharm-PM-Yr2-2025'!$D$5:$D$31,
            'Wedgewood Pharm-PM-Yr2-2025'!$E$5:$L$31, 0, 0),
        0, 0)
)</f>
        <v>22.560000000000002</v>
      </c>
      <c r="K326" t="s">
        <v>46</v>
      </c>
      <c r="L326" t="s">
        <v>13</v>
      </c>
      <c r="M326">
        <v>1</v>
      </c>
      <c r="N326" t="str">
        <f t="shared" si="5"/>
        <v>INSERT INTO TNL_RATING.dbo.usps_rate_master VALUES ('USPS', '2/13/2025', '2/13/2026', 12659, 'US', 'Priority Mail', 7, 6, 'L', 22.56, 'Wedgewood_USPS_2025', 'NonCubic','1');</v>
      </c>
    </row>
    <row r="327" spans="1:14" x14ac:dyDescent="0.3">
      <c r="A327" t="s">
        <v>11</v>
      </c>
      <c r="B327" s="1" t="s">
        <v>43</v>
      </c>
      <c r="C327" s="1" t="s">
        <v>44</v>
      </c>
      <c r="D327">
        <v>12659</v>
      </c>
      <c r="E327" t="s">
        <v>12</v>
      </c>
      <c r="F327" t="s">
        <v>47</v>
      </c>
      <c r="G327">
        <v>7</v>
      </c>
      <c r="H327">
        <v>7</v>
      </c>
      <c r="I327" t="s">
        <v>45</v>
      </c>
      <c r="J327" cm="1">
        <f t="array" ref="J327">IFERROR(
    _xlfn.XLOOKUP(G327, 'Wedgewood Pharm-PM-Yr2-2025'!$E$4:$L$4,
        _xlfn.XLOOKUP('Rate Load'!H327, 'Wedgewood Pharm-PM-Yr2-2025'!$D$5:$D$31,
            'Wedgewood Pharm-PM-Yr2-2025'!$E$5:$L$31, 0, 0),
        0, 0),
    _xlfn.XLOOKUP(G327, 'Wedgewood Pharm-PM-Yr2-2025'!$E$4:$L$4,
        _xlfn.XLOOKUP('Rate Load'!L327, 'Wedgewood Pharm-PM-Yr2-2025'!$D$5:$D$31,
            'Wedgewood Pharm-PM-Yr2-2025'!$E$5:$L$31, 0, 0),
        0, 0)
)</f>
        <v>24.430000000000003</v>
      </c>
      <c r="K327" t="s">
        <v>46</v>
      </c>
      <c r="L327" t="s">
        <v>13</v>
      </c>
      <c r="M327">
        <v>1</v>
      </c>
      <c r="N327" t="str">
        <f t="shared" si="5"/>
        <v>INSERT INTO TNL_RATING.dbo.usps_rate_master VALUES ('USPS', '2/13/2025', '2/13/2026', 12659, 'US', 'Priority Mail', 7, 7, 'L', 24.43, 'Wedgewood_USPS_2025', 'NonCubic','1');</v>
      </c>
    </row>
    <row r="328" spans="1:14" x14ac:dyDescent="0.3">
      <c r="A328" t="s">
        <v>11</v>
      </c>
      <c r="B328" s="1" t="s">
        <v>43</v>
      </c>
      <c r="C328" s="1" t="s">
        <v>44</v>
      </c>
      <c r="D328">
        <v>12659</v>
      </c>
      <c r="E328" t="s">
        <v>12</v>
      </c>
      <c r="F328" t="s">
        <v>47</v>
      </c>
      <c r="G328">
        <v>7</v>
      </c>
      <c r="H328">
        <v>8</v>
      </c>
      <c r="I328" t="s">
        <v>45</v>
      </c>
      <c r="J328" cm="1">
        <f t="array" ref="J328">IFERROR(
    _xlfn.XLOOKUP(G328, 'Wedgewood Pharm-PM-Yr2-2025'!$E$4:$L$4,
        _xlfn.XLOOKUP('Rate Load'!H328, 'Wedgewood Pharm-PM-Yr2-2025'!$D$5:$D$31,
            'Wedgewood Pharm-PM-Yr2-2025'!$E$5:$L$31, 0, 0),
        0, 0),
    _xlfn.XLOOKUP(G328, 'Wedgewood Pharm-PM-Yr2-2025'!$E$4:$L$4,
        _xlfn.XLOOKUP('Rate Load'!L328, 'Wedgewood Pharm-PM-Yr2-2025'!$D$5:$D$31,
            'Wedgewood Pharm-PM-Yr2-2025'!$E$5:$L$31, 0, 0),
        0, 0)
)</f>
        <v>26.21</v>
      </c>
      <c r="K328" t="s">
        <v>46</v>
      </c>
      <c r="L328" t="s">
        <v>13</v>
      </c>
      <c r="M328">
        <v>1</v>
      </c>
      <c r="N328" t="str">
        <f t="shared" si="5"/>
        <v>INSERT INTO TNL_RATING.dbo.usps_rate_master VALUES ('USPS', '2/13/2025', '2/13/2026', 12659, 'US', 'Priority Mail', 7, 8, 'L', 26.21, 'Wedgewood_USPS_2025', 'NonCubic','1');</v>
      </c>
    </row>
    <row r="329" spans="1:14" x14ac:dyDescent="0.3">
      <c r="A329" t="s">
        <v>11</v>
      </c>
      <c r="B329" s="1" t="s">
        <v>43</v>
      </c>
      <c r="C329" s="1" t="s">
        <v>44</v>
      </c>
      <c r="D329">
        <v>12659</v>
      </c>
      <c r="E329" t="s">
        <v>12</v>
      </c>
      <c r="F329" t="s">
        <v>47</v>
      </c>
      <c r="G329">
        <v>7</v>
      </c>
      <c r="H329">
        <v>9</v>
      </c>
      <c r="I329" t="s">
        <v>45</v>
      </c>
      <c r="J329" cm="1">
        <f t="array" ref="J329">IFERROR(
    _xlfn.XLOOKUP(G329, 'Wedgewood Pharm-PM-Yr2-2025'!$E$4:$L$4,
        _xlfn.XLOOKUP('Rate Load'!H329, 'Wedgewood Pharm-PM-Yr2-2025'!$D$5:$D$31,
            'Wedgewood Pharm-PM-Yr2-2025'!$E$5:$L$31, 0, 0),
        0, 0),
    _xlfn.XLOOKUP(G329, 'Wedgewood Pharm-PM-Yr2-2025'!$E$4:$L$4,
        _xlfn.XLOOKUP('Rate Load'!L329, 'Wedgewood Pharm-PM-Yr2-2025'!$D$5:$D$31,
            'Wedgewood Pharm-PM-Yr2-2025'!$E$5:$L$31, 0, 0),
        0, 0)
)</f>
        <v>27.930000000000003</v>
      </c>
      <c r="K329" t="s">
        <v>46</v>
      </c>
      <c r="L329" t="s">
        <v>13</v>
      </c>
      <c r="M329">
        <v>1</v>
      </c>
      <c r="N329" t="str">
        <f t="shared" si="5"/>
        <v>INSERT INTO TNL_RATING.dbo.usps_rate_master VALUES ('USPS', '2/13/2025', '2/13/2026', 12659, 'US', 'Priority Mail', 7, 9, 'L', 27.93, 'Wedgewood_USPS_2025', 'NonCubic','1');</v>
      </c>
    </row>
    <row r="330" spans="1:14" x14ac:dyDescent="0.3">
      <c r="A330" t="s">
        <v>11</v>
      </c>
      <c r="B330" s="1" t="s">
        <v>43</v>
      </c>
      <c r="C330" s="1" t="s">
        <v>44</v>
      </c>
      <c r="D330">
        <v>12659</v>
      </c>
      <c r="E330" t="s">
        <v>12</v>
      </c>
      <c r="F330" t="s">
        <v>47</v>
      </c>
      <c r="G330">
        <v>7</v>
      </c>
      <c r="H330">
        <v>10</v>
      </c>
      <c r="I330" t="s">
        <v>45</v>
      </c>
      <c r="J330" cm="1">
        <f t="array" ref="J330">IFERROR(
    _xlfn.XLOOKUP(G330, 'Wedgewood Pharm-PM-Yr2-2025'!$E$4:$L$4,
        _xlfn.XLOOKUP('Rate Load'!H330, 'Wedgewood Pharm-PM-Yr2-2025'!$D$5:$D$31,
            'Wedgewood Pharm-PM-Yr2-2025'!$E$5:$L$31, 0, 0),
        0, 0),
    _xlfn.XLOOKUP(G330, 'Wedgewood Pharm-PM-Yr2-2025'!$E$4:$L$4,
        _xlfn.XLOOKUP('Rate Load'!L330, 'Wedgewood Pharm-PM-Yr2-2025'!$D$5:$D$31,
            'Wedgewood Pharm-PM-Yr2-2025'!$E$5:$L$31, 0, 0),
        0, 0)
)</f>
        <v>29.630000000000003</v>
      </c>
      <c r="K330" t="s">
        <v>46</v>
      </c>
      <c r="L330" t="s">
        <v>13</v>
      </c>
      <c r="M330">
        <v>1</v>
      </c>
      <c r="N330" t="str">
        <f t="shared" si="5"/>
        <v>INSERT INTO TNL_RATING.dbo.usps_rate_master VALUES ('USPS', '2/13/2025', '2/13/2026', 12659, 'US', 'Priority Mail', 7, 10, 'L', 29.63, 'Wedgewood_USPS_2025', 'NonCubic','1');</v>
      </c>
    </row>
    <row r="331" spans="1:14" x14ac:dyDescent="0.3">
      <c r="A331" t="s">
        <v>11</v>
      </c>
      <c r="B331" s="1" t="s">
        <v>43</v>
      </c>
      <c r="C331" s="1" t="s">
        <v>44</v>
      </c>
      <c r="D331">
        <v>12659</v>
      </c>
      <c r="E331" t="s">
        <v>12</v>
      </c>
      <c r="F331" t="s">
        <v>47</v>
      </c>
      <c r="G331">
        <v>7</v>
      </c>
      <c r="H331">
        <v>11</v>
      </c>
      <c r="I331" t="s">
        <v>45</v>
      </c>
      <c r="J331" cm="1">
        <f t="array" ref="J331">IFERROR(
    _xlfn.XLOOKUP(G331, 'Wedgewood Pharm-PM-Yr2-2025'!$E$4:$L$4,
        _xlfn.XLOOKUP('Rate Load'!H331, 'Wedgewood Pharm-PM-Yr2-2025'!$D$5:$D$31,
            'Wedgewood Pharm-PM-Yr2-2025'!$E$5:$L$31, 0, 0),
        0, 0),
    _xlfn.XLOOKUP(G331, 'Wedgewood Pharm-PM-Yr2-2025'!$E$4:$L$4,
        _xlfn.XLOOKUP('Rate Load'!L331, 'Wedgewood Pharm-PM-Yr2-2025'!$D$5:$D$31,
            'Wedgewood Pharm-PM-Yr2-2025'!$E$5:$L$31, 0, 0),
        0, 0)
)</f>
        <v>29.69</v>
      </c>
      <c r="K331" t="s">
        <v>46</v>
      </c>
      <c r="L331" t="s">
        <v>13</v>
      </c>
      <c r="M331">
        <v>1</v>
      </c>
      <c r="N331" t="str">
        <f t="shared" si="5"/>
        <v>INSERT INTO TNL_RATING.dbo.usps_rate_master VALUES ('USPS', '2/13/2025', '2/13/2026', 12659, 'US', 'Priority Mail', 7, 11, 'L', 29.69, 'Wedgewood_USPS_2025', 'NonCubic','1');</v>
      </c>
    </row>
    <row r="332" spans="1:14" x14ac:dyDescent="0.3">
      <c r="A332" t="s">
        <v>11</v>
      </c>
      <c r="B332" s="1" t="s">
        <v>43</v>
      </c>
      <c r="C332" s="1" t="s">
        <v>44</v>
      </c>
      <c r="D332">
        <v>12659</v>
      </c>
      <c r="E332" t="s">
        <v>12</v>
      </c>
      <c r="F332" t="s">
        <v>47</v>
      </c>
      <c r="G332">
        <v>7</v>
      </c>
      <c r="H332">
        <v>12</v>
      </c>
      <c r="I332" t="s">
        <v>45</v>
      </c>
      <c r="J332" cm="1">
        <f t="array" ref="J332">IFERROR(
    _xlfn.XLOOKUP(G332, 'Wedgewood Pharm-PM-Yr2-2025'!$E$4:$L$4,
        _xlfn.XLOOKUP('Rate Load'!H332, 'Wedgewood Pharm-PM-Yr2-2025'!$D$5:$D$31,
            'Wedgewood Pharm-PM-Yr2-2025'!$E$5:$L$31, 0, 0),
        0, 0),
    _xlfn.XLOOKUP(G332, 'Wedgewood Pharm-PM-Yr2-2025'!$E$4:$L$4,
        _xlfn.XLOOKUP('Rate Load'!L332, 'Wedgewood Pharm-PM-Yr2-2025'!$D$5:$D$31,
            'Wedgewood Pharm-PM-Yr2-2025'!$E$5:$L$31, 0, 0),
        0, 0)
)</f>
        <v>31.400000000000002</v>
      </c>
      <c r="K332" t="s">
        <v>46</v>
      </c>
      <c r="L332" t="s">
        <v>13</v>
      </c>
      <c r="M332">
        <v>1</v>
      </c>
      <c r="N332" t="str">
        <f t="shared" si="5"/>
        <v>INSERT INTO TNL_RATING.dbo.usps_rate_master VALUES ('USPS', '2/13/2025', '2/13/2026', 12659, 'US', 'Priority Mail', 7, 12, 'L', 31.4, 'Wedgewood_USPS_2025', 'NonCubic','1');</v>
      </c>
    </row>
    <row r="333" spans="1:14" x14ac:dyDescent="0.3">
      <c r="A333" t="s">
        <v>11</v>
      </c>
      <c r="B333" s="1" t="s">
        <v>43</v>
      </c>
      <c r="C333" s="1" t="s">
        <v>44</v>
      </c>
      <c r="D333">
        <v>12659</v>
      </c>
      <c r="E333" t="s">
        <v>12</v>
      </c>
      <c r="F333" t="s">
        <v>47</v>
      </c>
      <c r="G333">
        <v>7</v>
      </c>
      <c r="H333">
        <v>13</v>
      </c>
      <c r="I333" t="s">
        <v>45</v>
      </c>
      <c r="J333" cm="1">
        <f t="array" ref="J333">IFERROR(
    _xlfn.XLOOKUP(G333, 'Wedgewood Pharm-PM-Yr2-2025'!$E$4:$L$4,
        _xlfn.XLOOKUP('Rate Load'!H333, 'Wedgewood Pharm-PM-Yr2-2025'!$D$5:$D$31,
            'Wedgewood Pharm-PM-Yr2-2025'!$E$5:$L$31, 0, 0),
        0, 0),
    _xlfn.XLOOKUP(G333, 'Wedgewood Pharm-PM-Yr2-2025'!$E$4:$L$4,
        _xlfn.XLOOKUP('Rate Load'!L333, 'Wedgewood Pharm-PM-Yr2-2025'!$D$5:$D$31,
            'Wedgewood Pharm-PM-Yr2-2025'!$E$5:$L$31, 0, 0),
        0, 0)
)</f>
        <v>33.129999999999995</v>
      </c>
      <c r="K333" t="s">
        <v>46</v>
      </c>
      <c r="L333" t="s">
        <v>13</v>
      </c>
      <c r="M333">
        <v>1</v>
      </c>
      <c r="N333" t="str">
        <f t="shared" si="5"/>
        <v>INSERT INTO TNL_RATING.dbo.usps_rate_master VALUES ('USPS', '2/13/2025', '2/13/2026', 12659, 'US', 'Priority Mail', 7, 13, 'L', 33.13, 'Wedgewood_USPS_2025', 'NonCubic','1');</v>
      </c>
    </row>
    <row r="334" spans="1:14" x14ac:dyDescent="0.3">
      <c r="A334" t="s">
        <v>11</v>
      </c>
      <c r="B334" s="1" t="s">
        <v>43</v>
      </c>
      <c r="C334" s="1" t="s">
        <v>44</v>
      </c>
      <c r="D334">
        <v>12659</v>
      </c>
      <c r="E334" t="s">
        <v>12</v>
      </c>
      <c r="F334" t="s">
        <v>47</v>
      </c>
      <c r="G334">
        <v>7</v>
      </c>
      <c r="H334">
        <v>14</v>
      </c>
      <c r="I334" t="s">
        <v>45</v>
      </c>
      <c r="J334" cm="1">
        <f t="array" ref="J334">IFERROR(
    _xlfn.XLOOKUP(G334, 'Wedgewood Pharm-PM-Yr2-2025'!$E$4:$L$4,
        _xlfn.XLOOKUP('Rate Load'!H334, 'Wedgewood Pharm-PM-Yr2-2025'!$D$5:$D$31,
            'Wedgewood Pharm-PM-Yr2-2025'!$E$5:$L$31, 0, 0),
        0, 0),
    _xlfn.XLOOKUP(G334, 'Wedgewood Pharm-PM-Yr2-2025'!$E$4:$L$4,
        _xlfn.XLOOKUP('Rate Load'!L334, 'Wedgewood Pharm-PM-Yr2-2025'!$D$5:$D$31,
            'Wedgewood Pharm-PM-Yr2-2025'!$E$5:$L$31, 0, 0),
        0, 0)
)</f>
        <v>34.879999999999995</v>
      </c>
      <c r="K334" t="s">
        <v>46</v>
      </c>
      <c r="L334" t="s">
        <v>13</v>
      </c>
      <c r="M334">
        <v>1</v>
      </c>
      <c r="N334" t="str">
        <f t="shared" si="5"/>
        <v>INSERT INTO TNL_RATING.dbo.usps_rate_master VALUES ('USPS', '2/13/2025', '2/13/2026', 12659, 'US', 'Priority Mail', 7, 14, 'L', 34.88, 'Wedgewood_USPS_2025', 'NonCubic','1');</v>
      </c>
    </row>
    <row r="335" spans="1:14" x14ac:dyDescent="0.3">
      <c r="A335" t="s">
        <v>11</v>
      </c>
      <c r="B335" s="1" t="s">
        <v>43</v>
      </c>
      <c r="C335" s="1" t="s">
        <v>44</v>
      </c>
      <c r="D335">
        <v>12659</v>
      </c>
      <c r="E335" t="s">
        <v>12</v>
      </c>
      <c r="F335" t="s">
        <v>47</v>
      </c>
      <c r="G335">
        <v>7</v>
      </c>
      <c r="H335">
        <v>15</v>
      </c>
      <c r="I335" t="s">
        <v>45</v>
      </c>
      <c r="J335" cm="1">
        <f t="array" ref="J335">IFERROR(
    _xlfn.XLOOKUP(G335, 'Wedgewood Pharm-PM-Yr2-2025'!$E$4:$L$4,
        _xlfn.XLOOKUP('Rate Load'!H335, 'Wedgewood Pharm-PM-Yr2-2025'!$D$5:$D$31,
            'Wedgewood Pharm-PM-Yr2-2025'!$E$5:$L$31, 0, 0),
        0, 0),
    _xlfn.XLOOKUP(G335, 'Wedgewood Pharm-PM-Yr2-2025'!$E$4:$L$4,
        _xlfn.XLOOKUP('Rate Load'!L335, 'Wedgewood Pharm-PM-Yr2-2025'!$D$5:$D$31,
            'Wedgewood Pharm-PM-Yr2-2025'!$E$5:$L$31, 0, 0),
        0, 0)
)</f>
        <v>36.619999999999997</v>
      </c>
      <c r="K335" t="s">
        <v>46</v>
      </c>
      <c r="L335" t="s">
        <v>13</v>
      </c>
      <c r="M335">
        <v>1</v>
      </c>
      <c r="N335" t="str">
        <f t="shared" si="5"/>
        <v>INSERT INTO TNL_RATING.dbo.usps_rate_master VALUES ('USPS', '2/13/2025', '2/13/2026', 12659, 'US', 'Priority Mail', 7, 15, 'L', 36.62, 'Wedgewood_USPS_2025', 'NonCubic','1');</v>
      </c>
    </row>
    <row r="336" spans="1:14" x14ac:dyDescent="0.3">
      <c r="A336" t="s">
        <v>11</v>
      </c>
      <c r="B336" s="1" t="s">
        <v>43</v>
      </c>
      <c r="C336" s="1" t="s">
        <v>44</v>
      </c>
      <c r="D336">
        <v>12659</v>
      </c>
      <c r="E336" t="s">
        <v>12</v>
      </c>
      <c r="F336" t="s">
        <v>47</v>
      </c>
      <c r="G336">
        <v>7</v>
      </c>
      <c r="H336">
        <v>16</v>
      </c>
      <c r="I336" t="s">
        <v>45</v>
      </c>
      <c r="J336" cm="1">
        <f t="array" ref="J336">IFERROR(
    _xlfn.XLOOKUP(G336, 'Wedgewood Pharm-PM-Yr2-2025'!$E$4:$L$4,
        _xlfn.XLOOKUP('Rate Load'!H336, 'Wedgewood Pharm-PM-Yr2-2025'!$D$5:$D$31,
            'Wedgewood Pharm-PM-Yr2-2025'!$E$5:$L$31, 0, 0),
        0, 0),
    _xlfn.XLOOKUP(G336, 'Wedgewood Pharm-PM-Yr2-2025'!$E$4:$L$4,
        _xlfn.XLOOKUP('Rate Load'!L336, 'Wedgewood Pharm-PM-Yr2-2025'!$D$5:$D$31,
            'Wedgewood Pharm-PM-Yr2-2025'!$E$5:$L$31, 0, 0),
        0, 0)
)</f>
        <v>38.35</v>
      </c>
      <c r="K336" t="s">
        <v>46</v>
      </c>
      <c r="L336" t="s">
        <v>13</v>
      </c>
      <c r="M336">
        <v>1</v>
      </c>
      <c r="N336" t="str">
        <f t="shared" si="5"/>
        <v>INSERT INTO TNL_RATING.dbo.usps_rate_master VALUES ('USPS', '2/13/2025', '2/13/2026', 12659, 'US', 'Priority Mail', 7, 16, 'L', 38.35, 'Wedgewood_USPS_2025', 'NonCubic','1');</v>
      </c>
    </row>
    <row r="337" spans="1:14" x14ac:dyDescent="0.3">
      <c r="A337" t="s">
        <v>11</v>
      </c>
      <c r="B337" s="1" t="s">
        <v>43</v>
      </c>
      <c r="C337" s="1" t="s">
        <v>44</v>
      </c>
      <c r="D337">
        <v>12659</v>
      </c>
      <c r="E337" t="s">
        <v>12</v>
      </c>
      <c r="F337" t="s">
        <v>47</v>
      </c>
      <c r="G337">
        <v>7</v>
      </c>
      <c r="H337">
        <v>17</v>
      </c>
      <c r="I337" t="s">
        <v>45</v>
      </c>
      <c r="J337" cm="1">
        <f t="array" ref="J337">IFERROR(
    _xlfn.XLOOKUP(G337, 'Wedgewood Pharm-PM-Yr2-2025'!$E$4:$L$4,
        _xlfn.XLOOKUP('Rate Load'!H337, 'Wedgewood Pharm-PM-Yr2-2025'!$D$5:$D$31,
            'Wedgewood Pharm-PM-Yr2-2025'!$E$5:$L$31, 0, 0),
        0, 0),
    _xlfn.XLOOKUP(G337, 'Wedgewood Pharm-PM-Yr2-2025'!$E$4:$L$4,
        _xlfn.XLOOKUP('Rate Load'!L337, 'Wedgewood Pharm-PM-Yr2-2025'!$D$5:$D$31,
            'Wedgewood Pharm-PM-Yr2-2025'!$E$5:$L$31, 0, 0),
        0, 0)
)</f>
        <v>40.1</v>
      </c>
      <c r="K337" t="s">
        <v>46</v>
      </c>
      <c r="L337" t="s">
        <v>13</v>
      </c>
      <c r="M337">
        <v>1</v>
      </c>
      <c r="N337" t="str">
        <f t="shared" si="5"/>
        <v>INSERT INTO TNL_RATING.dbo.usps_rate_master VALUES ('USPS', '2/13/2025', '2/13/2026', 12659, 'US', 'Priority Mail', 7, 17, 'L', 40.1, 'Wedgewood_USPS_2025', 'NonCubic','1');</v>
      </c>
    </row>
    <row r="338" spans="1:14" x14ac:dyDescent="0.3">
      <c r="A338" t="s">
        <v>11</v>
      </c>
      <c r="B338" s="1" t="s">
        <v>43</v>
      </c>
      <c r="C338" s="1" t="s">
        <v>44</v>
      </c>
      <c r="D338">
        <v>12659</v>
      </c>
      <c r="E338" t="s">
        <v>12</v>
      </c>
      <c r="F338" t="s">
        <v>47</v>
      </c>
      <c r="G338">
        <v>7</v>
      </c>
      <c r="H338">
        <v>18</v>
      </c>
      <c r="I338" t="s">
        <v>45</v>
      </c>
      <c r="J338" cm="1">
        <f t="array" ref="J338">IFERROR(
    _xlfn.XLOOKUP(G338, 'Wedgewood Pharm-PM-Yr2-2025'!$E$4:$L$4,
        _xlfn.XLOOKUP('Rate Load'!H338, 'Wedgewood Pharm-PM-Yr2-2025'!$D$5:$D$31,
            'Wedgewood Pharm-PM-Yr2-2025'!$E$5:$L$31, 0, 0),
        0, 0),
    _xlfn.XLOOKUP(G338, 'Wedgewood Pharm-PM-Yr2-2025'!$E$4:$L$4,
        _xlfn.XLOOKUP('Rate Load'!L338, 'Wedgewood Pharm-PM-Yr2-2025'!$D$5:$D$31,
            'Wedgewood Pharm-PM-Yr2-2025'!$E$5:$L$31, 0, 0),
        0, 0)
)</f>
        <v>41.839999999999996</v>
      </c>
      <c r="K338" t="s">
        <v>46</v>
      </c>
      <c r="L338" t="s">
        <v>13</v>
      </c>
      <c r="M338">
        <v>1</v>
      </c>
      <c r="N338" t="str">
        <f t="shared" si="5"/>
        <v>INSERT INTO TNL_RATING.dbo.usps_rate_master VALUES ('USPS', '2/13/2025', '2/13/2026', 12659, 'US', 'Priority Mail', 7, 18, 'L', 41.84, 'Wedgewood_USPS_2025', 'NonCubic','1');</v>
      </c>
    </row>
    <row r="339" spans="1:14" x14ac:dyDescent="0.3">
      <c r="A339" t="s">
        <v>11</v>
      </c>
      <c r="B339" s="1" t="s">
        <v>43</v>
      </c>
      <c r="C339" s="1" t="s">
        <v>44</v>
      </c>
      <c r="D339">
        <v>12659</v>
      </c>
      <c r="E339" t="s">
        <v>12</v>
      </c>
      <c r="F339" t="s">
        <v>47</v>
      </c>
      <c r="G339">
        <v>7</v>
      </c>
      <c r="H339">
        <v>19</v>
      </c>
      <c r="I339" t="s">
        <v>45</v>
      </c>
      <c r="J339" cm="1">
        <f t="array" ref="J339">IFERROR(
    _xlfn.XLOOKUP(G339, 'Wedgewood Pharm-PM-Yr2-2025'!$E$4:$L$4,
        _xlfn.XLOOKUP('Rate Load'!H339, 'Wedgewood Pharm-PM-Yr2-2025'!$D$5:$D$31,
            'Wedgewood Pharm-PM-Yr2-2025'!$E$5:$L$31, 0, 0),
        0, 0),
    _xlfn.XLOOKUP(G339, 'Wedgewood Pharm-PM-Yr2-2025'!$E$4:$L$4,
        _xlfn.XLOOKUP('Rate Load'!L339, 'Wedgewood Pharm-PM-Yr2-2025'!$D$5:$D$31,
            'Wedgewood Pharm-PM-Yr2-2025'!$E$5:$L$31, 0, 0),
        0, 0)
)</f>
        <v>43.58</v>
      </c>
      <c r="K339" t="s">
        <v>46</v>
      </c>
      <c r="L339" t="s">
        <v>13</v>
      </c>
      <c r="M339">
        <v>1</v>
      </c>
      <c r="N339" t="str">
        <f t="shared" si="5"/>
        <v>INSERT INTO TNL_RATING.dbo.usps_rate_master VALUES ('USPS', '2/13/2025', '2/13/2026', 12659, 'US', 'Priority Mail', 7, 19, 'L', 43.58, 'Wedgewood_USPS_2025', 'NonCubic','1');</v>
      </c>
    </row>
    <row r="340" spans="1:14" x14ac:dyDescent="0.3">
      <c r="A340" t="s">
        <v>11</v>
      </c>
      <c r="B340" s="1" t="s">
        <v>43</v>
      </c>
      <c r="C340" s="1" t="s">
        <v>44</v>
      </c>
      <c r="D340">
        <v>12659</v>
      </c>
      <c r="E340" t="s">
        <v>12</v>
      </c>
      <c r="F340" t="s">
        <v>47</v>
      </c>
      <c r="G340">
        <v>7</v>
      </c>
      <c r="H340">
        <v>20</v>
      </c>
      <c r="I340" t="s">
        <v>45</v>
      </c>
      <c r="J340" cm="1">
        <f t="array" ref="J340">IFERROR(
    _xlfn.XLOOKUP(G340, 'Wedgewood Pharm-PM-Yr2-2025'!$E$4:$L$4,
        _xlfn.XLOOKUP('Rate Load'!H340, 'Wedgewood Pharm-PM-Yr2-2025'!$D$5:$D$31,
            'Wedgewood Pharm-PM-Yr2-2025'!$E$5:$L$31, 0, 0),
        0, 0),
    _xlfn.XLOOKUP(G340, 'Wedgewood Pharm-PM-Yr2-2025'!$E$4:$L$4,
        _xlfn.XLOOKUP('Rate Load'!L340, 'Wedgewood Pharm-PM-Yr2-2025'!$D$5:$D$31,
            'Wedgewood Pharm-PM-Yr2-2025'!$E$5:$L$31, 0, 0),
        0, 0)
)</f>
        <v>45.32</v>
      </c>
      <c r="K340" t="s">
        <v>46</v>
      </c>
      <c r="L340" t="s">
        <v>13</v>
      </c>
      <c r="M340">
        <v>1</v>
      </c>
      <c r="N340" t="str">
        <f t="shared" si="5"/>
        <v>INSERT INTO TNL_RATING.dbo.usps_rate_master VALUES ('USPS', '2/13/2025', '2/13/2026', 12659, 'US', 'Priority Mail', 7, 20, 'L', 45.32, 'Wedgewood_USPS_2025', 'NonCubic','1');</v>
      </c>
    </row>
    <row r="341" spans="1:14" x14ac:dyDescent="0.3">
      <c r="A341" t="s">
        <v>11</v>
      </c>
      <c r="B341" s="1" t="s">
        <v>43</v>
      </c>
      <c r="C341" s="1" t="s">
        <v>44</v>
      </c>
      <c r="D341">
        <v>12659</v>
      </c>
      <c r="E341" t="s">
        <v>12</v>
      </c>
      <c r="F341" t="s">
        <v>47</v>
      </c>
      <c r="G341">
        <v>8</v>
      </c>
      <c r="H341">
        <v>0.5</v>
      </c>
      <c r="I341" t="s">
        <v>45</v>
      </c>
      <c r="J341" cm="1">
        <f t="array" ref="J341">IFERROR(
    _xlfn.XLOOKUP(G341, 'Wedgewood Pharm-PM-Yr2-2025'!$E$4:$L$4,
        _xlfn.XLOOKUP('Rate Load'!H341, 'Wedgewood Pharm-PM-Yr2-2025'!$D$5:$D$31,
            'Wedgewood Pharm-PM-Yr2-2025'!$E$5:$L$31, 0, 0),
        0, 0),
    _xlfn.XLOOKUP(G341, 'Wedgewood Pharm-PM-Yr2-2025'!$E$4:$L$4,
        _xlfn.XLOOKUP('Rate Load'!L341, 'Wedgewood Pharm-PM-Yr2-2025'!$D$5:$D$31,
            'Wedgewood Pharm-PM-Yr2-2025'!$E$5:$L$31, 0, 0),
        0, 0)
)</f>
        <v>8.32</v>
      </c>
      <c r="K341" t="s">
        <v>46</v>
      </c>
      <c r="L341" t="s">
        <v>13</v>
      </c>
      <c r="M341">
        <v>1</v>
      </c>
      <c r="N341" t="str">
        <f t="shared" si="5"/>
        <v>INSERT INTO TNL_RATING.dbo.usps_rate_master VALUES ('USPS', '2/13/2025', '2/13/2026', 12659, 'US', 'Priority Mail', 8, 0.5, 'L', 8.32, 'Wedgewood_USPS_2025', 'NonCubic','1');</v>
      </c>
    </row>
    <row r="342" spans="1:14" x14ac:dyDescent="0.3">
      <c r="A342" t="s">
        <v>11</v>
      </c>
      <c r="B342" s="1" t="s">
        <v>43</v>
      </c>
      <c r="C342" s="1" t="s">
        <v>44</v>
      </c>
      <c r="D342">
        <v>12659</v>
      </c>
      <c r="E342" t="s">
        <v>12</v>
      </c>
      <c r="F342" t="s">
        <v>47</v>
      </c>
      <c r="G342">
        <v>8</v>
      </c>
      <c r="H342">
        <v>1</v>
      </c>
      <c r="I342" t="s">
        <v>45</v>
      </c>
      <c r="J342" cm="1">
        <f t="array" ref="J342">IFERROR(
    _xlfn.XLOOKUP(G342, 'Wedgewood Pharm-PM-Yr2-2025'!$E$4:$L$4,
        _xlfn.XLOOKUP('Rate Load'!H342, 'Wedgewood Pharm-PM-Yr2-2025'!$D$5:$D$31,
            'Wedgewood Pharm-PM-Yr2-2025'!$E$5:$L$31, 0, 0),
        0, 0),
    _xlfn.XLOOKUP(G342, 'Wedgewood Pharm-PM-Yr2-2025'!$E$4:$L$4,
        _xlfn.XLOOKUP('Rate Load'!L342, 'Wedgewood Pharm-PM-Yr2-2025'!$D$5:$D$31,
            'Wedgewood Pharm-PM-Yr2-2025'!$E$5:$L$31, 0, 0),
        0, 0)
)</f>
        <v>8.9700000000000006</v>
      </c>
      <c r="K342" t="s">
        <v>46</v>
      </c>
      <c r="L342" t="s">
        <v>13</v>
      </c>
      <c r="M342">
        <v>1</v>
      </c>
      <c r="N342" t="str">
        <f t="shared" si="5"/>
        <v>INSERT INTO TNL_RATING.dbo.usps_rate_master VALUES ('USPS', '2/13/2025', '2/13/2026', 12659, 'US', 'Priority Mail', 8, 1, 'L', 8.97, 'Wedgewood_USPS_2025', 'NonCubic','1');</v>
      </c>
    </row>
    <row r="343" spans="1:14" x14ac:dyDescent="0.3">
      <c r="A343" t="s">
        <v>11</v>
      </c>
      <c r="B343" s="1" t="s">
        <v>43</v>
      </c>
      <c r="C343" s="1" t="s">
        <v>44</v>
      </c>
      <c r="D343">
        <v>12659</v>
      </c>
      <c r="E343" t="s">
        <v>12</v>
      </c>
      <c r="F343" t="s">
        <v>47</v>
      </c>
      <c r="G343">
        <v>8</v>
      </c>
      <c r="H343">
        <v>2</v>
      </c>
      <c r="I343" t="s">
        <v>45</v>
      </c>
      <c r="J343" cm="1">
        <f t="array" ref="J343">IFERROR(
    _xlfn.XLOOKUP(G343, 'Wedgewood Pharm-PM-Yr2-2025'!$E$4:$L$4,
        _xlfn.XLOOKUP('Rate Load'!H343, 'Wedgewood Pharm-PM-Yr2-2025'!$D$5:$D$31,
            'Wedgewood Pharm-PM-Yr2-2025'!$E$5:$L$31, 0, 0),
        0, 0),
    _xlfn.XLOOKUP(G343, 'Wedgewood Pharm-PM-Yr2-2025'!$E$4:$L$4,
        _xlfn.XLOOKUP('Rate Load'!L343, 'Wedgewood Pharm-PM-Yr2-2025'!$D$5:$D$31,
            'Wedgewood Pharm-PM-Yr2-2025'!$E$5:$L$31, 0, 0),
        0, 0)
)</f>
        <v>11.61</v>
      </c>
      <c r="K343" t="s">
        <v>46</v>
      </c>
      <c r="L343" t="s">
        <v>13</v>
      </c>
      <c r="M343">
        <v>1</v>
      </c>
      <c r="N343" t="str">
        <f t="shared" si="5"/>
        <v>INSERT INTO TNL_RATING.dbo.usps_rate_master VALUES ('USPS', '2/13/2025', '2/13/2026', 12659, 'US', 'Priority Mail', 8, 2, 'L', 11.61, 'Wedgewood_USPS_2025', 'NonCubic','1');</v>
      </c>
    </row>
    <row r="344" spans="1:14" x14ac:dyDescent="0.3">
      <c r="A344" t="s">
        <v>11</v>
      </c>
      <c r="B344" s="1" t="s">
        <v>43</v>
      </c>
      <c r="C344" s="1" t="s">
        <v>44</v>
      </c>
      <c r="D344">
        <v>12659</v>
      </c>
      <c r="E344" t="s">
        <v>12</v>
      </c>
      <c r="F344" t="s">
        <v>47</v>
      </c>
      <c r="G344">
        <v>8</v>
      </c>
      <c r="H344">
        <v>3</v>
      </c>
      <c r="I344" t="s">
        <v>45</v>
      </c>
      <c r="J344" cm="1">
        <f t="array" ref="J344">IFERROR(
    _xlfn.XLOOKUP(G344, 'Wedgewood Pharm-PM-Yr2-2025'!$E$4:$L$4,
        _xlfn.XLOOKUP('Rate Load'!H344, 'Wedgewood Pharm-PM-Yr2-2025'!$D$5:$D$31,
            'Wedgewood Pharm-PM-Yr2-2025'!$E$5:$L$31, 0, 0),
        0, 0),
    _xlfn.XLOOKUP(G344, 'Wedgewood Pharm-PM-Yr2-2025'!$E$4:$L$4,
        _xlfn.XLOOKUP('Rate Load'!L344, 'Wedgewood Pharm-PM-Yr2-2025'!$D$5:$D$31,
            'Wedgewood Pharm-PM-Yr2-2025'!$E$5:$L$31, 0, 0),
        0, 0)
)</f>
        <v>16.46</v>
      </c>
      <c r="K344" t="s">
        <v>46</v>
      </c>
      <c r="L344" t="s">
        <v>13</v>
      </c>
      <c r="M344">
        <v>1</v>
      </c>
      <c r="N344" t="str">
        <f t="shared" si="5"/>
        <v>INSERT INTO TNL_RATING.dbo.usps_rate_master VALUES ('USPS', '2/13/2025', '2/13/2026', 12659, 'US', 'Priority Mail', 8, 3, 'L', 16.46, 'Wedgewood_USPS_2025', 'NonCubic','1');</v>
      </c>
    </row>
    <row r="345" spans="1:14" x14ac:dyDescent="0.3">
      <c r="A345" t="s">
        <v>11</v>
      </c>
      <c r="B345" s="1" t="s">
        <v>43</v>
      </c>
      <c r="C345" s="1" t="s">
        <v>44</v>
      </c>
      <c r="D345">
        <v>12659</v>
      </c>
      <c r="E345" t="s">
        <v>12</v>
      </c>
      <c r="F345" t="s">
        <v>47</v>
      </c>
      <c r="G345">
        <v>8</v>
      </c>
      <c r="H345">
        <v>4</v>
      </c>
      <c r="I345" t="s">
        <v>45</v>
      </c>
      <c r="J345" cm="1">
        <f t="array" ref="J345">IFERROR(
    _xlfn.XLOOKUP(G345, 'Wedgewood Pharm-PM-Yr2-2025'!$E$4:$L$4,
        _xlfn.XLOOKUP('Rate Load'!H345, 'Wedgewood Pharm-PM-Yr2-2025'!$D$5:$D$31,
            'Wedgewood Pharm-PM-Yr2-2025'!$E$5:$L$31, 0, 0),
        0, 0),
    _xlfn.XLOOKUP(G345, 'Wedgewood Pharm-PM-Yr2-2025'!$E$4:$L$4,
        _xlfn.XLOOKUP('Rate Load'!L345, 'Wedgewood Pharm-PM-Yr2-2025'!$D$5:$D$31,
            'Wedgewood Pharm-PM-Yr2-2025'!$E$5:$L$31, 0, 0),
        0, 0)
)</f>
        <v>19.260000000000002</v>
      </c>
      <c r="K345" t="s">
        <v>46</v>
      </c>
      <c r="L345" t="s">
        <v>13</v>
      </c>
      <c r="M345">
        <v>1</v>
      </c>
      <c r="N345" t="str">
        <f t="shared" si="5"/>
        <v>INSERT INTO TNL_RATING.dbo.usps_rate_master VALUES ('USPS', '2/13/2025', '2/13/2026', 12659, 'US', 'Priority Mail', 8, 4, 'L', 19.26, 'Wedgewood_USPS_2025', 'NonCubic','1');</v>
      </c>
    </row>
    <row r="346" spans="1:14" x14ac:dyDescent="0.3">
      <c r="A346" t="s">
        <v>11</v>
      </c>
      <c r="B346" s="1" t="s">
        <v>43</v>
      </c>
      <c r="C346" s="1" t="s">
        <v>44</v>
      </c>
      <c r="D346">
        <v>12659</v>
      </c>
      <c r="E346" t="s">
        <v>12</v>
      </c>
      <c r="F346" t="s">
        <v>47</v>
      </c>
      <c r="G346">
        <v>8</v>
      </c>
      <c r="H346">
        <v>5</v>
      </c>
      <c r="I346" t="s">
        <v>45</v>
      </c>
      <c r="J346" cm="1">
        <f t="array" ref="J346">IFERROR(
    _xlfn.XLOOKUP(G346, 'Wedgewood Pharm-PM-Yr2-2025'!$E$4:$L$4,
        _xlfn.XLOOKUP('Rate Load'!H346, 'Wedgewood Pharm-PM-Yr2-2025'!$D$5:$D$31,
            'Wedgewood Pharm-PM-Yr2-2025'!$E$5:$L$31, 0, 0),
        0, 0),
    _xlfn.XLOOKUP(G346, 'Wedgewood Pharm-PM-Yr2-2025'!$E$4:$L$4,
        _xlfn.XLOOKUP('Rate Load'!L346, 'Wedgewood Pharm-PM-Yr2-2025'!$D$5:$D$31,
            'Wedgewood Pharm-PM-Yr2-2025'!$E$5:$L$31, 0, 0),
        0, 0)
)</f>
        <v>21.970000000000002</v>
      </c>
      <c r="K346" t="s">
        <v>46</v>
      </c>
      <c r="L346" t="s">
        <v>13</v>
      </c>
      <c r="M346">
        <v>1</v>
      </c>
      <c r="N346" t="str">
        <f t="shared" si="5"/>
        <v>INSERT INTO TNL_RATING.dbo.usps_rate_master VALUES ('USPS', '2/13/2025', '2/13/2026', 12659, 'US', 'Priority Mail', 8, 5, 'L', 21.97, 'Wedgewood_USPS_2025', 'NonCubic','1');</v>
      </c>
    </row>
    <row r="347" spans="1:14" x14ac:dyDescent="0.3">
      <c r="A347" t="s">
        <v>11</v>
      </c>
      <c r="B347" s="1" t="s">
        <v>43</v>
      </c>
      <c r="C347" s="1" t="s">
        <v>44</v>
      </c>
      <c r="D347">
        <v>12659</v>
      </c>
      <c r="E347" t="s">
        <v>12</v>
      </c>
      <c r="F347" t="s">
        <v>47</v>
      </c>
      <c r="G347">
        <v>8</v>
      </c>
      <c r="H347">
        <v>6</v>
      </c>
      <c r="I347" t="s">
        <v>45</v>
      </c>
      <c r="J347" cm="1">
        <f t="array" ref="J347">IFERROR(
    _xlfn.XLOOKUP(G347, 'Wedgewood Pharm-PM-Yr2-2025'!$E$4:$L$4,
        _xlfn.XLOOKUP('Rate Load'!H347, 'Wedgewood Pharm-PM-Yr2-2025'!$D$5:$D$31,
            'Wedgewood Pharm-PM-Yr2-2025'!$E$5:$L$31, 0, 0),
        0, 0),
    _xlfn.XLOOKUP(G347, 'Wedgewood Pharm-PM-Yr2-2025'!$E$4:$L$4,
        _xlfn.XLOOKUP('Rate Load'!L347, 'Wedgewood Pharm-PM-Yr2-2025'!$D$5:$D$31,
            'Wedgewood Pharm-PM-Yr2-2025'!$E$5:$L$31, 0, 0),
        0, 0)
)</f>
        <v>25.330000000000002</v>
      </c>
      <c r="K347" t="s">
        <v>46</v>
      </c>
      <c r="L347" t="s">
        <v>13</v>
      </c>
      <c r="M347">
        <v>1</v>
      </c>
      <c r="N347" t="str">
        <f t="shared" si="5"/>
        <v>INSERT INTO TNL_RATING.dbo.usps_rate_master VALUES ('USPS', '2/13/2025', '2/13/2026', 12659, 'US', 'Priority Mail', 8, 6, 'L', 25.33, 'Wedgewood_USPS_2025', 'NonCubic','1');</v>
      </c>
    </row>
    <row r="348" spans="1:14" x14ac:dyDescent="0.3">
      <c r="A348" t="s">
        <v>11</v>
      </c>
      <c r="B348" s="1" t="s">
        <v>43</v>
      </c>
      <c r="C348" s="1" t="s">
        <v>44</v>
      </c>
      <c r="D348">
        <v>12659</v>
      </c>
      <c r="E348" t="s">
        <v>12</v>
      </c>
      <c r="F348" t="s">
        <v>47</v>
      </c>
      <c r="G348">
        <v>8</v>
      </c>
      <c r="H348">
        <v>7</v>
      </c>
      <c r="I348" t="s">
        <v>45</v>
      </c>
      <c r="J348" cm="1">
        <f t="array" ref="J348">IFERROR(
    _xlfn.XLOOKUP(G348, 'Wedgewood Pharm-PM-Yr2-2025'!$E$4:$L$4,
        _xlfn.XLOOKUP('Rate Load'!H348, 'Wedgewood Pharm-PM-Yr2-2025'!$D$5:$D$31,
            'Wedgewood Pharm-PM-Yr2-2025'!$E$5:$L$31, 0, 0),
        0, 0),
    _xlfn.XLOOKUP(G348, 'Wedgewood Pharm-PM-Yr2-2025'!$E$4:$L$4,
        _xlfn.XLOOKUP('Rate Load'!L348, 'Wedgewood Pharm-PM-Yr2-2025'!$D$5:$D$31,
            'Wedgewood Pharm-PM-Yr2-2025'!$E$5:$L$31, 0, 0),
        0, 0)
)</f>
        <v>27.48</v>
      </c>
      <c r="K348" t="s">
        <v>46</v>
      </c>
      <c r="L348" t="s">
        <v>13</v>
      </c>
      <c r="M348">
        <v>1</v>
      </c>
      <c r="N348" t="str">
        <f t="shared" si="5"/>
        <v>INSERT INTO TNL_RATING.dbo.usps_rate_master VALUES ('USPS', '2/13/2025', '2/13/2026', 12659, 'US', 'Priority Mail', 8, 7, 'L', 27.48, 'Wedgewood_USPS_2025', 'NonCubic','1');</v>
      </c>
    </row>
    <row r="349" spans="1:14" x14ac:dyDescent="0.3">
      <c r="A349" t="s">
        <v>11</v>
      </c>
      <c r="B349" s="1" t="s">
        <v>43</v>
      </c>
      <c r="C349" s="1" t="s">
        <v>44</v>
      </c>
      <c r="D349">
        <v>12659</v>
      </c>
      <c r="E349" t="s">
        <v>12</v>
      </c>
      <c r="F349" t="s">
        <v>47</v>
      </c>
      <c r="G349">
        <v>8</v>
      </c>
      <c r="H349">
        <v>8</v>
      </c>
      <c r="I349" t="s">
        <v>45</v>
      </c>
      <c r="J349" cm="1">
        <f t="array" ref="J349">IFERROR(
    _xlfn.XLOOKUP(G349, 'Wedgewood Pharm-PM-Yr2-2025'!$E$4:$L$4,
        _xlfn.XLOOKUP('Rate Load'!H349, 'Wedgewood Pharm-PM-Yr2-2025'!$D$5:$D$31,
            'Wedgewood Pharm-PM-Yr2-2025'!$E$5:$L$31, 0, 0),
        0, 0),
    _xlfn.XLOOKUP(G349, 'Wedgewood Pharm-PM-Yr2-2025'!$E$4:$L$4,
        _xlfn.XLOOKUP('Rate Load'!L349, 'Wedgewood Pharm-PM-Yr2-2025'!$D$5:$D$31,
            'Wedgewood Pharm-PM-Yr2-2025'!$E$5:$L$31, 0, 0),
        0, 0)
)</f>
        <v>29.53</v>
      </c>
      <c r="K349" t="s">
        <v>46</v>
      </c>
      <c r="L349" t="s">
        <v>13</v>
      </c>
      <c r="M349">
        <v>1</v>
      </c>
      <c r="N349" t="str">
        <f t="shared" si="5"/>
        <v>INSERT INTO TNL_RATING.dbo.usps_rate_master VALUES ('USPS', '2/13/2025', '2/13/2026', 12659, 'US', 'Priority Mail', 8, 8, 'L', 29.53, 'Wedgewood_USPS_2025', 'NonCubic','1');</v>
      </c>
    </row>
    <row r="350" spans="1:14" x14ac:dyDescent="0.3">
      <c r="A350" t="s">
        <v>11</v>
      </c>
      <c r="B350" s="1" t="s">
        <v>43</v>
      </c>
      <c r="C350" s="1" t="s">
        <v>44</v>
      </c>
      <c r="D350">
        <v>12659</v>
      </c>
      <c r="E350" t="s">
        <v>12</v>
      </c>
      <c r="F350" t="s">
        <v>47</v>
      </c>
      <c r="G350">
        <v>8</v>
      </c>
      <c r="H350">
        <v>9</v>
      </c>
      <c r="I350" t="s">
        <v>45</v>
      </c>
      <c r="J350" cm="1">
        <f t="array" ref="J350">IFERROR(
    _xlfn.XLOOKUP(G350, 'Wedgewood Pharm-PM-Yr2-2025'!$E$4:$L$4,
        _xlfn.XLOOKUP('Rate Load'!H350, 'Wedgewood Pharm-PM-Yr2-2025'!$D$5:$D$31,
            'Wedgewood Pharm-PM-Yr2-2025'!$E$5:$L$31, 0, 0),
        0, 0),
    _xlfn.XLOOKUP(G350, 'Wedgewood Pharm-PM-Yr2-2025'!$E$4:$L$4,
        _xlfn.XLOOKUP('Rate Load'!L350, 'Wedgewood Pharm-PM-Yr2-2025'!$D$5:$D$31,
            'Wedgewood Pharm-PM-Yr2-2025'!$E$5:$L$31, 0, 0),
        0, 0)
)</f>
        <v>31.540000000000003</v>
      </c>
      <c r="K350" t="s">
        <v>46</v>
      </c>
      <c r="L350" t="s">
        <v>13</v>
      </c>
      <c r="M350">
        <v>1</v>
      </c>
      <c r="N350" t="str">
        <f t="shared" si="5"/>
        <v>INSERT INTO TNL_RATING.dbo.usps_rate_master VALUES ('USPS', '2/13/2025', '2/13/2026', 12659, 'US', 'Priority Mail', 8, 9, 'L', 31.54, 'Wedgewood_USPS_2025', 'NonCubic','1');</v>
      </c>
    </row>
    <row r="351" spans="1:14" x14ac:dyDescent="0.3">
      <c r="A351" t="s">
        <v>11</v>
      </c>
      <c r="B351" s="1" t="s">
        <v>43</v>
      </c>
      <c r="C351" s="1" t="s">
        <v>44</v>
      </c>
      <c r="D351">
        <v>12659</v>
      </c>
      <c r="E351" t="s">
        <v>12</v>
      </c>
      <c r="F351" t="s">
        <v>47</v>
      </c>
      <c r="G351">
        <v>8</v>
      </c>
      <c r="H351">
        <v>10</v>
      </c>
      <c r="I351" t="s">
        <v>45</v>
      </c>
      <c r="J351" cm="1">
        <f t="array" ref="J351">IFERROR(
    _xlfn.XLOOKUP(G351, 'Wedgewood Pharm-PM-Yr2-2025'!$E$4:$L$4,
        _xlfn.XLOOKUP('Rate Load'!H351, 'Wedgewood Pharm-PM-Yr2-2025'!$D$5:$D$31,
            'Wedgewood Pharm-PM-Yr2-2025'!$E$5:$L$31, 0, 0),
        0, 0),
    _xlfn.XLOOKUP(G351, 'Wedgewood Pharm-PM-Yr2-2025'!$E$4:$L$4,
        _xlfn.XLOOKUP('Rate Load'!L351, 'Wedgewood Pharm-PM-Yr2-2025'!$D$5:$D$31,
            'Wedgewood Pharm-PM-Yr2-2025'!$E$5:$L$31, 0, 0),
        0, 0)
)</f>
        <v>33.379999999999995</v>
      </c>
      <c r="K351" t="s">
        <v>46</v>
      </c>
      <c r="L351" t="s">
        <v>13</v>
      </c>
      <c r="M351">
        <v>1</v>
      </c>
      <c r="N351" t="str">
        <f t="shared" si="5"/>
        <v>INSERT INTO TNL_RATING.dbo.usps_rate_master VALUES ('USPS', '2/13/2025', '2/13/2026', 12659, 'US', 'Priority Mail', 8, 10, 'L', 33.38, 'Wedgewood_USPS_2025', 'NonCubic','1');</v>
      </c>
    </row>
    <row r="352" spans="1:14" x14ac:dyDescent="0.3">
      <c r="A352" t="s">
        <v>11</v>
      </c>
      <c r="B352" s="1" t="s">
        <v>43</v>
      </c>
      <c r="C352" s="1" t="s">
        <v>44</v>
      </c>
      <c r="D352">
        <v>12659</v>
      </c>
      <c r="E352" t="s">
        <v>12</v>
      </c>
      <c r="F352" t="s">
        <v>47</v>
      </c>
      <c r="G352">
        <v>8</v>
      </c>
      <c r="H352">
        <v>11</v>
      </c>
      <c r="I352" t="s">
        <v>45</v>
      </c>
      <c r="J352" cm="1">
        <f t="array" ref="J352">IFERROR(
    _xlfn.XLOOKUP(G352, 'Wedgewood Pharm-PM-Yr2-2025'!$E$4:$L$4,
        _xlfn.XLOOKUP('Rate Load'!H352, 'Wedgewood Pharm-PM-Yr2-2025'!$D$5:$D$31,
            'Wedgewood Pharm-PM-Yr2-2025'!$E$5:$L$31, 0, 0),
        0, 0),
    _xlfn.XLOOKUP(G352, 'Wedgewood Pharm-PM-Yr2-2025'!$E$4:$L$4,
        _xlfn.XLOOKUP('Rate Load'!L352, 'Wedgewood Pharm-PM-Yr2-2025'!$D$5:$D$31,
            'Wedgewood Pharm-PM-Yr2-2025'!$E$5:$L$31, 0, 0),
        0, 0)
)</f>
        <v>33.379999999999995</v>
      </c>
      <c r="K352" t="s">
        <v>46</v>
      </c>
      <c r="L352" t="s">
        <v>13</v>
      </c>
      <c r="M352">
        <v>1</v>
      </c>
      <c r="N352" t="str">
        <f t="shared" si="5"/>
        <v>INSERT INTO TNL_RATING.dbo.usps_rate_master VALUES ('USPS', '2/13/2025', '2/13/2026', 12659, 'US', 'Priority Mail', 8, 11, 'L', 33.38, 'Wedgewood_USPS_2025', 'NonCubic','1');</v>
      </c>
    </row>
    <row r="353" spans="1:14" x14ac:dyDescent="0.3">
      <c r="A353" t="s">
        <v>11</v>
      </c>
      <c r="B353" s="1" t="s">
        <v>43</v>
      </c>
      <c r="C353" s="1" t="s">
        <v>44</v>
      </c>
      <c r="D353">
        <v>12659</v>
      </c>
      <c r="E353" t="s">
        <v>12</v>
      </c>
      <c r="F353" t="s">
        <v>47</v>
      </c>
      <c r="G353">
        <v>8</v>
      </c>
      <c r="H353">
        <v>12</v>
      </c>
      <c r="I353" t="s">
        <v>45</v>
      </c>
      <c r="J353" cm="1">
        <f t="array" ref="J353">IFERROR(
    _xlfn.XLOOKUP(G353, 'Wedgewood Pharm-PM-Yr2-2025'!$E$4:$L$4,
        _xlfn.XLOOKUP('Rate Load'!H353, 'Wedgewood Pharm-PM-Yr2-2025'!$D$5:$D$31,
            'Wedgewood Pharm-PM-Yr2-2025'!$E$5:$L$31, 0, 0),
        0, 0),
    _xlfn.XLOOKUP(G353, 'Wedgewood Pharm-PM-Yr2-2025'!$E$4:$L$4,
        _xlfn.XLOOKUP('Rate Load'!L353, 'Wedgewood Pharm-PM-Yr2-2025'!$D$5:$D$31,
            'Wedgewood Pharm-PM-Yr2-2025'!$E$5:$L$31, 0, 0),
        0, 0)
)</f>
        <v>35.33</v>
      </c>
      <c r="K353" t="s">
        <v>46</v>
      </c>
      <c r="L353" t="s">
        <v>13</v>
      </c>
      <c r="M353">
        <v>1</v>
      </c>
      <c r="N353" t="str">
        <f t="shared" si="5"/>
        <v>INSERT INTO TNL_RATING.dbo.usps_rate_master VALUES ('USPS', '2/13/2025', '2/13/2026', 12659, 'US', 'Priority Mail', 8, 12, 'L', 35.33, 'Wedgewood_USPS_2025', 'NonCubic','1');</v>
      </c>
    </row>
    <row r="354" spans="1:14" x14ac:dyDescent="0.3">
      <c r="A354" t="s">
        <v>11</v>
      </c>
      <c r="B354" s="1" t="s">
        <v>43</v>
      </c>
      <c r="C354" s="1" t="s">
        <v>44</v>
      </c>
      <c r="D354">
        <v>12659</v>
      </c>
      <c r="E354" t="s">
        <v>12</v>
      </c>
      <c r="F354" t="s">
        <v>47</v>
      </c>
      <c r="G354">
        <v>8</v>
      </c>
      <c r="H354">
        <v>13</v>
      </c>
      <c r="I354" t="s">
        <v>45</v>
      </c>
      <c r="J354" cm="1">
        <f t="array" ref="J354">IFERROR(
    _xlfn.XLOOKUP(G354, 'Wedgewood Pharm-PM-Yr2-2025'!$E$4:$L$4,
        _xlfn.XLOOKUP('Rate Load'!H354, 'Wedgewood Pharm-PM-Yr2-2025'!$D$5:$D$31,
            'Wedgewood Pharm-PM-Yr2-2025'!$E$5:$L$31, 0, 0),
        0, 0),
    _xlfn.XLOOKUP(G354, 'Wedgewood Pharm-PM-Yr2-2025'!$E$4:$L$4,
        _xlfn.XLOOKUP('Rate Load'!L354, 'Wedgewood Pharm-PM-Yr2-2025'!$D$5:$D$31,
            'Wedgewood Pharm-PM-Yr2-2025'!$E$5:$L$31, 0, 0),
        0, 0)
)</f>
        <v>37.32</v>
      </c>
      <c r="K354" t="s">
        <v>46</v>
      </c>
      <c r="L354" t="s">
        <v>13</v>
      </c>
      <c r="M354">
        <v>1</v>
      </c>
      <c r="N354" t="str">
        <f t="shared" si="5"/>
        <v>INSERT INTO TNL_RATING.dbo.usps_rate_master VALUES ('USPS', '2/13/2025', '2/13/2026', 12659, 'US', 'Priority Mail', 8, 13, 'L', 37.32, 'Wedgewood_USPS_2025', 'NonCubic','1');</v>
      </c>
    </row>
    <row r="355" spans="1:14" x14ac:dyDescent="0.3">
      <c r="A355" t="s">
        <v>11</v>
      </c>
      <c r="B355" s="1" t="s">
        <v>43</v>
      </c>
      <c r="C355" s="1" t="s">
        <v>44</v>
      </c>
      <c r="D355">
        <v>12659</v>
      </c>
      <c r="E355" t="s">
        <v>12</v>
      </c>
      <c r="F355" t="s">
        <v>47</v>
      </c>
      <c r="G355">
        <v>8</v>
      </c>
      <c r="H355">
        <v>14</v>
      </c>
      <c r="I355" t="s">
        <v>45</v>
      </c>
      <c r="J355" cm="1">
        <f t="array" ref="J355">IFERROR(
    _xlfn.XLOOKUP(G355, 'Wedgewood Pharm-PM-Yr2-2025'!$E$4:$L$4,
        _xlfn.XLOOKUP('Rate Load'!H355, 'Wedgewood Pharm-PM-Yr2-2025'!$D$5:$D$31,
            'Wedgewood Pharm-PM-Yr2-2025'!$E$5:$L$31, 0, 0),
        0, 0),
    _xlfn.XLOOKUP(G355, 'Wedgewood Pharm-PM-Yr2-2025'!$E$4:$L$4,
        _xlfn.XLOOKUP('Rate Load'!L355, 'Wedgewood Pharm-PM-Yr2-2025'!$D$5:$D$31,
            'Wedgewood Pharm-PM-Yr2-2025'!$E$5:$L$31, 0, 0),
        0, 0)
)</f>
        <v>39.32</v>
      </c>
      <c r="K355" t="s">
        <v>46</v>
      </c>
      <c r="L355" t="s">
        <v>13</v>
      </c>
      <c r="M355">
        <v>1</v>
      </c>
      <c r="N355" t="str">
        <f t="shared" si="5"/>
        <v>INSERT INTO TNL_RATING.dbo.usps_rate_master VALUES ('USPS', '2/13/2025', '2/13/2026', 12659, 'US', 'Priority Mail', 8, 14, 'L', 39.32, 'Wedgewood_USPS_2025', 'NonCubic','1');</v>
      </c>
    </row>
    <row r="356" spans="1:14" x14ac:dyDescent="0.3">
      <c r="A356" t="s">
        <v>11</v>
      </c>
      <c r="B356" s="1" t="s">
        <v>43</v>
      </c>
      <c r="C356" s="1" t="s">
        <v>44</v>
      </c>
      <c r="D356">
        <v>12659</v>
      </c>
      <c r="E356" t="s">
        <v>12</v>
      </c>
      <c r="F356" t="s">
        <v>47</v>
      </c>
      <c r="G356">
        <v>8</v>
      </c>
      <c r="H356">
        <v>15</v>
      </c>
      <c r="I356" t="s">
        <v>45</v>
      </c>
      <c r="J356" cm="1">
        <f t="array" ref="J356">IFERROR(
    _xlfn.XLOOKUP(G356, 'Wedgewood Pharm-PM-Yr2-2025'!$E$4:$L$4,
        _xlfn.XLOOKUP('Rate Load'!H356, 'Wedgewood Pharm-PM-Yr2-2025'!$D$5:$D$31,
            'Wedgewood Pharm-PM-Yr2-2025'!$E$5:$L$31, 0, 0),
        0, 0),
    _xlfn.XLOOKUP(G356, 'Wedgewood Pharm-PM-Yr2-2025'!$E$4:$L$4,
        _xlfn.XLOOKUP('Rate Load'!L356, 'Wedgewood Pharm-PM-Yr2-2025'!$D$5:$D$31,
            'Wedgewood Pharm-PM-Yr2-2025'!$E$5:$L$31, 0, 0),
        0, 0)
)</f>
        <v>41.33</v>
      </c>
      <c r="K356" t="s">
        <v>46</v>
      </c>
      <c r="L356" t="s">
        <v>13</v>
      </c>
      <c r="M356">
        <v>1</v>
      </c>
      <c r="N356" t="str">
        <f t="shared" si="5"/>
        <v>INSERT INTO TNL_RATING.dbo.usps_rate_master VALUES ('USPS', '2/13/2025', '2/13/2026', 12659, 'US', 'Priority Mail', 8, 15, 'L', 41.33, 'Wedgewood_USPS_2025', 'NonCubic','1');</v>
      </c>
    </row>
    <row r="357" spans="1:14" x14ac:dyDescent="0.3">
      <c r="A357" t="s">
        <v>11</v>
      </c>
      <c r="B357" s="1" t="s">
        <v>43</v>
      </c>
      <c r="C357" s="1" t="s">
        <v>44</v>
      </c>
      <c r="D357">
        <v>12659</v>
      </c>
      <c r="E357" t="s">
        <v>12</v>
      </c>
      <c r="F357" t="s">
        <v>47</v>
      </c>
      <c r="G357">
        <v>8</v>
      </c>
      <c r="H357">
        <v>16</v>
      </c>
      <c r="I357" t="s">
        <v>45</v>
      </c>
      <c r="J357" cm="1">
        <f t="array" ref="J357">IFERROR(
    _xlfn.XLOOKUP(G357, 'Wedgewood Pharm-PM-Yr2-2025'!$E$4:$L$4,
        _xlfn.XLOOKUP('Rate Load'!H357, 'Wedgewood Pharm-PM-Yr2-2025'!$D$5:$D$31,
            'Wedgewood Pharm-PM-Yr2-2025'!$E$5:$L$31, 0, 0),
        0, 0),
    _xlfn.XLOOKUP(G357, 'Wedgewood Pharm-PM-Yr2-2025'!$E$4:$L$4,
        _xlfn.XLOOKUP('Rate Load'!L357, 'Wedgewood Pharm-PM-Yr2-2025'!$D$5:$D$31,
            'Wedgewood Pharm-PM-Yr2-2025'!$E$5:$L$31, 0, 0),
        0, 0)
)</f>
        <v>43.32</v>
      </c>
      <c r="K357" t="s">
        <v>46</v>
      </c>
      <c r="L357" t="s">
        <v>13</v>
      </c>
      <c r="M357">
        <v>1</v>
      </c>
      <c r="N357" t="str">
        <f t="shared" si="5"/>
        <v>INSERT INTO TNL_RATING.dbo.usps_rate_master VALUES ('USPS', '2/13/2025', '2/13/2026', 12659, 'US', 'Priority Mail', 8, 16, 'L', 43.32, 'Wedgewood_USPS_2025', 'NonCubic','1');</v>
      </c>
    </row>
    <row r="358" spans="1:14" x14ac:dyDescent="0.3">
      <c r="A358" t="s">
        <v>11</v>
      </c>
      <c r="B358" s="1" t="s">
        <v>43</v>
      </c>
      <c r="C358" s="1" t="s">
        <v>44</v>
      </c>
      <c r="D358">
        <v>12659</v>
      </c>
      <c r="E358" t="s">
        <v>12</v>
      </c>
      <c r="F358" t="s">
        <v>47</v>
      </c>
      <c r="G358">
        <v>8</v>
      </c>
      <c r="H358">
        <v>17</v>
      </c>
      <c r="I358" t="s">
        <v>45</v>
      </c>
      <c r="J358" cm="1">
        <f t="array" ref="J358">IFERROR(
    _xlfn.XLOOKUP(G358, 'Wedgewood Pharm-PM-Yr2-2025'!$E$4:$L$4,
        _xlfn.XLOOKUP('Rate Load'!H358, 'Wedgewood Pharm-PM-Yr2-2025'!$D$5:$D$31,
            'Wedgewood Pharm-PM-Yr2-2025'!$E$5:$L$31, 0, 0),
        0, 0),
    _xlfn.XLOOKUP(G358, 'Wedgewood Pharm-PM-Yr2-2025'!$E$4:$L$4,
        _xlfn.XLOOKUP('Rate Load'!L358, 'Wedgewood Pharm-PM-Yr2-2025'!$D$5:$D$31,
            'Wedgewood Pharm-PM-Yr2-2025'!$E$5:$L$31, 0, 0),
        0, 0)
)</f>
        <v>45.309999999999995</v>
      </c>
      <c r="K358" t="s">
        <v>46</v>
      </c>
      <c r="L358" t="s">
        <v>13</v>
      </c>
      <c r="M358">
        <v>1</v>
      </c>
      <c r="N358" t="str">
        <f t="shared" si="5"/>
        <v>INSERT INTO TNL_RATING.dbo.usps_rate_master VALUES ('USPS', '2/13/2025', '2/13/2026', 12659, 'US', 'Priority Mail', 8, 17, 'L', 45.31, 'Wedgewood_USPS_2025', 'NonCubic','1');</v>
      </c>
    </row>
    <row r="359" spans="1:14" x14ac:dyDescent="0.3">
      <c r="A359" t="s">
        <v>11</v>
      </c>
      <c r="B359" s="1" t="s">
        <v>43</v>
      </c>
      <c r="C359" s="1" t="s">
        <v>44</v>
      </c>
      <c r="D359">
        <v>12659</v>
      </c>
      <c r="E359" t="s">
        <v>12</v>
      </c>
      <c r="F359" t="s">
        <v>47</v>
      </c>
      <c r="G359">
        <v>8</v>
      </c>
      <c r="H359">
        <v>18</v>
      </c>
      <c r="I359" t="s">
        <v>45</v>
      </c>
      <c r="J359" cm="1">
        <f t="array" ref="J359">IFERROR(
    _xlfn.XLOOKUP(G359, 'Wedgewood Pharm-PM-Yr2-2025'!$E$4:$L$4,
        _xlfn.XLOOKUP('Rate Load'!H359, 'Wedgewood Pharm-PM-Yr2-2025'!$D$5:$D$31,
            'Wedgewood Pharm-PM-Yr2-2025'!$E$5:$L$31, 0, 0),
        0, 0),
    _xlfn.XLOOKUP(G359, 'Wedgewood Pharm-PM-Yr2-2025'!$E$4:$L$4,
        _xlfn.XLOOKUP('Rate Load'!L359, 'Wedgewood Pharm-PM-Yr2-2025'!$D$5:$D$31,
            'Wedgewood Pharm-PM-Yr2-2025'!$E$5:$L$31, 0, 0),
        0, 0)
)</f>
        <v>47.3</v>
      </c>
      <c r="K359" t="s">
        <v>46</v>
      </c>
      <c r="L359" t="s">
        <v>13</v>
      </c>
      <c r="M359">
        <v>1</v>
      </c>
      <c r="N359" t="str">
        <f t="shared" si="5"/>
        <v>INSERT INTO TNL_RATING.dbo.usps_rate_master VALUES ('USPS', '2/13/2025', '2/13/2026', 12659, 'US', 'Priority Mail', 8, 18, 'L', 47.3, 'Wedgewood_USPS_2025', 'NonCubic','1');</v>
      </c>
    </row>
    <row r="360" spans="1:14" x14ac:dyDescent="0.3">
      <c r="A360" t="s">
        <v>11</v>
      </c>
      <c r="B360" s="1" t="s">
        <v>43</v>
      </c>
      <c r="C360" s="1" t="s">
        <v>44</v>
      </c>
      <c r="D360">
        <v>12659</v>
      </c>
      <c r="E360" t="s">
        <v>12</v>
      </c>
      <c r="F360" t="s">
        <v>47</v>
      </c>
      <c r="G360">
        <v>8</v>
      </c>
      <c r="H360">
        <v>19</v>
      </c>
      <c r="I360" t="s">
        <v>45</v>
      </c>
      <c r="J360" cm="1">
        <f t="array" ref="J360">IFERROR(
    _xlfn.XLOOKUP(G360, 'Wedgewood Pharm-PM-Yr2-2025'!$E$4:$L$4,
        _xlfn.XLOOKUP('Rate Load'!H360, 'Wedgewood Pharm-PM-Yr2-2025'!$D$5:$D$31,
            'Wedgewood Pharm-PM-Yr2-2025'!$E$5:$L$31, 0, 0),
        0, 0),
    _xlfn.XLOOKUP(G360, 'Wedgewood Pharm-PM-Yr2-2025'!$E$4:$L$4,
        _xlfn.XLOOKUP('Rate Load'!L360, 'Wedgewood Pharm-PM-Yr2-2025'!$D$5:$D$31,
            'Wedgewood Pharm-PM-Yr2-2025'!$E$5:$L$31, 0, 0),
        0, 0)
)</f>
        <v>49.29</v>
      </c>
      <c r="K360" t="s">
        <v>46</v>
      </c>
      <c r="L360" t="s">
        <v>13</v>
      </c>
      <c r="M360">
        <v>1</v>
      </c>
      <c r="N360" t="str">
        <f t="shared" si="5"/>
        <v>INSERT INTO TNL_RATING.dbo.usps_rate_master VALUES ('USPS', '2/13/2025', '2/13/2026', 12659, 'US', 'Priority Mail', 8, 19, 'L', 49.29, 'Wedgewood_USPS_2025', 'NonCubic','1');</v>
      </c>
    </row>
    <row r="361" spans="1:14" x14ac:dyDescent="0.3">
      <c r="A361" t="s">
        <v>11</v>
      </c>
      <c r="B361" s="1" t="s">
        <v>43</v>
      </c>
      <c r="C361" s="1" t="s">
        <v>44</v>
      </c>
      <c r="D361">
        <v>12659</v>
      </c>
      <c r="E361" t="s">
        <v>12</v>
      </c>
      <c r="F361" t="s">
        <v>47</v>
      </c>
      <c r="G361">
        <v>8</v>
      </c>
      <c r="H361">
        <v>20</v>
      </c>
      <c r="I361" t="s">
        <v>45</v>
      </c>
      <c r="J361" cm="1">
        <f t="array" ref="J361">IFERROR(
    _xlfn.XLOOKUP(G361, 'Wedgewood Pharm-PM-Yr2-2025'!$E$4:$L$4,
        _xlfn.XLOOKUP('Rate Load'!H361, 'Wedgewood Pharm-PM-Yr2-2025'!$D$5:$D$31,
            'Wedgewood Pharm-PM-Yr2-2025'!$E$5:$L$31, 0, 0),
        0, 0),
    _xlfn.XLOOKUP(G361, 'Wedgewood Pharm-PM-Yr2-2025'!$E$4:$L$4,
        _xlfn.XLOOKUP('Rate Load'!L361, 'Wedgewood Pharm-PM-Yr2-2025'!$D$5:$D$31,
            'Wedgewood Pharm-PM-Yr2-2025'!$E$5:$L$31, 0, 0),
        0, 0)
)</f>
        <v>51.3</v>
      </c>
      <c r="K361" t="s">
        <v>46</v>
      </c>
      <c r="L361" t="s">
        <v>13</v>
      </c>
      <c r="M361">
        <v>1</v>
      </c>
      <c r="N361" t="str">
        <f t="shared" si="5"/>
        <v>INSERT INTO TNL_RATING.dbo.usps_rate_master VALUES ('USPS', '2/13/2025', '2/13/2026', 12659, 'US', 'Priority Mail', 8, 20, 'L', 51.3, 'Wedgewood_USPS_2025', 'NonCubic','1');</v>
      </c>
    </row>
    <row r="362" spans="1:14" x14ac:dyDescent="0.3">
      <c r="A362" t="s">
        <v>11</v>
      </c>
      <c r="B362" s="1" t="s">
        <v>43</v>
      </c>
      <c r="C362" s="1" t="s">
        <v>44</v>
      </c>
      <c r="D362">
        <v>12659</v>
      </c>
      <c r="E362" t="s">
        <v>12</v>
      </c>
      <c r="F362" t="s">
        <v>47</v>
      </c>
      <c r="G362">
        <v>1</v>
      </c>
      <c r="H362">
        <v>0</v>
      </c>
      <c r="I362" t="s">
        <v>45</v>
      </c>
      <c r="J362" cm="1">
        <f t="array" ref="J362">IFERROR(
    _xlfn.XLOOKUP(G362, 'Wedgewood Pharm-PM-Yr2-2025'!$E$4:$L$4,
        _xlfn.XLOOKUP('Rate Load'!H362, 'Wedgewood Pharm-PM-Yr2-2025'!$D$5:$D$31,
            'Wedgewood Pharm-PM-Yr2-2025'!$E$5:$L$31, 0, 0),
        0, 0),
    _xlfn.XLOOKUP(G362, 'Wedgewood Pharm-PM-Yr2-2025'!$E$4:$L$4,
        _xlfn.XLOOKUP('Rate Load'!L362, 'Wedgewood Pharm-PM-Yr2-2025'!$D$5:$D$31,
            'Wedgewood Pharm-PM-Yr2-2025'!$E$5:$L$31, 0, 0),
        0, 0)
)</f>
        <v>7.6499999999999995</v>
      </c>
      <c r="K362" t="s">
        <v>46</v>
      </c>
      <c r="L362" t="s">
        <v>22</v>
      </c>
      <c r="M362">
        <v>1</v>
      </c>
      <c r="N362" t="str">
        <f t="shared" si="5"/>
        <v>INSERT INTO TNL_RATING.dbo.usps_rate_master VALUES ('USPS', '2/13/2025', '2/13/2026', 12659, 'US', 'Priority Mail', 1, 0, 'L', 7.65, 'Wedgewood_USPS_2025', 'Flat-Rate Envelope','1');</v>
      </c>
    </row>
    <row r="363" spans="1:14" x14ac:dyDescent="0.3">
      <c r="A363" t="s">
        <v>11</v>
      </c>
      <c r="B363" s="1" t="s">
        <v>43</v>
      </c>
      <c r="C363" s="1" t="s">
        <v>44</v>
      </c>
      <c r="D363">
        <v>12659</v>
      </c>
      <c r="E363" t="s">
        <v>12</v>
      </c>
      <c r="F363" t="s">
        <v>47</v>
      </c>
      <c r="G363">
        <v>2</v>
      </c>
      <c r="H363">
        <v>0</v>
      </c>
      <c r="I363" t="s">
        <v>45</v>
      </c>
      <c r="J363" cm="1">
        <f t="array" ref="J363">IFERROR(
    _xlfn.XLOOKUP(G363, 'Wedgewood Pharm-PM-Yr2-2025'!$E$4:$L$4,
        _xlfn.XLOOKUP('Rate Load'!H363, 'Wedgewood Pharm-PM-Yr2-2025'!$D$5:$D$31,
            'Wedgewood Pharm-PM-Yr2-2025'!$E$5:$L$31, 0, 0),
        0, 0),
    _xlfn.XLOOKUP(G363, 'Wedgewood Pharm-PM-Yr2-2025'!$E$4:$L$4,
        _xlfn.XLOOKUP('Rate Load'!L363, 'Wedgewood Pharm-PM-Yr2-2025'!$D$5:$D$31,
            'Wedgewood Pharm-PM-Yr2-2025'!$E$5:$L$31, 0, 0),
        0, 0)
)</f>
        <v>7.6499999999999995</v>
      </c>
      <c r="K363" t="s">
        <v>46</v>
      </c>
      <c r="L363" t="s">
        <v>22</v>
      </c>
      <c r="M363">
        <v>1</v>
      </c>
      <c r="N363" t="str">
        <f t="shared" si="5"/>
        <v>INSERT INTO TNL_RATING.dbo.usps_rate_master VALUES ('USPS', '2/13/2025', '2/13/2026', 12659, 'US', 'Priority Mail', 2, 0, 'L', 7.65, 'Wedgewood_USPS_2025', 'Flat-Rate Envelope','1');</v>
      </c>
    </row>
    <row r="364" spans="1:14" x14ac:dyDescent="0.3">
      <c r="A364" t="s">
        <v>11</v>
      </c>
      <c r="B364" s="1" t="s">
        <v>43</v>
      </c>
      <c r="C364" s="1" t="s">
        <v>44</v>
      </c>
      <c r="D364">
        <v>12659</v>
      </c>
      <c r="E364" t="s">
        <v>12</v>
      </c>
      <c r="F364" t="s">
        <v>47</v>
      </c>
      <c r="G364">
        <v>3</v>
      </c>
      <c r="H364">
        <v>0</v>
      </c>
      <c r="I364" t="s">
        <v>45</v>
      </c>
      <c r="J364" cm="1">
        <f t="array" ref="J364">IFERROR(
    _xlfn.XLOOKUP(G364, 'Wedgewood Pharm-PM-Yr2-2025'!$E$4:$L$4,
        _xlfn.XLOOKUP('Rate Load'!H364, 'Wedgewood Pharm-PM-Yr2-2025'!$D$5:$D$31,
            'Wedgewood Pharm-PM-Yr2-2025'!$E$5:$L$31, 0, 0),
        0, 0),
    _xlfn.XLOOKUP(G364, 'Wedgewood Pharm-PM-Yr2-2025'!$E$4:$L$4,
        _xlfn.XLOOKUP('Rate Load'!L364, 'Wedgewood Pharm-PM-Yr2-2025'!$D$5:$D$31,
            'Wedgewood Pharm-PM-Yr2-2025'!$E$5:$L$31, 0, 0),
        0, 0)
)</f>
        <v>7.6499999999999995</v>
      </c>
      <c r="K364" t="s">
        <v>46</v>
      </c>
      <c r="L364" t="s">
        <v>22</v>
      </c>
      <c r="M364">
        <v>1</v>
      </c>
      <c r="N364" t="str">
        <f t="shared" si="5"/>
        <v>INSERT INTO TNL_RATING.dbo.usps_rate_master VALUES ('USPS', '2/13/2025', '2/13/2026', 12659, 'US', 'Priority Mail', 3, 0, 'L', 7.65, 'Wedgewood_USPS_2025', 'Flat-Rate Envelope','1');</v>
      </c>
    </row>
    <row r="365" spans="1:14" x14ac:dyDescent="0.3">
      <c r="A365" t="s">
        <v>11</v>
      </c>
      <c r="B365" s="1" t="s">
        <v>43</v>
      </c>
      <c r="C365" s="1" t="s">
        <v>44</v>
      </c>
      <c r="D365">
        <v>12659</v>
      </c>
      <c r="E365" t="s">
        <v>12</v>
      </c>
      <c r="F365" t="s">
        <v>47</v>
      </c>
      <c r="G365">
        <v>4</v>
      </c>
      <c r="H365">
        <v>0</v>
      </c>
      <c r="I365" t="s">
        <v>45</v>
      </c>
      <c r="J365" cm="1">
        <f t="array" ref="J365">IFERROR(
    _xlfn.XLOOKUP(G365, 'Wedgewood Pharm-PM-Yr2-2025'!$E$4:$L$4,
        _xlfn.XLOOKUP('Rate Load'!H365, 'Wedgewood Pharm-PM-Yr2-2025'!$D$5:$D$31,
            'Wedgewood Pharm-PM-Yr2-2025'!$E$5:$L$31, 0, 0),
        0, 0),
    _xlfn.XLOOKUP(G365, 'Wedgewood Pharm-PM-Yr2-2025'!$E$4:$L$4,
        _xlfn.XLOOKUP('Rate Load'!L365, 'Wedgewood Pharm-PM-Yr2-2025'!$D$5:$D$31,
            'Wedgewood Pharm-PM-Yr2-2025'!$E$5:$L$31, 0, 0),
        0, 0)
)</f>
        <v>7.6499999999999995</v>
      </c>
      <c r="K365" t="s">
        <v>46</v>
      </c>
      <c r="L365" t="s">
        <v>22</v>
      </c>
      <c r="M365">
        <v>1</v>
      </c>
      <c r="N365" t="str">
        <f t="shared" si="5"/>
        <v>INSERT INTO TNL_RATING.dbo.usps_rate_master VALUES ('USPS', '2/13/2025', '2/13/2026', 12659, 'US', 'Priority Mail', 4, 0, 'L', 7.65, 'Wedgewood_USPS_2025', 'Flat-Rate Envelope','1');</v>
      </c>
    </row>
    <row r="366" spans="1:14" x14ac:dyDescent="0.3">
      <c r="A366" t="s">
        <v>11</v>
      </c>
      <c r="B366" s="1" t="s">
        <v>43</v>
      </c>
      <c r="C366" s="1" t="s">
        <v>44</v>
      </c>
      <c r="D366">
        <v>12659</v>
      </c>
      <c r="E366" t="s">
        <v>12</v>
      </c>
      <c r="F366" t="s">
        <v>47</v>
      </c>
      <c r="G366">
        <v>5</v>
      </c>
      <c r="H366">
        <v>0</v>
      </c>
      <c r="I366" t="s">
        <v>45</v>
      </c>
      <c r="J366" cm="1">
        <f t="array" ref="J366">IFERROR(
    _xlfn.XLOOKUP(G366, 'Wedgewood Pharm-PM-Yr2-2025'!$E$4:$L$4,
        _xlfn.XLOOKUP('Rate Load'!H366, 'Wedgewood Pharm-PM-Yr2-2025'!$D$5:$D$31,
            'Wedgewood Pharm-PM-Yr2-2025'!$E$5:$L$31, 0, 0),
        0, 0),
    _xlfn.XLOOKUP(G366, 'Wedgewood Pharm-PM-Yr2-2025'!$E$4:$L$4,
        _xlfn.XLOOKUP('Rate Load'!L366, 'Wedgewood Pharm-PM-Yr2-2025'!$D$5:$D$31,
            'Wedgewood Pharm-PM-Yr2-2025'!$E$5:$L$31, 0, 0),
        0, 0)
)</f>
        <v>7.6499999999999995</v>
      </c>
      <c r="K366" t="s">
        <v>46</v>
      </c>
      <c r="L366" t="s">
        <v>22</v>
      </c>
      <c r="M366">
        <v>1</v>
      </c>
      <c r="N366" t="str">
        <f t="shared" si="5"/>
        <v>INSERT INTO TNL_RATING.dbo.usps_rate_master VALUES ('USPS', '2/13/2025', '2/13/2026', 12659, 'US', 'Priority Mail', 5, 0, 'L', 7.65, 'Wedgewood_USPS_2025', 'Flat-Rate Envelope','1');</v>
      </c>
    </row>
    <row r="367" spans="1:14" x14ac:dyDescent="0.3">
      <c r="A367" t="s">
        <v>11</v>
      </c>
      <c r="B367" s="1" t="s">
        <v>43</v>
      </c>
      <c r="C367" s="1" t="s">
        <v>44</v>
      </c>
      <c r="D367">
        <v>12659</v>
      </c>
      <c r="E367" t="s">
        <v>12</v>
      </c>
      <c r="F367" t="s">
        <v>47</v>
      </c>
      <c r="G367">
        <v>6</v>
      </c>
      <c r="H367">
        <v>0</v>
      </c>
      <c r="I367" t="s">
        <v>45</v>
      </c>
      <c r="J367" cm="1">
        <f t="array" ref="J367">IFERROR(
    _xlfn.XLOOKUP(G367, 'Wedgewood Pharm-PM-Yr2-2025'!$E$4:$L$4,
        _xlfn.XLOOKUP('Rate Load'!H367, 'Wedgewood Pharm-PM-Yr2-2025'!$D$5:$D$31,
            'Wedgewood Pharm-PM-Yr2-2025'!$E$5:$L$31, 0, 0),
        0, 0),
    _xlfn.XLOOKUP(G367, 'Wedgewood Pharm-PM-Yr2-2025'!$E$4:$L$4,
        _xlfn.XLOOKUP('Rate Load'!L367, 'Wedgewood Pharm-PM-Yr2-2025'!$D$5:$D$31,
            'Wedgewood Pharm-PM-Yr2-2025'!$E$5:$L$31, 0, 0),
        0, 0)
)</f>
        <v>7.6499999999999995</v>
      </c>
      <c r="K367" t="s">
        <v>46</v>
      </c>
      <c r="L367" t="s">
        <v>22</v>
      </c>
      <c r="M367">
        <v>1</v>
      </c>
      <c r="N367" t="str">
        <f t="shared" si="5"/>
        <v>INSERT INTO TNL_RATING.dbo.usps_rate_master VALUES ('USPS', '2/13/2025', '2/13/2026', 12659, 'US', 'Priority Mail', 6, 0, 'L', 7.65, 'Wedgewood_USPS_2025', 'Flat-Rate Envelope','1');</v>
      </c>
    </row>
    <row r="368" spans="1:14" x14ac:dyDescent="0.3">
      <c r="A368" t="s">
        <v>11</v>
      </c>
      <c r="B368" s="1" t="s">
        <v>43</v>
      </c>
      <c r="C368" s="1" t="s">
        <v>44</v>
      </c>
      <c r="D368">
        <v>12659</v>
      </c>
      <c r="E368" t="s">
        <v>12</v>
      </c>
      <c r="F368" t="s">
        <v>47</v>
      </c>
      <c r="G368">
        <v>7</v>
      </c>
      <c r="H368">
        <v>0</v>
      </c>
      <c r="I368" t="s">
        <v>45</v>
      </c>
      <c r="J368" cm="1">
        <f t="array" ref="J368">IFERROR(
    _xlfn.XLOOKUP(G368, 'Wedgewood Pharm-PM-Yr2-2025'!$E$4:$L$4,
        _xlfn.XLOOKUP('Rate Load'!H368, 'Wedgewood Pharm-PM-Yr2-2025'!$D$5:$D$31,
            'Wedgewood Pharm-PM-Yr2-2025'!$E$5:$L$31, 0, 0),
        0, 0),
    _xlfn.XLOOKUP(G368, 'Wedgewood Pharm-PM-Yr2-2025'!$E$4:$L$4,
        _xlfn.XLOOKUP('Rate Load'!L368, 'Wedgewood Pharm-PM-Yr2-2025'!$D$5:$D$31,
            'Wedgewood Pharm-PM-Yr2-2025'!$E$5:$L$31, 0, 0),
        0, 0)
)</f>
        <v>7.6499999999999995</v>
      </c>
      <c r="K368" t="s">
        <v>46</v>
      </c>
      <c r="L368" t="s">
        <v>22</v>
      </c>
      <c r="M368">
        <v>1</v>
      </c>
      <c r="N368" t="str">
        <f t="shared" si="5"/>
        <v>INSERT INTO TNL_RATING.dbo.usps_rate_master VALUES ('USPS', '2/13/2025', '2/13/2026', 12659, 'US', 'Priority Mail', 7, 0, 'L', 7.65, 'Wedgewood_USPS_2025', 'Flat-Rate Envelope','1');</v>
      </c>
    </row>
    <row r="369" spans="1:14" x14ac:dyDescent="0.3">
      <c r="A369" t="s">
        <v>11</v>
      </c>
      <c r="B369" s="1" t="s">
        <v>43</v>
      </c>
      <c r="C369" s="1" t="s">
        <v>44</v>
      </c>
      <c r="D369">
        <v>12659</v>
      </c>
      <c r="E369" t="s">
        <v>12</v>
      </c>
      <c r="F369" t="s">
        <v>47</v>
      </c>
      <c r="G369">
        <v>8</v>
      </c>
      <c r="H369">
        <v>0</v>
      </c>
      <c r="I369" t="s">
        <v>45</v>
      </c>
      <c r="J369" cm="1">
        <f t="array" ref="J369">IFERROR(
    _xlfn.XLOOKUP(G369, 'Wedgewood Pharm-PM-Yr2-2025'!$E$4:$L$4,
        _xlfn.XLOOKUP('Rate Load'!H369, 'Wedgewood Pharm-PM-Yr2-2025'!$D$5:$D$31,
            'Wedgewood Pharm-PM-Yr2-2025'!$E$5:$L$31, 0, 0),
        0, 0),
    _xlfn.XLOOKUP(G369, 'Wedgewood Pharm-PM-Yr2-2025'!$E$4:$L$4,
        _xlfn.XLOOKUP('Rate Load'!L369, 'Wedgewood Pharm-PM-Yr2-2025'!$D$5:$D$31,
            'Wedgewood Pharm-PM-Yr2-2025'!$E$5:$L$31, 0, 0),
        0, 0)
)</f>
        <v>7.6499999999999995</v>
      </c>
      <c r="K369" t="s">
        <v>46</v>
      </c>
      <c r="L369" t="s">
        <v>22</v>
      </c>
      <c r="M369">
        <v>1</v>
      </c>
      <c r="N369" t="str">
        <f t="shared" si="5"/>
        <v>INSERT INTO TNL_RATING.dbo.usps_rate_master VALUES ('USPS', '2/13/2025', '2/13/2026', 12659, 'US', 'Priority Mail', 8, 0, 'L', 7.65, 'Wedgewood_USPS_2025', 'Flat-Rate Envelope','1');</v>
      </c>
    </row>
    <row r="370" spans="1:14" x14ac:dyDescent="0.3">
      <c r="A370" t="s">
        <v>11</v>
      </c>
      <c r="B370" s="1" t="s">
        <v>43</v>
      </c>
      <c r="C370" s="1" t="s">
        <v>44</v>
      </c>
      <c r="D370">
        <v>12659</v>
      </c>
      <c r="E370" t="s">
        <v>12</v>
      </c>
      <c r="F370" t="s">
        <v>47</v>
      </c>
      <c r="G370">
        <v>1</v>
      </c>
      <c r="H370">
        <v>0</v>
      </c>
      <c r="I370" t="s">
        <v>45</v>
      </c>
      <c r="J370" cm="1">
        <f t="array" ref="J370">IFERROR(
    _xlfn.XLOOKUP(G370, 'Wedgewood Pharm-PM-Yr2-2025'!$E$4:$L$4,
        _xlfn.XLOOKUP('Rate Load'!H370, 'Wedgewood Pharm-PM-Yr2-2025'!$D$5:$D$31,
            'Wedgewood Pharm-PM-Yr2-2025'!$E$5:$L$31, 0, 0),
        0, 0),
    _xlfn.XLOOKUP(G370, 'Wedgewood Pharm-PM-Yr2-2025'!$E$4:$L$4,
        _xlfn.XLOOKUP('Rate Load'!L370, 'Wedgewood Pharm-PM-Yr2-2025'!$D$5:$D$31,
            'Wedgewood Pharm-PM-Yr2-2025'!$E$5:$L$31, 0, 0),
        0, 0)
)</f>
        <v>7.95</v>
      </c>
      <c r="K370" t="s">
        <v>46</v>
      </c>
      <c r="L370" t="s">
        <v>23</v>
      </c>
      <c r="M370">
        <v>1</v>
      </c>
      <c r="N370" t="str">
        <f t="shared" si="5"/>
        <v>INSERT INTO TNL_RATING.dbo.usps_rate_master VALUES ('USPS', '2/13/2025', '2/13/2026', 12659, 'US', 'Priority Mail', 1, 0, 'L', 7.95, 'Wedgewood_USPS_2025', 'Legal Flat-Rate Envelope','1');</v>
      </c>
    </row>
    <row r="371" spans="1:14" x14ac:dyDescent="0.3">
      <c r="A371" t="s">
        <v>11</v>
      </c>
      <c r="B371" s="1" t="s">
        <v>43</v>
      </c>
      <c r="C371" s="1" t="s">
        <v>44</v>
      </c>
      <c r="D371">
        <v>12659</v>
      </c>
      <c r="E371" t="s">
        <v>12</v>
      </c>
      <c r="F371" t="s">
        <v>47</v>
      </c>
      <c r="G371">
        <v>2</v>
      </c>
      <c r="H371">
        <v>0</v>
      </c>
      <c r="I371" t="s">
        <v>45</v>
      </c>
      <c r="J371" cm="1">
        <f t="array" ref="J371">IFERROR(
    _xlfn.XLOOKUP(G371, 'Wedgewood Pharm-PM-Yr2-2025'!$E$4:$L$4,
        _xlfn.XLOOKUP('Rate Load'!H371, 'Wedgewood Pharm-PM-Yr2-2025'!$D$5:$D$31,
            'Wedgewood Pharm-PM-Yr2-2025'!$E$5:$L$31, 0, 0),
        0, 0),
    _xlfn.XLOOKUP(G371, 'Wedgewood Pharm-PM-Yr2-2025'!$E$4:$L$4,
        _xlfn.XLOOKUP('Rate Load'!L371, 'Wedgewood Pharm-PM-Yr2-2025'!$D$5:$D$31,
            'Wedgewood Pharm-PM-Yr2-2025'!$E$5:$L$31, 0, 0),
        0, 0)
)</f>
        <v>7.95</v>
      </c>
      <c r="K371" t="s">
        <v>46</v>
      </c>
      <c r="L371" t="s">
        <v>23</v>
      </c>
      <c r="M371">
        <v>1</v>
      </c>
      <c r="N371" t="str">
        <f t="shared" si="5"/>
        <v>INSERT INTO TNL_RATING.dbo.usps_rate_master VALUES ('USPS', '2/13/2025', '2/13/2026', 12659, 'US', 'Priority Mail', 2, 0, 'L', 7.95, 'Wedgewood_USPS_2025', 'Legal Flat-Rate Envelope','1');</v>
      </c>
    </row>
    <row r="372" spans="1:14" x14ac:dyDescent="0.3">
      <c r="A372" t="s">
        <v>11</v>
      </c>
      <c r="B372" s="1" t="s">
        <v>43</v>
      </c>
      <c r="C372" s="1" t="s">
        <v>44</v>
      </c>
      <c r="D372">
        <v>12659</v>
      </c>
      <c r="E372" t="s">
        <v>12</v>
      </c>
      <c r="F372" t="s">
        <v>47</v>
      </c>
      <c r="G372">
        <v>3</v>
      </c>
      <c r="H372">
        <v>0</v>
      </c>
      <c r="I372" t="s">
        <v>45</v>
      </c>
      <c r="J372" cm="1">
        <f t="array" ref="J372">IFERROR(
    _xlfn.XLOOKUP(G372, 'Wedgewood Pharm-PM-Yr2-2025'!$E$4:$L$4,
        _xlfn.XLOOKUP('Rate Load'!H372, 'Wedgewood Pharm-PM-Yr2-2025'!$D$5:$D$31,
            'Wedgewood Pharm-PM-Yr2-2025'!$E$5:$L$31, 0, 0),
        0, 0),
    _xlfn.XLOOKUP(G372, 'Wedgewood Pharm-PM-Yr2-2025'!$E$4:$L$4,
        _xlfn.XLOOKUP('Rate Load'!L372, 'Wedgewood Pharm-PM-Yr2-2025'!$D$5:$D$31,
            'Wedgewood Pharm-PM-Yr2-2025'!$E$5:$L$31, 0, 0),
        0, 0)
)</f>
        <v>7.95</v>
      </c>
      <c r="K372" t="s">
        <v>46</v>
      </c>
      <c r="L372" t="s">
        <v>23</v>
      </c>
      <c r="M372">
        <v>1</v>
      </c>
      <c r="N372" t="str">
        <f t="shared" si="5"/>
        <v>INSERT INTO TNL_RATING.dbo.usps_rate_master VALUES ('USPS', '2/13/2025', '2/13/2026', 12659, 'US', 'Priority Mail', 3, 0, 'L', 7.95, 'Wedgewood_USPS_2025', 'Legal Flat-Rate Envelope','1');</v>
      </c>
    </row>
    <row r="373" spans="1:14" x14ac:dyDescent="0.3">
      <c r="A373" t="s">
        <v>11</v>
      </c>
      <c r="B373" s="1" t="s">
        <v>43</v>
      </c>
      <c r="C373" s="1" t="s">
        <v>44</v>
      </c>
      <c r="D373">
        <v>12659</v>
      </c>
      <c r="E373" t="s">
        <v>12</v>
      </c>
      <c r="F373" t="s">
        <v>47</v>
      </c>
      <c r="G373">
        <v>4</v>
      </c>
      <c r="H373">
        <v>0</v>
      </c>
      <c r="I373" t="s">
        <v>45</v>
      </c>
      <c r="J373" cm="1">
        <f t="array" ref="J373">IFERROR(
    _xlfn.XLOOKUP(G373, 'Wedgewood Pharm-PM-Yr2-2025'!$E$4:$L$4,
        _xlfn.XLOOKUP('Rate Load'!H373, 'Wedgewood Pharm-PM-Yr2-2025'!$D$5:$D$31,
            'Wedgewood Pharm-PM-Yr2-2025'!$E$5:$L$31, 0, 0),
        0, 0),
    _xlfn.XLOOKUP(G373, 'Wedgewood Pharm-PM-Yr2-2025'!$E$4:$L$4,
        _xlfn.XLOOKUP('Rate Load'!L373, 'Wedgewood Pharm-PM-Yr2-2025'!$D$5:$D$31,
            'Wedgewood Pharm-PM-Yr2-2025'!$E$5:$L$31, 0, 0),
        0, 0)
)</f>
        <v>7.95</v>
      </c>
      <c r="K373" t="s">
        <v>46</v>
      </c>
      <c r="L373" t="s">
        <v>23</v>
      </c>
      <c r="M373">
        <v>1</v>
      </c>
      <c r="N373" t="str">
        <f t="shared" si="5"/>
        <v>INSERT INTO TNL_RATING.dbo.usps_rate_master VALUES ('USPS', '2/13/2025', '2/13/2026', 12659, 'US', 'Priority Mail', 4, 0, 'L', 7.95, 'Wedgewood_USPS_2025', 'Legal Flat-Rate Envelope','1');</v>
      </c>
    </row>
    <row r="374" spans="1:14" x14ac:dyDescent="0.3">
      <c r="A374" t="s">
        <v>11</v>
      </c>
      <c r="B374" s="1" t="s">
        <v>43</v>
      </c>
      <c r="C374" s="1" t="s">
        <v>44</v>
      </c>
      <c r="D374">
        <v>12659</v>
      </c>
      <c r="E374" t="s">
        <v>12</v>
      </c>
      <c r="F374" t="s">
        <v>47</v>
      </c>
      <c r="G374">
        <v>5</v>
      </c>
      <c r="H374">
        <v>0</v>
      </c>
      <c r="I374" t="s">
        <v>45</v>
      </c>
      <c r="J374" cm="1">
        <f t="array" ref="J374">IFERROR(
    _xlfn.XLOOKUP(G374, 'Wedgewood Pharm-PM-Yr2-2025'!$E$4:$L$4,
        _xlfn.XLOOKUP('Rate Load'!H374, 'Wedgewood Pharm-PM-Yr2-2025'!$D$5:$D$31,
            'Wedgewood Pharm-PM-Yr2-2025'!$E$5:$L$31, 0, 0),
        0, 0),
    _xlfn.XLOOKUP(G374, 'Wedgewood Pharm-PM-Yr2-2025'!$E$4:$L$4,
        _xlfn.XLOOKUP('Rate Load'!L374, 'Wedgewood Pharm-PM-Yr2-2025'!$D$5:$D$31,
            'Wedgewood Pharm-PM-Yr2-2025'!$E$5:$L$31, 0, 0),
        0, 0)
)</f>
        <v>7.95</v>
      </c>
      <c r="K374" t="s">
        <v>46</v>
      </c>
      <c r="L374" t="s">
        <v>23</v>
      </c>
      <c r="M374">
        <v>1</v>
      </c>
      <c r="N374" t="str">
        <f t="shared" si="5"/>
        <v>INSERT INTO TNL_RATING.dbo.usps_rate_master VALUES ('USPS', '2/13/2025', '2/13/2026', 12659, 'US', 'Priority Mail', 5, 0, 'L', 7.95, 'Wedgewood_USPS_2025', 'Legal Flat-Rate Envelope','1');</v>
      </c>
    </row>
    <row r="375" spans="1:14" x14ac:dyDescent="0.3">
      <c r="A375" t="s">
        <v>11</v>
      </c>
      <c r="B375" s="1" t="s">
        <v>43</v>
      </c>
      <c r="C375" s="1" t="s">
        <v>44</v>
      </c>
      <c r="D375">
        <v>12659</v>
      </c>
      <c r="E375" t="s">
        <v>12</v>
      </c>
      <c r="F375" t="s">
        <v>47</v>
      </c>
      <c r="G375">
        <v>6</v>
      </c>
      <c r="H375">
        <v>0</v>
      </c>
      <c r="I375" t="s">
        <v>45</v>
      </c>
      <c r="J375" cm="1">
        <f t="array" ref="J375">IFERROR(
    _xlfn.XLOOKUP(G375, 'Wedgewood Pharm-PM-Yr2-2025'!$E$4:$L$4,
        _xlfn.XLOOKUP('Rate Load'!H375, 'Wedgewood Pharm-PM-Yr2-2025'!$D$5:$D$31,
            'Wedgewood Pharm-PM-Yr2-2025'!$E$5:$L$31, 0, 0),
        0, 0),
    _xlfn.XLOOKUP(G375, 'Wedgewood Pharm-PM-Yr2-2025'!$E$4:$L$4,
        _xlfn.XLOOKUP('Rate Load'!L375, 'Wedgewood Pharm-PM-Yr2-2025'!$D$5:$D$31,
            'Wedgewood Pharm-PM-Yr2-2025'!$E$5:$L$31, 0, 0),
        0, 0)
)</f>
        <v>7.95</v>
      </c>
      <c r="K375" t="s">
        <v>46</v>
      </c>
      <c r="L375" t="s">
        <v>23</v>
      </c>
      <c r="M375">
        <v>1</v>
      </c>
      <c r="N375" t="str">
        <f t="shared" si="5"/>
        <v>INSERT INTO TNL_RATING.dbo.usps_rate_master VALUES ('USPS', '2/13/2025', '2/13/2026', 12659, 'US', 'Priority Mail', 6, 0, 'L', 7.95, 'Wedgewood_USPS_2025', 'Legal Flat-Rate Envelope','1');</v>
      </c>
    </row>
    <row r="376" spans="1:14" x14ac:dyDescent="0.3">
      <c r="A376" t="s">
        <v>11</v>
      </c>
      <c r="B376" s="1" t="s">
        <v>43</v>
      </c>
      <c r="C376" s="1" t="s">
        <v>44</v>
      </c>
      <c r="D376">
        <v>12659</v>
      </c>
      <c r="E376" t="s">
        <v>12</v>
      </c>
      <c r="F376" t="s">
        <v>47</v>
      </c>
      <c r="G376">
        <v>7</v>
      </c>
      <c r="H376">
        <v>0</v>
      </c>
      <c r="I376" t="s">
        <v>45</v>
      </c>
      <c r="J376" cm="1">
        <f t="array" ref="J376">IFERROR(
    _xlfn.XLOOKUP(G376, 'Wedgewood Pharm-PM-Yr2-2025'!$E$4:$L$4,
        _xlfn.XLOOKUP('Rate Load'!H376, 'Wedgewood Pharm-PM-Yr2-2025'!$D$5:$D$31,
            'Wedgewood Pharm-PM-Yr2-2025'!$E$5:$L$31, 0, 0),
        0, 0),
    _xlfn.XLOOKUP(G376, 'Wedgewood Pharm-PM-Yr2-2025'!$E$4:$L$4,
        _xlfn.XLOOKUP('Rate Load'!L376, 'Wedgewood Pharm-PM-Yr2-2025'!$D$5:$D$31,
            'Wedgewood Pharm-PM-Yr2-2025'!$E$5:$L$31, 0, 0),
        0, 0)
)</f>
        <v>7.95</v>
      </c>
      <c r="K376" t="s">
        <v>46</v>
      </c>
      <c r="L376" t="s">
        <v>23</v>
      </c>
      <c r="M376">
        <v>1</v>
      </c>
      <c r="N376" t="str">
        <f t="shared" si="5"/>
        <v>INSERT INTO TNL_RATING.dbo.usps_rate_master VALUES ('USPS', '2/13/2025', '2/13/2026', 12659, 'US', 'Priority Mail', 7, 0, 'L', 7.95, 'Wedgewood_USPS_2025', 'Legal Flat-Rate Envelope','1');</v>
      </c>
    </row>
    <row r="377" spans="1:14" x14ac:dyDescent="0.3">
      <c r="A377" t="s">
        <v>11</v>
      </c>
      <c r="B377" s="1" t="s">
        <v>43</v>
      </c>
      <c r="C377" s="1" t="s">
        <v>44</v>
      </c>
      <c r="D377">
        <v>12659</v>
      </c>
      <c r="E377" t="s">
        <v>12</v>
      </c>
      <c r="F377" t="s">
        <v>47</v>
      </c>
      <c r="G377">
        <v>8</v>
      </c>
      <c r="H377">
        <v>0</v>
      </c>
      <c r="I377" t="s">
        <v>45</v>
      </c>
      <c r="J377" cm="1">
        <f t="array" ref="J377">IFERROR(
    _xlfn.XLOOKUP(G377, 'Wedgewood Pharm-PM-Yr2-2025'!$E$4:$L$4,
        _xlfn.XLOOKUP('Rate Load'!H377, 'Wedgewood Pharm-PM-Yr2-2025'!$D$5:$D$31,
            'Wedgewood Pharm-PM-Yr2-2025'!$E$5:$L$31, 0, 0),
        0, 0),
    _xlfn.XLOOKUP(G377, 'Wedgewood Pharm-PM-Yr2-2025'!$E$4:$L$4,
        _xlfn.XLOOKUP('Rate Load'!L377, 'Wedgewood Pharm-PM-Yr2-2025'!$D$5:$D$31,
            'Wedgewood Pharm-PM-Yr2-2025'!$E$5:$L$31, 0, 0),
        0, 0)
)</f>
        <v>7.95</v>
      </c>
      <c r="K377" t="s">
        <v>46</v>
      </c>
      <c r="L377" t="s">
        <v>23</v>
      </c>
      <c r="M377">
        <v>1</v>
      </c>
      <c r="N377" t="str">
        <f t="shared" si="5"/>
        <v>INSERT INTO TNL_RATING.dbo.usps_rate_master VALUES ('USPS', '2/13/2025', '2/13/2026', 12659, 'US', 'Priority Mail', 8, 0, 'L', 7.95, 'Wedgewood_USPS_2025', 'Legal Flat-Rate Envelope','1');</v>
      </c>
    </row>
    <row r="378" spans="1:14" x14ac:dyDescent="0.3">
      <c r="A378" t="s">
        <v>11</v>
      </c>
      <c r="B378" s="1" t="s">
        <v>43</v>
      </c>
      <c r="C378" s="1" t="s">
        <v>44</v>
      </c>
      <c r="D378">
        <v>12659</v>
      </c>
      <c r="E378" t="s">
        <v>12</v>
      </c>
      <c r="F378" t="s">
        <v>47</v>
      </c>
      <c r="G378">
        <v>1</v>
      </c>
      <c r="H378">
        <v>0</v>
      </c>
      <c r="I378" t="s">
        <v>45</v>
      </c>
      <c r="J378" cm="1">
        <f t="array" ref="J378">IFERROR(
    _xlfn.XLOOKUP(G378, 'Wedgewood Pharm-PM-Yr2-2025'!$E$4:$L$4,
        _xlfn.XLOOKUP('Rate Load'!H378, 'Wedgewood Pharm-PM-Yr2-2025'!$D$5:$D$31,
            'Wedgewood Pharm-PM-Yr2-2025'!$E$5:$L$31, 0, 0),
        0, 0),
    _xlfn.XLOOKUP(G378, 'Wedgewood Pharm-PM-Yr2-2025'!$E$4:$L$4,
        _xlfn.XLOOKUP('Rate Load'!L378, 'Wedgewood Pharm-PM-Yr2-2025'!$D$5:$D$31,
            'Wedgewood Pharm-PM-Yr2-2025'!$E$5:$L$31, 0, 0),
        0, 0)
)</f>
        <v>8.36</v>
      </c>
      <c r="K378" t="s">
        <v>46</v>
      </c>
      <c r="L378" t="s">
        <v>24</v>
      </c>
      <c r="M378">
        <v>1</v>
      </c>
      <c r="N378" t="str">
        <f t="shared" si="5"/>
        <v>INSERT INTO TNL_RATING.dbo.usps_rate_master VALUES ('USPS', '2/13/2025', '2/13/2026', 12659, 'US', 'Priority Mail', 1, 0, 'L', 8.36, 'Wedgewood_USPS_2025', 'Padded Flat-Rate Envelope','1');</v>
      </c>
    </row>
    <row r="379" spans="1:14" x14ac:dyDescent="0.3">
      <c r="A379" t="s">
        <v>11</v>
      </c>
      <c r="B379" s="1" t="s">
        <v>43</v>
      </c>
      <c r="C379" s="1" t="s">
        <v>44</v>
      </c>
      <c r="D379">
        <v>12659</v>
      </c>
      <c r="E379" t="s">
        <v>12</v>
      </c>
      <c r="F379" t="s">
        <v>47</v>
      </c>
      <c r="G379">
        <v>2</v>
      </c>
      <c r="H379">
        <v>0</v>
      </c>
      <c r="I379" t="s">
        <v>45</v>
      </c>
      <c r="J379" cm="1">
        <f t="array" ref="J379">IFERROR(
    _xlfn.XLOOKUP(G379, 'Wedgewood Pharm-PM-Yr2-2025'!$E$4:$L$4,
        _xlfn.XLOOKUP('Rate Load'!H379, 'Wedgewood Pharm-PM-Yr2-2025'!$D$5:$D$31,
            'Wedgewood Pharm-PM-Yr2-2025'!$E$5:$L$31, 0, 0),
        0, 0),
    _xlfn.XLOOKUP(G379, 'Wedgewood Pharm-PM-Yr2-2025'!$E$4:$L$4,
        _xlfn.XLOOKUP('Rate Load'!L379, 'Wedgewood Pharm-PM-Yr2-2025'!$D$5:$D$31,
            'Wedgewood Pharm-PM-Yr2-2025'!$E$5:$L$31, 0, 0),
        0, 0)
)</f>
        <v>8.36</v>
      </c>
      <c r="K379" t="s">
        <v>46</v>
      </c>
      <c r="L379" t="s">
        <v>24</v>
      </c>
      <c r="M379">
        <v>1</v>
      </c>
      <c r="N379" t="str">
        <f t="shared" si="5"/>
        <v>INSERT INTO TNL_RATING.dbo.usps_rate_master VALUES ('USPS', '2/13/2025', '2/13/2026', 12659, 'US', 'Priority Mail', 2, 0, 'L', 8.36, 'Wedgewood_USPS_2025', 'Padded Flat-Rate Envelope','1');</v>
      </c>
    </row>
    <row r="380" spans="1:14" x14ac:dyDescent="0.3">
      <c r="A380" t="s">
        <v>11</v>
      </c>
      <c r="B380" s="1" t="s">
        <v>43</v>
      </c>
      <c r="C380" s="1" t="s">
        <v>44</v>
      </c>
      <c r="D380">
        <v>12659</v>
      </c>
      <c r="E380" t="s">
        <v>12</v>
      </c>
      <c r="F380" t="s">
        <v>47</v>
      </c>
      <c r="G380">
        <v>3</v>
      </c>
      <c r="H380">
        <v>0</v>
      </c>
      <c r="I380" t="s">
        <v>45</v>
      </c>
      <c r="J380" cm="1">
        <f t="array" ref="J380">IFERROR(
    _xlfn.XLOOKUP(G380, 'Wedgewood Pharm-PM-Yr2-2025'!$E$4:$L$4,
        _xlfn.XLOOKUP('Rate Load'!H380, 'Wedgewood Pharm-PM-Yr2-2025'!$D$5:$D$31,
            'Wedgewood Pharm-PM-Yr2-2025'!$E$5:$L$31, 0, 0),
        0, 0),
    _xlfn.XLOOKUP(G380, 'Wedgewood Pharm-PM-Yr2-2025'!$E$4:$L$4,
        _xlfn.XLOOKUP('Rate Load'!L380, 'Wedgewood Pharm-PM-Yr2-2025'!$D$5:$D$31,
            'Wedgewood Pharm-PM-Yr2-2025'!$E$5:$L$31, 0, 0),
        0, 0)
)</f>
        <v>8.36</v>
      </c>
      <c r="K380" t="s">
        <v>46</v>
      </c>
      <c r="L380" t="s">
        <v>24</v>
      </c>
      <c r="M380">
        <v>1</v>
      </c>
      <c r="N380" t="str">
        <f t="shared" si="5"/>
        <v>INSERT INTO TNL_RATING.dbo.usps_rate_master VALUES ('USPS', '2/13/2025', '2/13/2026', 12659, 'US', 'Priority Mail', 3, 0, 'L', 8.36, 'Wedgewood_USPS_2025', 'Padded Flat-Rate Envelope','1');</v>
      </c>
    </row>
    <row r="381" spans="1:14" x14ac:dyDescent="0.3">
      <c r="A381" t="s">
        <v>11</v>
      </c>
      <c r="B381" s="1" t="s">
        <v>43</v>
      </c>
      <c r="C381" s="1" t="s">
        <v>44</v>
      </c>
      <c r="D381">
        <v>12659</v>
      </c>
      <c r="E381" t="s">
        <v>12</v>
      </c>
      <c r="F381" t="s">
        <v>47</v>
      </c>
      <c r="G381">
        <v>4</v>
      </c>
      <c r="H381">
        <v>0</v>
      </c>
      <c r="I381" t="s">
        <v>45</v>
      </c>
      <c r="J381" cm="1">
        <f t="array" ref="J381">IFERROR(
    _xlfn.XLOOKUP(G381, 'Wedgewood Pharm-PM-Yr2-2025'!$E$4:$L$4,
        _xlfn.XLOOKUP('Rate Load'!H381, 'Wedgewood Pharm-PM-Yr2-2025'!$D$5:$D$31,
            'Wedgewood Pharm-PM-Yr2-2025'!$E$5:$L$31, 0, 0),
        0, 0),
    _xlfn.XLOOKUP(G381, 'Wedgewood Pharm-PM-Yr2-2025'!$E$4:$L$4,
        _xlfn.XLOOKUP('Rate Load'!L381, 'Wedgewood Pharm-PM-Yr2-2025'!$D$5:$D$31,
            'Wedgewood Pharm-PM-Yr2-2025'!$E$5:$L$31, 0, 0),
        0, 0)
)</f>
        <v>8.36</v>
      </c>
      <c r="K381" t="s">
        <v>46</v>
      </c>
      <c r="L381" t="s">
        <v>24</v>
      </c>
      <c r="M381">
        <v>1</v>
      </c>
      <c r="N381" t="str">
        <f t="shared" si="5"/>
        <v>INSERT INTO TNL_RATING.dbo.usps_rate_master VALUES ('USPS', '2/13/2025', '2/13/2026', 12659, 'US', 'Priority Mail', 4, 0, 'L', 8.36, 'Wedgewood_USPS_2025', 'Padded Flat-Rate Envelope','1');</v>
      </c>
    </row>
    <row r="382" spans="1:14" x14ac:dyDescent="0.3">
      <c r="A382" t="s">
        <v>11</v>
      </c>
      <c r="B382" s="1" t="s">
        <v>43</v>
      </c>
      <c r="C382" s="1" t="s">
        <v>44</v>
      </c>
      <c r="D382">
        <v>12659</v>
      </c>
      <c r="E382" t="s">
        <v>12</v>
      </c>
      <c r="F382" t="s">
        <v>47</v>
      </c>
      <c r="G382">
        <v>5</v>
      </c>
      <c r="H382">
        <v>0</v>
      </c>
      <c r="I382" t="s">
        <v>45</v>
      </c>
      <c r="J382" cm="1">
        <f t="array" ref="J382">IFERROR(
    _xlfn.XLOOKUP(G382, 'Wedgewood Pharm-PM-Yr2-2025'!$E$4:$L$4,
        _xlfn.XLOOKUP('Rate Load'!H382, 'Wedgewood Pharm-PM-Yr2-2025'!$D$5:$D$31,
            'Wedgewood Pharm-PM-Yr2-2025'!$E$5:$L$31, 0, 0),
        0, 0),
    _xlfn.XLOOKUP(G382, 'Wedgewood Pharm-PM-Yr2-2025'!$E$4:$L$4,
        _xlfn.XLOOKUP('Rate Load'!L382, 'Wedgewood Pharm-PM-Yr2-2025'!$D$5:$D$31,
            'Wedgewood Pharm-PM-Yr2-2025'!$E$5:$L$31, 0, 0),
        0, 0)
)</f>
        <v>8.36</v>
      </c>
      <c r="K382" t="s">
        <v>46</v>
      </c>
      <c r="L382" t="s">
        <v>24</v>
      </c>
      <c r="M382">
        <v>1</v>
      </c>
      <c r="N382" t="str">
        <f t="shared" si="5"/>
        <v>INSERT INTO TNL_RATING.dbo.usps_rate_master VALUES ('USPS', '2/13/2025', '2/13/2026', 12659, 'US', 'Priority Mail', 5, 0, 'L', 8.36, 'Wedgewood_USPS_2025', 'Padded Flat-Rate Envelope','1');</v>
      </c>
    </row>
    <row r="383" spans="1:14" x14ac:dyDescent="0.3">
      <c r="A383" t="s">
        <v>11</v>
      </c>
      <c r="B383" s="1" t="s">
        <v>43</v>
      </c>
      <c r="C383" s="1" t="s">
        <v>44</v>
      </c>
      <c r="D383">
        <v>12659</v>
      </c>
      <c r="E383" t="s">
        <v>12</v>
      </c>
      <c r="F383" t="s">
        <v>47</v>
      </c>
      <c r="G383">
        <v>6</v>
      </c>
      <c r="H383">
        <v>0</v>
      </c>
      <c r="I383" t="s">
        <v>45</v>
      </c>
      <c r="J383" cm="1">
        <f t="array" ref="J383">IFERROR(
    _xlfn.XLOOKUP(G383, 'Wedgewood Pharm-PM-Yr2-2025'!$E$4:$L$4,
        _xlfn.XLOOKUP('Rate Load'!H383, 'Wedgewood Pharm-PM-Yr2-2025'!$D$5:$D$31,
            'Wedgewood Pharm-PM-Yr2-2025'!$E$5:$L$31, 0, 0),
        0, 0),
    _xlfn.XLOOKUP(G383, 'Wedgewood Pharm-PM-Yr2-2025'!$E$4:$L$4,
        _xlfn.XLOOKUP('Rate Load'!L383, 'Wedgewood Pharm-PM-Yr2-2025'!$D$5:$D$31,
            'Wedgewood Pharm-PM-Yr2-2025'!$E$5:$L$31, 0, 0),
        0, 0)
)</f>
        <v>8.36</v>
      </c>
      <c r="K383" t="s">
        <v>46</v>
      </c>
      <c r="L383" t="s">
        <v>24</v>
      </c>
      <c r="M383">
        <v>1</v>
      </c>
      <c r="N383" t="str">
        <f t="shared" si="5"/>
        <v>INSERT INTO TNL_RATING.dbo.usps_rate_master VALUES ('USPS', '2/13/2025', '2/13/2026', 12659, 'US', 'Priority Mail', 6, 0, 'L', 8.36, 'Wedgewood_USPS_2025', 'Padded Flat-Rate Envelope','1');</v>
      </c>
    </row>
    <row r="384" spans="1:14" x14ac:dyDescent="0.3">
      <c r="A384" t="s">
        <v>11</v>
      </c>
      <c r="B384" s="1" t="s">
        <v>43</v>
      </c>
      <c r="C384" s="1" t="s">
        <v>44</v>
      </c>
      <c r="D384">
        <v>12659</v>
      </c>
      <c r="E384" t="s">
        <v>12</v>
      </c>
      <c r="F384" t="s">
        <v>47</v>
      </c>
      <c r="G384">
        <v>7</v>
      </c>
      <c r="H384">
        <v>0</v>
      </c>
      <c r="I384" t="s">
        <v>45</v>
      </c>
      <c r="J384" cm="1">
        <f t="array" ref="J384">IFERROR(
    _xlfn.XLOOKUP(G384, 'Wedgewood Pharm-PM-Yr2-2025'!$E$4:$L$4,
        _xlfn.XLOOKUP('Rate Load'!H384, 'Wedgewood Pharm-PM-Yr2-2025'!$D$5:$D$31,
            'Wedgewood Pharm-PM-Yr2-2025'!$E$5:$L$31, 0, 0),
        0, 0),
    _xlfn.XLOOKUP(G384, 'Wedgewood Pharm-PM-Yr2-2025'!$E$4:$L$4,
        _xlfn.XLOOKUP('Rate Load'!L384, 'Wedgewood Pharm-PM-Yr2-2025'!$D$5:$D$31,
            'Wedgewood Pharm-PM-Yr2-2025'!$E$5:$L$31, 0, 0),
        0, 0)
)</f>
        <v>8.36</v>
      </c>
      <c r="K384" t="s">
        <v>46</v>
      </c>
      <c r="L384" t="s">
        <v>24</v>
      </c>
      <c r="M384">
        <v>1</v>
      </c>
      <c r="N384" t="str">
        <f t="shared" si="5"/>
        <v>INSERT INTO TNL_RATING.dbo.usps_rate_master VALUES ('USPS', '2/13/2025', '2/13/2026', 12659, 'US', 'Priority Mail', 7, 0, 'L', 8.36, 'Wedgewood_USPS_2025', 'Padded Flat-Rate Envelope','1');</v>
      </c>
    </row>
    <row r="385" spans="1:14" x14ac:dyDescent="0.3">
      <c r="A385" t="s">
        <v>11</v>
      </c>
      <c r="B385" s="1" t="s">
        <v>43</v>
      </c>
      <c r="C385" s="1" t="s">
        <v>44</v>
      </c>
      <c r="D385">
        <v>12659</v>
      </c>
      <c r="E385" t="s">
        <v>12</v>
      </c>
      <c r="F385" t="s">
        <v>47</v>
      </c>
      <c r="G385">
        <v>8</v>
      </c>
      <c r="H385">
        <v>0</v>
      </c>
      <c r="I385" t="s">
        <v>45</v>
      </c>
      <c r="J385" cm="1">
        <f t="array" ref="J385">IFERROR(
    _xlfn.XLOOKUP(G385, 'Wedgewood Pharm-PM-Yr2-2025'!$E$4:$L$4,
        _xlfn.XLOOKUP('Rate Load'!H385, 'Wedgewood Pharm-PM-Yr2-2025'!$D$5:$D$31,
            'Wedgewood Pharm-PM-Yr2-2025'!$E$5:$L$31, 0, 0),
        0, 0),
    _xlfn.XLOOKUP(G385, 'Wedgewood Pharm-PM-Yr2-2025'!$E$4:$L$4,
        _xlfn.XLOOKUP('Rate Load'!L385, 'Wedgewood Pharm-PM-Yr2-2025'!$D$5:$D$31,
            'Wedgewood Pharm-PM-Yr2-2025'!$E$5:$L$31, 0, 0),
        0, 0)
)</f>
        <v>8.36</v>
      </c>
      <c r="K385" t="s">
        <v>46</v>
      </c>
      <c r="L385" t="s">
        <v>24</v>
      </c>
      <c r="M385">
        <v>1</v>
      </c>
      <c r="N385" t="str">
        <f t="shared" si="5"/>
        <v>INSERT INTO TNL_RATING.dbo.usps_rate_master VALUES ('USPS', '2/13/2025', '2/13/2026', 12659, 'US', 'Priority Mail', 8, 0, 'L', 8.36, 'Wedgewood_USPS_2025', 'Padded Flat-Rate Envelope','1');</v>
      </c>
    </row>
    <row r="386" spans="1:14" x14ac:dyDescent="0.3">
      <c r="A386" t="s">
        <v>11</v>
      </c>
      <c r="B386" s="1" t="s">
        <v>43</v>
      </c>
      <c r="C386" s="1" t="s">
        <v>44</v>
      </c>
      <c r="D386">
        <v>12659</v>
      </c>
      <c r="E386" t="s">
        <v>12</v>
      </c>
      <c r="F386" t="s">
        <v>47</v>
      </c>
      <c r="G386">
        <v>1</v>
      </c>
      <c r="H386">
        <v>0</v>
      </c>
      <c r="I386" t="s">
        <v>45</v>
      </c>
      <c r="J386" cm="1">
        <f t="array" ref="J386">IFERROR(
    _xlfn.XLOOKUP(G386, 'Wedgewood Pharm-PM-Yr2-2025'!$E$4:$L$4,
        _xlfn.XLOOKUP('Rate Load'!H386, 'Wedgewood Pharm-PM-Yr2-2025'!$D$5:$D$31,
            'Wedgewood Pharm-PM-Yr2-2025'!$E$5:$L$31, 0, 0),
        0, 0),
    _xlfn.XLOOKUP(G386, 'Wedgewood Pharm-PM-Yr2-2025'!$E$4:$L$4,
        _xlfn.XLOOKUP('Rate Load'!L386, 'Wedgewood Pharm-PM-Yr2-2025'!$D$5:$D$31,
            'Wedgewood Pharm-PM-Yr2-2025'!$E$5:$L$31, 0, 0),
        0, 0)
)</f>
        <v>8.16</v>
      </c>
      <c r="K386" t="s">
        <v>46</v>
      </c>
      <c r="L386" t="s">
        <v>28</v>
      </c>
      <c r="M386">
        <v>1</v>
      </c>
      <c r="N386" t="str">
        <f t="shared" si="5"/>
        <v>INSERT INTO TNL_RATING.dbo.usps_rate_master VALUES ('USPS', '2/13/2025', '2/13/2026', 12659, 'US', 'Priority Mail', 1, 0, 'L', 8.16, 'Wedgewood_USPS_2025', 'Small Flat-Rate Box','1');</v>
      </c>
    </row>
    <row r="387" spans="1:14" x14ac:dyDescent="0.3">
      <c r="A387" t="s">
        <v>11</v>
      </c>
      <c r="B387" s="1" t="s">
        <v>43</v>
      </c>
      <c r="C387" s="1" t="s">
        <v>44</v>
      </c>
      <c r="D387">
        <v>12659</v>
      </c>
      <c r="E387" t="s">
        <v>12</v>
      </c>
      <c r="F387" t="s">
        <v>47</v>
      </c>
      <c r="G387">
        <v>2</v>
      </c>
      <c r="H387">
        <v>0</v>
      </c>
      <c r="I387" t="s">
        <v>45</v>
      </c>
      <c r="J387" cm="1">
        <f t="array" ref="J387">IFERROR(
    _xlfn.XLOOKUP(G387, 'Wedgewood Pharm-PM-Yr2-2025'!$E$4:$L$4,
        _xlfn.XLOOKUP('Rate Load'!H387, 'Wedgewood Pharm-PM-Yr2-2025'!$D$5:$D$31,
            'Wedgewood Pharm-PM-Yr2-2025'!$E$5:$L$31, 0, 0),
        0, 0),
    _xlfn.XLOOKUP(G387, 'Wedgewood Pharm-PM-Yr2-2025'!$E$4:$L$4,
        _xlfn.XLOOKUP('Rate Load'!L387, 'Wedgewood Pharm-PM-Yr2-2025'!$D$5:$D$31,
            'Wedgewood Pharm-PM-Yr2-2025'!$E$5:$L$31, 0, 0),
        0, 0)
)</f>
        <v>8.16</v>
      </c>
      <c r="K387" t="s">
        <v>46</v>
      </c>
      <c r="L387" t="s">
        <v>28</v>
      </c>
      <c r="M387">
        <v>1</v>
      </c>
      <c r="N387" t="str">
        <f t="shared" ref="N387:N450" si="6">"INSERT INTO TNL_RATING.dbo.usps_rate_master VALUES ('" &amp; A387 &amp; "', '" &amp; B387 &amp; "', '" &amp; C387 &amp; "', " &amp; D387 &amp; ", '" &amp; E387 &amp; "', '" &amp; F387 &amp; "', " &amp; G387 &amp; ", " &amp; H387 &amp; ", '" &amp; I387 &amp; "', " &amp; J387 &amp; ", '" &amp; K387 &amp; "', '" &amp; L387 &amp; "','" &amp; M387 &amp; "');"</f>
        <v>INSERT INTO TNL_RATING.dbo.usps_rate_master VALUES ('USPS', '2/13/2025', '2/13/2026', 12659, 'US', 'Priority Mail', 2, 0, 'L', 8.16, 'Wedgewood_USPS_2025', 'Small Flat-Rate Box','1');</v>
      </c>
    </row>
    <row r="388" spans="1:14" x14ac:dyDescent="0.3">
      <c r="A388" t="s">
        <v>11</v>
      </c>
      <c r="B388" s="1" t="s">
        <v>43</v>
      </c>
      <c r="C388" s="1" t="s">
        <v>44</v>
      </c>
      <c r="D388">
        <v>12659</v>
      </c>
      <c r="E388" t="s">
        <v>12</v>
      </c>
      <c r="F388" t="s">
        <v>47</v>
      </c>
      <c r="G388">
        <v>3</v>
      </c>
      <c r="H388">
        <v>0</v>
      </c>
      <c r="I388" t="s">
        <v>45</v>
      </c>
      <c r="J388" cm="1">
        <f t="array" ref="J388">IFERROR(
    _xlfn.XLOOKUP(G388, 'Wedgewood Pharm-PM-Yr2-2025'!$E$4:$L$4,
        _xlfn.XLOOKUP('Rate Load'!H388, 'Wedgewood Pharm-PM-Yr2-2025'!$D$5:$D$31,
            'Wedgewood Pharm-PM-Yr2-2025'!$E$5:$L$31, 0, 0),
        0, 0),
    _xlfn.XLOOKUP(G388, 'Wedgewood Pharm-PM-Yr2-2025'!$E$4:$L$4,
        _xlfn.XLOOKUP('Rate Load'!L388, 'Wedgewood Pharm-PM-Yr2-2025'!$D$5:$D$31,
            'Wedgewood Pharm-PM-Yr2-2025'!$E$5:$L$31, 0, 0),
        0, 0)
)</f>
        <v>8.16</v>
      </c>
      <c r="K388" t="s">
        <v>46</v>
      </c>
      <c r="L388" t="s">
        <v>28</v>
      </c>
      <c r="M388">
        <v>1</v>
      </c>
      <c r="N388" t="str">
        <f t="shared" si="6"/>
        <v>INSERT INTO TNL_RATING.dbo.usps_rate_master VALUES ('USPS', '2/13/2025', '2/13/2026', 12659, 'US', 'Priority Mail', 3, 0, 'L', 8.16, 'Wedgewood_USPS_2025', 'Small Flat-Rate Box','1');</v>
      </c>
    </row>
    <row r="389" spans="1:14" x14ac:dyDescent="0.3">
      <c r="A389" t="s">
        <v>11</v>
      </c>
      <c r="B389" s="1" t="s">
        <v>43</v>
      </c>
      <c r="C389" s="1" t="s">
        <v>44</v>
      </c>
      <c r="D389">
        <v>12659</v>
      </c>
      <c r="E389" t="s">
        <v>12</v>
      </c>
      <c r="F389" t="s">
        <v>47</v>
      </c>
      <c r="G389">
        <v>4</v>
      </c>
      <c r="H389">
        <v>0</v>
      </c>
      <c r="I389" t="s">
        <v>45</v>
      </c>
      <c r="J389" cm="1">
        <f t="array" ref="J389">IFERROR(
    _xlfn.XLOOKUP(G389, 'Wedgewood Pharm-PM-Yr2-2025'!$E$4:$L$4,
        _xlfn.XLOOKUP('Rate Load'!H389, 'Wedgewood Pharm-PM-Yr2-2025'!$D$5:$D$31,
            'Wedgewood Pharm-PM-Yr2-2025'!$E$5:$L$31, 0, 0),
        0, 0),
    _xlfn.XLOOKUP(G389, 'Wedgewood Pharm-PM-Yr2-2025'!$E$4:$L$4,
        _xlfn.XLOOKUP('Rate Load'!L389, 'Wedgewood Pharm-PM-Yr2-2025'!$D$5:$D$31,
            'Wedgewood Pharm-PM-Yr2-2025'!$E$5:$L$31, 0, 0),
        0, 0)
)</f>
        <v>8.16</v>
      </c>
      <c r="K389" t="s">
        <v>46</v>
      </c>
      <c r="L389" t="s">
        <v>28</v>
      </c>
      <c r="M389">
        <v>1</v>
      </c>
      <c r="N389" t="str">
        <f t="shared" si="6"/>
        <v>INSERT INTO TNL_RATING.dbo.usps_rate_master VALUES ('USPS', '2/13/2025', '2/13/2026', 12659, 'US', 'Priority Mail', 4, 0, 'L', 8.16, 'Wedgewood_USPS_2025', 'Small Flat-Rate Box','1');</v>
      </c>
    </row>
    <row r="390" spans="1:14" x14ac:dyDescent="0.3">
      <c r="A390" t="s">
        <v>11</v>
      </c>
      <c r="B390" s="1" t="s">
        <v>43</v>
      </c>
      <c r="C390" s="1" t="s">
        <v>44</v>
      </c>
      <c r="D390">
        <v>12659</v>
      </c>
      <c r="E390" t="s">
        <v>12</v>
      </c>
      <c r="F390" t="s">
        <v>47</v>
      </c>
      <c r="G390">
        <v>5</v>
      </c>
      <c r="H390">
        <v>0</v>
      </c>
      <c r="I390" t="s">
        <v>45</v>
      </c>
      <c r="J390" cm="1">
        <f t="array" ref="J390">IFERROR(
    _xlfn.XLOOKUP(G390, 'Wedgewood Pharm-PM-Yr2-2025'!$E$4:$L$4,
        _xlfn.XLOOKUP('Rate Load'!H390, 'Wedgewood Pharm-PM-Yr2-2025'!$D$5:$D$31,
            'Wedgewood Pharm-PM-Yr2-2025'!$E$5:$L$31, 0, 0),
        0, 0),
    _xlfn.XLOOKUP(G390, 'Wedgewood Pharm-PM-Yr2-2025'!$E$4:$L$4,
        _xlfn.XLOOKUP('Rate Load'!L390, 'Wedgewood Pharm-PM-Yr2-2025'!$D$5:$D$31,
            'Wedgewood Pharm-PM-Yr2-2025'!$E$5:$L$31, 0, 0),
        0, 0)
)</f>
        <v>8.16</v>
      </c>
      <c r="K390" t="s">
        <v>46</v>
      </c>
      <c r="L390" t="s">
        <v>28</v>
      </c>
      <c r="M390">
        <v>1</v>
      </c>
      <c r="N390" t="str">
        <f t="shared" si="6"/>
        <v>INSERT INTO TNL_RATING.dbo.usps_rate_master VALUES ('USPS', '2/13/2025', '2/13/2026', 12659, 'US', 'Priority Mail', 5, 0, 'L', 8.16, 'Wedgewood_USPS_2025', 'Small Flat-Rate Box','1');</v>
      </c>
    </row>
    <row r="391" spans="1:14" x14ac:dyDescent="0.3">
      <c r="A391" t="s">
        <v>11</v>
      </c>
      <c r="B391" s="1" t="s">
        <v>43</v>
      </c>
      <c r="C391" s="1" t="s">
        <v>44</v>
      </c>
      <c r="D391">
        <v>12659</v>
      </c>
      <c r="E391" t="s">
        <v>12</v>
      </c>
      <c r="F391" t="s">
        <v>47</v>
      </c>
      <c r="G391">
        <v>6</v>
      </c>
      <c r="H391">
        <v>0</v>
      </c>
      <c r="I391" t="s">
        <v>45</v>
      </c>
      <c r="J391" cm="1">
        <f t="array" ref="J391">IFERROR(
    _xlfn.XLOOKUP(G391, 'Wedgewood Pharm-PM-Yr2-2025'!$E$4:$L$4,
        _xlfn.XLOOKUP('Rate Load'!H391, 'Wedgewood Pharm-PM-Yr2-2025'!$D$5:$D$31,
            'Wedgewood Pharm-PM-Yr2-2025'!$E$5:$L$31, 0, 0),
        0, 0),
    _xlfn.XLOOKUP(G391, 'Wedgewood Pharm-PM-Yr2-2025'!$E$4:$L$4,
        _xlfn.XLOOKUP('Rate Load'!L391, 'Wedgewood Pharm-PM-Yr2-2025'!$D$5:$D$31,
            'Wedgewood Pharm-PM-Yr2-2025'!$E$5:$L$31, 0, 0),
        0, 0)
)</f>
        <v>8.16</v>
      </c>
      <c r="K391" t="s">
        <v>46</v>
      </c>
      <c r="L391" t="s">
        <v>28</v>
      </c>
      <c r="M391">
        <v>1</v>
      </c>
      <c r="N391" t="str">
        <f t="shared" si="6"/>
        <v>INSERT INTO TNL_RATING.dbo.usps_rate_master VALUES ('USPS', '2/13/2025', '2/13/2026', 12659, 'US', 'Priority Mail', 6, 0, 'L', 8.16, 'Wedgewood_USPS_2025', 'Small Flat-Rate Box','1');</v>
      </c>
    </row>
    <row r="392" spans="1:14" x14ac:dyDescent="0.3">
      <c r="A392" t="s">
        <v>11</v>
      </c>
      <c r="B392" s="1" t="s">
        <v>43</v>
      </c>
      <c r="C392" s="1" t="s">
        <v>44</v>
      </c>
      <c r="D392">
        <v>12659</v>
      </c>
      <c r="E392" t="s">
        <v>12</v>
      </c>
      <c r="F392" t="s">
        <v>47</v>
      </c>
      <c r="G392">
        <v>7</v>
      </c>
      <c r="H392">
        <v>0</v>
      </c>
      <c r="I392" t="s">
        <v>45</v>
      </c>
      <c r="J392" cm="1">
        <f t="array" ref="J392">IFERROR(
    _xlfn.XLOOKUP(G392, 'Wedgewood Pharm-PM-Yr2-2025'!$E$4:$L$4,
        _xlfn.XLOOKUP('Rate Load'!H392, 'Wedgewood Pharm-PM-Yr2-2025'!$D$5:$D$31,
            'Wedgewood Pharm-PM-Yr2-2025'!$E$5:$L$31, 0, 0),
        0, 0),
    _xlfn.XLOOKUP(G392, 'Wedgewood Pharm-PM-Yr2-2025'!$E$4:$L$4,
        _xlfn.XLOOKUP('Rate Load'!L392, 'Wedgewood Pharm-PM-Yr2-2025'!$D$5:$D$31,
            'Wedgewood Pharm-PM-Yr2-2025'!$E$5:$L$31, 0, 0),
        0, 0)
)</f>
        <v>8.16</v>
      </c>
      <c r="K392" t="s">
        <v>46</v>
      </c>
      <c r="L392" t="s">
        <v>28</v>
      </c>
      <c r="M392">
        <v>1</v>
      </c>
      <c r="N392" t="str">
        <f t="shared" si="6"/>
        <v>INSERT INTO TNL_RATING.dbo.usps_rate_master VALUES ('USPS', '2/13/2025', '2/13/2026', 12659, 'US', 'Priority Mail', 7, 0, 'L', 8.16, 'Wedgewood_USPS_2025', 'Small Flat-Rate Box','1');</v>
      </c>
    </row>
    <row r="393" spans="1:14" x14ac:dyDescent="0.3">
      <c r="A393" t="s">
        <v>11</v>
      </c>
      <c r="B393" s="1" t="s">
        <v>43</v>
      </c>
      <c r="C393" s="1" t="s">
        <v>44</v>
      </c>
      <c r="D393">
        <v>12659</v>
      </c>
      <c r="E393" t="s">
        <v>12</v>
      </c>
      <c r="F393" t="s">
        <v>47</v>
      </c>
      <c r="G393">
        <v>8</v>
      </c>
      <c r="H393">
        <v>0</v>
      </c>
      <c r="I393" t="s">
        <v>45</v>
      </c>
      <c r="J393" cm="1">
        <f t="array" ref="J393">IFERROR(
    _xlfn.XLOOKUP(G393, 'Wedgewood Pharm-PM-Yr2-2025'!$E$4:$L$4,
        _xlfn.XLOOKUP('Rate Load'!H393, 'Wedgewood Pharm-PM-Yr2-2025'!$D$5:$D$31,
            'Wedgewood Pharm-PM-Yr2-2025'!$E$5:$L$31, 0, 0),
        0, 0),
    _xlfn.XLOOKUP(G393, 'Wedgewood Pharm-PM-Yr2-2025'!$E$4:$L$4,
        _xlfn.XLOOKUP('Rate Load'!L393, 'Wedgewood Pharm-PM-Yr2-2025'!$D$5:$D$31,
            'Wedgewood Pharm-PM-Yr2-2025'!$E$5:$L$31, 0, 0),
        0, 0)
)</f>
        <v>8.16</v>
      </c>
      <c r="K393" t="s">
        <v>46</v>
      </c>
      <c r="L393" t="s">
        <v>28</v>
      </c>
      <c r="M393">
        <v>1</v>
      </c>
      <c r="N393" t="str">
        <f t="shared" si="6"/>
        <v>INSERT INTO TNL_RATING.dbo.usps_rate_master VALUES ('USPS', '2/13/2025', '2/13/2026', 12659, 'US', 'Priority Mail', 8, 0, 'L', 8.16, 'Wedgewood_USPS_2025', 'Small Flat-Rate Box','1');</v>
      </c>
    </row>
    <row r="394" spans="1:14" x14ac:dyDescent="0.3">
      <c r="A394" t="s">
        <v>11</v>
      </c>
      <c r="B394" s="1" t="s">
        <v>43</v>
      </c>
      <c r="C394" s="1" t="s">
        <v>44</v>
      </c>
      <c r="D394">
        <v>12659</v>
      </c>
      <c r="E394" t="s">
        <v>12</v>
      </c>
      <c r="F394" t="s">
        <v>47</v>
      </c>
      <c r="G394">
        <v>1</v>
      </c>
      <c r="H394">
        <v>0</v>
      </c>
      <c r="I394" t="s">
        <v>45</v>
      </c>
      <c r="J394" cm="1">
        <f t="array" ref="J394">IFERROR(
    _xlfn.XLOOKUP(G394, 'Wedgewood Pharm-PM-Yr2-2025'!$E$4:$L$4,
        _xlfn.XLOOKUP('Rate Load'!H394, 'Wedgewood Pharm-PM-Yr2-2025'!$D$5:$D$31,
            'Wedgewood Pharm-PM-Yr2-2025'!$E$5:$L$31, 0, 0),
        0, 0),
    _xlfn.XLOOKUP(G394, 'Wedgewood Pharm-PM-Yr2-2025'!$E$4:$L$4,
        _xlfn.XLOOKUP('Rate Load'!L394, 'Wedgewood Pharm-PM-Yr2-2025'!$D$5:$D$31,
            'Wedgewood Pharm-PM-Yr2-2025'!$E$5:$L$31, 0, 0),
        0, 0)
)</f>
        <v>14.09</v>
      </c>
      <c r="K394" t="s">
        <v>46</v>
      </c>
      <c r="L394" t="s">
        <v>29</v>
      </c>
      <c r="M394">
        <v>1</v>
      </c>
      <c r="N394" t="str">
        <f t="shared" si="6"/>
        <v>INSERT INTO TNL_RATING.dbo.usps_rate_master VALUES ('USPS', '2/13/2025', '2/13/2026', 12659, 'US', 'Priority Mail', 1, 0, 'L', 14.09, 'Wedgewood_USPS_2025', 'Medium Flat-Rate Box','1');</v>
      </c>
    </row>
    <row r="395" spans="1:14" x14ac:dyDescent="0.3">
      <c r="A395" t="s">
        <v>11</v>
      </c>
      <c r="B395" s="1" t="s">
        <v>43</v>
      </c>
      <c r="C395" s="1" t="s">
        <v>44</v>
      </c>
      <c r="D395">
        <v>12659</v>
      </c>
      <c r="E395" t="s">
        <v>12</v>
      </c>
      <c r="F395" t="s">
        <v>47</v>
      </c>
      <c r="G395">
        <v>2</v>
      </c>
      <c r="H395">
        <v>0</v>
      </c>
      <c r="I395" t="s">
        <v>45</v>
      </c>
      <c r="J395" cm="1">
        <f t="array" ref="J395">IFERROR(
    _xlfn.XLOOKUP(G395, 'Wedgewood Pharm-PM-Yr2-2025'!$E$4:$L$4,
        _xlfn.XLOOKUP('Rate Load'!H395, 'Wedgewood Pharm-PM-Yr2-2025'!$D$5:$D$31,
            'Wedgewood Pharm-PM-Yr2-2025'!$E$5:$L$31, 0, 0),
        0, 0),
    _xlfn.XLOOKUP(G395, 'Wedgewood Pharm-PM-Yr2-2025'!$E$4:$L$4,
        _xlfn.XLOOKUP('Rate Load'!L395, 'Wedgewood Pharm-PM-Yr2-2025'!$D$5:$D$31,
            'Wedgewood Pharm-PM-Yr2-2025'!$E$5:$L$31, 0, 0),
        0, 0)
)</f>
        <v>14.09</v>
      </c>
      <c r="K395" t="s">
        <v>46</v>
      </c>
      <c r="L395" t="s">
        <v>29</v>
      </c>
      <c r="M395">
        <v>1</v>
      </c>
      <c r="N395" t="str">
        <f t="shared" si="6"/>
        <v>INSERT INTO TNL_RATING.dbo.usps_rate_master VALUES ('USPS', '2/13/2025', '2/13/2026', 12659, 'US', 'Priority Mail', 2, 0, 'L', 14.09, 'Wedgewood_USPS_2025', 'Medium Flat-Rate Box','1');</v>
      </c>
    </row>
    <row r="396" spans="1:14" x14ac:dyDescent="0.3">
      <c r="A396" t="s">
        <v>11</v>
      </c>
      <c r="B396" s="1" t="s">
        <v>43</v>
      </c>
      <c r="C396" s="1" t="s">
        <v>44</v>
      </c>
      <c r="D396">
        <v>12659</v>
      </c>
      <c r="E396" t="s">
        <v>12</v>
      </c>
      <c r="F396" t="s">
        <v>47</v>
      </c>
      <c r="G396">
        <v>3</v>
      </c>
      <c r="H396">
        <v>0</v>
      </c>
      <c r="I396" t="s">
        <v>45</v>
      </c>
      <c r="J396" cm="1">
        <f t="array" ref="J396">IFERROR(
    _xlfn.XLOOKUP(G396, 'Wedgewood Pharm-PM-Yr2-2025'!$E$4:$L$4,
        _xlfn.XLOOKUP('Rate Load'!H396, 'Wedgewood Pharm-PM-Yr2-2025'!$D$5:$D$31,
            'Wedgewood Pharm-PM-Yr2-2025'!$E$5:$L$31, 0, 0),
        0, 0),
    _xlfn.XLOOKUP(G396, 'Wedgewood Pharm-PM-Yr2-2025'!$E$4:$L$4,
        _xlfn.XLOOKUP('Rate Load'!L396, 'Wedgewood Pharm-PM-Yr2-2025'!$D$5:$D$31,
            'Wedgewood Pharm-PM-Yr2-2025'!$E$5:$L$31, 0, 0),
        0, 0)
)</f>
        <v>14.09</v>
      </c>
      <c r="K396" t="s">
        <v>46</v>
      </c>
      <c r="L396" t="s">
        <v>29</v>
      </c>
      <c r="M396">
        <v>1</v>
      </c>
      <c r="N396" t="str">
        <f t="shared" si="6"/>
        <v>INSERT INTO TNL_RATING.dbo.usps_rate_master VALUES ('USPS', '2/13/2025', '2/13/2026', 12659, 'US', 'Priority Mail', 3, 0, 'L', 14.09, 'Wedgewood_USPS_2025', 'Medium Flat-Rate Box','1');</v>
      </c>
    </row>
    <row r="397" spans="1:14" x14ac:dyDescent="0.3">
      <c r="A397" t="s">
        <v>11</v>
      </c>
      <c r="B397" s="1" t="s">
        <v>43</v>
      </c>
      <c r="C397" s="1" t="s">
        <v>44</v>
      </c>
      <c r="D397">
        <v>12659</v>
      </c>
      <c r="E397" t="s">
        <v>12</v>
      </c>
      <c r="F397" t="s">
        <v>47</v>
      </c>
      <c r="G397">
        <v>4</v>
      </c>
      <c r="H397">
        <v>0</v>
      </c>
      <c r="I397" t="s">
        <v>45</v>
      </c>
      <c r="J397" cm="1">
        <f t="array" ref="J397">IFERROR(
    _xlfn.XLOOKUP(G397, 'Wedgewood Pharm-PM-Yr2-2025'!$E$4:$L$4,
        _xlfn.XLOOKUP('Rate Load'!H397, 'Wedgewood Pharm-PM-Yr2-2025'!$D$5:$D$31,
            'Wedgewood Pharm-PM-Yr2-2025'!$E$5:$L$31, 0, 0),
        0, 0),
    _xlfn.XLOOKUP(G397, 'Wedgewood Pharm-PM-Yr2-2025'!$E$4:$L$4,
        _xlfn.XLOOKUP('Rate Load'!L397, 'Wedgewood Pharm-PM-Yr2-2025'!$D$5:$D$31,
            'Wedgewood Pharm-PM-Yr2-2025'!$E$5:$L$31, 0, 0),
        0, 0)
)</f>
        <v>14.09</v>
      </c>
      <c r="K397" t="s">
        <v>46</v>
      </c>
      <c r="L397" t="s">
        <v>29</v>
      </c>
      <c r="M397">
        <v>1</v>
      </c>
      <c r="N397" t="str">
        <f t="shared" si="6"/>
        <v>INSERT INTO TNL_RATING.dbo.usps_rate_master VALUES ('USPS', '2/13/2025', '2/13/2026', 12659, 'US', 'Priority Mail', 4, 0, 'L', 14.09, 'Wedgewood_USPS_2025', 'Medium Flat-Rate Box','1');</v>
      </c>
    </row>
    <row r="398" spans="1:14" x14ac:dyDescent="0.3">
      <c r="A398" t="s">
        <v>11</v>
      </c>
      <c r="B398" s="1" t="s">
        <v>43</v>
      </c>
      <c r="C398" s="1" t="s">
        <v>44</v>
      </c>
      <c r="D398">
        <v>12659</v>
      </c>
      <c r="E398" t="s">
        <v>12</v>
      </c>
      <c r="F398" t="s">
        <v>47</v>
      </c>
      <c r="G398">
        <v>5</v>
      </c>
      <c r="H398">
        <v>0</v>
      </c>
      <c r="I398" t="s">
        <v>45</v>
      </c>
      <c r="J398" cm="1">
        <f t="array" ref="J398">IFERROR(
    _xlfn.XLOOKUP(G398, 'Wedgewood Pharm-PM-Yr2-2025'!$E$4:$L$4,
        _xlfn.XLOOKUP('Rate Load'!H398, 'Wedgewood Pharm-PM-Yr2-2025'!$D$5:$D$31,
            'Wedgewood Pharm-PM-Yr2-2025'!$E$5:$L$31, 0, 0),
        0, 0),
    _xlfn.XLOOKUP(G398, 'Wedgewood Pharm-PM-Yr2-2025'!$E$4:$L$4,
        _xlfn.XLOOKUP('Rate Load'!L398, 'Wedgewood Pharm-PM-Yr2-2025'!$D$5:$D$31,
            'Wedgewood Pharm-PM-Yr2-2025'!$E$5:$L$31, 0, 0),
        0, 0)
)</f>
        <v>14.09</v>
      </c>
      <c r="K398" t="s">
        <v>46</v>
      </c>
      <c r="L398" t="s">
        <v>29</v>
      </c>
      <c r="M398">
        <v>1</v>
      </c>
      <c r="N398" t="str">
        <f t="shared" si="6"/>
        <v>INSERT INTO TNL_RATING.dbo.usps_rate_master VALUES ('USPS', '2/13/2025', '2/13/2026', 12659, 'US', 'Priority Mail', 5, 0, 'L', 14.09, 'Wedgewood_USPS_2025', 'Medium Flat-Rate Box','1');</v>
      </c>
    </row>
    <row r="399" spans="1:14" x14ac:dyDescent="0.3">
      <c r="A399" t="s">
        <v>11</v>
      </c>
      <c r="B399" s="1" t="s">
        <v>43</v>
      </c>
      <c r="C399" s="1" t="s">
        <v>44</v>
      </c>
      <c r="D399">
        <v>12659</v>
      </c>
      <c r="E399" t="s">
        <v>12</v>
      </c>
      <c r="F399" t="s">
        <v>47</v>
      </c>
      <c r="G399">
        <v>6</v>
      </c>
      <c r="H399">
        <v>0</v>
      </c>
      <c r="I399" t="s">
        <v>45</v>
      </c>
      <c r="J399" cm="1">
        <f t="array" ref="J399">IFERROR(
    _xlfn.XLOOKUP(G399, 'Wedgewood Pharm-PM-Yr2-2025'!$E$4:$L$4,
        _xlfn.XLOOKUP('Rate Load'!H399, 'Wedgewood Pharm-PM-Yr2-2025'!$D$5:$D$31,
            'Wedgewood Pharm-PM-Yr2-2025'!$E$5:$L$31, 0, 0),
        0, 0),
    _xlfn.XLOOKUP(G399, 'Wedgewood Pharm-PM-Yr2-2025'!$E$4:$L$4,
        _xlfn.XLOOKUP('Rate Load'!L399, 'Wedgewood Pharm-PM-Yr2-2025'!$D$5:$D$31,
            'Wedgewood Pharm-PM-Yr2-2025'!$E$5:$L$31, 0, 0),
        0, 0)
)</f>
        <v>14.09</v>
      </c>
      <c r="K399" t="s">
        <v>46</v>
      </c>
      <c r="L399" t="s">
        <v>29</v>
      </c>
      <c r="M399">
        <v>1</v>
      </c>
      <c r="N399" t="str">
        <f t="shared" si="6"/>
        <v>INSERT INTO TNL_RATING.dbo.usps_rate_master VALUES ('USPS', '2/13/2025', '2/13/2026', 12659, 'US', 'Priority Mail', 6, 0, 'L', 14.09, 'Wedgewood_USPS_2025', 'Medium Flat-Rate Box','1');</v>
      </c>
    </row>
    <row r="400" spans="1:14" x14ac:dyDescent="0.3">
      <c r="A400" t="s">
        <v>11</v>
      </c>
      <c r="B400" s="1" t="s">
        <v>43</v>
      </c>
      <c r="C400" s="1" t="s">
        <v>44</v>
      </c>
      <c r="D400">
        <v>12659</v>
      </c>
      <c r="E400" t="s">
        <v>12</v>
      </c>
      <c r="F400" t="s">
        <v>47</v>
      </c>
      <c r="G400">
        <v>7</v>
      </c>
      <c r="H400">
        <v>0</v>
      </c>
      <c r="I400" t="s">
        <v>45</v>
      </c>
      <c r="J400" cm="1">
        <f t="array" ref="J400">IFERROR(
    _xlfn.XLOOKUP(G400, 'Wedgewood Pharm-PM-Yr2-2025'!$E$4:$L$4,
        _xlfn.XLOOKUP('Rate Load'!H400, 'Wedgewood Pharm-PM-Yr2-2025'!$D$5:$D$31,
            'Wedgewood Pharm-PM-Yr2-2025'!$E$5:$L$31, 0, 0),
        0, 0),
    _xlfn.XLOOKUP(G400, 'Wedgewood Pharm-PM-Yr2-2025'!$E$4:$L$4,
        _xlfn.XLOOKUP('Rate Load'!L400, 'Wedgewood Pharm-PM-Yr2-2025'!$D$5:$D$31,
            'Wedgewood Pharm-PM-Yr2-2025'!$E$5:$L$31, 0, 0),
        0, 0)
)</f>
        <v>14.09</v>
      </c>
      <c r="K400" t="s">
        <v>46</v>
      </c>
      <c r="L400" t="s">
        <v>29</v>
      </c>
      <c r="M400">
        <v>1</v>
      </c>
      <c r="N400" t="str">
        <f t="shared" si="6"/>
        <v>INSERT INTO TNL_RATING.dbo.usps_rate_master VALUES ('USPS', '2/13/2025', '2/13/2026', 12659, 'US', 'Priority Mail', 7, 0, 'L', 14.09, 'Wedgewood_USPS_2025', 'Medium Flat-Rate Box','1');</v>
      </c>
    </row>
    <row r="401" spans="1:14" x14ac:dyDescent="0.3">
      <c r="A401" t="s">
        <v>11</v>
      </c>
      <c r="B401" s="1" t="s">
        <v>43</v>
      </c>
      <c r="C401" s="1" t="s">
        <v>44</v>
      </c>
      <c r="D401">
        <v>12659</v>
      </c>
      <c r="E401" t="s">
        <v>12</v>
      </c>
      <c r="F401" t="s">
        <v>47</v>
      </c>
      <c r="G401">
        <v>8</v>
      </c>
      <c r="H401">
        <v>0</v>
      </c>
      <c r="I401" t="s">
        <v>45</v>
      </c>
      <c r="J401" cm="1">
        <f t="array" ref="J401">IFERROR(
    _xlfn.XLOOKUP(G401, 'Wedgewood Pharm-PM-Yr2-2025'!$E$4:$L$4,
        _xlfn.XLOOKUP('Rate Load'!H401, 'Wedgewood Pharm-PM-Yr2-2025'!$D$5:$D$31,
            'Wedgewood Pharm-PM-Yr2-2025'!$E$5:$L$31, 0, 0),
        0, 0),
    _xlfn.XLOOKUP(G401, 'Wedgewood Pharm-PM-Yr2-2025'!$E$4:$L$4,
        _xlfn.XLOOKUP('Rate Load'!L401, 'Wedgewood Pharm-PM-Yr2-2025'!$D$5:$D$31,
            'Wedgewood Pharm-PM-Yr2-2025'!$E$5:$L$31, 0, 0),
        0, 0)
)</f>
        <v>14.09</v>
      </c>
      <c r="K401" t="s">
        <v>46</v>
      </c>
      <c r="L401" t="s">
        <v>29</v>
      </c>
      <c r="M401">
        <v>1</v>
      </c>
      <c r="N401" t="str">
        <f t="shared" si="6"/>
        <v>INSERT INTO TNL_RATING.dbo.usps_rate_master VALUES ('USPS', '2/13/2025', '2/13/2026', 12659, 'US', 'Priority Mail', 8, 0, 'L', 14.09, 'Wedgewood_USPS_2025', 'Medium Flat-Rate Box','1');</v>
      </c>
    </row>
    <row r="402" spans="1:14" x14ac:dyDescent="0.3">
      <c r="A402" t="s">
        <v>11</v>
      </c>
      <c r="B402" s="1" t="s">
        <v>43</v>
      </c>
      <c r="C402" s="1" t="s">
        <v>44</v>
      </c>
      <c r="D402">
        <v>12659</v>
      </c>
      <c r="E402" t="s">
        <v>12</v>
      </c>
      <c r="F402" t="s">
        <v>47</v>
      </c>
      <c r="G402">
        <v>1</v>
      </c>
      <c r="H402">
        <v>0</v>
      </c>
      <c r="I402" t="s">
        <v>45</v>
      </c>
      <c r="J402" cm="1">
        <f t="array" ref="J402">IFERROR(
    _xlfn.XLOOKUP(G402, 'Wedgewood Pharm-PM-Yr2-2025'!$E$4:$L$4,
        _xlfn.XLOOKUP('Rate Load'!H402, 'Wedgewood Pharm-PM-Yr2-2025'!$D$5:$D$31,
            'Wedgewood Pharm-PM-Yr2-2025'!$E$5:$L$31, 0, 0),
        0, 0),
    _xlfn.XLOOKUP(G402, 'Wedgewood Pharm-PM-Yr2-2025'!$E$4:$L$4,
        _xlfn.XLOOKUP('Rate Load'!L402, 'Wedgewood Pharm-PM-Yr2-2025'!$D$5:$D$31,
            'Wedgewood Pharm-PM-Yr2-2025'!$E$5:$L$31, 0, 0),
        0, 0)
)</f>
        <v>19.07</v>
      </c>
      <c r="K402" t="s">
        <v>46</v>
      </c>
      <c r="L402" t="s">
        <v>30</v>
      </c>
      <c r="M402">
        <v>1</v>
      </c>
      <c r="N402" t="str">
        <f t="shared" si="6"/>
        <v>INSERT INTO TNL_RATING.dbo.usps_rate_master VALUES ('USPS', '2/13/2025', '2/13/2026', 12659, 'US', 'Priority Mail', 1, 0, 'L', 19.07, 'Wedgewood_USPS_2025', 'Large Flat-Rate Box','1');</v>
      </c>
    </row>
    <row r="403" spans="1:14" x14ac:dyDescent="0.3">
      <c r="A403" t="s">
        <v>11</v>
      </c>
      <c r="B403" s="1" t="s">
        <v>43</v>
      </c>
      <c r="C403" s="1" t="s">
        <v>44</v>
      </c>
      <c r="D403">
        <v>12659</v>
      </c>
      <c r="E403" t="s">
        <v>12</v>
      </c>
      <c r="F403" t="s">
        <v>47</v>
      </c>
      <c r="G403">
        <v>2</v>
      </c>
      <c r="H403">
        <v>0</v>
      </c>
      <c r="I403" t="s">
        <v>45</v>
      </c>
      <c r="J403" cm="1">
        <f t="array" ref="J403">IFERROR(
    _xlfn.XLOOKUP(G403, 'Wedgewood Pharm-PM-Yr2-2025'!$E$4:$L$4,
        _xlfn.XLOOKUP('Rate Load'!H403, 'Wedgewood Pharm-PM-Yr2-2025'!$D$5:$D$31,
            'Wedgewood Pharm-PM-Yr2-2025'!$E$5:$L$31, 0, 0),
        0, 0),
    _xlfn.XLOOKUP(G403, 'Wedgewood Pharm-PM-Yr2-2025'!$E$4:$L$4,
        _xlfn.XLOOKUP('Rate Load'!L403, 'Wedgewood Pharm-PM-Yr2-2025'!$D$5:$D$31,
            'Wedgewood Pharm-PM-Yr2-2025'!$E$5:$L$31, 0, 0),
        0, 0)
)</f>
        <v>19.07</v>
      </c>
      <c r="K403" t="s">
        <v>46</v>
      </c>
      <c r="L403" t="s">
        <v>30</v>
      </c>
      <c r="M403">
        <v>1</v>
      </c>
      <c r="N403" t="str">
        <f t="shared" si="6"/>
        <v>INSERT INTO TNL_RATING.dbo.usps_rate_master VALUES ('USPS', '2/13/2025', '2/13/2026', 12659, 'US', 'Priority Mail', 2, 0, 'L', 19.07, 'Wedgewood_USPS_2025', 'Large Flat-Rate Box','1');</v>
      </c>
    </row>
    <row r="404" spans="1:14" x14ac:dyDescent="0.3">
      <c r="A404" t="s">
        <v>11</v>
      </c>
      <c r="B404" s="1" t="s">
        <v>43</v>
      </c>
      <c r="C404" s="1" t="s">
        <v>44</v>
      </c>
      <c r="D404">
        <v>12659</v>
      </c>
      <c r="E404" t="s">
        <v>12</v>
      </c>
      <c r="F404" t="s">
        <v>47</v>
      </c>
      <c r="G404">
        <v>3</v>
      </c>
      <c r="H404">
        <v>0</v>
      </c>
      <c r="I404" t="s">
        <v>45</v>
      </c>
      <c r="J404" cm="1">
        <f t="array" ref="J404">IFERROR(
    _xlfn.XLOOKUP(G404, 'Wedgewood Pharm-PM-Yr2-2025'!$E$4:$L$4,
        _xlfn.XLOOKUP('Rate Load'!H404, 'Wedgewood Pharm-PM-Yr2-2025'!$D$5:$D$31,
            'Wedgewood Pharm-PM-Yr2-2025'!$E$5:$L$31, 0, 0),
        0, 0),
    _xlfn.XLOOKUP(G404, 'Wedgewood Pharm-PM-Yr2-2025'!$E$4:$L$4,
        _xlfn.XLOOKUP('Rate Load'!L404, 'Wedgewood Pharm-PM-Yr2-2025'!$D$5:$D$31,
            'Wedgewood Pharm-PM-Yr2-2025'!$E$5:$L$31, 0, 0),
        0, 0)
)</f>
        <v>19.07</v>
      </c>
      <c r="K404" t="s">
        <v>46</v>
      </c>
      <c r="L404" t="s">
        <v>30</v>
      </c>
      <c r="M404">
        <v>1</v>
      </c>
      <c r="N404" t="str">
        <f t="shared" si="6"/>
        <v>INSERT INTO TNL_RATING.dbo.usps_rate_master VALUES ('USPS', '2/13/2025', '2/13/2026', 12659, 'US', 'Priority Mail', 3, 0, 'L', 19.07, 'Wedgewood_USPS_2025', 'Large Flat-Rate Box','1');</v>
      </c>
    </row>
    <row r="405" spans="1:14" x14ac:dyDescent="0.3">
      <c r="A405" t="s">
        <v>11</v>
      </c>
      <c r="B405" s="1" t="s">
        <v>43</v>
      </c>
      <c r="C405" s="1" t="s">
        <v>44</v>
      </c>
      <c r="D405">
        <v>12659</v>
      </c>
      <c r="E405" t="s">
        <v>12</v>
      </c>
      <c r="F405" t="s">
        <v>47</v>
      </c>
      <c r="G405">
        <v>4</v>
      </c>
      <c r="H405">
        <v>0</v>
      </c>
      <c r="I405" t="s">
        <v>45</v>
      </c>
      <c r="J405" cm="1">
        <f t="array" ref="J405">IFERROR(
    _xlfn.XLOOKUP(G405, 'Wedgewood Pharm-PM-Yr2-2025'!$E$4:$L$4,
        _xlfn.XLOOKUP('Rate Load'!H405, 'Wedgewood Pharm-PM-Yr2-2025'!$D$5:$D$31,
            'Wedgewood Pharm-PM-Yr2-2025'!$E$5:$L$31, 0, 0),
        0, 0),
    _xlfn.XLOOKUP(G405, 'Wedgewood Pharm-PM-Yr2-2025'!$E$4:$L$4,
        _xlfn.XLOOKUP('Rate Load'!L405, 'Wedgewood Pharm-PM-Yr2-2025'!$D$5:$D$31,
            'Wedgewood Pharm-PM-Yr2-2025'!$E$5:$L$31, 0, 0),
        0, 0)
)</f>
        <v>19.07</v>
      </c>
      <c r="K405" t="s">
        <v>46</v>
      </c>
      <c r="L405" t="s">
        <v>30</v>
      </c>
      <c r="M405">
        <v>1</v>
      </c>
      <c r="N405" t="str">
        <f t="shared" si="6"/>
        <v>INSERT INTO TNL_RATING.dbo.usps_rate_master VALUES ('USPS', '2/13/2025', '2/13/2026', 12659, 'US', 'Priority Mail', 4, 0, 'L', 19.07, 'Wedgewood_USPS_2025', 'Large Flat-Rate Box','1');</v>
      </c>
    </row>
    <row r="406" spans="1:14" x14ac:dyDescent="0.3">
      <c r="A406" t="s">
        <v>11</v>
      </c>
      <c r="B406" s="1" t="s">
        <v>43</v>
      </c>
      <c r="C406" s="1" t="s">
        <v>44</v>
      </c>
      <c r="D406">
        <v>12659</v>
      </c>
      <c r="E406" t="s">
        <v>12</v>
      </c>
      <c r="F406" t="s">
        <v>47</v>
      </c>
      <c r="G406">
        <v>5</v>
      </c>
      <c r="H406">
        <v>0</v>
      </c>
      <c r="I406" t="s">
        <v>45</v>
      </c>
      <c r="J406" cm="1">
        <f t="array" ref="J406">IFERROR(
    _xlfn.XLOOKUP(G406, 'Wedgewood Pharm-PM-Yr2-2025'!$E$4:$L$4,
        _xlfn.XLOOKUP('Rate Load'!H406, 'Wedgewood Pharm-PM-Yr2-2025'!$D$5:$D$31,
            'Wedgewood Pharm-PM-Yr2-2025'!$E$5:$L$31, 0, 0),
        0, 0),
    _xlfn.XLOOKUP(G406, 'Wedgewood Pharm-PM-Yr2-2025'!$E$4:$L$4,
        _xlfn.XLOOKUP('Rate Load'!L406, 'Wedgewood Pharm-PM-Yr2-2025'!$D$5:$D$31,
            'Wedgewood Pharm-PM-Yr2-2025'!$E$5:$L$31, 0, 0),
        0, 0)
)</f>
        <v>19.07</v>
      </c>
      <c r="K406" t="s">
        <v>46</v>
      </c>
      <c r="L406" t="s">
        <v>30</v>
      </c>
      <c r="M406">
        <v>1</v>
      </c>
      <c r="N406" t="str">
        <f t="shared" si="6"/>
        <v>INSERT INTO TNL_RATING.dbo.usps_rate_master VALUES ('USPS', '2/13/2025', '2/13/2026', 12659, 'US', 'Priority Mail', 5, 0, 'L', 19.07, 'Wedgewood_USPS_2025', 'Large Flat-Rate Box','1');</v>
      </c>
    </row>
    <row r="407" spans="1:14" x14ac:dyDescent="0.3">
      <c r="A407" t="s">
        <v>11</v>
      </c>
      <c r="B407" s="1" t="s">
        <v>43</v>
      </c>
      <c r="C407" s="1" t="s">
        <v>44</v>
      </c>
      <c r="D407">
        <v>12659</v>
      </c>
      <c r="E407" t="s">
        <v>12</v>
      </c>
      <c r="F407" t="s">
        <v>47</v>
      </c>
      <c r="G407">
        <v>6</v>
      </c>
      <c r="H407">
        <v>0</v>
      </c>
      <c r="I407" t="s">
        <v>45</v>
      </c>
      <c r="J407" cm="1">
        <f t="array" ref="J407">IFERROR(
    _xlfn.XLOOKUP(G407, 'Wedgewood Pharm-PM-Yr2-2025'!$E$4:$L$4,
        _xlfn.XLOOKUP('Rate Load'!H407, 'Wedgewood Pharm-PM-Yr2-2025'!$D$5:$D$31,
            'Wedgewood Pharm-PM-Yr2-2025'!$E$5:$L$31, 0, 0),
        0, 0),
    _xlfn.XLOOKUP(G407, 'Wedgewood Pharm-PM-Yr2-2025'!$E$4:$L$4,
        _xlfn.XLOOKUP('Rate Load'!L407, 'Wedgewood Pharm-PM-Yr2-2025'!$D$5:$D$31,
            'Wedgewood Pharm-PM-Yr2-2025'!$E$5:$L$31, 0, 0),
        0, 0)
)</f>
        <v>19.07</v>
      </c>
      <c r="K407" t="s">
        <v>46</v>
      </c>
      <c r="L407" t="s">
        <v>30</v>
      </c>
      <c r="M407">
        <v>1</v>
      </c>
      <c r="N407" t="str">
        <f t="shared" si="6"/>
        <v>INSERT INTO TNL_RATING.dbo.usps_rate_master VALUES ('USPS', '2/13/2025', '2/13/2026', 12659, 'US', 'Priority Mail', 6, 0, 'L', 19.07, 'Wedgewood_USPS_2025', 'Large Flat-Rate Box','1');</v>
      </c>
    </row>
    <row r="408" spans="1:14" x14ac:dyDescent="0.3">
      <c r="A408" t="s">
        <v>11</v>
      </c>
      <c r="B408" s="1" t="s">
        <v>43</v>
      </c>
      <c r="C408" s="1" t="s">
        <v>44</v>
      </c>
      <c r="D408">
        <v>12659</v>
      </c>
      <c r="E408" t="s">
        <v>12</v>
      </c>
      <c r="F408" t="s">
        <v>47</v>
      </c>
      <c r="G408">
        <v>7</v>
      </c>
      <c r="H408">
        <v>0</v>
      </c>
      <c r="I408" t="s">
        <v>45</v>
      </c>
      <c r="J408" cm="1">
        <f t="array" ref="J408">IFERROR(
    _xlfn.XLOOKUP(G408, 'Wedgewood Pharm-PM-Yr2-2025'!$E$4:$L$4,
        _xlfn.XLOOKUP('Rate Load'!H408, 'Wedgewood Pharm-PM-Yr2-2025'!$D$5:$D$31,
            'Wedgewood Pharm-PM-Yr2-2025'!$E$5:$L$31, 0, 0),
        0, 0),
    _xlfn.XLOOKUP(G408, 'Wedgewood Pharm-PM-Yr2-2025'!$E$4:$L$4,
        _xlfn.XLOOKUP('Rate Load'!L408, 'Wedgewood Pharm-PM-Yr2-2025'!$D$5:$D$31,
            'Wedgewood Pharm-PM-Yr2-2025'!$E$5:$L$31, 0, 0),
        0, 0)
)</f>
        <v>19.07</v>
      </c>
      <c r="K408" t="s">
        <v>46</v>
      </c>
      <c r="L408" t="s">
        <v>30</v>
      </c>
      <c r="M408">
        <v>1</v>
      </c>
      <c r="N408" t="str">
        <f t="shared" si="6"/>
        <v>INSERT INTO TNL_RATING.dbo.usps_rate_master VALUES ('USPS', '2/13/2025', '2/13/2026', 12659, 'US', 'Priority Mail', 7, 0, 'L', 19.07, 'Wedgewood_USPS_2025', 'Large Flat-Rate Box','1');</v>
      </c>
    </row>
    <row r="409" spans="1:14" x14ac:dyDescent="0.3">
      <c r="A409" t="s">
        <v>11</v>
      </c>
      <c r="B409" s="1" t="s">
        <v>43</v>
      </c>
      <c r="C409" s="1" t="s">
        <v>44</v>
      </c>
      <c r="D409">
        <v>12659</v>
      </c>
      <c r="E409" t="s">
        <v>12</v>
      </c>
      <c r="F409" t="s">
        <v>47</v>
      </c>
      <c r="G409">
        <v>8</v>
      </c>
      <c r="H409">
        <v>0</v>
      </c>
      <c r="I409" t="s">
        <v>45</v>
      </c>
      <c r="J409" cm="1">
        <f t="array" ref="J409">IFERROR(
    _xlfn.XLOOKUP(G409, 'Wedgewood Pharm-PM-Yr2-2025'!$E$4:$L$4,
        _xlfn.XLOOKUP('Rate Load'!H409, 'Wedgewood Pharm-PM-Yr2-2025'!$D$5:$D$31,
            'Wedgewood Pharm-PM-Yr2-2025'!$E$5:$L$31, 0, 0),
        0, 0),
    _xlfn.XLOOKUP(G409, 'Wedgewood Pharm-PM-Yr2-2025'!$E$4:$L$4,
        _xlfn.XLOOKUP('Rate Load'!L409, 'Wedgewood Pharm-PM-Yr2-2025'!$D$5:$D$31,
            'Wedgewood Pharm-PM-Yr2-2025'!$E$5:$L$31, 0, 0),
        0, 0)
)</f>
        <v>19.07</v>
      </c>
      <c r="K409" t="s">
        <v>46</v>
      </c>
      <c r="L409" t="s">
        <v>30</v>
      </c>
      <c r="M409">
        <v>1</v>
      </c>
      <c r="N409" t="str">
        <f t="shared" si="6"/>
        <v>INSERT INTO TNL_RATING.dbo.usps_rate_master VALUES ('USPS', '2/13/2025', '2/13/2026', 12659, 'US', 'Priority Mail', 8, 0, 'L', 19.07, 'Wedgewood_USPS_2025', 'Large Flat-Rate Box','1');</v>
      </c>
    </row>
    <row r="410" spans="1:14" x14ac:dyDescent="0.3">
      <c r="A410" t="s">
        <v>11</v>
      </c>
      <c r="B410" s="1" t="s">
        <v>43</v>
      </c>
      <c r="C410" s="1" t="s">
        <v>44</v>
      </c>
      <c r="D410">
        <v>12659</v>
      </c>
      <c r="E410" t="s">
        <v>12</v>
      </c>
      <c r="F410" t="s">
        <v>51</v>
      </c>
      <c r="G410">
        <v>1</v>
      </c>
      <c r="H410">
        <v>1</v>
      </c>
      <c r="I410" t="s">
        <v>45</v>
      </c>
      <c r="J410" cm="1">
        <f t="array" ref="J410">IFERROR(_xlfn.XLOOKUP(G410,'Wedgewood Pharm-GA-Yr2-2025'!$E$4:$L$4,
    _xlfn.XLOOKUP('Rate Load'!H410,'Wedgewood Pharm-GA-Yr2-2025'!$D$21:$D$40,
        'Wedgewood Pharm-GA-Yr2-2025'!$E$21:$L$40,0,0),0,0), "No Match")</f>
        <v>6.18</v>
      </c>
      <c r="K410" t="s">
        <v>46</v>
      </c>
      <c r="L410" t="s">
        <v>13</v>
      </c>
      <c r="M410">
        <v>1</v>
      </c>
      <c r="N410" t="str">
        <f t="shared" si="6"/>
        <v>INSERT INTO TNL_RATING.dbo.usps_rate_master VALUES ('USPS', '2/13/2025', '2/13/2026', 12659, 'US', 'USPS Ground Advantage', 1, 1, 'L', 6.18, 'Wedgewood_USPS_2025', 'NonCubic','1');</v>
      </c>
    </row>
    <row r="411" spans="1:14" x14ac:dyDescent="0.3">
      <c r="A411" t="s">
        <v>11</v>
      </c>
      <c r="B411" s="1" t="s">
        <v>43</v>
      </c>
      <c r="C411" s="1" t="s">
        <v>44</v>
      </c>
      <c r="D411">
        <v>12659</v>
      </c>
      <c r="E411" t="s">
        <v>12</v>
      </c>
      <c r="F411" t="s">
        <v>51</v>
      </c>
      <c r="G411">
        <v>1</v>
      </c>
      <c r="H411">
        <v>2</v>
      </c>
      <c r="I411" t="s">
        <v>45</v>
      </c>
      <c r="J411" cm="1">
        <f t="array" ref="J411">IFERROR(_xlfn.XLOOKUP(G411,'Wedgewood Pharm-GA-Yr2-2025'!$E$4:$L$4,
    _xlfn.XLOOKUP('Rate Load'!H411,'Wedgewood Pharm-GA-Yr2-2025'!$D$21:$D$40,
        'Wedgewood Pharm-GA-Yr2-2025'!$E$21:$L$40,0,0),0,0), "No Match")</f>
        <v>6.18</v>
      </c>
      <c r="K411" t="s">
        <v>46</v>
      </c>
      <c r="L411" t="s">
        <v>13</v>
      </c>
      <c r="M411">
        <v>1</v>
      </c>
      <c r="N411" t="str">
        <f t="shared" si="6"/>
        <v>INSERT INTO TNL_RATING.dbo.usps_rate_master VALUES ('USPS', '2/13/2025', '2/13/2026', 12659, 'US', 'USPS Ground Advantage', 1, 2, 'L', 6.18, 'Wedgewood_USPS_2025', 'NonCubic','1');</v>
      </c>
    </row>
    <row r="412" spans="1:14" x14ac:dyDescent="0.3">
      <c r="A412" t="s">
        <v>11</v>
      </c>
      <c r="B412" s="1" t="s">
        <v>43</v>
      </c>
      <c r="C412" s="1" t="s">
        <v>44</v>
      </c>
      <c r="D412">
        <v>12659</v>
      </c>
      <c r="E412" t="s">
        <v>12</v>
      </c>
      <c r="F412" t="s">
        <v>51</v>
      </c>
      <c r="G412">
        <v>1</v>
      </c>
      <c r="H412">
        <v>3</v>
      </c>
      <c r="I412" t="s">
        <v>45</v>
      </c>
      <c r="J412" cm="1">
        <f t="array" ref="J412">IFERROR(_xlfn.XLOOKUP(G412,'Wedgewood Pharm-GA-Yr2-2025'!$E$4:$L$4,
    _xlfn.XLOOKUP('Rate Load'!H412,'Wedgewood Pharm-GA-Yr2-2025'!$D$21:$D$40,
        'Wedgewood Pharm-GA-Yr2-2025'!$E$21:$L$40,0,0),0,0), "No Match")</f>
        <v>6.5299999999999994</v>
      </c>
      <c r="K412" t="s">
        <v>46</v>
      </c>
      <c r="L412" t="s">
        <v>13</v>
      </c>
      <c r="M412">
        <v>1</v>
      </c>
      <c r="N412" t="str">
        <f t="shared" si="6"/>
        <v>INSERT INTO TNL_RATING.dbo.usps_rate_master VALUES ('USPS', '2/13/2025', '2/13/2026', 12659, 'US', 'USPS Ground Advantage', 1, 3, 'L', 6.53, 'Wedgewood_USPS_2025', 'NonCubic','1');</v>
      </c>
    </row>
    <row r="413" spans="1:14" x14ac:dyDescent="0.3">
      <c r="A413" t="s">
        <v>11</v>
      </c>
      <c r="B413" s="1" t="s">
        <v>43</v>
      </c>
      <c r="C413" s="1" t="s">
        <v>44</v>
      </c>
      <c r="D413">
        <v>12659</v>
      </c>
      <c r="E413" t="s">
        <v>12</v>
      </c>
      <c r="F413" t="s">
        <v>51</v>
      </c>
      <c r="G413">
        <v>1</v>
      </c>
      <c r="H413">
        <v>4</v>
      </c>
      <c r="I413" t="s">
        <v>45</v>
      </c>
      <c r="J413" cm="1">
        <f t="array" ref="J413">IFERROR(_xlfn.XLOOKUP(G413,'Wedgewood Pharm-GA-Yr2-2025'!$E$4:$L$4,
    _xlfn.XLOOKUP('Rate Load'!H413,'Wedgewood Pharm-GA-Yr2-2025'!$D$21:$D$40,
        'Wedgewood Pharm-GA-Yr2-2025'!$E$21:$L$40,0,0),0,0), "No Match")</f>
        <v>6.72</v>
      </c>
      <c r="K413" t="s">
        <v>46</v>
      </c>
      <c r="L413" t="s">
        <v>13</v>
      </c>
      <c r="M413">
        <v>1</v>
      </c>
      <c r="N413" t="str">
        <f t="shared" si="6"/>
        <v>INSERT INTO TNL_RATING.dbo.usps_rate_master VALUES ('USPS', '2/13/2025', '2/13/2026', 12659, 'US', 'USPS Ground Advantage', 1, 4, 'L', 6.72, 'Wedgewood_USPS_2025', 'NonCubic','1');</v>
      </c>
    </row>
    <row r="414" spans="1:14" x14ac:dyDescent="0.3">
      <c r="A414" t="s">
        <v>11</v>
      </c>
      <c r="B414" s="1" t="s">
        <v>43</v>
      </c>
      <c r="C414" s="1" t="s">
        <v>44</v>
      </c>
      <c r="D414">
        <v>12659</v>
      </c>
      <c r="E414" t="s">
        <v>12</v>
      </c>
      <c r="F414" t="s">
        <v>51</v>
      </c>
      <c r="G414">
        <v>1</v>
      </c>
      <c r="H414">
        <v>5</v>
      </c>
      <c r="I414" t="s">
        <v>45</v>
      </c>
      <c r="J414" cm="1">
        <f t="array" ref="J414">IFERROR(_xlfn.XLOOKUP(G414,'Wedgewood Pharm-GA-Yr2-2025'!$E$4:$L$4,
    _xlfn.XLOOKUP('Rate Load'!H414,'Wedgewood Pharm-GA-Yr2-2025'!$D$21:$D$40,
        'Wedgewood Pharm-GA-Yr2-2025'!$E$21:$L$40,0,0),0,0), "No Match")</f>
        <v>6.87</v>
      </c>
      <c r="K414" t="s">
        <v>46</v>
      </c>
      <c r="L414" t="s">
        <v>13</v>
      </c>
      <c r="M414">
        <v>1</v>
      </c>
      <c r="N414" t="str">
        <f t="shared" si="6"/>
        <v>INSERT INTO TNL_RATING.dbo.usps_rate_master VALUES ('USPS', '2/13/2025', '2/13/2026', 12659, 'US', 'USPS Ground Advantage', 1, 5, 'L', 6.87, 'Wedgewood_USPS_2025', 'NonCubic','1');</v>
      </c>
    </row>
    <row r="415" spans="1:14" x14ac:dyDescent="0.3">
      <c r="A415" t="s">
        <v>11</v>
      </c>
      <c r="B415" s="1" t="s">
        <v>43</v>
      </c>
      <c r="C415" s="1" t="s">
        <v>44</v>
      </c>
      <c r="D415">
        <v>12659</v>
      </c>
      <c r="E415" t="s">
        <v>12</v>
      </c>
      <c r="F415" t="s">
        <v>51</v>
      </c>
      <c r="G415">
        <v>1</v>
      </c>
      <c r="H415">
        <v>6</v>
      </c>
      <c r="I415" t="s">
        <v>45</v>
      </c>
      <c r="J415" cm="1">
        <f t="array" ref="J415">IFERROR(_xlfn.XLOOKUP(G415,'Wedgewood Pharm-GA-Yr2-2025'!$E$4:$L$4,
    _xlfn.XLOOKUP('Rate Load'!H415,'Wedgewood Pharm-GA-Yr2-2025'!$D$21:$D$40,
        'Wedgewood Pharm-GA-Yr2-2025'!$E$21:$L$40,0,0),0,0), "No Match")</f>
        <v>7.01</v>
      </c>
      <c r="K415" t="s">
        <v>46</v>
      </c>
      <c r="L415" t="s">
        <v>13</v>
      </c>
      <c r="M415">
        <v>1</v>
      </c>
      <c r="N415" t="str">
        <f t="shared" si="6"/>
        <v>INSERT INTO TNL_RATING.dbo.usps_rate_master VALUES ('USPS', '2/13/2025', '2/13/2026', 12659, 'US', 'USPS Ground Advantage', 1, 6, 'L', 7.01, 'Wedgewood_USPS_2025', 'NonCubic','1');</v>
      </c>
    </row>
    <row r="416" spans="1:14" x14ac:dyDescent="0.3">
      <c r="A416" t="s">
        <v>11</v>
      </c>
      <c r="B416" s="1" t="s">
        <v>43</v>
      </c>
      <c r="C416" s="1" t="s">
        <v>44</v>
      </c>
      <c r="D416">
        <v>12659</v>
      </c>
      <c r="E416" t="s">
        <v>12</v>
      </c>
      <c r="F416" t="s">
        <v>51</v>
      </c>
      <c r="G416">
        <v>1</v>
      </c>
      <c r="H416">
        <v>7</v>
      </c>
      <c r="I416" t="s">
        <v>45</v>
      </c>
      <c r="J416" cm="1">
        <f t="array" ref="J416">IFERROR(_xlfn.XLOOKUP(G416,'Wedgewood Pharm-GA-Yr2-2025'!$E$4:$L$4,
    _xlfn.XLOOKUP('Rate Load'!H416,'Wedgewood Pharm-GA-Yr2-2025'!$D$21:$D$40,
        'Wedgewood Pharm-GA-Yr2-2025'!$E$21:$L$40,0,0),0,0), "No Match")</f>
        <v>7.33</v>
      </c>
      <c r="K416" t="s">
        <v>46</v>
      </c>
      <c r="L416" t="s">
        <v>13</v>
      </c>
      <c r="M416">
        <v>1</v>
      </c>
      <c r="N416" t="str">
        <f t="shared" si="6"/>
        <v>INSERT INTO TNL_RATING.dbo.usps_rate_master VALUES ('USPS', '2/13/2025', '2/13/2026', 12659, 'US', 'USPS Ground Advantage', 1, 7, 'L', 7.33, 'Wedgewood_USPS_2025', 'NonCubic','1');</v>
      </c>
    </row>
    <row r="417" spans="1:14" x14ac:dyDescent="0.3">
      <c r="A417" t="s">
        <v>11</v>
      </c>
      <c r="B417" s="1" t="s">
        <v>43</v>
      </c>
      <c r="C417" s="1" t="s">
        <v>44</v>
      </c>
      <c r="D417">
        <v>12659</v>
      </c>
      <c r="E417" t="s">
        <v>12</v>
      </c>
      <c r="F417" t="s">
        <v>51</v>
      </c>
      <c r="G417">
        <v>1</v>
      </c>
      <c r="H417">
        <v>8</v>
      </c>
      <c r="I417" t="s">
        <v>45</v>
      </c>
      <c r="J417" cm="1">
        <f t="array" ref="J417">IFERROR(_xlfn.XLOOKUP(G417,'Wedgewood Pharm-GA-Yr2-2025'!$E$4:$L$4,
    _xlfn.XLOOKUP('Rate Load'!H417,'Wedgewood Pharm-GA-Yr2-2025'!$D$21:$D$40,
        'Wedgewood Pharm-GA-Yr2-2025'!$E$21:$L$40,0,0),0,0), "No Match")</f>
        <v>7.47</v>
      </c>
      <c r="K417" t="s">
        <v>46</v>
      </c>
      <c r="L417" t="s">
        <v>13</v>
      </c>
      <c r="M417">
        <v>1</v>
      </c>
      <c r="N417" t="str">
        <f t="shared" si="6"/>
        <v>INSERT INTO TNL_RATING.dbo.usps_rate_master VALUES ('USPS', '2/13/2025', '2/13/2026', 12659, 'US', 'USPS Ground Advantage', 1, 8, 'L', 7.47, 'Wedgewood_USPS_2025', 'NonCubic','1');</v>
      </c>
    </row>
    <row r="418" spans="1:14" x14ac:dyDescent="0.3">
      <c r="A418" t="s">
        <v>11</v>
      </c>
      <c r="B418" s="1" t="s">
        <v>43</v>
      </c>
      <c r="C418" s="1" t="s">
        <v>44</v>
      </c>
      <c r="D418">
        <v>12659</v>
      </c>
      <c r="E418" t="s">
        <v>12</v>
      </c>
      <c r="F418" t="s">
        <v>51</v>
      </c>
      <c r="G418">
        <v>1</v>
      </c>
      <c r="H418">
        <v>9</v>
      </c>
      <c r="I418" t="s">
        <v>45</v>
      </c>
      <c r="J418" cm="1">
        <f t="array" ref="J418">IFERROR(_xlfn.XLOOKUP(G418,'Wedgewood Pharm-GA-Yr2-2025'!$E$4:$L$4,
    _xlfn.XLOOKUP('Rate Load'!H418,'Wedgewood Pharm-GA-Yr2-2025'!$D$21:$D$40,
        'Wedgewood Pharm-GA-Yr2-2025'!$E$21:$L$40,0,0),0,0), "No Match")</f>
        <v>7.91</v>
      </c>
      <c r="K418" t="s">
        <v>46</v>
      </c>
      <c r="L418" t="s">
        <v>13</v>
      </c>
      <c r="M418">
        <v>1</v>
      </c>
      <c r="N418" t="str">
        <f t="shared" si="6"/>
        <v>INSERT INTO TNL_RATING.dbo.usps_rate_master VALUES ('USPS', '2/13/2025', '2/13/2026', 12659, 'US', 'USPS Ground Advantage', 1, 9, 'L', 7.91, 'Wedgewood_USPS_2025', 'NonCubic','1');</v>
      </c>
    </row>
    <row r="419" spans="1:14" x14ac:dyDescent="0.3">
      <c r="A419" t="s">
        <v>11</v>
      </c>
      <c r="B419" s="1" t="s">
        <v>43</v>
      </c>
      <c r="C419" s="1" t="s">
        <v>44</v>
      </c>
      <c r="D419">
        <v>12659</v>
      </c>
      <c r="E419" t="s">
        <v>12</v>
      </c>
      <c r="F419" t="s">
        <v>51</v>
      </c>
      <c r="G419">
        <v>1</v>
      </c>
      <c r="H419">
        <v>10</v>
      </c>
      <c r="I419" t="s">
        <v>45</v>
      </c>
      <c r="J419" cm="1">
        <f t="array" ref="J419">IFERROR(_xlfn.XLOOKUP(G419,'Wedgewood Pharm-GA-Yr2-2025'!$E$4:$L$4,
    _xlfn.XLOOKUP('Rate Load'!H419,'Wedgewood Pharm-GA-Yr2-2025'!$D$21:$D$40,
        'Wedgewood Pharm-GA-Yr2-2025'!$E$21:$L$40,0,0),0,0), "No Match")</f>
        <v>8.19</v>
      </c>
      <c r="K419" t="s">
        <v>46</v>
      </c>
      <c r="L419" t="s">
        <v>13</v>
      </c>
      <c r="M419">
        <v>1</v>
      </c>
      <c r="N419" t="str">
        <f t="shared" si="6"/>
        <v>INSERT INTO TNL_RATING.dbo.usps_rate_master VALUES ('USPS', '2/13/2025', '2/13/2026', 12659, 'US', 'USPS Ground Advantage', 1, 10, 'L', 8.19, 'Wedgewood_USPS_2025', 'NonCubic','1');</v>
      </c>
    </row>
    <row r="420" spans="1:14" x14ac:dyDescent="0.3">
      <c r="A420" t="s">
        <v>11</v>
      </c>
      <c r="B420" s="1" t="s">
        <v>43</v>
      </c>
      <c r="C420" s="1" t="s">
        <v>44</v>
      </c>
      <c r="D420">
        <v>12659</v>
      </c>
      <c r="E420" t="s">
        <v>12</v>
      </c>
      <c r="F420" t="s">
        <v>51</v>
      </c>
      <c r="G420">
        <v>1</v>
      </c>
      <c r="H420">
        <v>11</v>
      </c>
      <c r="I420" t="s">
        <v>45</v>
      </c>
      <c r="J420" cm="1">
        <f t="array" ref="J420">IFERROR(_xlfn.XLOOKUP(G420,'Wedgewood Pharm-GA-Yr2-2025'!$E$4:$L$4,
    _xlfn.XLOOKUP('Rate Load'!H420,'Wedgewood Pharm-GA-Yr2-2025'!$D$21:$D$40,
        'Wedgewood Pharm-GA-Yr2-2025'!$E$21:$L$40,0,0),0,0), "No Match")</f>
        <v>9.14</v>
      </c>
      <c r="K420" t="s">
        <v>46</v>
      </c>
      <c r="L420" t="s">
        <v>13</v>
      </c>
      <c r="M420">
        <v>1</v>
      </c>
      <c r="N420" t="str">
        <f t="shared" si="6"/>
        <v>INSERT INTO TNL_RATING.dbo.usps_rate_master VALUES ('USPS', '2/13/2025', '2/13/2026', 12659, 'US', 'USPS Ground Advantage', 1, 11, 'L', 9.14, 'Wedgewood_USPS_2025', 'NonCubic','1');</v>
      </c>
    </row>
    <row r="421" spans="1:14" x14ac:dyDescent="0.3">
      <c r="A421" t="s">
        <v>11</v>
      </c>
      <c r="B421" s="1" t="s">
        <v>43</v>
      </c>
      <c r="C421" s="1" t="s">
        <v>44</v>
      </c>
      <c r="D421">
        <v>12659</v>
      </c>
      <c r="E421" t="s">
        <v>12</v>
      </c>
      <c r="F421" t="s">
        <v>51</v>
      </c>
      <c r="G421">
        <v>1</v>
      </c>
      <c r="H421">
        <v>12</v>
      </c>
      <c r="I421" t="s">
        <v>45</v>
      </c>
      <c r="J421" cm="1">
        <f t="array" ref="J421">IFERROR(_xlfn.XLOOKUP(G421,'Wedgewood Pharm-GA-Yr2-2025'!$E$4:$L$4,
    _xlfn.XLOOKUP('Rate Load'!H421,'Wedgewood Pharm-GA-Yr2-2025'!$D$21:$D$40,
        'Wedgewood Pharm-GA-Yr2-2025'!$E$21:$L$40,0,0),0,0), "No Match")</f>
        <v>9.52</v>
      </c>
      <c r="K421" t="s">
        <v>46</v>
      </c>
      <c r="L421" t="s">
        <v>13</v>
      </c>
      <c r="M421">
        <v>1</v>
      </c>
      <c r="N421" t="str">
        <f t="shared" si="6"/>
        <v>INSERT INTO TNL_RATING.dbo.usps_rate_master VALUES ('USPS', '2/13/2025', '2/13/2026', 12659, 'US', 'USPS Ground Advantage', 1, 12, 'L', 9.52, 'Wedgewood_USPS_2025', 'NonCubic','1');</v>
      </c>
    </row>
    <row r="422" spans="1:14" x14ac:dyDescent="0.3">
      <c r="A422" t="s">
        <v>11</v>
      </c>
      <c r="B422" s="1" t="s">
        <v>43</v>
      </c>
      <c r="C422" s="1" t="s">
        <v>44</v>
      </c>
      <c r="D422">
        <v>12659</v>
      </c>
      <c r="E422" t="s">
        <v>12</v>
      </c>
      <c r="F422" t="s">
        <v>51</v>
      </c>
      <c r="G422">
        <v>1</v>
      </c>
      <c r="H422">
        <v>13</v>
      </c>
      <c r="I422" t="s">
        <v>45</v>
      </c>
      <c r="J422" cm="1">
        <f t="array" ref="J422">IFERROR(_xlfn.XLOOKUP(G422,'Wedgewood Pharm-GA-Yr2-2025'!$E$4:$L$4,
    _xlfn.XLOOKUP('Rate Load'!H422,'Wedgewood Pharm-GA-Yr2-2025'!$D$21:$D$40,
        'Wedgewood Pharm-GA-Yr2-2025'!$E$21:$L$40,0,0),0,0), "No Match")</f>
        <v>9.7999999999999989</v>
      </c>
      <c r="K422" t="s">
        <v>46</v>
      </c>
      <c r="L422" t="s">
        <v>13</v>
      </c>
      <c r="M422">
        <v>1</v>
      </c>
      <c r="N422" t="str">
        <f t="shared" si="6"/>
        <v>INSERT INTO TNL_RATING.dbo.usps_rate_master VALUES ('USPS', '2/13/2025', '2/13/2026', 12659, 'US', 'USPS Ground Advantage', 1, 13, 'L', 9.8, 'Wedgewood_USPS_2025', 'NonCubic','1');</v>
      </c>
    </row>
    <row r="423" spans="1:14" x14ac:dyDescent="0.3">
      <c r="A423" t="s">
        <v>11</v>
      </c>
      <c r="B423" s="1" t="s">
        <v>43</v>
      </c>
      <c r="C423" s="1" t="s">
        <v>44</v>
      </c>
      <c r="D423">
        <v>12659</v>
      </c>
      <c r="E423" t="s">
        <v>12</v>
      </c>
      <c r="F423" t="s">
        <v>51</v>
      </c>
      <c r="G423">
        <v>1</v>
      </c>
      <c r="H423">
        <v>14</v>
      </c>
      <c r="I423" t="s">
        <v>45</v>
      </c>
      <c r="J423" cm="1">
        <f t="array" ref="J423">IFERROR(_xlfn.XLOOKUP(G423,'Wedgewood Pharm-GA-Yr2-2025'!$E$4:$L$4,
    _xlfn.XLOOKUP('Rate Load'!H423,'Wedgewood Pharm-GA-Yr2-2025'!$D$21:$D$40,
        'Wedgewood Pharm-GA-Yr2-2025'!$E$21:$L$40,0,0),0,0), "No Match")</f>
        <v>10.11</v>
      </c>
      <c r="K423" t="s">
        <v>46</v>
      </c>
      <c r="L423" t="s">
        <v>13</v>
      </c>
      <c r="M423">
        <v>1</v>
      </c>
      <c r="N423" t="str">
        <f t="shared" si="6"/>
        <v>INSERT INTO TNL_RATING.dbo.usps_rate_master VALUES ('USPS', '2/13/2025', '2/13/2026', 12659, 'US', 'USPS Ground Advantage', 1, 14, 'L', 10.11, 'Wedgewood_USPS_2025', 'NonCubic','1');</v>
      </c>
    </row>
    <row r="424" spans="1:14" x14ac:dyDescent="0.3">
      <c r="A424" t="s">
        <v>11</v>
      </c>
      <c r="B424" s="1" t="s">
        <v>43</v>
      </c>
      <c r="C424" s="1" t="s">
        <v>44</v>
      </c>
      <c r="D424">
        <v>12659</v>
      </c>
      <c r="E424" t="s">
        <v>12</v>
      </c>
      <c r="F424" t="s">
        <v>51</v>
      </c>
      <c r="G424">
        <v>1</v>
      </c>
      <c r="H424">
        <v>15</v>
      </c>
      <c r="I424" t="s">
        <v>45</v>
      </c>
      <c r="J424" cm="1">
        <f t="array" ref="J424">IFERROR(_xlfn.XLOOKUP(G424,'Wedgewood Pharm-GA-Yr2-2025'!$E$4:$L$4,
    _xlfn.XLOOKUP('Rate Load'!H424,'Wedgewood Pharm-GA-Yr2-2025'!$D$21:$D$40,
        'Wedgewood Pharm-GA-Yr2-2025'!$E$21:$L$40,0,0),0,0), "No Match")</f>
        <v>10.31</v>
      </c>
      <c r="K424" t="s">
        <v>46</v>
      </c>
      <c r="L424" t="s">
        <v>13</v>
      </c>
      <c r="M424">
        <v>1</v>
      </c>
      <c r="N424" t="str">
        <f t="shared" si="6"/>
        <v>INSERT INTO TNL_RATING.dbo.usps_rate_master VALUES ('USPS', '2/13/2025', '2/13/2026', 12659, 'US', 'USPS Ground Advantage', 1, 15, 'L', 10.31, 'Wedgewood_USPS_2025', 'NonCubic','1');</v>
      </c>
    </row>
    <row r="425" spans="1:14" x14ac:dyDescent="0.3">
      <c r="A425" t="s">
        <v>11</v>
      </c>
      <c r="B425" s="1" t="s">
        <v>43</v>
      </c>
      <c r="C425" s="1" t="s">
        <v>44</v>
      </c>
      <c r="D425">
        <v>12659</v>
      </c>
      <c r="E425" t="s">
        <v>12</v>
      </c>
      <c r="F425" t="s">
        <v>51</v>
      </c>
      <c r="G425">
        <v>1</v>
      </c>
      <c r="H425">
        <v>16</v>
      </c>
      <c r="I425" t="s">
        <v>45</v>
      </c>
      <c r="J425" cm="1">
        <f t="array" ref="J425">IFERROR(_xlfn.XLOOKUP(G425,'Wedgewood Pharm-GA-Yr2-2025'!$E$4:$L$4,
    _xlfn.XLOOKUP('Rate Load'!H425,'Wedgewood Pharm-GA-Yr2-2025'!$D$21:$D$40,
        'Wedgewood Pharm-GA-Yr2-2025'!$E$21:$L$40,0,0),0,0), "No Match")</f>
        <v>10.59</v>
      </c>
      <c r="K425" t="s">
        <v>46</v>
      </c>
      <c r="L425" t="s">
        <v>13</v>
      </c>
      <c r="M425">
        <v>1</v>
      </c>
      <c r="N425" t="str">
        <f t="shared" si="6"/>
        <v>INSERT INTO TNL_RATING.dbo.usps_rate_master VALUES ('USPS', '2/13/2025', '2/13/2026', 12659, 'US', 'USPS Ground Advantage', 1, 16, 'L', 10.59, 'Wedgewood_USPS_2025', 'NonCubic','1');</v>
      </c>
    </row>
    <row r="426" spans="1:14" x14ac:dyDescent="0.3">
      <c r="A426" t="s">
        <v>11</v>
      </c>
      <c r="B426" s="1" t="s">
        <v>43</v>
      </c>
      <c r="C426" s="1" t="s">
        <v>44</v>
      </c>
      <c r="D426">
        <v>12659</v>
      </c>
      <c r="E426" t="s">
        <v>12</v>
      </c>
      <c r="F426" t="s">
        <v>51</v>
      </c>
      <c r="G426">
        <v>1</v>
      </c>
      <c r="H426">
        <v>17</v>
      </c>
      <c r="I426" t="s">
        <v>45</v>
      </c>
      <c r="J426" cm="1">
        <f t="array" ref="J426">IFERROR(_xlfn.XLOOKUP(G426,'Wedgewood Pharm-GA-Yr2-2025'!$E$4:$L$4,
    _xlfn.XLOOKUP('Rate Load'!H426,'Wedgewood Pharm-GA-Yr2-2025'!$D$21:$D$40,
        'Wedgewood Pharm-GA-Yr2-2025'!$E$21:$L$40,0,0),0,0), "No Match")</f>
        <v>10.86</v>
      </c>
      <c r="K426" t="s">
        <v>46</v>
      </c>
      <c r="L426" t="s">
        <v>13</v>
      </c>
      <c r="M426">
        <v>1</v>
      </c>
      <c r="N426" t="str">
        <f t="shared" si="6"/>
        <v>INSERT INTO TNL_RATING.dbo.usps_rate_master VALUES ('USPS', '2/13/2025', '2/13/2026', 12659, 'US', 'USPS Ground Advantage', 1, 17, 'L', 10.86, 'Wedgewood_USPS_2025', 'NonCubic','1');</v>
      </c>
    </row>
    <row r="427" spans="1:14" x14ac:dyDescent="0.3">
      <c r="A427" t="s">
        <v>11</v>
      </c>
      <c r="B427" s="1" t="s">
        <v>43</v>
      </c>
      <c r="C427" s="1" t="s">
        <v>44</v>
      </c>
      <c r="D427">
        <v>12659</v>
      </c>
      <c r="E427" t="s">
        <v>12</v>
      </c>
      <c r="F427" t="s">
        <v>51</v>
      </c>
      <c r="G427">
        <v>1</v>
      </c>
      <c r="H427">
        <v>18</v>
      </c>
      <c r="I427" t="s">
        <v>45</v>
      </c>
      <c r="J427" cm="1">
        <f t="array" ref="J427">IFERROR(_xlfn.XLOOKUP(G427,'Wedgewood Pharm-GA-Yr2-2025'!$E$4:$L$4,
    _xlfn.XLOOKUP('Rate Load'!H427,'Wedgewood Pharm-GA-Yr2-2025'!$D$21:$D$40,
        'Wedgewood Pharm-GA-Yr2-2025'!$E$21:$L$40,0,0),0,0), "No Match")</f>
        <v>11</v>
      </c>
      <c r="K427" t="s">
        <v>46</v>
      </c>
      <c r="L427" t="s">
        <v>13</v>
      </c>
      <c r="M427">
        <v>1</v>
      </c>
      <c r="N427" t="str">
        <f t="shared" si="6"/>
        <v>INSERT INTO TNL_RATING.dbo.usps_rate_master VALUES ('USPS', '2/13/2025', '2/13/2026', 12659, 'US', 'USPS Ground Advantage', 1, 18, 'L', 11, 'Wedgewood_USPS_2025', 'NonCubic','1');</v>
      </c>
    </row>
    <row r="428" spans="1:14" x14ac:dyDescent="0.3">
      <c r="A428" t="s">
        <v>11</v>
      </c>
      <c r="B428" s="1" t="s">
        <v>43</v>
      </c>
      <c r="C428" s="1" t="s">
        <v>44</v>
      </c>
      <c r="D428">
        <v>12659</v>
      </c>
      <c r="E428" t="s">
        <v>12</v>
      </c>
      <c r="F428" t="s">
        <v>51</v>
      </c>
      <c r="G428">
        <v>1</v>
      </c>
      <c r="H428">
        <v>19</v>
      </c>
      <c r="I428" t="s">
        <v>45</v>
      </c>
      <c r="J428" cm="1">
        <f t="array" ref="J428">IFERROR(_xlfn.XLOOKUP(G428,'Wedgewood Pharm-GA-Yr2-2025'!$E$4:$L$4,
    _xlfn.XLOOKUP('Rate Load'!H428,'Wedgewood Pharm-GA-Yr2-2025'!$D$21:$D$40,
        'Wedgewood Pharm-GA-Yr2-2025'!$E$21:$L$40,0,0),0,0), "No Match")</f>
        <v>11.299999999999999</v>
      </c>
      <c r="K428" t="s">
        <v>46</v>
      </c>
      <c r="L428" t="s">
        <v>13</v>
      </c>
      <c r="M428">
        <v>1</v>
      </c>
      <c r="N428" t="str">
        <f t="shared" si="6"/>
        <v>INSERT INTO TNL_RATING.dbo.usps_rate_master VALUES ('USPS', '2/13/2025', '2/13/2026', 12659, 'US', 'USPS Ground Advantage', 1, 19, 'L', 11.3, 'Wedgewood_USPS_2025', 'NonCubic','1');</v>
      </c>
    </row>
    <row r="429" spans="1:14" x14ac:dyDescent="0.3">
      <c r="A429" t="s">
        <v>11</v>
      </c>
      <c r="B429" s="1" t="s">
        <v>43</v>
      </c>
      <c r="C429" s="1" t="s">
        <v>44</v>
      </c>
      <c r="D429">
        <v>12659</v>
      </c>
      <c r="E429" t="s">
        <v>12</v>
      </c>
      <c r="F429" t="s">
        <v>51</v>
      </c>
      <c r="G429">
        <v>1</v>
      </c>
      <c r="H429">
        <v>20</v>
      </c>
      <c r="I429" t="s">
        <v>45</v>
      </c>
      <c r="J429" cm="1">
        <f t="array" ref="J429">IFERROR(_xlfn.XLOOKUP(G429,'Wedgewood Pharm-GA-Yr2-2025'!$E$4:$L$4,
    _xlfn.XLOOKUP('Rate Load'!H429,'Wedgewood Pharm-GA-Yr2-2025'!$D$21:$D$40,
        'Wedgewood Pharm-GA-Yr2-2025'!$E$21:$L$40,0,0),0,0), "No Match")</f>
        <v>11.52</v>
      </c>
      <c r="K429" t="s">
        <v>46</v>
      </c>
      <c r="L429" t="s">
        <v>13</v>
      </c>
      <c r="M429">
        <v>1</v>
      </c>
      <c r="N429" t="str">
        <f t="shared" si="6"/>
        <v>INSERT INTO TNL_RATING.dbo.usps_rate_master VALUES ('USPS', '2/13/2025', '2/13/2026', 12659, 'US', 'USPS Ground Advantage', 1, 20, 'L', 11.52, 'Wedgewood_USPS_2025', 'NonCubic','1');</v>
      </c>
    </row>
    <row r="430" spans="1:14" x14ac:dyDescent="0.3">
      <c r="A430" t="s">
        <v>11</v>
      </c>
      <c r="B430" s="1" t="s">
        <v>43</v>
      </c>
      <c r="C430" s="1" t="s">
        <v>44</v>
      </c>
      <c r="D430">
        <v>12659</v>
      </c>
      <c r="E430" t="s">
        <v>12</v>
      </c>
      <c r="F430" t="s">
        <v>51</v>
      </c>
      <c r="G430">
        <v>2</v>
      </c>
      <c r="H430">
        <v>1</v>
      </c>
      <c r="I430" t="s">
        <v>45</v>
      </c>
      <c r="J430" cm="1">
        <f t="array" ref="J430">IFERROR(_xlfn.XLOOKUP(G430,'Wedgewood Pharm-GA-Yr2-2025'!$E$4:$L$4,
    _xlfn.XLOOKUP('Rate Load'!H430,'Wedgewood Pharm-GA-Yr2-2025'!$D$21:$D$40,
        'Wedgewood Pharm-GA-Yr2-2025'!$E$21:$L$40,0,0),0,0), "No Match")</f>
        <v>6.18</v>
      </c>
      <c r="K430" t="s">
        <v>46</v>
      </c>
      <c r="L430" t="s">
        <v>13</v>
      </c>
      <c r="M430">
        <v>1</v>
      </c>
      <c r="N430" t="str">
        <f t="shared" si="6"/>
        <v>INSERT INTO TNL_RATING.dbo.usps_rate_master VALUES ('USPS', '2/13/2025', '2/13/2026', 12659, 'US', 'USPS Ground Advantage', 2, 1, 'L', 6.18, 'Wedgewood_USPS_2025', 'NonCubic','1');</v>
      </c>
    </row>
    <row r="431" spans="1:14" x14ac:dyDescent="0.3">
      <c r="A431" t="s">
        <v>11</v>
      </c>
      <c r="B431" s="1" t="s">
        <v>43</v>
      </c>
      <c r="C431" s="1" t="s">
        <v>44</v>
      </c>
      <c r="D431">
        <v>12659</v>
      </c>
      <c r="E431" t="s">
        <v>12</v>
      </c>
      <c r="F431" t="s">
        <v>51</v>
      </c>
      <c r="G431">
        <v>2</v>
      </c>
      <c r="H431">
        <v>2</v>
      </c>
      <c r="I431" t="s">
        <v>45</v>
      </c>
      <c r="J431" cm="1">
        <f t="array" ref="J431">IFERROR(_xlfn.XLOOKUP(G431,'Wedgewood Pharm-GA-Yr2-2025'!$E$4:$L$4,
    _xlfn.XLOOKUP('Rate Load'!H431,'Wedgewood Pharm-GA-Yr2-2025'!$D$21:$D$40,
        'Wedgewood Pharm-GA-Yr2-2025'!$E$21:$L$40,0,0),0,0), "No Match")</f>
        <v>6.34</v>
      </c>
      <c r="K431" t="s">
        <v>46</v>
      </c>
      <c r="L431" t="s">
        <v>13</v>
      </c>
      <c r="M431">
        <v>1</v>
      </c>
      <c r="N431" t="str">
        <f t="shared" si="6"/>
        <v>INSERT INTO TNL_RATING.dbo.usps_rate_master VALUES ('USPS', '2/13/2025', '2/13/2026', 12659, 'US', 'USPS Ground Advantage', 2, 2, 'L', 6.34, 'Wedgewood_USPS_2025', 'NonCubic','1');</v>
      </c>
    </row>
    <row r="432" spans="1:14" x14ac:dyDescent="0.3">
      <c r="A432" t="s">
        <v>11</v>
      </c>
      <c r="B432" s="1" t="s">
        <v>43</v>
      </c>
      <c r="C432" s="1" t="s">
        <v>44</v>
      </c>
      <c r="D432">
        <v>12659</v>
      </c>
      <c r="E432" t="s">
        <v>12</v>
      </c>
      <c r="F432" t="s">
        <v>51</v>
      </c>
      <c r="G432">
        <v>2</v>
      </c>
      <c r="H432">
        <v>3</v>
      </c>
      <c r="I432" t="s">
        <v>45</v>
      </c>
      <c r="J432" cm="1">
        <f t="array" ref="J432">IFERROR(_xlfn.XLOOKUP(G432,'Wedgewood Pharm-GA-Yr2-2025'!$E$4:$L$4,
    _xlfn.XLOOKUP('Rate Load'!H432,'Wedgewood Pharm-GA-Yr2-2025'!$D$21:$D$40,
        'Wedgewood Pharm-GA-Yr2-2025'!$E$21:$L$40,0,0),0,0), "No Match")</f>
        <v>6.77</v>
      </c>
      <c r="K432" t="s">
        <v>46</v>
      </c>
      <c r="L432" t="s">
        <v>13</v>
      </c>
      <c r="M432">
        <v>1</v>
      </c>
      <c r="N432" t="str">
        <f t="shared" si="6"/>
        <v>INSERT INTO TNL_RATING.dbo.usps_rate_master VALUES ('USPS', '2/13/2025', '2/13/2026', 12659, 'US', 'USPS Ground Advantage', 2, 3, 'L', 6.77, 'Wedgewood_USPS_2025', 'NonCubic','1');</v>
      </c>
    </row>
    <row r="433" spans="1:14" x14ac:dyDescent="0.3">
      <c r="A433" t="s">
        <v>11</v>
      </c>
      <c r="B433" s="1" t="s">
        <v>43</v>
      </c>
      <c r="C433" s="1" t="s">
        <v>44</v>
      </c>
      <c r="D433">
        <v>12659</v>
      </c>
      <c r="E433" t="s">
        <v>12</v>
      </c>
      <c r="F433" t="s">
        <v>51</v>
      </c>
      <c r="G433">
        <v>2</v>
      </c>
      <c r="H433">
        <v>4</v>
      </c>
      <c r="I433" t="s">
        <v>45</v>
      </c>
      <c r="J433" cm="1">
        <f t="array" ref="J433">IFERROR(_xlfn.XLOOKUP(G433,'Wedgewood Pharm-GA-Yr2-2025'!$E$4:$L$4,
    _xlfn.XLOOKUP('Rate Load'!H433,'Wedgewood Pharm-GA-Yr2-2025'!$D$21:$D$40,
        'Wedgewood Pharm-GA-Yr2-2025'!$E$21:$L$40,0,0),0,0), "No Match")</f>
        <v>6.97</v>
      </c>
      <c r="K433" t="s">
        <v>46</v>
      </c>
      <c r="L433" t="s">
        <v>13</v>
      </c>
      <c r="M433">
        <v>1</v>
      </c>
      <c r="N433" t="str">
        <f t="shared" si="6"/>
        <v>INSERT INTO TNL_RATING.dbo.usps_rate_master VALUES ('USPS', '2/13/2025', '2/13/2026', 12659, 'US', 'USPS Ground Advantage', 2, 4, 'L', 6.97, 'Wedgewood_USPS_2025', 'NonCubic','1');</v>
      </c>
    </row>
    <row r="434" spans="1:14" x14ac:dyDescent="0.3">
      <c r="A434" t="s">
        <v>11</v>
      </c>
      <c r="B434" s="1" t="s">
        <v>43</v>
      </c>
      <c r="C434" s="1" t="s">
        <v>44</v>
      </c>
      <c r="D434">
        <v>12659</v>
      </c>
      <c r="E434" t="s">
        <v>12</v>
      </c>
      <c r="F434" t="s">
        <v>51</v>
      </c>
      <c r="G434">
        <v>2</v>
      </c>
      <c r="H434">
        <v>5</v>
      </c>
      <c r="I434" t="s">
        <v>45</v>
      </c>
      <c r="J434" cm="1">
        <f t="array" ref="J434">IFERROR(_xlfn.XLOOKUP(G434,'Wedgewood Pharm-GA-Yr2-2025'!$E$4:$L$4,
    _xlfn.XLOOKUP('Rate Load'!H434,'Wedgewood Pharm-GA-Yr2-2025'!$D$21:$D$40,
        'Wedgewood Pharm-GA-Yr2-2025'!$E$21:$L$40,0,0),0,0), "No Match")</f>
        <v>7.13</v>
      </c>
      <c r="K434" t="s">
        <v>46</v>
      </c>
      <c r="L434" t="s">
        <v>13</v>
      </c>
      <c r="M434">
        <v>1</v>
      </c>
      <c r="N434" t="str">
        <f t="shared" si="6"/>
        <v>INSERT INTO TNL_RATING.dbo.usps_rate_master VALUES ('USPS', '2/13/2025', '2/13/2026', 12659, 'US', 'USPS Ground Advantage', 2, 5, 'L', 7.13, 'Wedgewood_USPS_2025', 'NonCubic','1');</v>
      </c>
    </row>
    <row r="435" spans="1:14" x14ac:dyDescent="0.3">
      <c r="A435" t="s">
        <v>11</v>
      </c>
      <c r="B435" s="1" t="s">
        <v>43</v>
      </c>
      <c r="C435" s="1" t="s">
        <v>44</v>
      </c>
      <c r="D435">
        <v>12659</v>
      </c>
      <c r="E435" t="s">
        <v>12</v>
      </c>
      <c r="F435" t="s">
        <v>51</v>
      </c>
      <c r="G435">
        <v>2</v>
      </c>
      <c r="H435">
        <v>6</v>
      </c>
      <c r="I435" t="s">
        <v>45</v>
      </c>
      <c r="J435" cm="1">
        <f t="array" ref="J435">IFERROR(_xlfn.XLOOKUP(G435,'Wedgewood Pharm-GA-Yr2-2025'!$E$4:$L$4,
    _xlfn.XLOOKUP('Rate Load'!H435,'Wedgewood Pharm-GA-Yr2-2025'!$D$21:$D$40,
        'Wedgewood Pharm-GA-Yr2-2025'!$E$21:$L$40,0,0),0,0), "No Match")</f>
        <v>7.24</v>
      </c>
      <c r="K435" t="s">
        <v>46</v>
      </c>
      <c r="L435" t="s">
        <v>13</v>
      </c>
      <c r="M435">
        <v>1</v>
      </c>
      <c r="N435" t="str">
        <f t="shared" si="6"/>
        <v>INSERT INTO TNL_RATING.dbo.usps_rate_master VALUES ('USPS', '2/13/2025', '2/13/2026', 12659, 'US', 'USPS Ground Advantage', 2, 6, 'L', 7.24, 'Wedgewood_USPS_2025', 'NonCubic','1');</v>
      </c>
    </row>
    <row r="436" spans="1:14" x14ac:dyDescent="0.3">
      <c r="A436" t="s">
        <v>11</v>
      </c>
      <c r="B436" s="1" t="s">
        <v>43</v>
      </c>
      <c r="C436" s="1" t="s">
        <v>44</v>
      </c>
      <c r="D436">
        <v>12659</v>
      </c>
      <c r="E436" t="s">
        <v>12</v>
      </c>
      <c r="F436" t="s">
        <v>51</v>
      </c>
      <c r="G436">
        <v>2</v>
      </c>
      <c r="H436">
        <v>7</v>
      </c>
      <c r="I436" t="s">
        <v>45</v>
      </c>
      <c r="J436" cm="1">
        <f t="array" ref="J436">IFERROR(_xlfn.XLOOKUP(G436,'Wedgewood Pharm-GA-Yr2-2025'!$E$4:$L$4,
    _xlfn.XLOOKUP('Rate Load'!H436,'Wedgewood Pharm-GA-Yr2-2025'!$D$21:$D$40,
        'Wedgewood Pharm-GA-Yr2-2025'!$E$21:$L$40,0,0),0,0), "No Match")</f>
        <v>7.5699999999999994</v>
      </c>
      <c r="K436" t="s">
        <v>46</v>
      </c>
      <c r="L436" t="s">
        <v>13</v>
      </c>
      <c r="M436">
        <v>1</v>
      </c>
      <c r="N436" t="str">
        <f t="shared" si="6"/>
        <v>INSERT INTO TNL_RATING.dbo.usps_rate_master VALUES ('USPS', '2/13/2025', '2/13/2026', 12659, 'US', 'USPS Ground Advantage', 2, 7, 'L', 7.57, 'Wedgewood_USPS_2025', 'NonCubic','1');</v>
      </c>
    </row>
    <row r="437" spans="1:14" x14ac:dyDescent="0.3">
      <c r="A437" t="s">
        <v>11</v>
      </c>
      <c r="B437" s="1" t="s">
        <v>43</v>
      </c>
      <c r="C437" s="1" t="s">
        <v>44</v>
      </c>
      <c r="D437">
        <v>12659</v>
      </c>
      <c r="E437" t="s">
        <v>12</v>
      </c>
      <c r="F437" t="s">
        <v>51</v>
      </c>
      <c r="G437">
        <v>2</v>
      </c>
      <c r="H437">
        <v>8</v>
      </c>
      <c r="I437" t="s">
        <v>45</v>
      </c>
      <c r="J437" cm="1">
        <f t="array" ref="J437">IFERROR(_xlfn.XLOOKUP(G437,'Wedgewood Pharm-GA-Yr2-2025'!$E$4:$L$4,
    _xlfn.XLOOKUP('Rate Load'!H437,'Wedgewood Pharm-GA-Yr2-2025'!$D$21:$D$40,
        'Wedgewood Pharm-GA-Yr2-2025'!$E$21:$L$40,0,0),0,0), "No Match")</f>
        <v>7.71</v>
      </c>
      <c r="K437" t="s">
        <v>46</v>
      </c>
      <c r="L437" t="s">
        <v>13</v>
      </c>
      <c r="M437">
        <v>1</v>
      </c>
      <c r="N437" t="str">
        <f t="shared" si="6"/>
        <v>INSERT INTO TNL_RATING.dbo.usps_rate_master VALUES ('USPS', '2/13/2025', '2/13/2026', 12659, 'US', 'USPS Ground Advantage', 2, 8, 'L', 7.71, 'Wedgewood_USPS_2025', 'NonCubic','1');</v>
      </c>
    </row>
    <row r="438" spans="1:14" x14ac:dyDescent="0.3">
      <c r="A438" t="s">
        <v>11</v>
      </c>
      <c r="B438" s="1" t="s">
        <v>43</v>
      </c>
      <c r="C438" s="1" t="s">
        <v>44</v>
      </c>
      <c r="D438">
        <v>12659</v>
      </c>
      <c r="E438" t="s">
        <v>12</v>
      </c>
      <c r="F438" t="s">
        <v>51</v>
      </c>
      <c r="G438">
        <v>2</v>
      </c>
      <c r="H438">
        <v>9</v>
      </c>
      <c r="I438" t="s">
        <v>45</v>
      </c>
      <c r="J438" cm="1">
        <f t="array" ref="J438">IFERROR(_xlfn.XLOOKUP(G438,'Wedgewood Pharm-GA-Yr2-2025'!$E$4:$L$4,
    _xlfn.XLOOKUP('Rate Load'!H438,'Wedgewood Pharm-GA-Yr2-2025'!$D$21:$D$40,
        'Wedgewood Pharm-GA-Yr2-2025'!$E$21:$L$40,0,0),0,0), "No Match")</f>
        <v>8.18</v>
      </c>
      <c r="K438" t="s">
        <v>46</v>
      </c>
      <c r="L438" t="s">
        <v>13</v>
      </c>
      <c r="M438">
        <v>1</v>
      </c>
      <c r="N438" t="str">
        <f t="shared" si="6"/>
        <v>INSERT INTO TNL_RATING.dbo.usps_rate_master VALUES ('USPS', '2/13/2025', '2/13/2026', 12659, 'US', 'USPS Ground Advantage', 2, 9, 'L', 8.18, 'Wedgewood_USPS_2025', 'NonCubic','1');</v>
      </c>
    </row>
    <row r="439" spans="1:14" x14ac:dyDescent="0.3">
      <c r="A439" t="s">
        <v>11</v>
      </c>
      <c r="B439" s="1" t="s">
        <v>43</v>
      </c>
      <c r="C439" s="1" t="s">
        <v>44</v>
      </c>
      <c r="D439">
        <v>12659</v>
      </c>
      <c r="E439" t="s">
        <v>12</v>
      </c>
      <c r="F439" t="s">
        <v>51</v>
      </c>
      <c r="G439">
        <v>2</v>
      </c>
      <c r="H439">
        <v>10</v>
      </c>
      <c r="I439" t="s">
        <v>45</v>
      </c>
      <c r="J439" cm="1">
        <f t="array" ref="J439">IFERROR(_xlfn.XLOOKUP(G439,'Wedgewood Pharm-GA-Yr2-2025'!$E$4:$L$4,
    _xlfn.XLOOKUP('Rate Load'!H439,'Wedgewood Pharm-GA-Yr2-2025'!$D$21:$D$40,
        'Wedgewood Pharm-GA-Yr2-2025'!$E$21:$L$40,0,0),0,0), "No Match")</f>
        <v>8.4700000000000006</v>
      </c>
      <c r="K439" t="s">
        <v>46</v>
      </c>
      <c r="L439" t="s">
        <v>13</v>
      </c>
      <c r="M439">
        <v>1</v>
      </c>
      <c r="N439" t="str">
        <f t="shared" si="6"/>
        <v>INSERT INTO TNL_RATING.dbo.usps_rate_master VALUES ('USPS', '2/13/2025', '2/13/2026', 12659, 'US', 'USPS Ground Advantage', 2, 10, 'L', 8.47, 'Wedgewood_USPS_2025', 'NonCubic','1');</v>
      </c>
    </row>
    <row r="440" spans="1:14" x14ac:dyDescent="0.3">
      <c r="A440" t="s">
        <v>11</v>
      </c>
      <c r="B440" s="1" t="s">
        <v>43</v>
      </c>
      <c r="C440" s="1" t="s">
        <v>44</v>
      </c>
      <c r="D440">
        <v>12659</v>
      </c>
      <c r="E440" t="s">
        <v>12</v>
      </c>
      <c r="F440" t="s">
        <v>51</v>
      </c>
      <c r="G440">
        <v>2</v>
      </c>
      <c r="H440">
        <v>11</v>
      </c>
      <c r="I440" t="s">
        <v>45</v>
      </c>
      <c r="J440" cm="1">
        <f t="array" ref="J440">IFERROR(_xlfn.XLOOKUP(G440,'Wedgewood Pharm-GA-Yr2-2025'!$E$4:$L$4,
    _xlfn.XLOOKUP('Rate Load'!H440,'Wedgewood Pharm-GA-Yr2-2025'!$D$21:$D$40,
        'Wedgewood Pharm-GA-Yr2-2025'!$E$21:$L$40,0,0),0,0), "No Match")</f>
        <v>9.49</v>
      </c>
      <c r="K440" t="s">
        <v>46</v>
      </c>
      <c r="L440" t="s">
        <v>13</v>
      </c>
      <c r="M440">
        <v>1</v>
      </c>
      <c r="N440" t="str">
        <f t="shared" si="6"/>
        <v>INSERT INTO TNL_RATING.dbo.usps_rate_master VALUES ('USPS', '2/13/2025', '2/13/2026', 12659, 'US', 'USPS Ground Advantage', 2, 11, 'L', 9.49, 'Wedgewood_USPS_2025', 'NonCubic','1');</v>
      </c>
    </row>
    <row r="441" spans="1:14" x14ac:dyDescent="0.3">
      <c r="A441" t="s">
        <v>11</v>
      </c>
      <c r="B441" s="1" t="s">
        <v>43</v>
      </c>
      <c r="C441" s="1" t="s">
        <v>44</v>
      </c>
      <c r="D441">
        <v>12659</v>
      </c>
      <c r="E441" t="s">
        <v>12</v>
      </c>
      <c r="F441" t="s">
        <v>51</v>
      </c>
      <c r="G441">
        <v>2</v>
      </c>
      <c r="H441">
        <v>12</v>
      </c>
      <c r="I441" t="s">
        <v>45</v>
      </c>
      <c r="J441" cm="1">
        <f t="array" ref="J441">IFERROR(_xlfn.XLOOKUP(G441,'Wedgewood Pharm-GA-Yr2-2025'!$E$4:$L$4,
    _xlfn.XLOOKUP('Rate Load'!H441,'Wedgewood Pharm-GA-Yr2-2025'!$D$21:$D$40,
        'Wedgewood Pharm-GA-Yr2-2025'!$E$21:$L$40,0,0),0,0), "No Match")</f>
        <v>9.82</v>
      </c>
      <c r="K441" t="s">
        <v>46</v>
      </c>
      <c r="L441" t="s">
        <v>13</v>
      </c>
      <c r="M441">
        <v>1</v>
      </c>
      <c r="N441" t="str">
        <f t="shared" si="6"/>
        <v>INSERT INTO TNL_RATING.dbo.usps_rate_master VALUES ('USPS', '2/13/2025', '2/13/2026', 12659, 'US', 'USPS Ground Advantage', 2, 12, 'L', 9.82, 'Wedgewood_USPS_2025', 'NonCubic','1');</v>
      </c>
    </row>
    <row r="442" spans="1:14" x14ac:dyDescent="0.3">
      <c r="A442" t="s">
        <v>11</v>
      </c>
      <c r="B442" s="1" t="s">
        <v>43</v>
      </c>
      <c r="C442" s="1" t="s">
        <v>44</v>
      </c>
      <c r="D442">
        <v>12659</v>
      </c>
      <c r="E442" t="s">
        <v>12</v>
      </c>
      <c r="F442" t="s">
        <v>51</v>
      </c>
      <c r="G442">
        <v>2</v>
      </c>
      <c r="H442">
        <v>13</v>
      </c>
      <c r="I442" t="s">
        <v>45</v>
      </c>
      <c r="J442" cm="1">
        <f t="array" ref="J442">IFERROR(_xlfn.XLOOKUP(G442,'Wedgewood Pharm-GA-Yr2-2025'!$E$4:$L$4,
    _xlfn.XLOOKUP('Rate Load'!H442,'Wedgewood Pharm-GA-Yr2-2025'!$D$21:$D$40,
        'Wedgewood Pharm-GA-Yr2-2025'!$E$21:$L$40,0,0),0,0), "No Match")</f>
        <v>10.09</v>
      </c>
      <c r="K442" t="s">
        <v>46</v>
      </c>
      <c r="L442" t="s">
        <v>13</v>
      </c>
      <c r="M442">
        <v>1</v>
      </c>
      <c r="N442" t="str">
        <f t="shared" si="6"/>
        <v>INSERT INTO TNL_RATING.dbo.usps_rate_master VALUES ('USPS', '2/13/2025', '2/13/2026', 12659, 'US', 'USPS Ground Advantage', 2, 13, 'L', 10.09, 'Wedgewood_USPS_2025', 'NonCubic','1');</v>
      </c>
    </row>
    <row r="443" spans="1:14" x14ac:dyDescent="0.3">
      <c r="A443" t="s">
        <v>11</v>
      </c>
      <c r="B443" s="1" t="s">
        <v>43</v>
      </c>
      <c r="C443" s="1" t="s">
        <v>44</v>
      </c>
      <c r="D443">
        <v>12659</v>
      </c>
      <c r="E443" t="s">
        <v>12</v>
      </c>
      <c r="F443" t="s">
        <v>51</v>
      </c>
      <c r="G443">
        <v>2</v>
      </c>
      <c r="H443">
        <v>14</v>
      </c>
      <c r="I443" t="s">
        <v>45</v>
      </c>
      <c r="J443" cm="1">
        <f t="array" ref="J443">IFERROR(_xlfn.XLOOKUP(G443,'Wedgewood Pharm-GA-Yr2-2025'!$E$4:$L$4,
    _xlfn.XLOOKUP('Rate Load'!H443,'Wedgewood Pharm-GA-Yr2-2025'!$D$21:$D$40,
        'Wedgewood Pharm-GA-Yr2-2025'!$E$21:$L$40,0,0),0,0), "No Match")</f>
        <v>10.37</v>
      </c>
      <c r="K443" t="s">
        <v>46</v>
      </c>
      <c r="L443" t="s">
        <v>13</v>
      </c>
      <c r="M443">
        <v>1</v>
      </c>
      <c r="N443" t="str">
        <f t="shared" si="6"/>
        <v>INSERT INTO TNL_RATING.dbo.usps_rate_master VALUES ('USPS', '2/13/2025', '2/13/2026', 12659, 'US', 'USPS Ground Advantage', 2, 14, 'L', 10.37, 'Wedgewood_USPS_2025', 'NonCubic','1');</v>
      </c>
    </row>
    <row r="444" spans="1:14" x14ac:dyDescent="0.3">
      <c r="A444" t="s">
        <v>11</v>
      </c>
      <c r="B444" s="1" t="s">
        <v>43</v>
      </c>
      <c r="C444" s="1" t="s">
        <v>44</v>
      </c>
      <c r="D444">
        <v>12659</v>
      </c>
      <c r="E444" t="s">
        <v>12</v>
      </c>
      <c r="F444" t="s">
        <v>51</v>
      </c>
      <c r="G444">
        <v>2</v>
      </c>
      <c r="H444">
        <v>15</v>
      </c>
      <c r="I444" t="s">
        <v>45</v>
      </c>
      <c r="J444" cm="1">
        <f t="array" ref="J444">IFERROR(_xlfn.XLOOKUP(G444,'Wedgewood Pharm-GA-Yr2-2025'!$E$4:$L$4,
    _xlfn.XLOOKUP('Rate Load'!H444,'Wedgewood Pharm-GA-Yr2-2025'!$D$21:$D$40,
        'Wedgewood Pharm-GA-Yr2-2025'!$E$21:$L$40,0,0),0,0), "No Match")</f>
        <v>10.52</v>
      </c>
      <c r="K444" t="s">
        <v>46</v>
      </c>
      <c r="L444" t="s">
        <v>13</v>
      </c>
      <c r="M444">
        <v>1</v>
      </c>
      <c r="N444" t="str">
        <f t="shared" si="6"/>
        <v>INSERT INTO TNL_RATING.dbo.usps_rate_master VALUES ('USPS', '2/13/2025', '2/13/2026', 12659, 'US', 'USPS Ground Advantage', 2, 15, 'L', 10.52, 'Wedgewood_USPS_2025', 'NonCubic','1');</v>
      </c>
    </row>
    <row r="445" spans="1:14" x14ac:dyDescent="0.3">
      <c r="A445" t="s">
        <v>11</v>
      </c>
      <c r="B445" s="1" t="s">
        <v>43</v>
      </c>
      <c r="C445" s="1" t="s">
        <v>44</v>
      </c>
      <c r="D445">
        <v>12659</v>
      </c>
      <c r="E445" t="s">
        <v>12</v>
      </c>
      <c r="F445" t="s">
        <v>51</v>
      </c>
      <c r="G445">
        <v>2</v>
      </c>
      <c r="H445">
        <v>16</v>
      </c>
      <c r="I445" t="s">
        <v>45</v>
      </c>
      <c r="J445" cm="1">
        <f t="array" ref="J445">IFERROR(_xlfn.XLOOKUP(G445,'Wedgewood Pharm-GA-Yr2-2025'!$E$4:$L$4,
    _xlfn.XLOOKUP('Rate Load'!H445,'Wedgewood Pharm-GA-Yr2-2025'!$D$21:$D$40,
        'Wedgewood Pharm-GA-Yr2-2025'!$E$21:$L$40,0,0),0,0), "No Match")</f>
        <v>10.77</v>
      </c>
      <c r="K445" t="s">
        <v>46</v>
      </c>
      <c r="L445" t="s">
        <v>13</v>
      </c>
      <c r="M445">
        <v>1</v>
      </c>
      <c r="N445" t="str">
        <f t="shared" si="6"/>
        <v>INSERT INTO TNL_RATING.dbo.usps_rate_master VALUES ('USPS', '2/13/2025', '2/13/2026', 12659, 'US', 'USPS Ground Advantage', 2, 16, 'L', 10.77, 'Wedgewood_USPS_2025', 'NonCubic','1');</v>
      </c>
    </row>
    <row r="446" spans="1:14" x14ac:dyDescent="0.3">
      <c r="A446" t="s">
        <v>11</v>
      </c>
      <c r="B446" s="1" t="s">
        <v>43</v>
      </c>
      <c r="C446" s="1" t="s">
        <v>44</v>
      </c>
      <c r="D446">
        <v>12659</v>
      </c>
      <c r="E446" t="s">
        <v>12</v>
      </c>
      <c r="F446" t="s">
        <v>51</v>
      </c>
      <c r="G446">
        <v>2</v>
      </c>
      <c r="H446">
        <v>17</v>
      </c>
      <c r="I446" t="s">
        <v>45</v>
      </c>
      <c r="J446" cm="1">
        <f t="array" ref="J446">IFERROR(_xlfn.XLOOKUP(G446,'Wedgewood Pharm-GA-Yr2-2025'!$E$4:$L$4,
    _xlfn.XLOOKUP('Rate Load'!H446,'Wedgewood Pharm-GA-Yr2-2025'!$D$21:$D$40,
        'Wedgewood Pharm-GA-Yr2-2025'!$E$21:$L$40,0,0),0,0), "No Match")</f>
        <v>11.44</v>
      </c>
      <c r="K446" t="s">
        <v>46</v>
      </c>
      <c r="L446" t="s">
        <v>13</v>
      </c>
      <c r="M446">
        <v>1</v>
      </c>
      <c r="N446" t="str">
        <f t="shared" si="6"/>
        <v>INSERT INTO TNL_RATING.dbo.usps_rate_master VALUES ('USPS', '2/13/2025', '2/13/2026', 12659, 'US', 'USPS Ground Advantage', 2, 17, 'L', 11.44, 'Wedgewood_USPS_2025', 'NonCubic','1');</v>
      </c>
    </row>
    <row r="447" spans="1:14" x14ac:dyDescent="0.3">
      <c r="A447" t="s">
        <v>11</v>
      </c>
      <c r="B447" s="1" t="s">
        <v>43</v>
      </c>
      <c r="C447" s="1" t="s">
        <v>44</v>
      </c>
      <c r="D447">
        <v>12659</v>
      </c>
      <c r="E447" t="s">
        <v>12</v>
      </c>
      <c r="F447" t="s">
        <v>51</v>
      </c>
      <c r="G447">
        <v>2</v>
      </c>
      <c r="H447">
        <v>18</v>
      </c>
      <c r="I447" t="s">
        <v>45</v>
      </c>
      <c r="J447" cm="1">
        <f t="array" ref="J447">IFERROR(_xlfn.XLOOKUP(G447,'Wedgewood Pharm-GA-Yr2-2025'!$E$4:$L$4,
    _xlfn.XLOOKUP('Rate Load'!H447,'Wedgewood Pharm-GA-Yr2-2025'!$D$21:$D$40,
        'Wedgewood Pharm-GA-Yr2-2025'!$E$21:$L$40,0,0),0,0), "No Match")</f>
        <v>11.59</v>
      </c>
      <c r="K447" t="s">
        <v>46</v>
      </c>
      <c r="L447" t="s">
        <v>13</v>
      </c>
      <c r="M447">
        <v>1</v>
      </c>
      <c r="N447" t="str">
        <f t="shared" si="6"/>
        <v>INSERT INTO TNL_RATING.dbo.usps_rate_master VALUES ('USPS', '2/13/2025', '2/13/2026', 12659, 'US', 'USPS Ground Advantage', 2, 18, 'L', 11.59, 'Wedgewood_USPS_2025', 'NonCubic','1');</v>
      </c>
    </row>
    <row r="448" spans="1:14" x14ac:dyDescent="0.3">
      <c r="A448" t="s">
        <v>11</v>
      </c>
      <c r="B448" s="1" t="s">
        <v>43</v>
      </c>
      <c r="C448" s="1" t="s">
        <v>44</v>
      </c>
      <c r="D448">
        <v>12659</v>
      </c>
      <c r="E448" t="s">
        <v>12</v>
      </c>
      <c r="F448" t="s">
        <v>51</v>
      </c>
      <c r="G448">
        <v>2</v>
      </c>
      <c r="H448">
        <v>19</v>
      </c>
      <c r="I448" t="s">
        <v>45</v>
      </c>
      <c r="J448" cm="1">
        <f t="array" ref="J448">IFERROR(_xlfn.XLOOKUP(G448,'Wedgewood Pharm-GA-Yr2-2025'!$E$4:$L$4,
    _xlfn.XLOOKUP('Rate Load'!H448,'Wedgewood Pharm-GA-Yr2-2025'!$D$21:$D$40,
        'Wedgewood Pharm-GA-Yr2-2025'!$E$21:$L$40,0,0),0,0), "No Match")</f>
        <v>11.9</v>
      </c>
      <c r="K448" t="s">
        <v>46</v>
      </c>
      <c r="L448" t="s">
        <v>13</v>
      </c>
      <c r="M448">
        <v>1</v>
      </c>
      <c r="N448" t="str">
        <f t="shared" si="6"/>
        <v>INSERT INTO TNL_RATING.dbo.usps_rate_master VALUES ('USPS', '2/13/2025', '2/13/2026', 12659, 'US', 'USPS Ground Advantage', 2, 19, 'L', 11.9, 'Wedgewood_USPS_2025', 'NonCubic','1');</v>
      </c>
    </row>
    <row r="449" spans="1:14" x14ac:dyDescent="0.3">
      <c r="A449" t="s">
        <v>11</v>
      </c>
      <c r="B449" s="1" t="s">
        <v>43</v>
      </c>
      <c r="C449" s="1" t="s">
        <v>44</v>
      </c>
      <c r="D449">
        <v>12659</v>
      </c>
      <c r="E449" t="s">
        <v>12</v>
      </c>
      <c r="F449" t="s">
        <v>51</v>
      </c>
      <c r="G449">
        <v>2</v>
      </c>
      <c r="H449">
        <v>20</v>
      </c>
      <c r="I449" t="s">
        <v>45</v>
      </c>
      <c r="J449" cm="1">
        <f t="array" ref="J449">IFERROR(_xlfn.XLOOKUP(G449,'Wedgewood Pharm-GA-Yr2-2025'!$E$4:$L$4,
    _xlfn.XLOOKUP('Rate Load'!H449,'Wedgewood Pharm-GA-Yr2-2025'!$D$21:$D$40,
        'Wedgewood Pharm-GA-Yr2-2025'!$E$21:$L$40,0,0),0,0), "No Match")</f>
        <v>12.15</v>
      </c>
      <c r="K449" t="s">
        <v>46</v>
      </c>
      <c r="L449" t="s">
        <v>13</v>
      </c>
      <c r="M449">
        <v>1</v>
      </c>
      <c r="N449" t="str">
        <f t="shared" si="6"/>
        <v>INSERT INTO TNL_RATING.dbo.usps_rate_master VALUES ('USPS', '2/13/2025', '2/13/2026', 12659, 'US', 'USPS Ground Advantage', 2, 20, 'L', 12.15, 'Wedgewood_USPS_2025', 'NonCubic','1');</v>
      </c>
    </row>
    <row r="450" spans="1:14" x14ac:dyDescent="0.3">
      <c r="A450" t="s">
        <v>11</v>
      </c>
      <c r="B450" s="1" t="s">
        <v>43</v>
      </c>
      <c r="C450" s="1" t="s">
        <v>44</v>
      </c>
      <c r="D450">
        <v>12659</v>
      </c>
      <c r="E450" t="s">
        <v>12</v>
      </c>
      <c r="F450" t="s">
        <v>51</v>
      </c>
      <c r="G450">
        <v>3</v>
      </c>
      <c r="H450">
        <v>1</v>
      </c>
      <c r="I450" t="s">
        <v>45</v>
      </c>
      <c r="J450" cm="1">
        <f t="array" ref="J450">IFERROR(_xlfn.XLOOKUP(G450,'Wedgewood Pharm-GA-Yr2-2025'!$E$4:$L$4,
    _xlfn.XLOOKUP('Rate Load'!H450,'Wedgewood Pharm-GA-Yr2-2025'!$D$21:$D$40,
        'Wedgewood Pharm-GA-Yr2-2025'!$E$21:$L$40,0,0),0,0), "No Match")</f>
        <v>6.21</v>
      </c>
      <c r="K450" t="s">
        <v>46</v>
      </c>
      <c r="L450" t="s">
        <v>13</v>
      </c>
      <c r="M450">
        <v>1</v>
      </c>
      <c r="N450" t="str">
        <f t="shared" si="6"/>
        <v>INSERT INTO TNL_RATING.dbo.usps_rate_master VALUES ('USPS', '2/13/2025', '2/13/2026', 12659, 'US', 'USPS Ground Advantage', 3, 1, 'L', 6.21, 'Wedgewood_USPS_2025', 'NonCubic','1');</v>
      </c>
    </row>
    <row r="451" spans="1:14" x14ac:dyDescent="0.3">
      <c r="A451" t="s">
        <v>11</v>
      </c>
      <c r="B451" s="1" t="s">
        <v>43</v>
      </c>
      <c r="C451" s="1" t="s">
        <v>44</v>
      </c>
      <c r="D451">
        <v>12659</v>
      </c>
      <c r="E451" t="s">
        <v>12</v>
      </c>
      <c r="F451" t="s">
        <v>51</v>
      </c>
      <c r="G451">
        <v>3</v>
      </c>
      <c r="H451">
        <v>2</v>
      </c>
      <c r="I451" t="s">
        <v>45</v>
      </c>
      <c r="J451" cm="1">
        <f t="array" ref="J451">IFERROR(_xlfn.XLOOKUP(G451,'Wedgewood Pharm-GA-Yr2-2025'!$E$4:$L$4,
    _xlfn.XLOOKUP('Rate Load'!H451,'Wedgewood Pharm-GA-Yr2-2025'!$D$21:$D$40,
        'Wedgewood Pharm-GA-Yr2-2025'!$E$21:$L$40,0,0),0,0), "No Match")</f>
        <v>6.49</v>
      </c>
      <c r="K451" t="s">
        <v>46</v>
      </c>
      <c r="L451" t="s">
        <v>13</v>
      </c>
      <c r="M451">
        <v>1</v>
      </c>
      <c r="N451" t="str">
        <f t="shared" ref="N451:N514" si="7">"INSERT INTO TNL_RATING.dbo.usps_rate_master VALUES ('" &amp; A451 &amp; "', '" &amp; B451 &amp; "', '" &amp; C451 &amp; "', " &amp; D451 &amp; ", '" &amp; E451 &amp; "', '" &amp; F451 &amp; "', " &amp; G451 &amp; ", " &amp; H451 &amp; ", '" &amp; I451 &amp; "', " &amp; J451 &amp; ", '" &amp; K451 &amp; "', '" &amp; L451 &amp; "','" &amp; M451 &amp; "');"</f>
        <v>INSERT INTO TNL_RATING.dbo.usps_rate_master VALUES ('USPS', '2/13/2025', '2/13/2026', 12659, 'US', 'USPS Ground Advantage', 3, 2, 'L', 6.49, 'Wedgewood_USPS_2025', 'NonCubic','1');</v>
      </c>
    </row>
    <row r="452" spans="1:14" x14ac:dyDescent="0.3">
      <c r="A452" t="s">
        <v>11</v>
      </c>
      <c r="B452" s="1" t="s">
        <v>43</v>
      </c>
      <c r="C452" s="1" t="s">
        <v>44</v>
      </c>
      <c r="D452">
        <v>12659</v>
      </c>
      <c r="E452" t="s">
        <v>12</v>
      </c>
      <c r="F452" t="s">
        <v>51</v>
      </c>
      <c r="G452">
        <v>3</v>
      </c>
      <c r="H452">
        <v>3</v>
      </c>
      <c r="I452" t="s">
        <v>45</v>
      </c>
      <c r="J452" cm="1">
        <f t="array" ref="J452">IFERROR(_xlfn.XLOOKUP(G452,'Wedgewood Pharm-GA-Yr2-2025'!$E$4:$L$4,
    _xlfn.XLOOKUP('Rate Load'!H452,'Wedgewood Pharm-GA-Yr2-2025'!$D$21:$D$40,
        'Wedgewood Pharm-GA-Yr2-2025'!$E$21:$L$40,0,0),0,0), "No Match")</f>
        <v>6.93</v>
      </c>
      <c r="K452" t="s">
        <v>46</v>
      </c>
      <c r="L452" t="s">
        <v>13</v>
      </c>
      <c r="M452">
        <v>1</v>
      </c>
      <c r="N452" t="str">
        <f t="shared" si="7"/>
        <v>INSERT INTO TNL_RATING.dbo.usps_rate_master VALUES ('USPS', '2/13/2025', '2/13/2026', 12659, 'US', 'USPS Ground Advantage', 3, 3, 'L', 6.93, 'Wedgewood_USPS_2025', 'NonCubic','1');</v>
      </c>
    </row>
    <row r="453" spans="1:14" x14ac:dyDescent="0.3">
      <c r="A453" t="s">
        <v>11</v>
      </c>
      <c r="B453" s="1" t="s">
        <v>43</v>
      </c>
      <c r="C453" s="1" t="s">
        <v>44</v>
      </c>
      <c r="D453">
        <v>12659</v>
      </c>
      <c r="E453" t="s">
        <v>12</v>
      </c>
      <c r="F453" t="s">
        <v>51</v>
      </c>
      <c r="G453">
        <v>3</v>
      </c>
      <c r="H453">
        <v>4</v>
      </c>
      <c r="I453" t="s">
        <v>45</v>
      </c>
      <c r="J453" cm="1">
        <f t="array" ref="J453">IFERROR(_xlfn.XLOOKUP(G453,'Wedgewood Pharm-GA-Yr2-2025'!$E$4:$L$4,
    _xlfn.XLOOKUP('Rate Load'!H453,'Wedgewood Pharm-GA-Yr2-2025'!$D$21:$D$40,
        'Wedgewood Pharm-GA-Yr2-2025'!$E$21:$L$40,0,0),0,0), "No Match")</f>
        <v>7.22</v>
      </c>
      <c r="K453" t="s">
        <v>46</v>
      </c>
      <c r="L453" t="s">
        <v>13</v>
      </c>
      <c r="M453">
        <v>1</v>
      </c>
      <c r="N453" t="str">
        <f t="shared" si="7"/>
        <v>INSERT INTO TNL_RATING.dbo.usps_rate_master VALUES ('USPS', '2/13/2025', '2/13/2026', 12659, 'US', 'USPS Ground Advantage', 3, 4, 'L', 7.22, 'Wedgewood_USPS_2025', 'NonCubic','1');</v>
      </c>
    </row>
    <row r="454" spans="1:14" x14ac:dyDescent="0.3">
      <c r="A454" t="s">
        <v>11</v>
      </c>
      <c r="B454" s="1" t="s">
        <v>43</v>
      </c>
      <c r="C454" s="1" t="s">
        <v>44</v>
      </c>
      <c r="D454">
        <v>12659</v>
      </c>
      <c r="E454" t="s">
        <v>12</v>
      </c>
      <c r="F454" t="s">
        <v>51</v>
      </c>
      <c r="G454">
        <v>3</v>
      </c>
      <c r="H454">
        <v>5</v>
      </c>
      <c r="I454" t="s">
        <v>45</v>
      </c>
      <c r="J454" cm="1">
        <f t="array" ref="J454">IFERROR(_xlfn.XLOOKUP(G454,'Wedgewood Pharm-GA-Yr2-2025'!$E$4:$L$4,
    _xlfn.XLOOKUP('Rate Load'!H454,'Wedgewood Pharm-GA-Yr2-2025'!$D$21:$D$40,
        'Wedgewood Pharm-GA-Yr2-2025'!$E$21:$L$40,0,0),0,0), "No Match")</f>
        <v>7.3999999999999995</v>
      </c>
      <c r="K454" t="s">
        <v>46</v>
      </c>
      <c r="L454" t="s">
        <v>13</v>
      </c>
      <c r="M454">
        <v>1</v>
      </c>
      <c r="N454" t="str">
        <f t="shared" si="7"/>
        <v>INSERT INTO TNL_RATING.dbo.usps_rate_master VALUES ('USPS', '2/13/2025', '2/13/2026', 12659, 'US', 'USPS Ground Advantage', 3, 5, 'L', 7.4, 'Wedgewood_USPS_2025', 'NonCubic','1');</v>
      </c>
    </row>
    <row r="455" spans="1:14" x14ac:dyDescent="0.3">
      <c r="A455" t="s">
        <v>11</v>
      </c>
      <c r="B455" s="1" t="s">
        <v>43</v>
      </c>
      <c r="C455" s="1" t="s">
        <v>44</v>
      </c>
      <c r="D455">
        <v>12659</v>
      </c>
      <c r="E455" t="s">
        <v>12</v>
      </c>
      <c r="F455" t="s">
        <v>51</v>
      </c>
      <c r="G455">
        <v>3</v>
      </c>
      <c r="H455">
        <v>6</v>
      </c>
      <c r="I455" t="s">
        <v>45</v>
      </c>
      <c r="J455" cm="1">
        <f t="array" ref="J455">IFERROR(_xlfn.XLOOKUP(G455,'Wedgewood Pharm-GA-Yr2-2025'!$E$4:$L$4,
    _xlfn.XLOOKUP('Rate Load'!H455,'Wedgewood Pharm-GA-Yr2-2025'!$D$21:$D$40,
        'Wedgewood Pharm-GA-Yr2-2025'!$E$21:$L$40,0,0),0,0), "No Match")</f>
        <v>7.6499999999999995</v>
      </c>
      <c r="K455" t="s">
        <v>46</v>
      </c>
      <c r="L455" t="s">
        <v>13</v>
      </c>
      <c r="M455">
        <v>1</v>
      </c>
      <c r="N455" t="str">
        <f t="shared" si="7"/>
        <v>INSERT INTO TNL_RATING.dbo.usps_rate_master VALUES ('USPS', '2/13/2025', '2/13/2026', 12659, 'US', 'USPS Ground Advantage', 3, 6, 'L', 7.65, 'Wedgewood_USPS_2025', 'NonCubic','1');</v>
      </c>
    </row>
    <row r="456" spans="1:14" x14ac:dyDescent="0.3">
      <c r="A456" t="s">
        <v>11</v>
      </c>
      <c r="B456" s="1" t="s">
        <v>43</v>
      </c>
      <c r="C456" s="1" t="s">
        <v>44</v>
      </c>
      <c r="D456">
        <v>12659</v>
      </c>
      <c r="E456" t="s">
        <v>12</v>
      </c>
      <c r="F456" t="s">
        <v>51</v>
      </c>
      <c r="G456">
        <v>3</v>
      </c>
      <c r="H456">
        <v>7</v>
      </c>
      <c r="I456" t="s">
        <v>45</v>
      </c>
      <c r="J456" cm="1">
        <f t="array" ref="J456">IFERROR(_xlfn.XLOOKUP(G456,'Wedgewood Pharm-GA-Yr2-2025'!$E$4:$L$4,
    _xlfn.XLOOKUP('Rate Load'!H456,'Wedgewood Pharm-GA-Yr2-2025'!$D$21:$D$40,
        'Wedgewood Pharm-GA-Yr2-2025'!$E$21:$L$40,0,0),0,0), "No Match")</f>
        <v>8.17</v>
      </c>
      <c r="K456" t="s">
        <v>46</v>
      </c>
      <c r="L456" t="s">
        <v>13</v>
      </c>
      <c r="M456">
        <v>1</v>
      </c>
      <c r="N456" t="str">
        <f t="shared" si="7"/>
        <v>INSERT INTO TNL_RATING.dbo.usps_rate_master VALUES ('USPS', '2/13/2025', '2/13/2026', 12659, 'US', 'USPS Ground Advantage', 3, 7, 'L', 8.17, 'Wedgewood_USPS_2025', 'NonCubic','1');</v>
      </c>
    </row>
    <row r="457" spans="1:14" x14ac:dyDescent="0.3">
      <c r="A457" t="s">
        <v>11</v>
      </c>
      <c r="B457" s="1" t="s">
        <v>43</v>
      </c>
      <c r="C457" s="1" t="s">
        <v>44</v>
      </c>
      <c r="D457">
        <v>12659</v>
      </c>
      <c r="E457" t="s">
        <v>12</v>
      </c>
      <c r="F457" t="s">
        <v>51</v>
      </c>
      <c r="G457">
        <v>3</v>
      </c>
      <c r="H457">
        <v>8</v>
      </c>
      <c r="I457" t="s">
        <v>45</v>
      </c>
      <c r="J457" cm="1">
        <f t="array" ref="J457">IFERROR(_xlfn.XLOOKUP(G457,'Wedgewood Pharm-GA-Yr2-2025'!$E$4:$L$4,
    _xlfn.XLOOKUP('Rate Load'!H457,'Wedgewood Pharm-GA-Yr2-2025'!$D$21:$D$40,
        'Wedgewood Pharm-GA-Yr2-2025'!$E$21:$L$40,0,0),0,0), "No Match")</f>
        <v>8.5499999999999989</v>
      </c>
      <c r="K457" t="s">
        <v>46</v>
      </c>
      <c r="L457" t="s">
        <v>13</v>
      </c>
      <c r="M457">
        <v>1</v>
      </c>
      <c r="N457" t="str">
        <f t="shared" si="7"/>
        <v>INSERT INTO TNL_RATING.dbo.usps_rate_master VALUES ('USPS', '2/13/2025', '2/13/2026', 12659, 'US', 'USPS Ground Advantage', 3, 8, 'L', 8.55, 'Wedgewood_USPS_2025', 'NonCubic','1');</v>
      </c>
    </row>
    <row r="458" spans="1:14" x14ac:dyDescent="0.3">
      <c r="A458" t="s">
        <v>11</v>
      </c>
      <c r="B458" s="1" t="s">
        <v>43</v>
      </c>
      <c r="C458" s="1" t="s">
        <v>44</v>
      </c>
      <c r="D458">
        <v>12659</v>
      </c>
      <c r="E458" t="s">
        <v>12</v>
      </c>
      <c r="F458" t="s">
        <v>51</v>
      </c>
      <c r="G458">
        <v>3</v>
      </c>
      <c r="H458">
        <v>9</v>
      </c>
      <c r="I458" t="s">
        <v>45</v>
      </c>
      <c r="J458" cm="1">
        <f t="array" ref="J458">IFERROR(_xlfn.XLOOKUP(G458,'Wedgewood Pharm-GA-Yr2-2025'!$E$4:$L$4,
    _xlfn.XLOOKUP('Rate Load'!H458,'Wedgewood Pharm-GA-Yr2-2025'!$D$21:$D$40,
        'Wedgewood Pharm-GA-Yr2-2025'!$E$21:$L$40,0,0),0,0), "No Match")</f>
        <v>8.84</v>
      </c>
      <c r="K458" t="s">
        <v>46</v>
      </c>
      <c r="L458" t="s">
        <v>13</v>
      </c>
      <c r="M458">
        <v>1</v>
      </c>
      <c r="N458" t="str">
        <f t="shared" si="7"/>
        <v>INSERT INTO TNL_RATING.dbo.usps_rate_master VALUES ('USPS', '2/13/2025', '2/13/2026', 12659, 'US', 'USPS Ground Advantage', 3, 9, 'L', 8.84, 'Wedgewood_USPS_2025', 'NonCubic','1');</v>
      </c>
    </row>
    <row r="459" spans="1:14" x14ac:dyDescent="0.3">
      <c r="A459" t="s">
        <v>11</v>
      </c>
      <c r="B459" s="1" t="s">
        <v>43</v>
      </c>
      <c r="C459" s="1" t="s">
        <v>44</v>
      </c>
      <c r="D459">
        <v>12659</v>
      </c>
      <c r="E459" t="s">
        <v>12</v>
      </c>
      <c r="F459" t="s">
        <v>51</v>
      </c>
      <c r="G459">
        <v>3</v>
      </c>
      <c r="H459">
        <v>10</v>
      </c>
      <c r="I459" t="s">
        <v>45</v>
      </c>
      <c r="J459" cm="1">
        <f t="array" ref="J459">IFERROR(_xlfn.XLOOKUP(G459,'Wedgewood Pharm-GA-Yr2-2025'!$E$4:$L$4,
    _xlfn.XLOOKUP('Rate Load'!H459,'Wedgewood Pharm-GA-Yr2-2025'!$D$21:$D$40,
        'Wedgewood Pharm-GA-Yr2-2025'!$E$21:$L$40,0,0),0,0), "No Match")</f>
        <v>9.17</v>
      </c>
      <c r="K459" t="s">
        <v>46</v>
      </c>
      <c r="L459" t="s">
        <v>13</v>
      </c>
      <c r="M459">
        <v>1</v>
      </c>
      <c r="N459" t="str">
        <f t="shared" si="7"/>
        <v>INSERT INTO TNL_RATING.dbo.usps_rate_master VALUES ('USPS', '2/13/2025', '2/13/2026', 12659, 'US', 'USPS Ground Advantage', 3, 10, 'L', 9.17, 'Wedgewood_USPS_2025', 'NonCubic','1');</v>
      </c>
    </row>
    <row r="460" spans="1:14" x14ac:dyDescent="0.3">
      <c r="A460" t="s">
        <v>11</v>
      </c>
      <c r="B460" s="1" t="s">
        <v>43</v>
      </c>
      <c r="C460" s="1" t="s">
        <v>44</v>
      </c>
      <c r="D460">
        <v>12659</v>
      </c>
      <c r="E460" t="s">
        <v>12</v>
      </c>
      <c r="F460" t="s">
        <v>51</v>
      </c>
      <c r="G460">
        <v>3</v>
      </c>
      <c r="H460">
        <v>11</v>
      </c>
      <c r="I460" t="s">
        <v>45</v>
      </c>
      <c r="J460" cm="1">
        <f t="array" ref="J460">IFERROR(_xlfn.XLOOKUP(G460,'Wedgewood Pharm-GA-Yr2-2025'!$E$4:$L$4,
    _xlfn.XLOOKUP('Rate Load'!H460,'Wedgewood Pharm-GA-Yr2-2025'!$D$21:$D$40,
        'Wedgewood Pharm-GA-Yr2-2025'!$E$21:$L$40,0,0),0,0), "No Match")</f>
        <v>9.74</v>
      </c>
      <c r="K460" t="s">
        <v>46</v>
      </c>
      <c r="L460" t="s">
        <v>13</v>
      </c>
      <c r="M460">
        <v>1</v>
      </c>
      <c r="N460" t="str">
        <f t="shared" si="7"/>
        <v>INSERT INTO TNL_RATING.dbo.usps_rate_master VALUES ('USPS', '2/13/2025', '2/13/2026', 12659, 'US', 'USPS Ground Advantage', 3, 11, 'L', 9.74, 'Wedgewood_USPS_2025', 'NonCubic','1');</v>
      </c>
    </row>
    <row r="461" spans="1:14" x14ac:dyDescent="0.3">
      <c r="A461" t="s">
        <v>11</v>
      </c>
      <c r="B461" s="1" t="s">
        <v>43</v>
      </c>
      <c r="C461" s="1" t="s">
        <v>44</v>
      </c>
      <c r="D461">
        <v>12659</v>
      </c>
      <c r="E461" t="s">
        <v>12</v>
      </c>
      <c r="F461" t="s">
        <v>51</v>
      </c>
      <c r="G461">
        <v>3</v>
      </c>
      <c r="H461">
        <v>12</v>
      </c>
      <c r="I461" t="s">
        <v>45</v>
      </c>
      <c r="J461" cm="1">
        <f t="array" ref="J461">IFERROR(_xlfn.XLOOKUP(G461,'Wedgewood Pharm-GA-Yr2-2025'!$E$4:$L$4,
    _xlfn.XLOOKUP('Rate Load'!H461,'Wedgewood Pharm-GA-Yr2-2025'!$D$21:$D$40,
        'Wedgewood Pharm-GA-Yr2-2025'!$E$21:$L$40,0,0),0,0), "No Match")</f>
        <v>10.17</v>
      </c>
      <c r="K461" t="s">
        <v>46</v>
      </c>
      <c r="L461" t="s">
        <v>13</v>
      </c>
      <c r="M461">
        <v>1</v>
      </c>
      <c r="N461" t="str">
        <f t="shared" si="7"/>
        <v>INSERT INTO TNL_RATING.dbo.usps_rate_master VALUES ('USPS', '2/13/2025', '2/13/2026', 12659, 'US', 'USPS Ground Advantage', 3, 12, 'L', 10.17, 'Wedgewood_USPS_2025', 'NonCubic','1');</v>
      </c>
    </row>
    <row r="462" spans="1:14" x14ac:dyDescent="0.3">
      <c r="A462" t="s">
        <v>11</v>
      </c>
      <c r="B462" s="1" t="s">
        <v>43</v>
      </c>
      <c r="C462" s="1" t="s">
        <v>44</v>
      </c>
      <c r="D462">
        <v>12659</v>
      </c>
      <c r="E462" t="s">
        <v>12</v>
      </c>
      <c r="F462" t="s">
        <v>51</v>
      </c>
      <c r="G462">
        <v>3</v>
      </c>
      <c r="H462">
        <v>13</v>
      </c>
      <c r="I462" t="s">
        <v>45</v>
      </c>
      <c r="J462" cm="1">
        <f t="array" ref="J462">IFERROR(_xlfn.XLOOKUP(G462,'Wedgewood Pharm-GA-Yr2-2025'!$E$4:$L$4,
    _xlfn.XLOOKUP('Rate Load'!H462,'Wedgewood Pharm-GA-Yr2-2025'!$D$21:$D$40,
        'Wedgewood Pharm-GA-Yr2-2025'!$E$21:$L$40,0,0),0,0), "No Match")</f>
        <v>10.53</v>
      </c>
      <c r="K462" t="s">
        <v>46</v>
      </c>
      <c r="L462" t="s">
        <v>13</v>
      </c>
      <c r="M462">
        <v>1</v>
      </c>
      <c r="N462" t="str">
        <f t="shared" si="7"/>
        <v>INSERT INTO TNL_RATING.dbo.usps_rate_master VALUES ('USPS', '2/13/2025', '2/13/2026', 12659, 'US', 'USPS Ground Advantage', 3, 13, 'L', 10.53, 'Wedgewood_USPS_2025', 'NonCubic','1');</v>
      </c>
    </row>
    <row r="463" spans="1:14" x14ac:dyDescent="0.3">
      <c r="A463" t="s">
        <v>11</v>
      </c>
      <c r="B463" s="1" t="s">
        <v>43</v>
      </c>
      <c r="C463" s="1" t="s">
        <v>44</v>
      </c>
      <c r="D463">
        <v>12659</v>
      </c>
      <c r="E463" t="s">
        <v>12</v>
      </c>
      <c r="F463" t="s">
        <v>51</v>
      </c>
      <c r="G463">
        <v>3</v>
      </c>
      <c r="H463">
        <v>14</v>
      </c>
      <c r="I463" t="s">
        <v>45</v>
      </c>
      <c r="J463" cm="1">
        <f t="array" ref="J463">IFERROR(_xlfn.XLOOKUP(G463,'Wedgewood Pharm-GA-Yr2-2025'!$E$4:$L$4,
    _xlfn.XLOOKUP('Rate Load'!H463,'Wedgewood Pharm-GA-Yr2-2025'!$D$21:$D$40,
        'Wedgewood Pharm-GA-Yr2-2025'!$E$21:$L$40,0,0),0,0), "No Match")</f>
        <v>10.81</v>
      </c>
      <c r="K463" t="s">
        <v>46</v>
      </c>
      <c r="L463" t="s">
        <v>13</v>
      </c>
      <c r="M463">
        <v>1</v>
      </c>
      <c r="N463" t="str">
        <f t="shared" si="7"/>
        <v>INSERT INTO TNL_RATING.dbo.usps_rate_master VALUES ('USPS', '2/13/2025', '2/13/2026', 12659, 'US', 'USPS Ground Advantage', 3, 14, 'L', 10.81, 'Wedgewood_USPS_2025', 'NonCubic','1');</v>
      </c>
    </row>
    <row r="464" spans="1:14" x14ac:dyDescent="0.3">
      <c r="A464" t="s">
        <v>11</v>
      </c>
      <c r="B464" s="1" t="s">
        <v>43</v>
      </c>
      <c r="C464" s="1" t="s">
        <v>44</v>
      </c>
      <c r="D464">
        <v>12659</v>
      </c>
      <c r="E464" t="s">
        <v>12</v>
      </c>
      <c r="F464" t="s">
        <v>51</v>
      </c>
      <c r="G464">
        <v>3</v>
      </c>
      <c r="H464">
        <v>15</v>
      </c>
      <c r="I464" t="s">
        <v>45</v>
      </c>
      <c r="J464" cm="1">
        <f t="array" ref="J464">IFERROR(_xlfn.XLOOKUP(G464,'Wedgewood Pharm-GA-Yr2-2025'!$E$4:$L$4,
    _xlfn.XLOOKUP('Rate Load'!H464,'Wedgewood Pharm-GA-Yr2-2025'!$D$21:$D$40,
        'Wedgewood Pharm-GA-Yr2-2025'!$E$21:$L$40,0,0),0,0), "No Match")</f>
        <v>11.19</v>
      </c>
      <c r="K464" t="s">
        <v>46</v>
      </c>
      <c r="L464" t="s">
        <v>13</v>
      </c>
      <c r="M464">
        <v>1</v>
      </c>
      <c r="N464" t="str">
        <f t="shared" si="7"/>
        <v>INSERT INTO TNL_RATING.dbo.usps_rate_master VALUES ('USPS', '2/13/2025', '2/13/2026', 12659, 'US', 'USPS Ground Advantage', 3, 15, 'L', 11.19, 'Wedgewood_USPS_2025', 'NonCubic','1');</v>
      </c>
    </row>
    <row r="465" spans="1:14" x14ac:dyDescent="0.3">
      <c r="A465" t="s">
        <v>11</v>
      </c>
      <c r="B465" s="1" t="s">
        <v>43</v>
      </c>
      <c r="C465" s="1" t="s">
        <v>44</v>
      </c>
      <c r="D465">
        <v>12659</v>
      </c>
      <c r="E465" t="s">
        <v>12</v>
      </c>
      <c r="F465" t="s">
        <v>51</v>
      </c>
      <c r="G465">
        <v>3</v>
      </c>
      <c r="H465">
        <v>16</v>
      </c>
      <c r="I465" t="s">
        <v>45</v>
      </c>
      <c r="J465" cm="1">
        <f t="array" ref="J465">IFERROR(_xlfn.XLOOKUP(G465,'Wedgewood Pharm-GA-Yr2-2025'!$E$4:$L$4,
    _xlfn.XLOOKUP('Rate Load'!H465,'Wedgewood Pharm-GA-Yr2-2025'!$D$21:$D$40,
        'Wedgewood Pharm-GA-Yr2-2025'!$E$21:$L$40,0,0),0,0), "No Match")</f>
        <v>11.49</v>
      </c>
      <c r="K465" t="s">
        <v>46</v>
      </c>
      <c r="L465" t="s">
        <v>13</v>
      </c>
      <c r="M465">
        <v>1</v>
      </c>
      <c r="N465" t="str">
        <f t="shared" si="7"/>
        <v>INSERT INTO TNL_RATING.dbo.usps_rate_master VALUES ('USPS', '2/13/2025', '2/13/2026', 12659, 'US', 'USPS Ground Advantage', 3, 16, 'L', 11.49, 'Wedgewood_USPS_2025', 'NonCubic','1');</v>
      </c>
    </row>
    <row r="466" spans="1:14" x14ac:dyDescent="0.3">
      <c r="A466" t="s">
        <v>11</v>
      </c>
      <c r="B466" s="1" t="s">
        <v>43</v>
      </c>
      <c r="C466" s="1" t="s">
        <v>44</v>
      </c>
      <c r="D466">
        <v>12659</v>
      </c>
      <c r="E466" t="s">
        <v>12</v>
      </c>
      <c r="F466" t="s">
        <v>51</v>
      </c>
      <c r="G466">
        <v>3</v>
      </c>
      <c r="H466">
        <v>17</v>
      </c>
      <c r="I466" t="s">
        <v>45</v>
      </c>
      <c r="J466" cm="1">
        <f t="array" ref="J466">IFERROR(_xlfn.XLOOKUP(G466,'Wedgewood Pharm-GA-Yr2-2025'!$E$4:$L$4,
    _xlfn.XLOOKUP('Rate Load'!H466,'Wedgewood Pharm-GA-Yr2-2025'!$D$21:$D$40,
        'Wedgewood Pharm-GA-Yr2-2025'!$E$21:$L$40,0,0),0,0), "No Match")</f>
        <v>11.89</v>
      </c>
      <c r="K466" t="s">
        <v>46</v>
      </c>
      <c r="L466" t="s">
        <v>13</v>
      </c>
      <c r="M466">
        <v>1</v>
      </c>
      <c r="N466" t="str">
        <f t="shared" si="7"/>
        <v>INSERT INTO TNL_RATING.dbo.usps_rate_master VALUES ('USPS', '2/13/2025', '2/13/2026', 12659, 'US', 'USPS Ground Advantage', 3, 17, 'L', 11.89, 'Wedgewood_USPS_2025', 'NonCubic','1');</v>
      </c>
    </row>
    <row r="467" spans="1:14" x14ac:dyDescent="0.3">
      <c r="A467" t="s">
        <v>11</v>
      </c>
      <c r="B467" s="1" t="s">
        <v>43</v>
      </c>
      <c r="C467" s="1" t="s">
        <v>44</v>
      </c>
      <c r="D467">
        <v>12659</v>
      </c>
      <c r="E467" t="s">
        <v>12</v>
      </c>
      <c r="F467" t="s">
        <v>51</v>
      </c>
      <c r="G467">
        <v>3</v>
      </c>
      <c r="H467">
        <v>18</v>
      </c>
      <c r="I467" t="s">
        <v>45</v>
      </c>
      <c r="J467" cm="1">
        <f t="array" ref="J467">IFERROR(_xlfn.XLOOKUP(G467,'Wedgewood Pharm-GA-Yr2-2025'!$E$4:$L$4,
    _xlfn.XLOOKUP('Rate Load'!H467,'Wedgewood Pharm-GA-Yr2-2025'!$D$21:$D$40,
        'Wedgewood Pharm-GA-Yr2-2025'!$E$21:$L$40,0,0),0,0), "No Match")</f>
        <v>12.06</v>
      </c>
      <c r="K467" t="s">
        <v>46</v>
      </c>
      <c r="L467" t="s">
        <v>13</v>
      </c>
      <c r="M467">
        <v>1</v>
      </c>
      <c r="N467" t="str">
        <f t="shared" si="7"/>
        <v>INSERT INTO TNL_RATING.dbo.usps_rate_master VALUES ('USPS', '2/13/2025', '2/13/2026', 12659, 'US', 'USPS Ground Advantage', 3, 18, 'L', 12.06, 'Wedgewood_USPS_2025', 'NonCubic','1');</v>
      </c>
    </row>
    <row r="468" spans="1:14" x14ac:dyDescent="0.3">
      <c r="A468" t="s">
        <v>11</v>
      </c>
      <c r="B468" s="1" t="s">
        <v>43</v>
      </c>
      <c r="C468" s="1" t="s">
        <v>44</v>
      </c>
      <c r="D468">
        <v>12659</v>
      </c>
      <c r="E468" t="s">
        <v>12</v>
      </c>
      <c r="F468" t="s">
        <v>51</v>
      </c>
      <c r="G468">
        <v>3</v>
      </c>
      <c r="H468">
        <v>19</v>
      </c>
      <c r="I468" t="s">
        <v>45</v>
      </c>
      <c r="J468" cm="1">
        <f t="array" ref="J468">IFERROR(_xlfn.XLOOKUP(G468,'Wedgewood Pharm-GA-Yr2-2025'!$E$4:$L$4,
    _xlfn.XLOOKUP('Rate Load'!H468,'Wedgewood Pharm-GA-Yr2-2025'!$D$21:$D$40,
        'Wedgewood Pharm-GA-Yr2-2025'!$E$21:$L$40,0,0),0,0), "No Match")</f>
        <v>12.56</v>
      </c>
      <c r="K468" t="s">
        <v>46</v>
      </c>
      <c r="L468" t="s">
        <v>13</v>
      </c>
      <c r="M468">
        <v>1</v>
      </c>
      <c r="N468" t="str">
        <f t="shared" si="7"/>
        <v>INSERT INTO TNL_RATING.dbo.usps_rate_master VALUES ('USPS', '2/13/2025', '2/13/2026', 12659, 'US', 'USPS Ground Advantage', 3, 19, 'L', 12.56, 'Wedgewood_USPS_2025', 'NonCubic','1');</v>
      </c>
    </row>
    <row r="469" spans="1:14" x14ac:dyDescent="0.3">
      <c r="A469" t="s">
        <v>11</v>
      </c>
      <c r="B469" s="1" t="s">
        <v>43</v>
      </c>
      <c r="C469" s="1" t="s">
        <v>44</v>
      </c>
      <c r="D469">
        <v>12659</v>
      </c>
      <c r="E469" t="s">
        <v>12</v>
      </c>
      <c r="F469" t="s">
        <v>51</v>
      </c>
      <c r="G469">
        <v>3</v>
      </c>
      <c r="H469">
        <v>20</v>
      </c>
      <c r="I469" t="s">
        <v>45</v>
      </c>
      <c r="J469" cm="1">
        <f t="array" ref="J469">IFERROR(_xlfn.XLOOKUP(G469,'Wedgewood Pharm-GA-Yr2-2025'!$E$4:$L$4,
    _xlfn.XLOOKUP('Rate Load'!H469,'Wedgewood Pharm-GA-Yr2-2025'!$D$21:$D$40,
        'Wedgewood Pharm-GA-Yr2-2025'!$E$21:$L$40,0,0),0,0), "No Match")</f>
        <v>12.86</v>
      </c>
      <c r="K469" t="s">
        <v>46</v>
      </c>
      <c r="L469" t="s">
        <v>13</v>
      </c>
      <c r="M469">
        <v>1</v>
      </c>
      <c r="N469" t="str">
        <f t="shared" si="7"/>
        <v>INSERT INTO TNL_RATING.dbo.usps_rate_master VALUES ('USPS', '2/13/2025', '2/13/2026', 12659, 'US', 'USPS Ground Advantage', 3, 20, 'L', 12.86, 'Wedgewood_USPS_2025', 'NonCubic','1');</v>
      </c>
    </row>
    <row r="470" spans="1:14" x14ac:dyDescent="0.3">
      <c r="A470" t="s">
        <v>11</v>
      </c>
      <c r="B470" s="1" t="s">
        <v>43</v>
      </c>
      <c r="C470" s="1" t="s">
        <v>44</v>
      </c>
      <c r="D470">
        <v>12659</v>
      </c>
      <c r="E470" t="s">
        <v>12</v>
      </c>
      <c r="F470" t="s">
        <v>51</v>
      </c>
      <c r="G470">
        <v>4</v>
      </c>
      <c r="H470">
        <v>1</v>
      </c>
      <c r="I470" t="s">
        <v>45</v>
      </c>
      <c r="J470" cm="1">
        <f t="array" ref="J470">IFERROR(_xlfn.XLOOKUP(G470,'Wedgewood Pharm-GA-Yr2-2025'!$E$4:$L$4,
    _xlfn.XLOOKUP('Rate Load'!H470,'Wedgewood Pharm-GA-Yr2-2025'!$D$21:$D$40,
        'Wedgewood Pharm-GA-Yr2-2025'!$E$21:$L$40,0,0),0,0), "No Match")</f>
        <v>6.45</v>
      </c>
      <c r="K470" t="s">
        <v>46</v>
      </c>
      <c r="L470" t="s">
        <v>13</v>
      </c>
      <c r="M470">
        <v>1</v>
      </c>
      <c r="N470" t="str">
        <f t="shared" si="7"/>
        <v>INSERT INTO TNL_RATING.dbo.usps_rate_master VALUES ('USPS', '2/13/2025', '2/13/2026', 12659, 'US', 'USPS Ground Advantage', 4, 1, 'L', 6.45, 'Wedgewood_USPS_2025', 'NonCubic','1');</v>
      </c>
    </row>
    <row r="471" spans="1:14" x14ac:dyDescent="0.3">
      <c r="A471" t="s">
        <v>11</v>
      </c>
      <c r="B471" s="1" t="s">
        <v>43</v>
      </c>
      <c r="C471" s="1" t="s">
        <v>44</v>
      </c>
      <c r="D471">
        <v>12659</v>
      </c>
      <c r="E471" t="s">
        <v>12</v>
      </c>
      <c r="F471" t="s">
        <v>51</v>
      </c>
      <c r="G471">
        <v>4</v>
      </c>
      <c r="H471">
        <v>2</v>
      </c>
      <c r="I471" t="s">
        <v>45</v>
      </c>
      <c r="J471" cm="1">
        <f t="array" ref="J471">IFERROR(_xlfn.XLOOKUP(G471,'Wedgewood Pharm-GA-Yr2-2025'!$E$4:$L$4,
    _xlfn.XLOOKUP('Rate Load'!H471,'Wedgewood Pharm-GA-Yr2-2025'!$D$21:$D$40,
        'Wedgewood Pharm-GA-Yr2-2025'!$E$21:$L$40,0,0),0,0), "No Match")</f>
        <v>6.84</v>
      </c>
      <c r="K471" t="s">
        <v>46</v>
      </c>
      <c r="L471" t="s">
        <v>13</v>
      </c>
      <c r="M471">
        <v>1</v>
      </c>
      <c r="N471" t="str">
        <f t="shared" si="7"/>
        <v>INSERT INTO TNL_RATING.dbo.usps_rate_master VALUES ('USPS', '2/13/2025', '2/13/2026', 12659, 'US', 'USPS Ground Advantage', 4, 2, 'L', 6.84, 'Wedgewood_USPS_2025', 'NonCubic','1');</v>
      </c>
    </row>
    <row r="472" spans="1:14" x14ac:dyDescent="0.3">
      <c r="A472" t="s">
        <v>11</v>
      </c>
      <c r="B472" s="1" t="s">
        <v>43</v>
      </c>
      <c r="C472" s="1" t="s">
        <v>44</v>
      </c>
      <c r="D472">
        <v>12659</v>
      </c>
      <c r="E472" t="s">
        <v>12</v>
      </c>
      <c r="F472" t="s">
        <v>51</v>
      </c>
      <c r="G472">
        <v>4</v>
      </c>
      <c r="H472">
        <v>3</v>
      </c>
      <c r="I472" t="s">
        <v>45</v>
      </c>
      <c r="J472" cm="1">
        <f t="array" ref="J472">IFERROR(_xlfn.XLOOKUP(G472,'Wedgewood Pharm-GA-Yr2-2025'!$E$4:$L$4,
    _xlfn.XLOOKUP('Rate Load'!H472,'Wedgewood Pharm-GA-Yr2-2025'!$D$21:$D$40,
        'Wedgewood Pharm-GA-Yr2-2025'!$E$21:$L$40,0,0),0,0), "No Match")</f>
        <v>7.26</v>
      </c>
      <c r="K472" t="s">
        <v>46</v>
      </c>
      <c r="L472" t="s">
        <v>13</v>
      </c>
      <c r="M472">
        <v>1</v>
      </c>
      <c r="N472" t="str">
        <f t="shared" si="7"/>
        <v>INSERT INTO TNL_RATING.dbo.usps_rate_master VALUES ('USPS', '2/13/2025', '2/13/2026', 12659, 'US', 'USPS Ground Advantage', 4, 3, 'L', 7.26, 'Wedgewood_USPS_2025', 'NonCubic','1');</v>
      </c>
    </row>
    <row r="473" spans="1:14" x14ac:dyDescent="0.3">
      <c r="A473" t="s">
        <v>11</v>
      </c>
      <c r="B473" s="1" t="s">
        <v>43</v>
      </c>
      <c r="C473" s="1" t="s">
        <v>44</v>
      </c>
      <c r="D473">
        <v>12659</v>
      </c>
      <c r="E473" t="s">
        <v>12</v>
      </c>
      <c r="F473" t="s">
        <v>51</v>
      </c>
      <c r="G473">
        <v>4</v>
      </c>
      <c r="H473">
        <v>4</v>
      </c>
      <c r="I473" t="s">
        <v>45</v>
      </c>
      <c r="J473" cm="1">
        <f t="array" ref="J473">IFERROR(_xlfn.XLOOKUP(G473,'Wedgewood Pharm-GA-Yr2-2025'!$E$4:$L$4,
    _xlfn.XLOOKUP('Rate Load'!H473,'Wedgewood Pharm-GA-Yr2-2025'!$D$21:$D$40,
        'Wedgewood Pharm-GA-Yr2-2025'!$E$21:$L$40,0,0),0,0), "No Match")</f>
        <v>7.72</v>
      </c>
      <c r="K473" t="s">
        <v>46</v>
      </c>
      <c r="L473" t="s">
        <v>13</v>
      </c>
      <c r="M473">
        <v>1</v>
      </c>
      <c r="N473" t="str">
        <f t="shared" si="7"/>
        <v>INSERT INTO TNL_RATING.dbo.usps_rate_master VALUES ('USPS', '2/13/2025', '2/13/2026', 12659, 'US', 'USPS Ground Advantage', 4, 4, 'L', 7.72, 'Wedgewood_USPS_2025', 'NonCubic','1');</v>
      </c>
    </row>
    <row r="474" spans="1:14" x14ac:dyDescent="0.3">
      <c r="A474" t="s">
        <v>11</v>
      </c>
      <c r="B474" s="1" t="s">
        <v>43</v>
      </c>
      <c r="C474" s="1" t="s">
        <v>44</v>
      </c>
      <c r="D474">
        <v>12659</v>
      </c>
      <c r="E474" t="s">
        <v>12</v>
      </c>
      <c r="F474" t="s">
        <v>51</v>
      </c>
      <c r="G474">
        <v>4</v>
      </c>
      <c r="H474">
        <v>5</v>
      </c>
      <c r="I474" t="s">
        <v>45</v>
      </c>
      <c r="J474" cm="1">
        <f t="array" ref="J474">IFERROR(_xlfn.XLOOKUP(G474,'Wedgewood Pharm-GA-Yr2-2025'!$E$4:$L$4,
    _xlfn.XLOOKUP('Rate Load'!H474,'Wedgewood Pharm-GA-Yr2-2025'!$D$21:$D$40,
        'Wedgewood Pharm-GA-Yr2-2025'!$E$21:$L$40,0,0),0,0), "No Match")</f>
        <v>7.97</v>
      </c>
      <c r="K474" t="s">
        <v>46</v>
      </c>
      <c r="L474" t="s">
        <v>13</v>
      </c>
      <c r="M474">
        <v>1</v>
      </c>
      <c r="N474" t="str">
        <f t="shared" si="7"/>
        <v>INSERT INTO TNL_RATING.dbo.usps_rate_master VALUES ('USPS', '2/13/2025', '2/13/2026', 12659, 'US', 'USPS Ground Advantage', 4, 5, 'L', 7.97, 'Wedgewood_USPS_2025', 'NonCubic','1');</v>
      </c>
    </row>
    <row r="475" spans="1:14" x14ac:dyDescent="0.3">
      <c r="A475" t="s">
        <v>11</v>
      </c>
      <c r="B475" s="1" t="s">
        <v>43</v>
      </c>
      <c r="C475" s="1" t="s">
        <v>44</v>
      </c>
      <c r="D475">
        <v>12659</v>
      </c>
      <c r="E475" t="s">
        <v>12</v>
      </c>
      <c r="F475" t="s">
        <v>51</v>
      </c>
      <c r="G475">
        <v>4</v>
      </c>
      <c r="H475">
        <v>6</v>
      </c>
      <c r="I475" t="s">
        <v>45</v>
      </c>
      <c r="J475" cm="1">
        <f t="array" ref="J475">IFERROR(_xlfn.XLOOKUP(G475,'Wedgewood Pharm-GA-Yr2-2025'!$E$4:$L$4,
    _xlfn.XLOOKUP('Rate Load'!H475,'Wedgewood Pharm-GA-Yr2-2025'!$D$21:$D$40,
        'Wedgewood Pharm-GA-Yr2-2025'!$E$21:$L$40,0,0),0,0), "No Match")</f>
        <v>8.32</v>
      </c>
      <c r="K475" t="s">
        <v>46</v>
      </c>
      <c r="L475" t="s">
        <v>13</v>
      </c>
      <c r="M475">
        <v>1</v>
      </c>
      <c r="N475" t="str">
        <f t="shared" si="7"/>
        <v>INSERT INTO TNL_RATING.dbo.usps_rate_master VALUES ('USPS', '2/13/2025', '2/13/2026', 12659, 'US', 'USPS Ground Advantage', 4, 6, 'L', 8.32, 'Wedgewood_USPS_2025', 'NonCubic','1');</v>
      </c>
    </row>
    <row r="476" spans="1:14" x14ac:dyDescent="0.3">
      <c r="A476" t="s">
        <v>11</v>
      </c>
      <c r="B476" s="1" t="s">
        <v>43</v>
      </c>
      <c r="C476" s="1" t="s">
        <v>44</v>
      </c>
      <c r="D476">
        <v>12659</v>
      </c>
      <c r="E476" t="s">
        <v>12</v>
      </c>
      <c r="F476" t="s">
        <v>51</v>
      </c>
      <c r="G476">
        <v>4</v>
      </c>
      <c r="H476">
        <v>7</v>
      </c>
      <c r="I476" t="s">
        <v>45</v>
      </c>
      <c r="J476" cm="1">
        <f t="array" ref="J476">IFERROR(_xlfn.XLOOKUP(G476,'Wedgewood Pharm-GA-Yr2-2025'!$E$4:$L$4,
    _xlfn.XLOOKUP('Rate Load'!H476,'Wedgewood Pharm-GA-Yr2-2025'!$D$21:$D$40,
        'Wedgewood Pharm-GA-Yr2-2025'!$E$21:$L$40,0,0),0,0), "No Match")</f>
        <v>8.66</v>
      </c>
      <c r="K476" t="s">
        <v>46</v>
      </c>
      <c r="L476" t="s">
        <v>13</v>
      </c>
      <c r="M476">
        <v>1</v>
      </c>
      <c r="N476" t="str">
        <f t="shared" si="7"/>
        <v>INSERT INTO TNL_RATING.dbo.usps_rate_master VALUES ('USPS', '2/13/2025', '2/13/2026', 12659, 'US', 'USPS Ground Advantage', 4, 7, 'L', 8.66, 'Wedgewood_USPS_2025', 'NonCubic','1');</v>
      </c>
    </row>
    <row r="477" spans="1:14" x14ac:dyDescent="0.3">
      <c r="A477" t="s">
        <v>11</v>
      </c>
      <c r="B477" s="1" t="s">
        <v>43</v>
      </c>
      <c r="C477" s="1" t="s">
        <v>44</v>
      </c>
      <c r="D477">
        <v>12659</v>
      </c>
      <c r="E477" t="s">
        <v>12</v>
      </c>
      <c r="F477" t="s">
        <v>51</v>
      </c>
      <c r="G477">
        <v>4</v>
      </c>
      <c r="H477">
        <v>8</v>
      </c>
      <c r="I477" t="s">
        <v>45</v>
      </c>
      <c r="J477" cm="1">
        <f t="array" ref="J477">IFERROR(_xlfn.XLOOKUP(G477,'Wedgewood Pharm-GA-Yr2-2025'!$E$4:$L$4,
    _xlfn.XLOOKUP('Rate Load'!H477,'Wedgewood Pharm-GA-Yr2-2025'!$D$21:$D$40,
        'Wedgewood Pharm-GA-Yr2-2025'!$E$21:$L$40,0,0),0,0), "No Match")</f>
        <v>9.48</v>
      </c>
      <c r="K477" t="s">
        <v>46</v>
      </c>
      <c r="L477" t="s">
        <v>13</v>
      </c>
      <c r="M477">
        <v>1</v>
      </c>
      <c r="N477" t="str">
        <f t="shared" si="7"/>
        <v>INSERT INTO TNL_RATING.dbo.usps_rate_master VALUES ('USPS', '2/13/2025', '2/13/2026', 12659, 'US', 'USPS Ground Advantage', 4, 8, 'L', 9.48, 'Wedgewood_USPS_2025', 'NonCubic','1');</v>
      </c>
    </row>
    <row r="478" spans="1:14" x14ac:dyDescent="0.3">
      <c r="A478" t="s">
        <v>11</v>
      </c>
      <c r="B478" s="1" t="s">
        <v>43</v>
      </c>
      <c r="C478" s="1" t="s">
        <v>44</v>
      </c>
      <c r="D478">
        <v>12659</v>
      </c>
      <c r="E478" t="s">
        <v>12</v>
      </c>
      <c r="F478" t="s">
        <v>51</v>
      </c>
      <c r="G478">
        <v>4</v>
      </c>
      <c r="H478">
        <v>9</v>
      </c>
      <c r="I478" t="s">
        <v>45</v>
      </c>
      <c r="J478" cm="1">
        <f t="array" ref="J478">IFERROR(_xlfn.XLOOKUP(G478,'Wedgewood Pharm-GA-Yr2-2025'!$E$4:$L$4,
    _xlfn.XLOOKUP('Rate Load'!H478,'Wedgewood Pharm-GA-Yr2-2025'!$D$21:$D$40,
        'Wedgewood Pharm-GA-Yr2-2025'!$E$21:$L$40,0,0),0,0), "No Match")</f>
        <v>9.85</v>
      </c>
      <c r="K478" t="s">
        <v>46</v>
      </c>
      <c r="L478" t="s">
        <v>13</v>
      </c>
      <c r="M478">
        <v>1</v>
      </c>
      <c r="N478" t="str">
        <f t="shared" si="7"/>
        <v>INSERT INTO TNL_RATING.dbo.usps_rate_master VALUES ('USPS', '2/13/2025', '2/13/2026', 12659, 'US', 'USPS Ground Advantage', 4, 9, 'L', 9.85, 'Wedgewood_USPS_2025', 'NonCubic','1');</v>
      </c>
    </row>
    <row r="479" spans="1:14" x14ac:dyDescent="0.3">
      <c r="A479" t="s">
        <v>11</v>
      </c>
      <c r="B479" s="1" t="s">
        <v>43</v>
      </c>
      <c r="C479" s="1" t="s">
        <v>44</v>
      </c>
      <c r="D479">
        <v>12659</v>
      </c>
      <c r="E479" t="s">
        <v>12</v>
      </c>
      <c r="F479" t="s">
        <v>51</v>
      </c>
      <c r="G479">
        <v>4</v>
      </c>
      <c r="H479">
        <v>10</v>
      </c>
      <c r="I479" t="s">
        <v>45</v>
      </c>
      <c r="J479" cm="1">
        <f t="array" ref="J479">IFERROR(_xlfn.XLOOKUP(G479,'Wedgewood Pharm-GA-Yr2-2025'!$E$4:$L$4,
    _xlfn.XLOOKUP('Rate Load'!H479,'Wedgewood Pharm-GA-Yr2-2025'!$D$21:$D$40,
        'Wedgewood Pharm-GA-Yr2-2025'!$E$21:$L$40,0,0),0,0), "No Match")</f>
        <v>9.99</v>
      </c>
      <c r="K479" t="s">
        <v>46</v>
      </c>
      <c r="L479" t="s">
        <v>13</v>
      </c>
      <c r="M479">
        <v>1</v>
      </c>
      <c r="N479" t="str">
        <f t="shared" si="7"/>
        <v>INSERT INTO TNL_RATING.dbo.usps_rate_master VALUES ('USPS', '2/13/2025', '2/13/2026', 12659, 'US', 'USPS Ground Advantage', 4, 10, 'L', 9.99, 'Wedgewood_USPS_2025', 'NonCubic','1');</v>
      </c>
    </row>
    <row r="480" spans="1:14" x14ac:dyDescent="0.3">
      <c r="A480" t="s">
        <v>11</v>
      </c>
      <c r="B480" s="1" t="s">
        <v>43</v>
      </c>
      <c r="C480" s="1" t="s">
        <v>44</v>
      </c>
      <c r="D480">
        <v>12659</v>
      </c>
      <c r="E480" t="s">
        <v>12</v>
      </c>
      <c r="F480" t="s">
        <v>51</v>
      </c>
      <c r="G480">
        <v>4</v>
      </c>
      <c r="H480">
        <v>11</v>
      </c>
      <c r="I480" t="s">
        <v>45</v>
      </c>
      <c r="J480" cm="1">
        <f t="array" ref="J480">IFERROR(_xlfn.XLOOKUP(G480,'Wedgewood Pharm-GA-Yr2-2025'!$E$4:$L$4,
    _xlfn.XLOOKUP('Rate Load'!H480,'Wedgewood Pharm-GA-Yr2-2025'!$D$21:$D$40,
        'Wedgewood Pharm-GA-Yr2-2025'!$E$21:$L$40,0,0),0,0), "No Match")</f>
        <v>10.59</v>
      </c>
      <c r="K480" t="s">
        <v>46</v>
      </c>
      <c r="L480" t="s">
        <v>13</v>
      </c>
      <c r="M480">
        <v>1</v>
      </c>
      <c r="N480" t="str">
        <f t="shared" si="7"/>
        <v>INSERT INTO TNL_RATING.dbo.usps_rate_master VALUES ('USPS', '2/13/2025', '2/13/2026', 12659, 'US', 'USPS Ground Advantage', 4, 11, 'L', 10.59, 'Wedgewood_USPS_2025', 'NonCubic','1');</v>
      </c>
    </row>
    <row r="481" spans="1:14" x14ac:dyDescent="0.3">
      <c r="A481" t="s">
        <v>11</v>
      </c>
      <c r="B481" s="1" t="s">
        <v>43</v>
      </c>
      <c r="C481" s="1" t="s">
        <v>44</v>
      </c>
      <c r="D481">
        <v>12659</v>
      </c>
      <c r="E481" t="s">
        <v>12</v>
      </c>
      <c r="F481" t="s">
        <v>51</v>
      </c>
      <c r="G481">
        <v>4</v>
      </c>
      <c r="H481">
        <v>12</v>
      </c>
      <c r="I481" t="s">
        <v>45</v>
      </c>
      <c r="J481" cm="1">
        <f t="array" ref="J481">IFERROR(_xlfn.XLOOKUP(G481,'Wedgewood Pharm-GA-Yr2-2025'!$E$4:$L$4,
    _xlfn.XLOOKUP('Rate Load'!H481,'Wedgewood Pharm-GA-Yr2-2025'!$D$21:$D$40,
        'Wedgewood Pharm-GA-Yr2-2025'!$E$21:$L$40,0,0),0,0), "No Match")</f>
        <v>10.85</v>
      </c>
      <c r="K481" t="s">
        <v>46</v>
      </c>
      <c r="L481" t="s">
        <v>13</v>
      </c>
      <c r="M481">
        <v>1</v>
      </c>
      <c r="N481" t="str">
        <f t="shared" si="7"/>
        <v>INSERT INTO TNL_RATING.dbo.usps_rate_master VALUES ('USPS', '2/13/2025', '2/13/2026', 12659, 'US', 'USPS Ground Advantage', 4, 12, 'L', 10.85, 'Wedgewood_USPS_2025', 'NonCubic','1');</v>
      </c>
    </row>
    <row r="482" spans="1:14" x14ac:dyDescent="0.3">
      <c r="A482" t="s">
        <v>11</v>
      </c>
      <c r="B482" s="1" t="s">
        <v>43</v>
      </c>
      <c r="C482" s="1" t="s">
        <v>44</v>
      </c>
      <c r="D482">
        <v>12659</v>
      </c>
      <c r="E482" t="s">
        <v>12</v>
      </c>
      <c r="F482" t="s">
        <v>51</v>
      </c>
      <c r="G482">
        <v>4</v>
      </c>
      <c r="H482">
        <v>13</v>
      </c>
      <c r="I482" t="s">
        <v>45</v>
      </c>
      <c r="J482" cm="1">
        <f t="array" ref="J482">IFERROR(_xlfn.XLOOKUP(G482,'Wedgewood Pharm-GA-Yr2-2025'!$E$4:$L$4,
    _xlfn.XLOOKUP('Rate Load'!H482,'Wedgewood Pharm-GA-Yr2-2025'!$D$21:$D$40,
        'Wedgewood Pharm-GA-Yr2-2025'!$E$21:$L$40,0,0),0,0), "No Match")</f>
        <v>11.18</v>
      </c>
      <c r="K482" t="s">
        <v>46</v>
      </c>
      <c r="L482" t="s">
        <v>13</v>
      </c>
      <c r="M482">
        <v>1</v>
      </c>
      <c r="N482" t="str">
        <f t="shared" si="7"/>
        <v>INSERT INTO TNL_RATING.dbo.usps_rate_master VALUES ('USPS', '2/13/2025', '2/13/2026', 12659, 'US', 'USPS Ground Advantage', 4, 13, 'L', 11.18, 'Wedgewood_USPS_2025', 'NonCubic','1');</v>
      </c>
    </row>
    <row r="483" spans="1:14" x14ac:dyDescent="0.3">
      <c r="A483" t="s">
        <v>11</v>
      </c>
      <c r="B483" s="1" t="s">
        <v>43</v>
      </c>
      <c r="C483" s="1" t="s">
        <v>44</v>
      </c>
      <c r="D483">
        <v>12659</v>
      </c>
      <c r="E483" t="s">
        <v>12</v>
      </c>
      <c r="F483" t="s">
        <v>51</v>
      </c>
      <c r="G483">
        <v>4</v>
      </c>
      <c r="H483">
        <v>14</v>
      </c>
      <c r="I483" t="s">
        <v>45</v>
      </c>
      <c r="J483" cm="1">
        <f t="array" ref="J483">IFERROR(_xlfn.XLOOKUP(G483,'Wedgewood Pharm-GA-Yr2-2025'!$E$4:$L$4,
    _xlfn.XLOOKUP('Rate Load'!H483,'Wedgewood Pharm-GA-Yr2-2025'!$D$21:$D$40,
        'Wedgewood Pharm-GA-Yr2-2025'!$E$21:$L$40,0,0),0,0), "No Match")</f>
        <v>11.36</v>
      </c>
      <c r="K483" t="s">
        <v>46</v>
      </c>
      <c r="L483" t="s">
        <v>13</v>
      </c>
      <c r="M483">
        <v>1</v>
      </c>
      <c r="N483" t="str">
        <f t="shared" si="7"/>
        <v>INSERT INTO TNL_RATING.dbo.usps_rate_master VALUES ('USPS', '2/13/2025', '2/13/2026', 12659, 'US', 'USPS Ground Advantage', 4, 14, 'L', 11.36, 'Wedgewood_USPS_2025', 'NonCubic','1');</v>
      </c>
    </row>
    <row r="484" spans="1:14" x14ac:dyDescent="0.3">
      <c r="A484" t="s">
        <v>11</v>
      </c>
      <c r="B484" s="1" t="s">
        <v>43</v>
      </c>
      <c r="C484" s="1" t="s">
        <v>44</v>
      </c>
      <c r="D484">
        <v>12659</v>
      </c>
      <c r="E484" t="s">
        <v>12</v>
      </c>
      <c r="F484" t="s">
        <v>51</v>
      </c>
      <c r="G484">
        <v>4</v>
      </c>
      <c r="H484">
        <v>15</v>
      </c>
      <c r="I484" t="s">
        <v>45</v>
      </c>
      <c r="J484" cm="1">
        <f t="array" ref="J484">IFERROR(_xlfn.XLOOKUP(G484,'Wedgewood Pharm-GA-Yr2-2025'!$E$4:$L$4,
    _xlfn.XLOOKUP('Rate Load'!H484,'Wedgewood Pharm-GA-Yr2-2025'!$D$21:$D$40,
        'Wedgewood Pharm-GA-Yr2-2025'!$E$21:$L$40,0,0),0,0), "No Match")</f>
        <v>11.74</v>
      </c>
      <c r="K484" t="s">
        <v>46</v>
      </c>
      <c r="L484" t="s">
        <v>13</v>
      </c>
      <c r="M484">
        <v>1</v>
      </c>
      <c r="N484" t="str">
        <f t="shared" si="7"/>
        <v>INSERT INTO TNL_RATING.dbo.usps_rate_master VALUES ('USPS', '2/13/2025', '2/13/2026', 12659, 'US', 'USPS Ground Advantage', 4, 15, 'L', 11.74, 'Wedgewood_USPS_2025', 'NonCubic','1');</v>
      </c>
    </row>
    <row r="485" spans="1:14" x14ac:dyDescent="0.3">
      <c r="A485" t="s">
        <v>11</v>
      </c>
      <c r="B485" s="1" t="s">
        <v>43</v>
      </c>
      <c r="C485" s="1" t="s">
        <v>44</v>
      </c>
      <c r="D485">
        <v>12659</v>
      </c>
      <c r="E485" t="s">
        <v>12</v>
      </c>
      <c r="F485" t="s">
        <v>51</v>
      </c>
      <c r="G485">
        <v>4</v>
      </c>
      <c r="H485">
        <v>16</v>
      </c>
      <c r="I485" t="s">
        <v>45</v>
      </c>
      <c r="J485" cm="1">
        <f t="array" ref="J485">IFERROR(_xlfn.XLOOKUP(G485,'Wedgewood Pharm-GA-Yr2-2025'!$E$4:$L$4,
    _xlfn.XLOOKUP('Rate Load'!H485,'Wedgewood Pharm-GA-Yr2-2025'!$D$21:$D$40,
        'Wedgewood Pharm-GA-Yr2-2025'!$E$21:$L$40,0,0),0,0), "No Match")</f>
        <v>11.959999999999999</v>
      </c>
      <c r="K485" t="s">
        <v>46</v>
      </c>
      <c r="L485" t="s">
        <v>13</v>
      </c>
      <c r="M485">
        <v>1</v>
      </c>
      <c r="N485" t="str">
        <f t="shared" si="7"/>
        <v>INSERT INTO TNL_RATING.dbo.usps_rate_master VALUES ('USPS', '2/13/2025', '2/13/2026', 12659, 'US', 'USPS Ground Advantage', 4, 16, 'L', 11.96, 'Wedgewood_USPS_2025', 'NonCubic','1');</v>
      </c>
    </row>
    <row r="486" spans="1:14" x14ac:dyDescent="0.3">
      <c r="A486" t="s">
        <v>11</v>
      </c>
      <c r="B486" s="1" t="s">
        <v>43</v>
      </c>
      <c r="C486" s="1" t="s">
        <v>44</v>
      </c>
      <c r="D486">
        <v>12659</v>
      </c>
      <c r="E486" t="s">
        <v>12</v>
      </c>
      <c r="F486" t="s">
        <v>51</v>
      </c>
      <c r="G486">
        <v>4</v>
      </c>
      <c r="H486">
        <v>17</v>
      </c>
      <c r="I486" t="s">
        <v>45</v>
      </c>
      <c r="J486" cm="1">
        <f t="array" ref="J486">IFERROR(_xlfn.XLOOKUP(G486,'Wedgewood Pharm-GA-Yr2-2025'!$E$4:$L$4,
    _xlfn.XLOOKUP('Rate Load'!H486,'Wedgewood Pharm-GA-Yr2-2025'!$D$21:$D$40,
        'Wedgewood Pharm-GA-Yr2-2025'!$E$21:$L$40,0,0),0,0), "No Match")</f>
        <v>12.33</v>
      </c>
      <c r="K486" t="s">
        <v>46</v>
      </c>
      <c r="L486" t="s">
        <v>13</v>
      </c>
      <c r="M486">
        <v>1</v>
      </c>
      <c r="N486" t="str">
        <f t="shared" si="7"/>
        <v>INSERT INTO TNL_RATING.dbo.usps_rate_master VALUES ('USPS', '2/13/2025', '2/13/2026', 12659, 'US', 'USPS Ground Advantage', 4, 17, 'L', 12.33, 'Wedgewood_USPS_2025', 'NonCubic','1');</v>
      </c>
    </row>
    <row r="487" spans="1:14" x14ac:dyDescent="0.3">
      <c r="A487" t="s">
        <v>11</v>
      </c>
      <c r="B487" s="1" t="s">
        <v>43</v>
      </c>
      <c r="C487" s="1" t="s">
        <v>44</v>
      </c>
      <c r="D487">
        <v>12659</v>
      </c>
      <c r="E487" t="s">
        <v>12</v>
      </c>
      <c r="F487" t="s">
        <v>51</v>
      </c>
      <c r="G487">
        <v>4</v>
      </c>
      <c r="H487">
        <v>18</v>
      </c>
      <c r="I487" t="s">
        <v>45</v>
      </c>
      <c r="J487" cm="1">
        <f t="array" ref="J487">IFERROR(_xlfn.XLOOKUP(G487,'Wedgewood Pharm-GA-Yr2-2025'!$E$4:$L$4,
    _xlfn.XLOOKUP('Rate Load'!H487,'Wedgewood Pharm-GA-Yr2-2025'!$D$21:$D$40,
        'Wedgewood Pharm-GA-Yr2-2025'!$E$21:$L$40,0,0),0,0), "No Match")</f>
        <v>12.549999999999999</v>
      </c>
      <c r="K487" t="s">
        <v>46</v>
      </c>
      <c r="L487" t="s">
        <v>13</v>
      </c>
      <c r="M487">
        <v>1</v>
      </c>
      <c r="N487" t="str">
        <f t="shared" si="7"/>
        <v>INSERT INTO TNL_RATING.dbo.usps_rate_master VALUES ('USPS', '2/13/2025', '2/13/2026', 12659, 'US', 'USPS Ground Advantage', 4, 18, 'L', 12.55, 'Wedgewood_USPS_2025', 'NonCubic','1');</v>
      </c>
    </row>
    <row r="488" spans="1:14" x14ac:dyDescent="0.3">
      <c r="A488" t="s">
        <v>11</v>
      </c>
      <c r="B488" s="1" t="s">
        <v>43</v>
      </c>
      <c r="C488" s="1" t="s">
        <v>44</v>
      </c>
      <c r="D488">
        <v>12659</v>
      </c>
      <c r="E488" t="s">
        <v>12</v>
      </c>
      <c r="F488" t="s">
        <v>51</v>
      </c>
      <c r="G488">
        <v>4</v>
      </c>
      <c r="H488">
        <v>19</v>
      </c>
      <c r="I488" t="s">
        <v>45</v>
      </c>
      <c r="J488" cm="1">
        <f t="array" ref="J488">IFERROR(_xlfn.XLOOKUP(G488,'Wedgewood Pharm-GA-Yr2-2025'!$E$4:$L$4,
    _xlfn.XLOOKUP('Rate Load'!H488,'Wedgewood Pharm-GA-Yr2-2025'!$D$21:$D$40,
        'Wedgewood Pharm-GA-Yr2-2025'!$E$21:$L$40,0,0),0,0), "No Match")</f>
        <v>13.06</v>
      </c>
      <c r="K488" t="s">
        <v>46</v>
      </c>
      <c r="L488" t="s">
        <v>13</v>
      </c>
      <c r="M488">
        <v>1</v>
      </c>
      <c r="N488" t="str">
        <f t="shared" si="7"/>
        <v>INSERT INTO TNL_RATING.dbo.usps_rate_master VALUES ('USPS', '2/13/2025', '2/13/2026', 12659, 'US', 'USPS Ground Advantage', 4, 19, 'L', 13.06, 'Wedgewood_USPS_2025', 'NonCubic','1');</v>
      </c>
    </row>
    <row r="489" spans="1:14" x14ac:dyDescent="0.3">
      <c r="A489" t="s">
        <v>11</v>
      </c>
      <c r="B489" s="1" t="s">
        <v>43</v>
      </c>
      <c r="C489" s="1" t="s">
        <v>44</v>
      </c>
      <c r="D489">
        <v>12659</v>
      </c>
      <c r="E489" t="s">
        <v>12</v>
      </c>
      <c r="F489" t="s">
        <v>51</v>
      </c>
      <c r="G489">
        <v>4</v>
      </c>
      <c r="H489">
        <v>20</v>
      </c>
      <c r="I489" t="s">
        <v>45</v>
      </c>
      <c r="J489" cm="1">
        <f t="array" ref="J489">IFERROR(_xlfn.XLOOKUP(G489,'Wedgewood Pharm-GA-Yr2-2025'!$E$4:$L$4,
    _xlfn.XLOOKUP('Rate Load'!H489,'Wedgewood Pharm-GA-Yr2-2025'!$D$21:$D$40,
        'Wedgewood Pharm-GA-Yr2-2025'!$E$21:$L$40,0,0),0,0), "No Match")</f>
        <v>13.41</v>
      </c>
      <c r="K489" t="s">
        <v>46</v>
      </c>
      <c r="L489" t="s">
        <v>13</v>
      </c>
      <c r="M489">
        <v>1</v>
      </c>
      <c r="N489" t="str">
        <f t="shared" si="7"/>
        <v>INSERT INTO TNL_RATING.dbo.usps_rate_master VALUES ('USPS', '2/13/2025', '2/13/2026', 12659, 'US', 'USPS Ground Advantage', 4, 20, 'L', 13.41, 'Wedgewood_USPS_2025', 'NonCubic','1');</v>
      </c>
    </row>
    <row r="490" spans="1:14" x14ac:dyDescent="0.3">
      <c r="A490" t="s">
        <v>11</v>
      </c>
      <c r="B490" s="1" t="s">
        <v>43</v>
      </c>
      <c r="C490" s="1" t="s">
        <v>44</v>
      </c>
      <c r="D490">
        <v>12659</v>
      </c>
      <c r="E490" t="s">
        <v>12</v>
      </c>
      <c r="F490" t="s">
        <v>51</v>
      </c>
      <c r="G490">
        <v>5</v>
      </c>
      <c r="H490">
        <v>1</v>
      </c>
      <c r="I490" t="s">
        <v>45</v>
      </c>
      <c r="J490" cm="1">
        <f t="array" ref="J490">IFERROR(_xlfn.XLOOKUP(G490,'Wedgewood Pharm-GA-Yr2-2025'!$E$4:$L$4,
    _xlfn.XLOOKUP('Rate Load'!H490,'Wedgewood Pharm-GA-Yr2-2025'!$D$21:$D$40,
        'Wedgewood Pharm-GA-Yr2-2025'!$E$21:$L$40,0,0),0,0), "No Match")</f>
        <v>6.74</v>
      </c>
      <c r="K490" t="s">
        <v>46</v>
      </c>
      <c r="L490" t="s">
        <v>13</v>
      </c>
      <c r="M490">
        <v>1</v>
      </c>
      <c r="N490" t="str">
        <f t="shared" si="7"/>
        <v>INSERT INTO TNL_RATING.dbo.usps_rate_master VALUES ('USPS', '2/13/2025', '2/13/2026', 12659, 'US', 'USPS Ground Advantage', 5, 1, 'L', 6.74, 'Wedgewood_USPS_2025', 'NonCubic','1');</v>
      </c>
    </row>
    <row r="491" spans="1:14" x14ac:dyDescent="0.3">
      <c r="A491" t="s">
        <v>11</v>
      </c>
      <c r="B491" s="1" t="s">
        <v>43</v>
      </c>
      <c r="C491" s="1" t="s">
        <v>44</v>
      </c>
      <c r="D491">
        <v>12659</v>
      </c>
      <c r="E491" t="s">
        <v>12</v>
      </c>
      <c r="F491" t="s">
        <v>51</v>
      </c>
      <c r="G491">
        <v>5</v>
      </c>
      <c r="H491">
        <v>2</v>
      </c>
      <c r="I491" t="s">
        <v>45</v>
      </c>
      <c r="J491" cm="1">
        <f t="array" ref="J491">IFERROR(_xlfn.XLOOKUP(G491,'Wedgewood Pharm-GA-Yr2-2025'!$E$4:$L$4,
    _xlfn.XLOOKUP('Rate Load'!H491,'Wedgewood Pharm-GA-Yr2-2025'!$D$21:$D$40,
        'Wedgewood Pharm-GA-Yr2-2025'!$E$21:$L$40,0,0),0,0), "No Match")</f>
        <v>7.1499999999999995</v>
      </c>
      <c r="K491" t="s">
        <v>46</v>
      </c>
      <c r="L491" t="s">
        <v>13</v>
      </c>
      <c r="M491">
        <v>1</v>
      </c>
      <c r="N491" t="str">
        <f t="shared" si="7"/>
        <v>INSERT INTO TNL_RATING.dbo.usps_rate_master VALUES ('USPS', '2/13/2025', '2/13/2026', 12659, 'US', 'USPS Ground Advantage', 5, 2, 'L', 7.15, 'Wedgewood_USPS_2025', 'NonCubic','1');</v>
      </c>
    </row>
    <row r="492" spans="1:14" x14ac:dyDescent="0.3">
      <c r="A492" t="s">
        <v>11</v>
      </c>
      <c r="B492" s="1" t="s">
        <v>43</v>
      </c>
      <c r="C492" s="1" t="s">
        <v>44</v>
      </c>
      <c r="D492">
        <v>12659</v>
      </c>
      <c r="E492" t="s">
        <v>12</v>
      </c>
      <c r="F492" t="s">
        <v>51</v>
      </c>
      <c r="G492">
        <v>5</v>
      </c>
      <c r="H492">
        <v>3</v>
      </c>
      <c r="I492" t="s">
        <v>45</v>
      </c>
      <c r="J492" cm="1">
        <f t="array" ref="J492">IFERROR(_xlfn.XLOOKUP(G492,'Wedgewood Pharm-GA-Yr2-2025'!$E$4:$L$4,
    _xlfn.XLOOKUP('Rate Load'!H492,'Wedgewood Pharm-GA-Yr2-2025'!$D$21:$D$40,
        'Wedgewood Pharm-GA-Yr2-2025'!$E$21:$L$40,0,0),0,0), "No Match")</f>
        <v>7.8</v>
      </c>
      <c r="K492" t="s">
        <v>46</v>
      </c>
      <c r="L492" t="s">
        <v>13</v>
      </c>
      <c r="M492">
        <v>1</v>
      </c>
      <c r="N492" t="str">
        <f t="shared" si="7"/>
        <v>INSERT INTO TNL_RATING.dbo.usps_rate_master VALUES ('USPS', '2/13/2025', '2/13/2026', 12659, 'US', 'USPS Ground Advantage', 5, 3, 'L', 7.8, 'Wedgewood_USPS_2025', 'NonCubic','1');</v>
      </c>
    </row>
    <row r="493" spans="1:14" x14ac:dyDescent="0.3">
      <c r="A493" t="s">
        <v>11</v>
      </c>
      <c r="B493" s="1" t="s">
        <v>43</v>
      </c>
      <c r="C493" s="1" t="s">
        <v>44</v>
      </c>
      <c r="D493">
        <v>12659</v>
      </c>
      <c r="E493" t="s">
        <v>12</v>
      </c>
      <c r="F493" t="s">
        <v>51</v>
      </c>
      <c r="G493">
        <v>5</v>
      </c>
      <c r="H493">
        <v>4</v>
      </c>
      <c r="I493" t="s">
        <v>45</v>
      </c>
      <c r="J493" cm="1">
        <f t="array" ref="J493">IFERROR(_xlfn.XLOOKUP(G493,'Wedgewood Pharm-GA-Yr2-2025'!$E$4:$L$4,
    _xlfn.XLOOKUP('Rate Load'!H493,'Wedgewood Pharm-GA-Yr2-2025'!$D$21:$D$40,
        'Wedgewood Pharm-GA-Yr2-2025'!$E$21:$L$40,0,0),0,0), "No Match")</f>
        <v>8.74</v>
      </c>
      <c r="K493" t="s">
        <v>46</v>
      </c>
      <c r="L493" t="s">
        <v>13</v>
      </c>
      <c r="M493">
        <v>1</v>
      </c>
      <c r="N493" t="str">
        <f t="shared" si="7"/>
        <v>INSERT INTO TNL_RATING.dbo.usps_rate_master VALUES ('USPS', '2/13/2025', '2/13/2026', 12659, 'US', 'USPS Ground Advantage', 5, 4, 'L', 8.74, 'Wedgewood_USPS_2025', 'NonCubic','1');</v>
      </c>
    </row>
    <row r="494" spans="1:14" x14ac:dyDescent="0.3">
      <c r="A494" t="s">
        <v>11</v>
      </c>
      <c r="B494" s="1" t="s">
        <v>43</v>
      </c>
      <c r="C494" s="1" t="s">
        <v>44</v>
      </c>
      <c r="D494">
        <v>12659</v>
      </c>
      <c r="E494" t="s">
        <v>12</v>
      </c>
      <c r="F494" t="s">
        <v>51</v>
      </c>
      <c r="G494">
        <v>5</v>
      </c>
      <c r="H494">
        <v>5</v>
      </c>
      <c r="I494" t="s">
        <v>45</v>
      </c>
      <c r="J494" cm="1">
        <f t="array" ref="J494">IFERROR(_xlfn.XLOOKUP(G494,'Wedgewood Pharm-GA-Yr2-2025'!$E$4:$L$4,
    _xlfn.XLOOKUP('Rate Load'!H494,'Wedgewood Pharm-GA-Yr2-2025'!$D$21:$D$40,
        'Wedgewood Pharm-GA-Yr2-2025'!$E$21:$L$40,0,0),0,0), "No Match")</f>
        <v>8.98</v>
      </c>
      <c r="K494" t="s">
        <v>46</v>
      </c>
      <c r="L494" t="s">
        <v>13</v>
      </c>
      <c r="M494">
        <v>1</v>
      </c>
      <c r="N494" t="str">
        <f t="shared" si="7"/>
        <v>INSERT INTO TNL_RATING.dbo.usps_rate_master VALUES ('USPS', '2/13/2025', '2/13/2026', 12659, 'US', 'USPS Ground Advantage', 5, 5, 'L', 8.98, 'Wedgewood_USPS_2025', 'NonCubic','1');</v>
      </c>
    </row>
    <row r="495" spans="1:14" x14ac:dyDescent="0.3">
      <c r="A495" t="s">
        <v>11</v>
      </c>
      <c r="B495" s="1" t="s">
        <v>43</v>
      </c>
      <c r="C495" s="1" t="s">
        <v>44</v>
      </c>
      <c r="D495">
        <v>12659</v>
      </c>
      <c r="E495" t="s">
        <v>12</v>
      </c>
      <c r="F495" t="s">
        <v>51</v>
      </c>
      <c r="G495">
        <v>5</v>
      </c>
      <c r="H495">
        <v>6</v>
      </c>
      <c r="I495" t="s">
        <v>45</v>
      </c>
      <c r="J495" cm="1">
        <f t="array" ref="J495">IFERROR(_xlfn.XLOOKUP(G495,'Wedgewood Pharm-GA-Yr2-2025'!$E$4:$L$4,
    _xlfn.XLOOKUP('Rate Load'!H495,'Wedgewood Pharm-GA-Yr2-2025'!$D$21:$D$40,
        'Wedgewood Pharm-GA-Yr2-2025'!$E$21:$L$40,0,0),0,0), "No Match")</f>
        <v>10.14</v>
      </c>
      <c r="K495" t="s">
        <v>46</v>
      </c>
      <c r="L495" t="s">
        <v>13</v>
      </c>
      <c r="M495">
        <v>1</v>
      </c>
      <c r="N495" t="str">
        <f t="shared" si="7"/>
        <v>INSERT INTO TNL_RATING.dbo.usps_rate_master VALUES ('USPS', '2/13/2025', '2/13/2026', 12659, 'US', 'USPS Ground Advantage', 5, 6, 'L', 10.14, 'Wedgewood_USPS_2025', 'NonCubic','1');</v>
      </c>
    </row>
    <row r="496" spans="1:14" x14ac:dyDescent="0.3">
      <c r="A496" t="s">
        <v>11</v>
      </c>
      <c r="B496" s="1" t="s">
        <v>43</v>
      </c>
      <c r="C496" s="1" t="s">
        <v>44</v>
      </c>
      <c r="D496">
        <v>12659</v>
      </c>
      <c r="E496" t="s">
        <v>12</v>
      </c>
      <c r="F496" t="s">
        <v>51</v>
      </c>
      <c r="G496">
        <v>5</v>
      </c>
      <c r="H496">
        <v>7</v>
      </c>
      <c r="I496" t="s">
        <v>45</v>
      </c>
      <c r="J496" cm="1">
        <f t="array" ref="J496">IFERROR(_xlfn.XLOOKUP(G496,'Wedgewood Pharm-GA-Yr2-2025'!$E$4:$L$4,
    _xlfn.XLOOKUP('Rate Load'!H496,'Wedgewood Pharm-GA-Yr2-2025'!$D$21:$D$40,
        'Wedgewood Pharm-GA-Yr2-2025'!$E$21:$L$40,0,0),0,0), "No Match")</f>
        <v>10.48</v>
      </c>
      <c r="K496" t="s">
        <v>46</v>
      </c>
      <c r="L496" t="s">
        <v>13</v>
      </c>
      <c r="M496">
        <v>1</v>
      </c>
      <c r="N496" t="str">
        <f t="shared" si="7"/>
        <v>INSERT INTO TNL_RATING.dbo.usps_rate_master VALUES ('USPS', '2/13/2025', '2/13/2026', 12659, 'US', 'USPS Ground Advantage', 5, 7, 'L', 10.48, 'Wedgewood_USPS_2025', 'NonCubic','1');</v>
      </c>
    </row>
    <row r="497" spans="1:14" x14ac:dyDescent="0.3">
      <c r="A497" t="s">
        <v>11</v>
      </c>
      <c r="B497" s="1" t="s">
        <v>43</v>
      </c>
      <c r="C497" s="1" t="s">
        <v>44</v>
      </c>
      <c r="D497">
        <v>12659</v>
      </c>
      <c r="E497" t="s">
        <v>12</v>
      </c>
      <c r="F497" t="s">
        <v>51</v>
      </c>
      <c r="G497">
        <v>5</v>
      </c>
      <c r="H497">
        <v>8</v>
      </c>
      <c r="I497" t="s">
        <v>45</v>
      </c>
      <c r="J497" cm="1">
        <f t="array" ref="J497">IFERROR(_xlfn.XLOOKUP(G497,'Wedgewood Pharm-GA-Yr2-2025'!$E$4:$L$4,
    _xlfn.XLOOKUP('Rate Load'!H497,'Wedgewood Pharm-GA-Yr2-2025'!$D$21:$D$40,
        'Wedgewood Pharm-GA-Yr2-2025'!$E$21:$L$40,0,0),0,0), "No Match")</f>
        <v>10.75</v>
      </c>
      <c r="K497" t="s">
        <v>46</v>
      </c>
      <c r="L497" t="s">
        <v>13</v>
      </c>
      <c r="M497">
        <v>1</v>
      </c>
      <c r="N497" t="str">
        <f t="shared" si="7"/>
        <v>INSERT INTO TNL_RATING.dbo.usps_rate_master VALUES ('USPS', '2/13/2025', '2/13/2026', 12659, 'US', 'USPS Ground Advantage', 5, 8, 'L', 10.75, 'Wedgewood_USPS_2025', 'NonCubic','1');</v>
      </c>
    </row>
    <row r="498" spans="1:14" x14ac:dyDescent="0.3">
      <c r="A498" t="s">
        <v>11</v>
      </c>
      <c r="B498" s="1" t="s">
        <v>43</v>
      </c>
      <c r="C498" s="1" t="s">
        <v>44</v>
      </c>
      <c r="D498">
        <v>12659</v>
      </c>
      <c r="E498" t="s">
        <v>12</v>
      </c>
      <c r="F498" t="s">
        <v>51</v>
      </c>
      <c r="G498">
        <v>5</v>
      </c>
      <c r="H498">
        <v>9</v>
      </c>
      <c r="I498" t="s">
        <v>45</v>
      </c>
      <c r="J498" cm="1">
        <f t="array" ref="J498">IFERROR(_xlfn.XLOOKUP(G498,'Wedgewood Pharm-GA-Yr2-2025'!$E$4:$L$4,
    _xlfn.XLOOKUP('Rate Load'!H498,'Wedgewood Pharm-GA-Yr2-2025'!$D$21:$D$40,
        'Wedgewood Pharm-GA-Yr2-2025'!$E$21:$L$40,0,0),0,0), "No Match")</f>
        <v>10.92</v>
      </c>
      <c r="K498" t="s">
        <v>46</v>
      </c>
      <c r="L498" t="s">
        <v>13</v>
      </c>
      <c r="M498">
        <v>1</v>
      </c>
      <c r="N498" t="str">
        <f t="shared" si="7"/>
        <v>INSERT INTO TNL_RATING.dbo.usps_rate_master VALUES ('USPS', '2/13/2025', '2/13/2026', 12659, 'US', 'USPS Ground Advantage', 5, 9, 'L', 10.92, 'Wedgewood_USPS_2025', 'NonCubic','1');</v>
      </c>
    </row>
    <row r="499" spans="1:14" x14ac:dyDescent="0.3">
      <c r="A499" t="s">
        <v>11</v>
      </c>
      <c r="B499" s="1" t="s">
        <v>43</v>
      </c>
      <c r="C499" s="1" t="s">
        <v>44</v>
      </c>
      <c r="D499">
        <v>12659</v>
      </c>
      <c r="E499" t="s">
        <v>12</v>
      </c>
      <c r="F499" t="s">
        <v>51</v>
      </c>
      <c r="G499">
        <v>5</v>
      </c>
      <c r="H499">
        <v>10</v>
      </c>
      <c r="I499" t="s">
        <v>45</v>
      </c>
      <c r="J499" cm="1">
        <f t="array" ref="J499">IFERROR(_xlfn.XLOOKUP(G499,'Wedgewood Pharm-GA-Yr2-2025'!$E$4:$L$4,
    _xlfn.XLOOKUP('Rate Load'!H499,'Wedgewood Pharm-GA-Yr2-2025'!$D$21:$D$40,
        'Wedgewood Pharm-GA-Yr2-2025'!$E$21:$L$40,0,0),0,0), "No Match")</f>
        <v>11.2</v>
      </c>
      <c r="K499" t="s">
        <v>46</v>
      </c>
      <c r="L499" t="s">
        <v>13</v>
      </c>
      <c r="M499">
        <v>1</v>
      </c>
      <c r="N499" t="str">
        <f t="shared" si="7"/>
        <v>INSERT INTO TNL_RATING.dbo.usps_rate_master VALUES ('USPS', '2/13/2025', '2/13/2026', 12659, 'US', 'USPS Ground Advantage', 5, 10, 'L', 11.2, 'Wedgewood_USPS_2025', 'NonCubic','1');</v>
      </c>
    </row>
    <row r="500" spans="1:14" x14ac:dyDescent="0.3">
      <c r="A500" t="s">
        <v>11</v>
      </c>
      <c r="B500" s="1" t="s">
        <v>43</v>
      </c>
      <c r="C500" s="1" t="s">
        <v>44</v>
      </c>
      <c r="D500">
        <v>12659</v>
      </c>
      <c r="E500" t="s">
        <v>12</v>
      </c>
      <c r="F500" t="s">
        <v>51</v>
      </c>
      <c r="G500">
        <v>5</v>
      </c>
      <c r="H500">
        <v>11</v>
      </c>
      <c r="I500" t="s">
        <v>45</v>
      </c>
      <c r="J500" cm="1">
        <f t="array" ref="J500">IFERROR(_xlfn.XLOOKUP(G500,'Wedgewood Pharm-GA-Yr2-2025'!$E$4:$L$4,
    _xlfn.XLOOKUP('Rate Load'!H500,'Wedgewood Pharm-GA-Yr2-2025'!$D$21:$D$40,
        'Wedgewood Pharm-GA-Yr2-2025'!$E$21:$L$40,0,0),0,0), "No Match")</f>
        <v>11.5</v>
      </c>
      <c r="K500" t="s">
        <v>46</v>
      </c>
      <c r="L500" t="s">
        <v>13</v>
      </c>
      <c r="M500">
        <v>1</v>
      </c>
      <c r="N500" t="str">
        <f t="shared" si="7"/>
        <v>INSERT INTO TNL_RATING.dbo.usps_rate_master VALUES ('USPS', '2/13/2025', '2/13/2026', 12659, 'US', 'USPS Ground Advantage', 5, 11, 'L', 11.5, 'Wedgewood_USPS_2025', 'NonCubic','1');</v>
      </c>
    </row>
    <row r="501" spans="1:14" x14ac:dyDescent="0.3">
      <c r="A501" t="s">
        <v>11</v>
      </c>
      <c r="B501" s="1" t="s">
        <v>43</v>
      </c>
      <c r="C501" s="1" t="s">
        <v>44</v>
      </c>
      <c r="D501">
        <v>12659</v>
      </c>
      <c r="E501" t="s">
        <v>12</v>
      </c>
      <c r="F501" t="s">
        <v>51</v>
      </c>
      <c r="G501">
        <v>5</v>
      </c>
      <c r="H501">
        <v>12</v>
      </c>
      <c r="I501" t="s">
        <v>45</v>
      </c>
      <c r="J501" cm="1">
        <f t="array" ref="J501">IFERROR(_xlfn.XLOOKUP(G501,'Wedgewood Pharm-GA-Yr2-2025'!$E$4:$L$4,
    _xlfn.XLOOKUP('Rate Load'!H501,'Wedgewood Pharm-GA-Yr2-2025'!$D$21:$D$40,
        'Wedgewood Pharm-GA-Yr2-2025'!$E$21:$L$40,0,0),0,0), "No Match")</f>
        <v>11.81</v>
      </c>
      <c r="K501" t="s">
        <v>46</v>
      </c>
      <c r="L501" t="s">
        <v>13</v>
      </c>
      <c r="M501">
        <v>1</v>
      </c>
      <c r="N501" t="str">
        <f t="shared" si="7"/>
        <v>INSERT INTO TNL_RATING.dbo.usps_rate_master VALUES ('USPS', '2/13/2025', '2/13/2026', 12659, 'US', 'USPS Ground Advantage', 5, 12, 'L', 11.81, 'Wedgewood_USPS_2025', 'NonCubic','1');</v>
      </c>
    </row>
    <row r="502" spans="1:14" x14ac:dyDescent="0.3">
      <c r="A502" t="s">
        <v>11</v>
      </c>
      <c r="B502" s="1" t="s">
        <v>43</v>
      </c>
      <c r="C502" s="1" t="s">
        <v>44</v>
      </c>
      <c r="D502">
        <v>12659</v>
      </c>
      <c r="E502" t="s">
        <v>12</v>
      </c>
      <c r="F502" t="s">
        <v>51</v>
      </c>
      <c r="G502">
        <v>5</v>
      </c>
      <c r="H502">
        <v>13</v>
      </c>
      <c r="I502" t="s">
        <v>45</v>
      </c>
      <c r="J502" cm="1">
        <f t="array" ref="J502">IFERROR(_xlfn.XLOOKUP(G502,'Wedgewood Pharm-GA-Yr2-2025'!$E$4:$L$4,
    _xlfn.XLOOKUP('Rate Load'!H502,'Wedgewood Pharm-GA-Yr2-2025'!$D$21:$D$40,
        'Wedgewood Pharm-GA-Yr2-2025'!$E$21:$L$40,0,0),0,0), "No Match")</f>
        <v>12.25</v>
      </c>
      <c r="K502" t="s">
        <v>46</v>
      </c>
      <c r="L502" t="s">
        <v>13</v>
      </c>
      <c r="M502">
        <v>1</v>
      </c>
      <c r="N502" t="str">
        <f t="shared" si="7"/>
        <v>INSERT INTO TNL_RATING.dbo.usps_rate_master VALUES ('USPS', '2/13/2025', '2/13/2026', 12659, 'US', 'USPS Ground Advantage', 5, 13, 'L', 12.25, 'Wedgewood_USPS_2025', 'NonCubic','1');</v>
      </c>
    </row>
    <row r="503" spans="1:14" x14ac:dyDescent="0.3">
      <c r="A503" t="s">
        <v>11</v>
      </c>
      <c r="B503" s="1" t="s">
        <v>43</v>
      </c>
      <c r="C503" s="1" t="s">
        <v>44</v>
      </c>
      <c r="D503">
        <v>12659</v>
      </c>
      <c r="E503" t="s">
        <v>12</v>
      </c>
      <c r="F503" t="s">
        <v>51</v>
      </c>
      <c r="G503">
        <v>5</v>
      </c>
      <c r="H503">
        <v>14</v>
      </c>
      <c r="I503" t="s">
        <v>45</v>
      </c>
      <c r="J503" cm="1">
        <f t="array" ref="J503">IFERROR(_xlfn.XLOOKUP(G503,'Wedgewood Pharm-GA-Yr2-2025'!$E$4:$L$4,
    _xlfn.XLOOKUP('Rate Load'!H503,'Wedgewood Pharm-GA-Yr2-2025'!$D$21:$D$40,
        'Wedgewood Pharm-GA-Yr2-2025'!$E$21:$L$40,0,0),0,0), "No Match")</f>
        <v>12.56</v>
      </c>
      <c r="K503" t="s">
        <v>46</v>
      </c>
      <c r="L503" t="s">
        <v>13</v>
      </c>
      <c r="M503">
        <v>1</v>
      </c>
      <c r="N503" t="str">
        <f t="shared" si="7"/>
        <v>INSERT INTO TNL_RATING.dbo.usps_rate_master VALUES ('USPS', '2/13/2025', '2/13/2026', 12659, 'US', 'USPS Ground Advantage', 5, 14, 'L', 12.56, 'Wedgewood_USPS_2025', 'NonCubic','1');</v>
      </c>
    </row>
    <row r="504" spans="1:14" x14ac:dyDescent="0.3">
      <c r="A504" t="s">
        <v>11</v>
      </c>
      <c r="B504" s="1" t="s">
        <v>43</v>
      </c>
      <c r="C504" s="1" t="s">
        <v>44</v>
      </c>
      <c r="D504">
        <v>12659</v>
      </c>
      <c r="E504" t="s">
        <v>12</v>
      </c>
      <c r="F504" t="s">
        <v>51</v>
      </c>
      <c r="G504">
        <v>5</v>
      </c>
      <c r="H504">
        <v>15</v>
      </c>
      <c r="I504" t="s">
        <v>45</v>
      </c>
      <c r="J504" cm="1">
        <f t="array" ref="J504">IFERROR(_xlfn.XLOOKUP(G504,'Wedgewood Pharm-GA-Yr2-2025'!$E$4:$L$4,
    _xlfn.XLOOKUP('Rate Load'!H504,'Wedgewood Pharm-GA-Yr2-2025'!$D$21:$D$40,
        'Wedgewood Pharm-GA-Yr2-2025'!$E$21:$L$40,0,0),0,0), "No Match")</f>
        <v>13.15</v>
      </c>
      <c r="K504" t="s">
        <v>46</v>
      </c>
      <c r="L504" t="s">
        <v>13</v>
      </c>
      <c r="M504">
        <v>1</v>
      </c>
      <c r="N504" t="str">
        <f t="shared" si="7"/>
        <v>INSERT INTO TNL_RATING.dbo.usps_rate_master VALUES ('USPS', '2/13/2025', '2/13/2026', 12659, 'US', 'USPS Ground Advantage', 5, 15, 'L', 13.15, 'Wedgewood_USPS_2025', 'NonCubic','1');</v>
      </c>
    </row>
    <row r="505" spans="1:14" x14ac:dyDescent="0.3">
      <c r="A505" t="s">
        <v>11</v>
      </c>
      <c r="B505" s="1" t="s">
        <v>43</v>
      </c>
      <c r="C505" s="1" t="s">
        <v>44</v>
      </c>
      <c r="D505">
        <v>12659</v>
      </c>
      <c r="E505" t="s">
        <v>12</v>
      </c>
      <c r="F505" t="s">
        <v>51</v>
      </c>
      <c r="G505">
        <v>5</v>
      </c>
      <c r="H505">
        <v>16</v>
      </c>
      <c r="I505" t="s">
        <v>45</v>
      </c>
      <c r="J505" cm="1">
        <f t="array" ref="J505">IFERROR(_xlfn.XLOOKUP(G505,'Wedgewood Pharm-GA-Yr2-2025'!$E$4:$L$4,
    _xlfn.XLOOKUP('Rate Load'!H505,'Wedgewood Pharm-GA-Yr2-2025'!$D$21:$D$40,
        'Wedgewood Pharm-GA-Yr2-2025'!$E$21:$L$40,0,0),0,0), "No Match")</f>
        <v>13.42</v>
      </c>
      <c r="K505" t="s">
        <v>46</v>
      </c>
      <c r="L505" t="s">
        <v>13</v>
      </c>
      <c r="M505">
        <v>1</v>
      </c>
      <c r="N505" t="str">
        <f t="shared" si="7"/>
        <v>INSERT INTO TNL_RATING.dbo.usps_rate_master VALUES ('USPS', '2/13/2025', '2/13/2026', 12659, 'US', 'USPS Ground Advantage', 5, 16, 'L', 13.42, 'Wedgewood_USPS_2025', 'NonCubic','1');</v>
      </c>
    </row>
    <row r="506" spans="1:14" x14ac:dyDescent="0.3">
      <c r="A506" t="s">
        <v>11</v>
      </c>
      <c r="B506" s="1" t="s">
        <v>43</v>
      </c>
      <c r="C506" s="1" t="s">
        <v>44</v>
      </c>
      <c r="D506">
        <v>12659</v>
      </c>
      <c r="E506" t="s">
        <v>12</v>
      </c>
      <c r="F506" t="s">
        <v>51</v>
      </c>
      <c r="G506">
        <v>5</v>
      </c>
      <c r="H506">
        <v>17</v>
      </c>
      <c r="I506" t="s">
        <v>45</v>
      </c>
      <c r="J506" cm="1">
        <f t="array" ref="J506">IFERROR(_xlfn.XLOOKUP(G506,'Wedgewood Pharm-GA-Yr2-2025'!$E$4:$L$4,
    _xlfn.XLOOKUP('Rate Load'!H506,'Wedgewood Pharm-GA-Yr2-2025'!$D$21:$D$40,
        'Wedgewood Pharm-GA-Yr2-2025'!$E$21:$L$40,0,0),0,0), "No Match")</f>
        <v>13.98</v>
      </c>
      <c r="K506" t="s">
        <v>46</v>
      </c>
      <c r="L506" t="s">
        <v>13</v>
      </c>
      <c r="M506">
        <v>1</v>
      </c>
      <c r="N506" t="str">
        <f t="shared" si="7"/>
        <v>INSERT INTO TNL_RATING.dbo.usps_rate_master VALUES ('USPS', '2/13/2025', '2/13/2026', 12659, 'US', 'USPS Ground Advantage', 5, 17, 'L', 13.98, 'Wedgewood_USPS_2025', 'NonCubic','1');</v>
      </c>
    </row>
    <row r="507" spans="1:14" x14ac:dyDescent="0.3">
      <c r="A507" t="s">
        <v>11</v>
      </c>
      <c r="B507" s="1" t="s">
        <v>43</v>
      </c>
      <c r="C507" s="1" t="s">
        <v>44</v>
      </c>
      <c r="D507">
        <v>12659</v>
      </c>
      <c r="E507" t="s">
        <v>12</v>
      </c>
      <c r="F507" t="s">
        <v>51</v>
      </c>
      <c r="G507">
        <v>5</v>
      </c>
      <c r="H507">
        <v>18</v>
      </c>
      <c r="I507" t="s">
        <v>45</v>
      </c>
      <c r="J507" cm="1">
        <f t="array" ref="J507">IFERROR(_xlfn.XLOOKUP(G507,'Wedgewood Pharm-GA-Yr2-2025'!$E$4:$L$4,
    _xlfn.XLOOKUP('Rate Load'!H507,'Wedgewood Pharm-GA-Yr2-2025'!$D$21:$D$40,
        'Wedgewood Pharm-GA-Yr2-2025'!$E$21:$L$40,0,0),0,0), "No Match")</f>
        <v>14.549999999999999</v>
      </c>
      <c r="K507" t="s">
        <v>46</v>
      </c>
      <c r="L507" t="s">
        <v>13</v>
      </c>
      <c r="M507">
        <v>1</v>
      </c>
      <c r="N507" t="str">
        <f t="shared" si="7"/>
        <v>INSERT INTO TNL_RATING.dbo.usps_rate_master VALUES ('USPS', '2/13/2025', '2/13/2026', 12659, 'US', 'USPS Ground Advantage', 5, 18, 'L', 14.55, 'Wedgewood_USPS_2025', 'NonCubic','1');</v>
      </c>
    </row>
    <row r="508" spans="1:14" x14ac:dyDescent="0.3">
      <c r="A508" t="s">
        <v>11</v>
      </c>
      <c r="B508" s="1" t="s">
        <v>43</v>
      </c>
      <c r="C508" s="1" t="s">
        <v>44</v>
      </c>
      <c r="D508">
        <v>12659</v>
      </c>
      <c r="E508" t="s">
        <v>12</v>
      </c>
      <c r="F508" t="s">
        <v>51</v>
      </c>
      <c r="G508">
        <v>5</v>
      </c>
      <c r="H508">
        <v>19</v>
      </c>
      <c r="I508" t="s">
        <v>45</v>
      </c>
      <c r="J508" cm="1">
        <f t="array" ref="J508">IFERROR(_xlfn.XLOOKUP(G508,'Wedgewood Pharm-GA-Yr2-2025'!$E$4:$L$4,
    _xlfn.XLOOKUP('Rate Load'!H508,'Wedgewood Pharm-GA-Yr2-2025'!$D$21:$D$40,
        'Wedgewood Pharm-GA-Yr2-2025'!$E$21:$L$40,0,0),0,0), "No Match")</f>
        <v>15.37</v>
      </c>
      <c r="K508" t="s">
        <v>46</v>
      </c>
      <c r="L508" t="s">
        <v>13</v>
      </c>
      <c r="M508">
        <v>1</v>
      </c>
      <c r="N508" t="str">
        <f t="shared" si="7"/>
        <v>INSERT INTO TNL_RATING.dbo.usps_rate_master VALUES ('USPS', '2/13/2025', '2/13/2026', 12659, 'US', 'USPS Ground Advantage', 5, 19, 'L', 15.37, 'Wedgewood_USPS_2025', 'NonCubic','1');</v>
      </c>
    </row>
    <row r="509" spans="1:14" x14ac:dyDescent="0.3">
      <c r="A509" t="s">
        <v>11</v>
      </c>
      <c r="B509" s="1" t="s">
        <v>43</v>
      </c>
      <c r="C509" s="1" t="s">
        <v>44</v>
      </c>
      <c r="D509">
        <v>12659</v>
      </c>
      <c r="E509" t="s">
        <v>12</v>
      </c>
      <c r="F509" t="s">
        <v>51</v>
      </c>
      <c r="G509">
        <v>5</v>
      </c>
      <c r="H509">
        <v>20</v>
      </c>
      <c r="I509" t="s">
        <v>45</v>
      </c>
      <c r="J509" cm="1">
        <f t="array" ref="J509">IFERROR(_xlfn.XLOOKUP(G509,'Wedgewood Pharm-GA-Yr2-2025'!$E$4:$L$4,
    _xlfn.XLOOKUP('Rate Load'!H509,'Wedgewood Pharm-GA-Yr2-2025'!$D$21:$D$40,
        'Wedgewood Pharm-GA-Yr2-2025'!$E$21:$L$40,0,0),0,0), "No Match")</f>
        <v>15.83</v>
      </c>
      <c r="K509" t="s">
        <v>46</v>
      </c>
      <c r="L509" t="s">
        <v>13</v>
      </c>
      <c r="M509">
        <v>1</v>
      </c>
      <c r="N509" t="str">
        <f t="shared" si="7"/>
        <v>INSERT INTO TNL_RATING.dbo.usps_rate_master VALUES ('USPS', '2/13/2025', '2/13/2026', 12659, 'US', 'USPS Ground Advantage', 5, 20, 'L', 15.83, 'Wedgewood_USPS_2025', 'NonCubic','1');</v>
      </c>
    </row>
    <row r="510" spans="1:14" x14ac:dyDescent="0.3">
      <c r="A510" t="s">
        <v>11</v>
      </c>
      <c r="B510" s="1" t="s">
        <v>43</v>
      </c>
      <c r="C510" s="1" t="s">
        <v>44</v>
      </c>
      <c r="D510">
        <v>12659</v>
      </c>
      <c r="E510" t="s">
        <v>12</v>
      </c>
      <c r="F510" t="s">
        <v>51</v>
      </c>
      <c r="G510">
        <v>6</v>
      </c>
      <c r="H510">
        <v>1</v>
      </c>
      <c r="I510" t="s">
        <v>45</v>
      </c>
      <c r="J510" cm="1">
        <f t="array" ref="J510">IFERROR(_xlfn.XLOOKUP(G510,'Wedgewood Pharm-GA-Yr2-2025'!$E$4:$L$4,
    _xlfn.XLOOKUP('Rate Load'!H510,'Wedgewood Pharm-GA-Yr2-2025'!$D$21:$D$40,
        'Wedgewood Pharm-GA-Yr2-2025'!$E$21:$L$40,0,0),0,0), "No Match")</f>
        <v>6.96</v>
      </c>
      <c r="K510" t="s">
        <v>46</v>
      </c>
      <c r="L510" t="s">
        <v>13</v>
      </c>
      <c r="M510">
        <v>1</v>
      </c>
      <c r="N510" t="str">
        <f t="shared" si="7"/>
        <v>INSERT INTO TNL_RATING.dbo.usps_rate_master VALUES ('USPS', '2/13/2025', '2/13/2026', 12659, 'US', 'USPS Ground Advantage', 6, 1, 'L', 6.96, 'Wedgewood_USPS_2025', 'NonCubic','1');</v>
      </c>
    </row>
    <row r="511" spans="1:14" x14ac:dyDescent="0.3">
      <c r="A511" t="s">
        <v>11</v>
      </c>
      <c r="B511" s="1" t="s">
        <v>43</v>
      </c>
      <c r="C511" s="1" t="s">
        <v>44</v>
      </c>
      <c r="D511">
        <v>12659</v>
      </c>
      <c r="E511" t="s">
        <v>12</v>
      </c>
      <c r="F511" t="s">
        <v>51</v>
      </c>
      <c r="G511">
        <v>6</v>
      </c>
      <c r="H511">
        <v>2</v>
      </c>
      <c r="I511" t="s">
        <v>45</v>
      </c>
      <c r="J511" cm="1">
        <f t="array" ref="J511">IFERROR(_xlfn.XLOOKUP(G511,'Wedgewood Pharm-GA-Yr2-2025'!$E$4:$L$4,
    _xlfn.XLOOKUP('Rate Load'!H511,'Wedgewood Pharm-GA-Yr2-2025'!$D$21:$D$40,
        'Wedgewood Pharm-GA-Yr2-2025'!$E$21:$L$40,0,0),0,0), "No Match")</f>
        <v>8.0299999999999994</v>
      </c>
      <c r="K511" t="s">
        <v>46</v>
      </c>
      <c r="L511" t="s">
        <v>13</v>
      </c>
      <c r="M511">
        <v>1</v>
      </c>
      <c r="N511" t="str">
        <f t="shared" si="7"/>
        <v>INSERT INTO TNL_RATING.dbo.usps_rate_master VALUES ('USPS', '2/13/2025', '2/13/2026', 12659, 'US', 'USPS Ground Advantage', 6, 2, 'L', 8.03, 'Wedgewood_USPS_2025', 'NonCubic','1');</v>
      </c>
    </row>
    <row r="512" spans="1:14" x14ac:dyDescent="0.3">
      <c r="A512" t="s">
        <v>11</v>
      </c>
      <c r="B512" s="1" t="s">
        <v>43</v>
      </c>
      <c r="C512" s="1" t="s">
        <v>44</v>
      </c>
      <c r="D512">
        <v>12659</v>
      </c>
      <c r="E512" t="s">
        <v>12</v>
      </c>
      <c r="F512" t="s">
        <v>51</v>
      </c>
      <c r="G512">
        <v>6</v>
      </c>
      <c r="H512">
        <v>3</v>
      </c>
      <c r="I512" t="s">
        <v>45</v>
      </c>
      <c r="J512" cm="1">
        <f t="array" ref="J512">IFERROR(_xlfn.XLOOKUP(G512,'Wedgewood Pharm-GA-Yr2-2025'!$E$4:$L$4,
    _xlfn.XLOOKUP('Rate Load'!H512,'Wedgewood Pharm-GA-Yr2-2025'!$D$21:$D$40,
        'Wedgewood Pharm-GA-Yr2-2025'!$E$21:$L$40,0,0),0,0), "No Match")</f>
        <v>9.2899999999999991</v>
      </c>
      <c r="K512" t="s">
        <v>46</v>
      </c>
      <c r="L512" t="s">
        <v>13</v>
      </c>
      <c r="M512">
        <v>1</v>
      </c>
      <c r="N512" t="str">
        <f t="shared" si="7"/>
        <v>INSERT INTO TNL_RATING.dbo.usps_rate_master VALUES ('USPS', '2/13/2025', '2/13/2026', 12659, 'US', 'USPS Ground Advantage', 6, 3, 'L', 9.29, 'Wedgewood_USPS_2025', 'NonCubic','1');</v>
      </c>
    </row>
    <row r="513" spans="1:14" x14ac:dyDescent="0.3">
      <c r="A513" t="s">
        <v>11</v>
      </c>
      <c r="B513" s="1" t="s">
        <v>43</v>
      </c>
      <c r="C513" s="1" t="s">
        <v>44</v>
      </c>
      <c r="D513">
        <v>12659</v>
      </c>
      <c r="E513" t="s">
        <v>12</v>
      </c>
      <c r="F513" t="s">
        <v>51</v>
      </c>
      <c r="G513">
        <v>6</v>
      </c>
      <c r="H513">
        <v>4</v>
      </c>
      <c r="I513" t="s">
        <v>45</v>
      </c>
      <c r="J513" cm="1">
        <f t="array" ref="J513">IFERROR(_xlfn.XLOOKUP(G513,'Wedgewood Pharm-GA-Yr2-2025'!$E$4:$L$4,
    _xlfn.XLOOKUP('Rate Load'!H513,'Wedgewood Pharm-GA-Yr2-2025'!$D$21:$D$40,
        'Wedgewood Pharm-GA-Yr2-2025'!$E$21:$L$40,0,0),0,0), "No Match")</f>
        <v>9.84</v>
      </c>
      <c r="K513" t="s">
        <v>46</v>
      </c>
      <c r="L513" t="s">
        <v>13</v>
      </c>
      <c r="M513">
        <v>1</v>
      </c>
      <c r="N513" t="str">
        <f t="shared" si="7"/>
        <v>INSERT INTO TNL_RATING.dbo.usps_rate_master VALUES ('USPS', '2/13/2025', '2/13/2026', 12659, 'US', 'USPS Ground Advantage', 6, 4, 'L', 9.84, 'Wedgewood_USPS_2025', 'NonCubic','1');</v>
      </c>
    </row>
    <row r="514" spans="1:14" x14ac:dyDescent="0.3">
      <c r="A514" t="s">
        <v>11</v>
      </c>
      <c r="B514" s="1" t="s">
        <v>43</v>
      </c>
      <c r="C514" s="1" t="s">
        <v>44</v>
      </c>
      <c r="D514">
        <v>12659</v>
      </c>
      <c r="E514" t="s">
        <v>12</v>
      </c>
      <c r="F514" t="s">
        <v>51</v>
      </c>
      <c r="G514">
        <v>6</v>
      </c>
      <c r="H514">
        <v>5</v>
      </c>
      <c r="I514" t="s">
        <v>45</v>
      </c>
      <c r="J514" cm="1">
        <f t="array" ref="J514">IFERROR(_xlfn.XLOOKUP(G514,'Wedgewood Pharm-GA-Yr2-2025'!$E$4:$L$4,
    _xlfn.XLOOKUP('Rate Load'!H514,'Wedgewood Pharm-GA-Yr2-2025'!$D$21:$D$40,
        'Wedgewood Pharm-GA-Yr2-2025'!$E$21:$L$40,0,0),0,0), "No Match")</f>
        <v>10.43</v>
      </c>
      <c r="K514" t="s">
        <v>46</v>
      </c>
      <c r="L514" t="s">
        <v>13</v>
      </c>
      <c r="M514">
        <v>1</v>
      </c>
      <c r="N514" t="str">
        <f t="shared" si="7"/>
        <v>INSERT INTO TNL_RATING.dbo.usps_rate_master VALUES ('USPS', '2/13/2025', '2/13/2026', 12659, 'US', 'USPS Ground Advantage', 6, 5, 'L', 10.43, 'Wedgewood_USPS_2025', 'NonCubic','1');</v>
      </c>
    </row>
    <row r="515" spans="1:14" x14ac:dyDescent="0.3">
      <c r="A515" t="s">
        <v>11</v>
      </c>
      <c r="B515" s="1" t="s">
        <v>43</v>
      </c>
      <c r="C515" s="1" t="s">
        <v>44</v>
      </c>
      <c r="D515">
        <v>12659</v>
      </c>
      <c r="E515" t="s">
        <v>12</v>
      </c>
      <c r="F515" t="s">
        <v>51</v>
      </c>
      <c r="G515">
        <v>6</v>
      </c>
      <c r="H515">
        <v>6</v>
      </c>
      <c r="I515" t="s">
        <v>45</v>
      </c>
      <c r="J515" cm="1">
        <f t="array" ref="J515">IFERROR(_xlfn.XLOOKUP(G515,'Wedgewood Pharm-GA-Yr2-2025'!$E$4:$L$4,
    _xlfn.XLOOKUP('Rate Load'!H515,'Wedgewood Pharm-GA-Yr2-2025'!$D$21:$D$40,
        'Wedgewood Pharm-GA-Yr2-2025'!$E$21:$L$40,0,0),0,0), "No Match")</f>
        <v>10.7</v>
      </c>
      <c r="K515" t="s">
        <v>46</v>
      </c>
      <c r="L515" t="s">
        <v>13</v>
      </c>
      <c r="M515">
        <v>1</v>
      </c>
      <c r="N515" t="str">
        <f t="shared" ref="N515:N578" si="8">"INSERT INTO TNL_RATING.dbo.usps_rate_master VALUES ('" &amp; A515 &amp; "', '" &amp; B515 &amp; "', '" &amp; C515 &amp; "', " &amp; D515 &amp; ", '" &amp; E515 &amp; "', '" &amp; F515 &amp; "', " &amp; G515 &amp; ", " &amp; H515 &amp; ", '" &amp; I515 &amp; "', " &amp; J515 &amp; ", '" &amp; K515 &amp; "', '" &amp; L515 &amp; "','" &amp; M515 &amp; "');"</f>
        <v>INSERT INTO TNL_RATING.dbo.usps_rate_master VALUES ('USPS', '2/13/2025', '2/13/2026', 12659, 'US', 'USPS Ground Advantage', 6, 6, 'L', 10.7, 'Wedgewood_USPS_2025', 'NonCubic','1');</v>
      </c>
    </row>
    <row r="516" spans="1:14" x14ac:dyDescent="0.3">
      <c r="A516" t="s">
        <v>11</v>
      </c>
      <c r="B516" s="1" t="s">
        <v>43</v>
      </c>
      <c r="C516" s="1" t="s">
        <v>44</v>
      </c>
      <c r="D516">
        <v>12659</v>
      </c>
      <c r="E516" t="s">
        <v>12</v>
      </c>
      <c r="F516" t="s">
        <v>51</v>
      </c>
      <c r="G516">
        <v>6</v>
      </c>
      <c r="H516">
        <v>7</v>
      </c>
      <c r="I516" t="s">
        <v>45</v>
      </c>
      <c r="J516" cm="1">
        <f t="array" ref="J516">IFERROR(_xlfn.XLOOKUP(G516,'Wedgewood Pharm-GA-Yr2-2025'!$E$4:$L$4,
    _xlfn.XLOOKUP('Rate Load'!H516,'Wedgewood Pharm-GA-Yr2-2025'!$D$21:$D$40,
        'Wedgewood Pharm-GA-Yr2-2025'!$E$21:$L$40,0,0),0,0), "No Match")</f>
        <v>11.03</v>
      </c>
      <c r="K516" t="s">
        <v>46</v>
      </c>
      <c r="L516" t="s">
        <v>13</v>
      </c>
      <c r="M516">
        <v>1</v>
      </c>
      <c r="N516" t="str">
        <f t="shared" si="8"/>
        <v>INSERT INTO TNL_RATING.dbo.usps_rate_master VALUES ('USPS', '2/13/2025', '2/13/2026', 12659, 'US', 'USPS Ground Advantage', 6, 7, 'L', 11.03, 'Wedgewood_USPS_2025', 'NonCubic','1');</v>
      </c>
    </row>
    <row r="517" spans="1:14" x14ac:dyDescent="0.3">
      <c r="A517" t="s">
        <v>11</v>
      </c>
      <c r="B517" s="1" t="s">
        <v>43</v>
      </c>
      <c r="C517" s="1" t="s">
        <v>44</v>
      </c>
      <c r="D517">
        <v>12659</v>
      </c>
      <c r="E517" t="s">
        <v>12</v>
      </c>
      <c r="F517" t="s">
        <v>51</v>
      </c>
      <c r="G517">
        <v>6</v>
      </c>
      <c r="H517">
        <v>8</v>
      </c>
      <c r="I517" t="s">
        <v>45</v>
      </c>
      <c r="J517" cm="1">
        <f t="array" ref="J517">IFERROR(_xlfn.XLOOKUP(G517,'Wedgewood Pharm-GA-Yr2-2025'!$E$4:$L$4,
    _xlfn.XLOOKUP('Rate Load'!H517,'Wedgewood Pharm-GA-Yr2-2025'!$D$21:$D$40,
        'Wedgewood Pharm-GA-Yr2-2025'!$E$21:$L$40,0,0),0,0), "No Match")</f>
        <v>11.4</v>
      </c>
      <c r="K517" t="s">
        <v>46</v>
      </c>
      <c r="L517" t="s">
        <v>13</v>
      </c>
      <c r="M517">
        <v>1</v>
      </c>
      <c r="N517" t="str">
        <f t="shared" si="8"/>
        <v>INSERT INTO TNL_RATING.dbo.usps_rate_master VALUES ('USPS', '2/13/2025', '2/13/2026', 12659, 'US', 'USPS Ground Advantage', 6, 8, 'L', 11.4, 'Wedgewood_USPS_2025', 'NonCubic','1');</v>
      </c>
    </row>
    <row r="518" spans="1:14" x14ac:dyDescent="0.3">
      <c r="A518" t="s">
        <v>11</v>
      </c>
      <c r="B518" s="1" t="s">
        <v>43</v>
      </c>
      <c r="C518" s="1" t="s">
        <v>44</v>
      </c>
      <c r="D518">
        <v>12659</v>
      </c>
      <c r="E518" t="s">
        <v>12</v>
      </c>
      <c r="F518" t="s">
        <v>51</v>
      </c>
      <c r="G518">
        <v>6</v>
      </c>
      <c r="H518">
        <v>9</v>
      </c>
      <c r="I518" t="s">
        <v>45</v>
      </c>
      <c r="J518" cm="1">
        <f t="array" ref="J518">IFERROR(_xlfn.XLOOKUP(G518,'Wedgewood Pharm-GA-Yr2-2025'!$E$4:$L$4,
    _xlfn.XLOOKUP('Rate Load'!H518,'Wedgewood Pharm-GA-Yr2-2025'!$D$21:$D$40,
        'Wedgewood Pharm-GA-Yr2-2025'!$E$21:$L$40,0,0),0,0), "No Match")</f>
        <v>11.69</v>
      </c>
      <c r="K518" t="s">
        <v>46</v>
      </c>
      <c r="L518" t="s">
        <v>13</v>
      </c>
      <c r="M518">
        <v>1</v>
      </c>
      <c r="N518" t="str">
        <f t="shared" si="8"/>
        <v>INSERT INTO TNL_RATING.dbo.usps_rate_master VALUES ('USPS', '2/13/2025', '2/13/2026', 12659, 'US', 'USPS Ground Advantage', 6, 9, 'L', 11.69, 'Wedgewood_USPS_2025', 'NonCubic','1');</v>
      </c>
    </row>
    <row r="519" spans="1:14" x14ac:dyDescent="0.3">
      <c r="A519" t="s">
        <v>11</v>
      </c>
      <c r="B519" s="1" t="s">
        <v>43</v>
      </c>
      <c r="C519" s="1" t="s">
        <v>44</v>
      </c>
      <c r="D519">
        <v>12659</v>
      </c>
      <c r="E519" t="s">
        <v>12</v>
      </c>
      <c r="F519" t="s">
        <v>51</v>
      </c>
      <c r="G519">
        <v>6</v>
      </c>
      <c r="H519">
        <v>10</v>
      </c>
      <c r="I519" t="s">
        <v>45</v>
      </c>
      <c r="J519" cm="1">
        <f t="array" ref="J519">IFERROR(_xlfn.XLOOKUP(G519,'Wedgewood Pharm-GA-Yr2-2025'!$E$4:$L$4,
    _xlfn.XLOOKUP('Rate Load'!H519,'Wedgewood Pharm-GA-Yr2-2025'!$D$21:$D$40,
        'Wedgewood Pharm-GA-Yr2-2025'!$E$21:$L$40,0,0),0,0), "No Match")</f>
        <v>11.99</v>
      </c>
      <c r="K519" t="s">
        <v>46</v>
      </c>
      <c r="L519" t="s">
        <v>13</v>
      </c>
      <c r="M519">
        <v>1</v>
      </c>
      <c r="N519" t="str">
        <f t="shared" si="8"/>
        <v>INSERT INTO TNL_RATING.dbo.usps_rate_master VALUES ('USPS', '2/13/2025', '2/13/2026', 12659, 'US', 'USPS Ground Advantage', 6, 10, 'L', 11.99, 'Wedgewood_USPS_2025', 'NonCubic','1');</v>
      </c>
    </row>
    <row r="520" spans="1:14" x14ac:dyDescent="0.3">
      <c r="A520" t="s">
        <v>11</v>
      </c>
      <c r="B520" s="1" t="s">
        <v>43</v>
      </c>
      <c r="C520" s="1" t="s">
        <v>44</v>
      </c>
      <c r="D520">
        <v>12659</v>
      </c>
      <c r="E520" t="s">
        <v>12</v>
      </c>
      <c r="F520" t="s">
        <v>51</v>
      </c>
      <c r="G520">
        <v>6</v>
      </c>
      <c r="H520">
        <v>11</v>
      </c>
      <c r="I520" t="s">
        <v>45</v>
      </c>
      <c r="J520" cm="1">
        <f t="array" ref="J520">IFERROR(_xlfn.XLOOKUP(G520,'Wedgewood Pharm-GA-Yr2-2025'!$E$4:$L$4,
    _xlfn.XLOOKUP('Rate Load'!H520,'Wedgewood Pharm-GA-Yr2-2025'!$D$21:$D$40,
        'Wedgewood Pharm-GA-Yr2-2025'!$E$21:$L$40,0,0),0,0), "No Match")</f>
        <v>12.42</v>
      </c>
      <c r="K520" t="s">
        <v>46</v>
      </c>
      <c r="L520" t="s">
        <v>13</v>
      </c>
      <c r="M520">
        <v>1</v>
      </c>
      <c r="N520" t="str">
        <f t="shared" si="8"/>
        <v>INSERT INTO TNL_RATING.dbo.usps_rate_master VALUES ('USPS', '2/13/2025', '2/13/2026', 12659, 'US', 'USPS Ground Advantage', 6, 11, 'L', 12.42, 'Wedgewood_USPS_2025', 'NonCubic','1');</v>
      </c>
    </row>
    <row r="521" spans="1:14" x14ac:dyDescent="0.3">
      <c r="A521" t="s">
        <v>11</v>
      </c>
      <c r="B521" s="1" t="s">
        <v>43</v>
      </c>
      <c r="C521" s="1" t="s">
        <v>44</v>
      </c>
      <c r="D521">
        <v>12659</v>
      </c>
      <c r="E521" t="s">
        <v>12</v>
      </c>
      <c r="F521" t="s">
        <v>51</v>
      </c>
      <c r="G521">
        <v>6</v>
      </c>
      <c r="H521">
        <v>12</v>
      </c>
      <c r="I521" t="s">
        <v>45</v>
      </c>
      <c r="J521" cm="1">
        <f t="array" ref="J521">IFERROR(_xlfn.XLOOKUP(G521,'Wedgewood Pharm-GA-Yr2-2025'!$E$4:$L$4,
    _xlfn.XLOOKUP('Rate Load'!H521,'Wedgewood Pharm-GA-Yr2-2025'!$D$21:$D$40,
        'Wedgewood Pharm-GA-Yr2-2025'!$E$21:$L$40,0,0),0,0), "No Match")</f>
        <v>12.959999999999999</v>
      </c>
      <c r="K521" t="s">
        <v>46</v>
      </c>
      <c r="L521" t="s">
        <v>13</v>
      </c>
      <c r="M521">
        <v>1</v>
      </c>
      <c r="N521" t="str">
        <f t="shared" si="8"/>
        <v>INSERT INTO TNL_RATING.dbo.usps_rate_master VALUES ('USPS', '2/13/2025', '2/13/2026', 12659, 'US', 'USPS Ground Advantage', 6, 12, 'L', 12.96, 'Wedgewood_USPS_2025', 'NonCubic','1');</v>
      </c>
    </row>
    <row r="522" spans="1:14" x14ac:dyDescent="0.3">
      <c r="A522" t="s">
        <v>11</v>
      </c>
      <c r="B522" s="1" t="s">
        <v>43</v>
      </c>
      <c r="C522" s="1" t="s">
        <v>44</v>
      </c>
      <c r="D522">
        <v>12659</v>
      </c>
      <c r="E522" t="s">
        <v>12</v>
      </c>
      <c r="F522" t="s">
        <v>51</v>
      </c>
      <c r="G522">
        <v>6</v>
      </c>
      <c r="H522">
        <v>13</v>
      </c>
      <c r="I522" t="s">
        <v>45</v>
      </c>
      <c r="J522" cm="1">
        <f t="array" ref="J522">IFERROR(_xlfn.XLOOKUP(G522,'Wedgewood Pharm-GA-Yr2-2025'!$E$4:$L$4,
    _xlfn.XLOOKUP('Rate Load'!H522,'Wedgewood Pharm-GA-Yr2-2025'!$D$21:$D$40,
        'Wedgewood Pharm-GA-Yr2-2025'!$E$21:$L$40,0,0),0,0), "No Match")</f>
        <v>13.459999999999999</v>
      </c>
      <c r="K522" t="s">
        <v>46</v>
      </c>
      <c r="L522" t="s">
        <v>13</v>
      </c>
      <c r="M522">
        <v>1</v>
      </c>
      <c r="N522" t="str">
        <f t="shared" si="8"/>
        <v>INSERT INTO TNL_RATING.dbo.usps_rate_master VALUES ('USPS', '2/13/2025', '2/13/2026', 12659, 'US', 'USPS Ground Advantage', 6, 13, 'L', 13.46, 'Wedgewood_USPS_2025', 'NonCubic','1');</v>
      </c>
    </row>
    <row r="523" spans="1:14" x14ac:dyDescent="0.3">
      <c r="A523" t="s">
        <v>11</v>
      </c>
      <c r="B523" s="1" t="s">
        <v>43</v>
      </c>
      <c r="C523" s="1" t="s">
        <v>44</v>
      </c>
      <c r="D523">
        <v>12659</v>
      </c>
      <c r="E523" t="s">
        <v>12</v>
      </c>
      <c r="F523" t="s">
        <v>51</v>
      </c>
      <c r="G523">
        <v>6</v>
      </c>
      <c r="H523">
        <v>14</v>
      </c>
      <c r="I523" t="s">
        <v>45</v>
      </c>
      <c r="J523" cm="1">
        <f t="array" ref="J523">IFERROR(_xlfn.XLOOKUP(G523,'Wedgewood Pharm-GA-Yr2-2025'!$E$4:$L$4,
    _xlfn.XLOOKUP('Rate Load'!H523,'Wedgewood Pharm-GA-Yr2-2025'!$D$21:$D$40,
        'Wedgewood Pharm-GA-Yr2-2025'!$E$21:$L$40,0,0),0,0), "No Match")</f>
        <v>14.24</v>
      </c>
      <c r="K523" t="s">
        <v>46</v>
      </c>
      <c r="L523" t="s">
        <v>13</v>
      </c>
      <c r="M523">
        <v>1</v>
      </c>
      <c r="N523" t="str">
        <f t="shared" si="8"/>
        <v>INSERT INTO TNL_RATING.dbo.usps_rate_master VALUES ('USPS', '2/13/2025', '2/13/2026', 12659, 'US', 'USPS Ground Advantage', 6, 14, 'L', 14.24, 'Wedgewood_USPS_2025', 'NonCubic','1');</v>
      </c>
    </row>
    <row r="524" spans="1:14" x14ac:dyDescent="0.3">
      <c r="A524" t="s">
        <v>11</v>
      </c>
      <c r="B524" s="1" t="s">
        <v>43</v>
      </c>
      <c r="C524" s="1" t="s">
        <v>44</v>
      </c>
      <c r="D524">
        <v>12659</v>
      </c>
      <c r="E524" t="s">
        <v>12</v>
      </c>
      <c r="F524" t="s">
        <v>51</v>
      </c>
      <c r="G524">
        <v>6</v>
      </c>
      <c r="H524">
        <v>15</v>
      </c>
      <c r="I524" t="s">
        <v>45</v>
      </c>
      <c r="J524" cm="1">
        <f t="array" ref="J524">IFERROR(_xlfn.XLOOKUP(G524,'Wedgewood Pharm-GA-Yr2-2025'!$E$4:$L$4,
    _xlfn.XLOOKUP('Rate Load'!H524,'Wedgewood Pharm-GA-Yr2-2025'!$D$21:$D$40,
        'Wedgewood Pharm-GA-Yr2-2025'!$E$21:$L$40,0,0),0,0), "No Match")</f>
        <v>15.01</v>
      </c>
      <c r="K524" t="s">
        <v>46</v>
      </c>
      <c r="L524" t="s">
        <v>13</v>
      </c>
      <c r="M524">
        <v>1</v>
      </c>
      <c r="N524" t="str">
        <f t="shared" si="8"/>
        <v>INSERT INTO TNL_RATING.dbo.usps_rate_master VALUES ('USPS', '2/13/2025', '2/13/2026', 12659, 'US', 'USPS Ground Advantage', 6, 15, 'L', 15.01, 'Wedgewood_USPS_2025', 'NonCubic','1');</v>
      </c>
    </row>
    <row r="525" spans="1:14" x14ac:dyDescent="0.3">
      <c r="A525" t="s">
        <v>11</v>
      </c>
      <c r="B525" s="1" t="s">
        <v>43</v>
      </c>
      <c r="C525" s="1" t="s">
        <v>44</v>
      </c>
      <c r="D525">
        <v>12659</v>
      </c>
      <c r="E525" t="s">
        <v>12</v>
      </c>
      <c r="F525" t="s">
        <v>51</v>
      </c>
      <c r="G525">
        <v>6</v>
      </c>
      <c r="H525">
        <v>16</v>
      </c>
      <c r="I525" t="s">
        <v>45</v>
      </c>
      <c r="J525" cm="1">
        <f t="array" ref="J525">IFERROR(_xlfn.XLOOKUP(G525,'Wedgewood Pharm-GA-Yr2-2025'!$E$4:$L$4,
    _xlfn.XLOOKUP('Rate Load'!H525,'Wedgewood Pharm-GA-Yr2-2025'!$D$21:$D$40,
        'Wedgewood Pharm-GA-Yr2-2025'!$E$21:$L$40,0,0),0,0), "No Match")</f>
        <v>15.59</v>
      </c>
      <c r="K525" t="s">
        <v>46</v>
      </c>
      <c r="L525" t="s">
        <v>13</v>
      </c>
      <c r="M525">
        <v>1</v>
      </c>
      <c r="N525" t="str">
        <f t="shared" si="8"/>
        <v>INSERT INTO TNL_RATING.dbo.usps_rate_master VALUES ('USPS', '2/13/2025', '2/13/2026', 12659, 'US', 'USPS Ground Advantage', 6, 16, 'L', 15.59, 'Wedgewood_USPS_2025', 'NonCubic','1');</v>
      </c>
    </row>
    <row r="526" spans="1:14" x14ac:dyDescent="0.3">
      <c r="A526" t="s">
        <v>11</v>
      </c>
      <c r="B526" s="1" t="s">
        <v>43</v>
      </c>
      <c r="C526" s="1" t="s">
        <v>44</v>
      </c>
      <c r="D526">
        <v>12659</v>
      </c>
      <c r="E526" t="s">
        <v>12</v>
      </c>
      <c r="F526" t="s">
        <v>51</v>
      </c>
      <c r="G526">
        <v>6</v>
      </c>
      <c r="H526">
        <v>17</v>
      </c>
      <c r="I526" t="s">
        <v>45</v>
      </c>
      <c r="J526" cm="1">
        <f t="array" ref="J526">IFERROR(_xlfn.XLOOKUP(G526,'Wedgewood Pharm-GA-Yr2-2025'!$E$4:$L$4,
    _xlfn.XLOOKUP('Rate Load'!H526,'Wedgewood Pharm-GA-Yr2-2025'!$D$21:$D$40,
        'Wedgewood Pharm-GA-Yr2-2025'!$E$21:$L$40,0,0),0,0), "No Match")</f>
        <v>16.290000000000003</v>
      </c>
      <c r="K526" t="s">
        <v>46</v>
      </c>
      <c r="L526" t="s">
        <v>13</v>
      </c>
      <c r="M526">
        <v>1</v>
      </c>
      <c r="N526" t="str">
        <f t="shared" si="8"/>
        <v>INSERT INTO TNL_RATING.dbo.usps_rate_master VALUES ('USPS', '2/13/2025', '2/13/2026', 12659, 'US', 'USPS Ground Advantage', 6, 17, 'L', 16.29, 'Wedgewood_USPS_2025', 'NonCubic','1');</v>
      </c>
    </row>
    <row r="527" spans="1:14" x14ac:dyDescent="0.3">
      <c r="A527" t="s">
        <v>11</v>
      </c>
      <c r="B527" s="1" t="s">
        <v>43</v>
      </c>
      <c r="C527" s="1" t="s">
        <v>44</v>
      </c>
      <c r="D527">
        <v>12659</v>
      </c>
      <c r="E527" t="s">
        <v>12</v>
      </c>
      <c r="F527" t="s">
        <v>51</v>
      </c>
      <c r="G527">
        <v>6</v>
      </c>
      <c r="H527">
        <v>18</v>
      </c>
      <c r="I527" t="s">
        <v>45</v>
      </c>
      <c r="J527" cm="1">
        <f t="array" ref="J527">IFERROR(_xlfn.XLOOKUP(G527,'Wedgewood Pharm-GA-Yr2-2025'!$E$4:$L$4,
    _xlfn.XLOOKUP('Rate Load'!H527,'Wedgewood Pharm-GA-Yr2-2025'!$D$21:$D$40,
        'Wedgewood Pharm-GA-Yr2-2025'!$E$21:$L$40,0,0),0,0), "No Match")</f>
        <v>16.990000000000002</v>
      </c>
      <c r="K527" t="s">
        <v>46</v>
      </c>
      <c r="L527" t="s">
        <v>13</v>
      </c>
      <c r="M527">
        <v>1</v>
      </c>
      <c r="N527" t="str">
        <f t="shared" si="8"/>
        <v>INSERT INTO TNL_RATING.dbo.usps_rate_master VALUES ('USPS', '2/13/2025', '2/13/2026', 12659, 'US', 'USPS Ground Advantage', 6, 18, 'L', 16.99, 'Wedgewood_USPS_2025', 'NonCubic','1');</v>
      </c>
    </row>
    <row r="528" spans="1:14" x14ac:dyDescent="0.3">
      <c r="A528" t="s">
        <v>11</v>
      </c>
      <c r="B528" s="1" t="s">
        <v>43</v>
      </c>
      <c r="C528" s="1" t="s">
        <v>44</v>
      </c>
      <c r="D528">
        <v>12659</v>
      </c>
      <c r="E528" t="s">
        <v>12</v>
      </c>
      <c r="F528" t="s">
        <v>51</v>
      </c>
      <c r="G528">
        <v>6</v>
      </c>
      <c r="H528">
        <v>19</v>
      </c>
      <c r="I528" t="s">
        <v>45</v>
      </c>
      <c r="J528" cm="1">
        <f t="array" ref="J528">IFERROR(_xlfn.XLOOKUP(G528,'Wedgewood Pharm-GA-Yr2-2025'!$E$4:$L$4,
    _xlfn.XLOOKUP('Rate Load'!H528,'Wedgewood Pharm-GA-Yr2-2025'!$D$21:$D$40,
        'Wedgewood Pharm-GA-Yr2-2025'!$E$21:$L$40,0,0),0,0), "No Match")</f>
        <v>17.57</v>
      </c>
      <c r="K528" t="s">
        <v>46</v>
      </c>
      <c r="L528" t="s">
        <v>13</v>
      </c>
      <c r="M528">
        <v>1</v>
      </c>
      <c r="N528" t="str">
        <f t="shared" si="8"/>
        <v>INSERT INTO TNL_RATING.dbo.usps_rate_master VALUES ('USPS', '2/13/2025', '2/13/2026', 12659, 'US', 'USPS Ground Advantage', 6, 19, 'L', 17.57, 'Wedgewood_USPS_2025', 'NonCubic','1');</v>
      </c>
    </row>
    <row r="529" spans="1:14" x14ac:dyDescent="0.3">
      <c r="A529" t="s">
        <v>11</v>
      </c>
      <c r="B529" s="1" t="s">
        <v>43</v>
      </c>
      <c r="C529" s="1" t="s">
        <v>44</v>
      </c>
      <c r="D529">
        <v>12659</v>
      </c>
      <c r="E529" t="s">
        <v>12</v>
      </c>
      <c r="F529" t="s">
        <v>51</v>
      </c>
      <c r="G529">
        <v>6</v>
      </c>
      <c r="H529">
        <v>20</v>
      </c>
      <c r="I529" t="s">
        <v>45</v>
      </c>
      <c r="J529" cm="1">
        <f t="array" ref="J529">IFERROR(_xlfn.XLOOKUP(G529,'Wedgewood Pharm-GA-Yr2-2025'!$E$4:$L$4,
    _xlfn.XLOOKUP('Rate Load'!H529,'Wedgewood Pharm-GA-Yr2-2025'!$D$21:$D$40,
        'Wedgewood Pharm-GA-Yr2-2025'!$E$21:$L$40,0,0),0,0), "No Match")</f>
        <v>18.220000000000002</v>
      </c>
      <c r="K529" t="s">
        <v>46</v>
      </c>
      <c r="L529" t="s">
        <v>13</v>
      </c>
      <c r="M529">
        <v>1</v>
      </c>
      <c r="N529" t="str">
        <f t="shared" si="8"/>
        <v>INSERT INTO TNL_RATING.dbo.usps_rate_master VALUES ('USPS', '2/13/2025', '2/13/2026', 12659, 'US', 'USPS Ground Advantage', 6, 20, 'L', 18.22, 'Wedgewood_USPS_2025', 'NonCubic','1');</v>
      </c>
    </row>
    <row r="530" spans="1:14" x14ac:dyDescent="0.3">
      <c r="A530" t="s">
        <v>11</v>
      </c>
      <c r="B530" s="1" t="s">
        <v>43</v>
      </c>
      <c r="C530" s="1" t="s">
        <v>44</v>
      </c>
      <c r="D530">
        <v>12659</v>
      </c>
      <c r="E530" t="s">
        <v>12</v>
      </c>
      <c r="F530" t="s">
        <v>51</v>
      </c>
      <c r="G530">
        <v>7</v>
      </c>
      <c r="H530">
        <v>1</v>
      </c>
      <c r="I530" t="s">
        <v>45</v>
      </c>
      <c r="J530" cm="1">
        <f t="array" ref="J530">IFERROR(_xlfn.XLOOKUP(G530,'Wedgewood Pharm-GA-Yr2-2025'!$E$4:$L$4,
    _xlfn.XLOOKUP('Rate Load'!H530,'Wedgewood Pharm-GA-Yr2-2025'!$D$21:$D$40,
        'Wedgewood Pharm-GA-Yr2-2025'!$E$21:$L$40,0,0),0,0), "No Match")</f>
        <v>7.34</v>
      </c>
      <c r="K530" t="s">
        <v>46</v>
      </c>
      <c r="L530" t="s">
        <v>13</v>
      </c>
      <c r="M530">
        <v>1</v>
      </c>
      <c r="N530" t="str">
        <f t="shared" si="8"/>
        <v>INSERT INTO TNL_RATING.dbo.usps_rate_master VALUES ('USPS', '2/13/2025', '2/13/2026', 12659, 'US', 'USPS Ground Advantage', 7, 1, 'L', 7.34, 'Wedgewood_USPS_2025', 'NonCubic','1');</v>
      </c>
    </row>
    <row r="531" spans="1:14" x14ac:dyDescent="0.3">
      <c r="A531" t="s">
        <v>11</v>
      </c>
      <c r="B531" s="1" t="s">
        <v>43</v>
      </c>
      <c r="C531" s="1" t="s">
        <v>44</v>
      </c>
      <c r="D531">
        <v>12659</v>
      </c>
      <c r="E531" t="s">
        <v>12</v>
      </c>
      <c r="F531" t="s">
        <v>51</v>
      </c>
      <c r="G531">
        <v>7</v>
      </c>
      <c r="H531">
        <v>2</v>
      </c>
      <c r="I531" t="s">
        <v>45</v>
      </c>
      <c r="J531" cm="1">
        <f t="array" ref="J531">IFERROR(_xlfn.XLOOKUP(G531,'Wedgewood Pharm-GA-Yr2-2025'!$E$4:$L$4,
    _xlfn.XLOOKUP('Rate Load'!H531,'Wedgewood Pharm-GA-Yr2-2025'!$D$21:$D$40,
        'Wedgewood Pharm-GA-Yr2-2025'!$E$21:$L$40,0,0),0,0), "No Match")</f>
        <v>8.5399999999999991</v>
      </c>
      <c r="K531" t="s">
        <v>46</v>
      </c>
      <c r="L531" t="s">
        <v>13</v>
      </c>
      <c r="M531">
        <v>1</v>
      </c>
      <c r="N531" t="str">
        <f t="shared" si="8"/>
        <v>INSERT INTO TNL_RATING.dbo.usps_rate_master VALUES ('USPS', '2/13/2025', '2/13/2026', 12659, 'US', 'USPS Ground Advantage', 7, 2, 'L', 8.54, 'Wedgewood_USPS_2025', 'NonCubic','1');</v>
      </c>
    </row>
    <row r="532" spans="1:14" x14ac:dyDescent="0.3">
      <c r="A532" t="s">
        <v>11</v>
      </c>
      <c r="B532" s="1" t="s">
        <v>43</v>
      </c>
      <c r="C532" s="1" t="s">
        <v>44</v>
      </c>
      <c r="D532">
        <v>12659</v>
      </c>
      <c r="E532" t="s">
        <v>12</v>
      </c>
      <c r="F532" t="s">
        <v>51</v>
      </c>
      <c r="G532">
        <v>7</v>
      </c>
      <c r="H532">
        <v>3</v>
      </c>
      <c r="I532" t="s">
        <v>45</v>
      </c>
      <c r="J532" cm="1">
        <f t="array" ref="J532">IFERROR(_xlfn.XLOOKUP(G532,'Wedgewood Pharm-GA-Yr2-2025'!$E$4:$L$4,
    _xlfn.XLOOKUP('Rate Load'!H532,'Wedgewood Pharm-GA-Yr2-2025'!$D$21:$D$40,
        'Wedgewood Pharm-GA-Yr2-2025'!$E$21:$L$40,0,0),0,0), "No Match")</f>
        <v>9.77</v>
      </c>
      <c r="K532" t="s">
        <v>46</v>
      </c>
      <c r="L532" t="s">
        <v>13</v>
      </c>
      <c r="M532">
        <v>1</v>
      </c>
      <c r="N532" t="str">
        <f t="shared" si="8"/>
        <v>INSERT INTO TNL_RATING.dbo.usps_rate_master VALUES ('USPS', '2/13/2025', '2/13/2026', 12659, 'US', 'USPS Ground Advantage', 7, 3, 'L', 9.77, 'Wedgewood_USPS_2025', 'NonCubic','1');</v>
      </c>
    </row>
    <row r="533" spans="1:14" x14ac:dyDescent="0.3">
      <c r="A533" t="s">
        <v>11</v>
      </c>
      <c r="B533" s="1" t="s">
        <v>43</v>
      </c>
      <c r="C533" s="1" t="s">
        <v>44</v>
      </c>
      <c r="D533">
        <v>12659</v>
      </c>
      <c r="E533" t="s">
        <v>12</v>
      </c>
      <c r="F533" t="s">
        <v>51</v>
      </c>
      <c r="G533">
        <v>7</v>
      </c>
      <c r="H533">
        <v>4</v>
      </c>
      <c r="I533" t="s">
        <v>45</v>
      </c>
      <c r="J533" cm="1">
        <f t="array" ref="J533">IFERROR(_xlfn.XLOOKUP(G533,'Wedgewood Pharm-GA-Yr2-2025'!$E$4:$L$4,
    _xlfn.XLOOKUP('Rate Load'!H533,'Wedgewood Pharm-GA-Yr2-2025'!$D$21:$D$40,
        'Wedgewood Pharm-GA-Yr2-2025'!$E$21:$L$40,0,0),0,0), "No Match")</f>
        <v>10.59</v>
      </c>
      <c r="K533" t="s">
        <v>46</v>
      </c>
      <c r="L533" t="s">
        <v>13</v>
      </c>
      <c r="M533">
        <v>1</v>
      </c>
      <c r="N533" t="str">
        <f t="shared" si="8"/>
        <v>INSERT INTO TNL_RATING.dbo.usps_rate_master VALUES ('USPS', '2/13/2025', '2/13/2026', 12659, 'US', 'USPS Ground Advantage', 7, 4, 'L', 10.59, 'Wedgewood_USPS_2025', 'NonCubic','1');</v>
      </c>
    </row>
    <row r="534" spans="1:14" x14ac:dyDescent="0.3">
      <c r="A534" t="s">
        <v>11</v>
      </c>
      <c r="B534" s="1" t="s">
        <v>43</v>
      </c>
      <c r="C534" s="1" t="s">
        <v>44</v>
      </c>
      <c r="D534">
        <v>12659</v>
      </c>
      <c r="E534" t="s">
        <v>12</v>
      </c>
      <c r="F534" t="s">
        <v>51</v>
      </c>
      <c r="G534">
        <v>7</v>
      </c>
      <c r="H534">
        <v>5</v>
      </c>
      <c r="I534" t="s">
        <v>45</v>
      </c>
      <c r="J534" cm="1">
        <f t="array" ref="J534">IFERROR(_xlfn.XLOOKUP(G534,'Wedgewood Pharm-GA-Yr2-2025'!$E$4:$L$4,
    _xlfn.XLOOKUP('Rate Load'!H534,'Wedgewood Pharm-GA-Yr2-2025'!$D$21:$D$40,
        'Wedgewood Pharm-GA-Yr2-2025'!$E$21:$L$40,0,0),0,0), "No Match")</f>
        <v>11.15</v>
      </c>
      <c r="K534" t="s">
        <v>46</v>
      </c>
      <c r="L534" t="s">
        <v>13</v>
      </c>
      <c r="M534">
        <v>1</v>
      </c>
      <c r="N534" t="str">
        <f t="shared" si="8"/>
        <v>INSERT INTO TNL_RATING.dbo.usps_rate_master VALUES ('USPS', '2/13/2025', '2/13/2026', 12659, 'US', 'USPS Ground Advantage', 7, 5, 'L', 11.15, 'Wedgewood_USPS_2025', 'NonCubic','1');</v>
      </c>
    </row>
    <row r="535" spans="1:14" x14ac:dyDescent="0.3">
      <c r="A535" t="s">
        <v>11</v>
      </c>
      <c r="B535" s="1" t="s">
        <v>43</v>
      </c>
      <c r="C535" s="1" t="s">
        <v>44</v>
      </c>
      <c r="D535">
        <v>12659</v>
      </c>
      <c r="E535" t="s">
        <v>12</v>
      </c>
      <c r="F535" t="s">
        <v>51</v>
      </c>
      <c r="G535">
        <v>7</v>
      </c>
      <c r="H535">
        <v>6</v>
      </c>
      <c r="I535" t="s">
        <v>45</v>
      </c>
      <c r="J535" cm="1">
        <f t="array" ref="J535">IFERROR(_xlfn.XLOOKUP(G535,'Wedgewood Pharm-GA-Yr2-2025'!$E$4:$L$4,
    _xlfn.XLOOKUP('Rate Load'!H535,'Wedgewood Pharm-GA-Yr2-2025'!$D$21:$D$40,
        'Wedgewood Pharm-GA-Yr2-2025'!$E$21:$L$40,0,0),0,0), "No Match")</f>
        <v>11.459999999999999</v>
      </c>
      <c r="K535" t="s">
        <v>46</v>
      </c>
      <c r="L535" t="s">
        <v>13</v>
      </c>
      <c r="M535">
        <v>1</v>
      </c>
      <c r="N535" t="str">
        <f t="shared" si="8"/>
        <v>INSERT INTO TNL_RATING.dbo.usps_rate_master VALUES ('USPS', '2/13/2025', '2/13/2026', 12659, 'US', 'USPS Ground Advantage', 7, 6, 'L', 11.46, 'Wedgewood_USPS_2025', 'NonCubic','1');</v>
      </c>
    </row>
    <row r="536" spans="1:14" x14ac:dyDescent="0.3">
      <c r="A536" t="s">
        <v>11</v>
      </c>
      <c r="B536" s="1" t="s">
        <v>43</v>
      </c>
      <c r="C536" s="1" t="s">
        <v>44</v>
      </c>
      <c r="D536">
        <v>12659</v>
      </c>
      <c r="E536" t="s">
        <v>12</v>
      </c>
      <c r="F536" t="s">
        <v>51</v>
      </c>
      <c r="G536">
        <v>7</v>
      </c>
      <c r="H536">
        <v>7</v>
      </c>
      <c r="I536" t="s">
        <v>45</v>
      </c>
      <c r="J536" cm="1">
        <f t="array" ref="J536">IFERROR(_xlfn.XLOOKUP(G536,'Wedgewood Pharm-GA-Yr2-2025'!$E$4:$L$4,
    _xlfn.XLOOKUP('Rate Load'!H536,'Wedgewood Pharm-GA-Yr2-2025'!$D$21:$D$40,
        'Wedgewood Pharm-GA-Yr2-2025'!$E$21:$L$40,0,0),0,0), "No Match")</f>
        <v>11.9</v>
      </c>
      <c r="K536" t="s">
        <v>46</v>
      </c>
      <c r="L536" t="s">
        <v>13</v>
      </c>
      <c r="M536">
        <v>1</v>
      </c>
      <c r="N536" t="str">
        <f t="shared" si="8"/>
        <v>INSERT INTO TNL_RATING.dbo.usps_rate_master VALUES ('USPS', '2/13/2025', '2/13/2026', 12659, 'US', 'USPS Ground Advantage', 7, 7, 'L', 11.9, 'Wedgewood_USPS_2025', 'NonCubic','1');</v>
      </c>
    </row>
    <row r="537" spans="1:14" x14ac:dyDescent="0.3">
      <c r="A537" t="s">
        <v>11</v>
      </c>
      <c r="B537" s="1" t="s">
        <v>43</v>
      </c>
      <c r="C537" s="1" t="s">
        <v>44</v>
      </c>
      <c r="D537">
        <v>12659</v>
      </c>
      <c r="E537" t="s">
        <v>12</v>
      </c>
      <c r="F537" t="s">
        <v>51</v>
      </c>
      <c r="G537">
        <v>7</v>
      </c>
      <c r="H537">
        <v>8</v>
      </c>
      <c r="I537" t="s">
        <v>45</v>
      </c>
      <c r="J537" cm="1">
        <f t="array" ref="J537">IFERROR(_xlfn.XLOOKUP(G537,'Wedgewood Pharm-GA-Yr2-2025'!$E$4:$L$4,
    _xlfn.XLOOKUP('Rate Load'!H537,'Wedgewood Pharm-GA-Yr2-2025'!$D$21:$D$40,
        'Wedgewood Pharm-GA-Yr2-2025'!$E$21:$L$40,0,0),0,0), "No Match")</f>
        <v>12.299999999999999</v>
      </c>
      <c r="K537" t="s">
        <v>46</v>
      </c>
      <c r="L537" t="s">
        <v>13</v>
      </c>
      <c r="M537">
        <v>1</v>
      </c>
      <c r="N537" t="str">
        <f t="shared" si="8"/>
        <v>INSERT INTO TNL_RATING.dbo.usps_rate_master VALUES ('USPS', '2/13/2025', '2/13/2026', 12659, 'US', 'USPS Ground Advantage', 7, 8, 'L', 12.3, 'Wedgewood_USPS_2025', 'NonCubic','1');</v>
      </c>
    </row>
    <row r="538" spans="1:14" x14ac:dyDescent="0.3">
      <c r="A538" t="s">
        <v>11</v>
      </c>
      <c r="B538" s="1" t="s">
        <v>43</v>
      </c>
      <c r="C538" s="1" t="s">
        <v>44</v>
      </c>
      <c r="D538">
        <v>12659</v>
      </c>
      <c r="E538" t="s">
        <v>12</v>
      </c>
      <c r="F538" t="s">
        <v>51</v>
      </c>
      <c r="G538">
        <v>7</v>
      </c>
      <c r="H538">
        <v>9</v>
      </c>
      <c r="I538" t="s">
        <v>45</v>
      </c>
      <c r="J538" cm="1">
        <f t="array" ref="J538">IFERROR(_xlfn.XLOOKUP(G538,'Wedgewood Pharm-GA-Yr2-2025'!$E$4:$L$4,
    _xlfn.XLOOKUP('Rate Load'!H538,'Wedgewood Pharm-GA-Yr2-2025'!$D$21:$D$40,
        'Wedgewood Pharm-GA-Yr2-2025'!$E$21:$L$40,0,0),0,0), "No Match")</f>
        <v>12.78</v>
      </c>
      <c r="K538" t="s">
        <v>46</v>
      </c>
      <c r="L538" t="s">
        <v>13</v>
      </c>
      <c r="M538">
        <v>1</v>
      </c>
      <c r="N538" t="str">
        <f t="shared" si="8"/>
        <v>INSERT INTO TNL_RATING.dbo.usps_rate_master VALUES ('USPS', '2/13/2025', '2/13/2026', 12659, 'US', 'USPS Ground Advantage', 7, 9, 'L', 12.78, 'Wedgewood_USPS_2025', 'NonCubic','1');</v>
      </c>
    </row>
    <row r="539" spans="1:14" x14ac:dyDescent="0.3">
      <c r="A539" t="s">
        <v>11</v>
      </c>
      <c r="B539" s="1" t="s">
        <v>43</v>
      </c>
      <c r="C539" s="1" t="s">
        <v>44</v>
      </c>
      <c r="D539">
        <v>12659</v>
      </c>
      <c r="E539" t="s">
        <v>12</v>
      </c>
      <c r="F539" t="s">
        <v>51</v>
      </c>
      <c r="G539">
        <v>7</v>
      </c>
      <c r="H539">
        <v>10</v>
      </c>
      <c r="I539" t="s">
        <v>45</v>
      </c>
      <c r="J539" cm="1">
        <f t="array" ref="J539">IFERROR(_xlfn.XLOOKUP(G539,'Wedgewood Pharm-GA-Yr2-2025'!$E$4:$L$4,
    _xlfn.XLOOKUP('Rate Load'!H539,'Wedgewood Pharm-GA-Yr2-2025'!$D$21:$D$40,
        'Wedgewood Pharm-GA-Yr2-2025'!$E$21:$L$40,0,0),0,0), "No Match")</f>
        <v>13.42</v>
      </c>
      <c r="K539" t="s">
        <v>46</v>
      </c>
      <c r="L539" t="s">
        <v>13</v>
      </c>
      <c r="M539">
        <v>1</v>
      </c>
      <c r="N539" t="str">
        <f t="shared" si="8"/>
        <v>INSERT INTO TNL_RATING.dbo.usps_rate_master VALUES ('USPS', '2/13/2025', '2/13/2026', 12659, 'US', 'USPS Ground Advantage', 7, 10, 'L', 13.42, 'Wedgewood_USPS_2025', 'NonCubic','1');</v>
      </c>
    </row>
    <row r="540" spans="1:14" x14ac:dyDescent="0.3">
      <c r="A540" t="s">
        <v>11</v>
      </c>
      <c r="B540" s="1" t="s">
        <v>43</v>
      </c>
      <c r="C540" s="1" t="s">
        <v>44</v>
      </c>
      <c r="D540">
        <v>12659</v>
      </c>
      <c r="E540" t="s">
        <v>12</v>
      </c>
      <c r="F540" t="s">
        <v>51</v>
      </c>
      <c r="G540">
        <v>7</v>
      </c>
      <c r="H540">
        <v>11</v>
      </c>
      <c r="I540" t="s">
        <v>45</v>
      </c>
      <c r="J540" cm="1">
        <f t="array" ref="J540">IFERROR(_xlfn.XLOOKUP(G540,'Wedgewood Pharm-GA-Yr2-2025'!$E$4:$L$4,
    _xlfn.XLOOKUP('Rate Load'!H540,'Wedgewood Pharm-GA-Yr2-2025'!$D$21:$D$40,
        'Wedgewood Pharm-GA-Yr2-2025'!$E$21:$L$40,0,0),0,0), "No Match")</f>
        <v>14.39</v>
      </c>
      <c r="K540" t="s">
        <v>46</v>
      </c>
      <c r="L540" t="s">
        <v>13</v>
      </c>
      <c r="M540">
        <v>1</v>
      </c>
      <c r="N540" t="str">
        <f t="shared" si="8"/>
        <v>INSERT INTO TNL_RATING.dbo.usps_rate_master VALUES ('USPS', '2/13/2025', '2/13/2026', 12659, 'US', 'USPS Ground Advantage', 7, 11, 'L', 14.39, 'Wedgewood_USPS_2025', 'NonCubic','1');</v>
      </c>
    </row>
    <row r="541" spans="1:14" x14ac:dyDescent="0.3">
      <c r="A541" t="s">
        <v>11</v>
      </c>
      <c r="B541" s="1" t="s">
        <v>43</v>
      </c>
      <c r="C541" s="1" t="s">
        <v>44</v>
      </c>
      <c r="D541">
        <v>12659</v>
      </c>
      <c r="E541" t="s">
        <v>12</v>
      </c>
      <c r="F541" t="s">
        <v>51</v>
      </c>
      <c r="G541">
        <v>7</v>
      </c>
      <c r="H541">
        <v>12</v>
      </c>
      <c r="I541" t="s">
        <v>45</v>
      </c>
      <c r="J541" cm="1">
        <f t="array" ref="J541">IFERROR(_xlfn.XLOOKUP(G541,'Wedgewood Pharm-GA-Yr2-2025'!$E$4:$L$4,
    _xlfn.XLOOKUP('Rate Load'!H541,'Wedgewood Pharm-GA-Yr2-2025'!$D$21:$D$40,
        'Wedgewood Pharm-GA-Yr2-2025'!$E$21:$L$40,0,0),0,0), "No Match")</f>
        <v>15.049999999999999</v>
      </c>
      <c r="K541" t="s">
        <v>46</v>
      </c>
      <c r="L541" t="s">
        <v>13</v>
      </c>
      <c r="M541">
        <v>1</v>
      </c>
      <c r="N541" t="str">
        <f t="shared" si="8"/>
        <v>INSERT INTO TNL_RATING.dbo.usps_rate_master VALUES ('USPS', '2/13/2025', '2/13/2026', 12659, 'US', 'USPS Ground Advantage', 7, 12, 'L', 15.05, 'Wedgewood_USPS_2025', 'NonCubic','1');</v>
      </c>
    </row>
    <row r="542" spans="1:14" x14ac:dyDescent="0.3">
      <c r="A542" t="s">
        <v>11</v>
      </c>
      <c r="B542" s="1" t="s">
        <v>43</v>
      </c>
      <c r="C542" s="1" t="s">
        <v>44</v>
      </c>
      <c r="D542">
        <v>12659</v>
      </c>
      <c r="E542" t="s">
        <v>12</v>
      </c>
      <c r="F542" t="s">
        <v>51</v>
      </c>
      <c r="G542">
        <v>7</v>
      </c>
      <c r="H542">
        <v>13</v>
      </c>
      <c r="I542" t="s">
        <v>45</v>
      </c>
      <c r="J542" cm="1">
        <f t="array" ref="J542">IFERROR(_xlfn.XLOOKUP(G542,'Wedgewood Pharm-GA-Yr2-2025'!$E$4:$L$4,
    _xlfn.XLOOKUP('Rate Load'!H542,'Wedgewood Pharm-GA-Yr2-2025'!$D$21:$D$40,
        'Wedgewood Pharm-GA-Yr2-2025'!$E$21:$L$40,0,0),0,0), "No Match")</f>
        <v>16.060000000000002</v>
      </c>
      <c r="K542" t="s">
        <v>46</v>
      </c>
      <c r="L542" t="s">
        <v>13</v>
      </c>
      <c r="M542">
        <v>1</v>
      </c>
      <c r="N542" t="str">
        <f t="shared" si="8"/>
        <v>INSERT INTO TNL_RATING.dbo.usps_rate_master VALUES ('USPS', '2/13/2025', '2/13/2026', 12659, 'US', 'USPS Ground Advantage', 7, 13, 'L', 16.06, 'Wedgewood_USPS_2025', 'NonCubic','1');</v>
      </c>
    </row>
    <row r="543" spans="1:14" x14ac:dyDescent="0.3">
      <c r="A543" t="s">
        <v>11</v>
      </c>
      <c r="B543" s="1" t="s">
        <v>43</v>
      </c>
      <c r="C543" s="1" t="s">
        <v>44</v>
      </c>
      <c r="D543">
        <v>12659</v>
      </c>
      <c r="E543" t="s">
        <v>12</v>
      </c>
      <c r="F543" t="s">
        <v>51</v>
      </c>
      <c r="G543">
        <v>7</v>
      </c>
      <c r="H543">
        <v>14</v>
      </c>
      <c r="I543" t="s">
        <v>45</v>
      </c>
      <c r="J543" cm="1">
        <f t="array" ref="J543">IFERROR(_xlfn.XLOOKUP(G543,'Wedgewood Pharm-GA-Yr2-2025'!$E$4:$L$4,
    _xlfn.XLOOKUP('Rate Load'!H543,'Wedgewood Pharm-GA-Yr2-2025'!$D$21:$D$40,
        'Wedgewood Pharm-GA-Yr2-2025'!$E$21:$L$40,0,0),0,0), "No Match")</f>
        <v>17.040000000000003</v>
      </c>
      <c r="K543" t="s">
        <v>46</v>
      </c>
      <c r="L543" t="s">
        <v>13</v>
      </c>
      <c r="M543">
        <v>1</v>
      </c>
      <c r="N543" t="str">
        <f t="shared" si="8"/>
        <v>INSERT INTO TNL_RATING.dbo.usps_rate_master VALUES ('USPS', '2/13/2025', '2/13/2026', 12659, 'US', 'USPS Ground Advantage', 7, 14, 'L', 17.04, 'Wedgewood_USPS_2025', 'NonCubic','1');</v>
      </c>
    </row>
    <row r="544" spans="1:14" x14ac:dyDescent="0.3">
      <c r="A544" t="s">
        <v>11</v>
      </c>
      <c r="B544" s="1" t="s">
        <v>43</v>
      </c>
      <c r="C544" s="1" t="s">
        <v>44</v>
      </c>
      <c r="D544">
        <v>12659</v>
      </c>
      <c r="E544" t="s">
        <v>12</v>
      </c>
      <c r="F544" t="s">
        <v>51</v>
      </c>
      <c r="G544">
        <v>7</v>
      </c>
      <c r="H544">
        <v>15</v>
      </c>
      <c r="I544" t="s">
        <v>45</v>
      </c>
      <c r="J544" cm="1">
        <f t="array" ref="J544">IFERROR(_xlfn.XLOOKUP(G544,'Wedgewood Pharm-GA-Yr2-2025'!$E$4:$L$4,
    _xlfn.XLOOKUP('Rate Load'!H544,'Wedgewood Pharm-GA-Yr2-2025'!$D$21:$D$40,
        'Wedgewood Pharm-GA-Yr2-2025'!$E$21:$L$40,0,0),0,0), "No Match")</f>
        <v>17.720000000000002</v>
      </c>
      <c r="K544" t="s">
        <v>46</v>
      </c>
      <c r="L544" t="s">
        <v>13</v>
      </c>
      <c r="M544">
        <v>1</v>
      </c>
      <c r="N544" t="str">
        <f t="shared" si="8"/>
        <v>INSERT INTO TNL_RATING.dbo.usps_rate_master VALUES ('USPS', '2/13/2025', '2/13/2026', 12659, 'US', 'USPS Ground Advantage', 7, 15, 'L', 17.72, 'Wedgewood_USPS_2025', 'NonCubic','1');</v>
      </c>
    </row>
    <row r="545" spans="1:14" x14ac:dyDescent="0.3">
      <c r="A545" t="s">
        <v>11</v>
      </c>
      <c r="B545" s="1" t="s">
        <v>43</v>
      </c>
      <c r="C545" s="1" t="s">
        <v>44</v>
      </c>
      <c r="D545">
        <v>12659</v>
      </c>
      <c r="E545" t="s">
        <v>12</v>
      </c>
      <c r="F545" t="s">
        <v>51</v>
      </c>
      <c r="G545">
        <v>7</v>
      </c>
      <c r="H545">
        <v>16</v>
      </c>
      <c r="I545" t="s">
        <v>45</v>
      </c>
      <c r="J545" cm="1">
        <f t="array" ref="J545">IFERROR(_xlfn.XLOOKUP(G545,'Wedgewood Pharm-GA-Yr2-2025'!$E$4:$L$4,
    _xlfn.XLOOKUP('Rate Load'!H545,'Wedgewood Pharm-GA-Yr2-2025'!$D$21:$D$40,
        'Wedgewood Pharm-GA-Yr2-2025'!$E$21:$L$40,0,0),0,0), "No Match")</f>
        <v>18.520000000000003</v>
      </c>
      <c r="K545" t="s">
        <v>46</v>
      </c>
      <c r="L545" t="s">
        <v>13</v>
      </c>
      <c r="M545">
        <v>1</v>
      </c>
      <c r="N545" t="str">
        <f t="shared" si="8"/>
        <v>INSERT INTO TNL_RATING.dbo.usps_rate_master VALUES ('USPS', '2/13/2025', '2/13/2026', 12659, 'US', 'USPS Ground Advantage', 7, 16, 'L', 18.52, 'Wedgewood_USPS_2025', 'NonCubic','1');</v>
      </c>
    </row>
    <row r="546" spans="1:14" x14ac:dyDescent="0.3">
      <c r="A546" t="s">
        <v>11</v>
      </c>
      <c r="B546" s="1" t="s">
        <v>43</v>
      </c>
      <c r="C546" s="1" t="s">
        <v>44</v>
      </c>
      <c r="D546">
        <v>12659</v>
      </c>
      <c r="E546" t="s">
        <v>12</v>
      </c>
      <c r="F546" t="s">
        <v>51</v>
      </c>
      <c r="G546">
        <v>7</v>
      </c>
      <c r="H546">
        <v>17</v>
      </c>
      <c r="I546" t="s">
        <v>45</v>
      </c>
      <c r="J546" cm="1">
        <f t="array" ref="J546">IFERROR(_xlfn.XLOOKUP(G546,'Wedgewood Pharm-GA-Yr2-2025'!$E$4:$L$4,
    _xlfn.XLOOKUP('Rate Load'!H546,'Wedgewood Pharm-GA-Yr2-2025'!$D$21:$D$40,
        'Wedgewood Pharm-GA-Yr2-2025'!$E$21:$L$40,0,0),0,0), "No Match")</f>
        <v>19.580000000000002</v>
      </c>
      <c r="K546" t="s">
        <v>46</v>
      </c>
      <c r="L546" t="s">
        <v>13</v>
      </c>
      <c r="M546">
        <v>1</v>
      </c>
      <c r="N546" t="str">
        <f t="shared" si="8"/>
        <v>INSERT INTO TNL_RATING.dbo.usps_rate_master VALUES ('USPS', '2/13/2025', '2/13/2026', 12659, 'US', 'USPS Ground Advantage', 7, 17, 'L', 19.58, 'Wedgewood_USPS_2025', 'NonCubic','1');</v>
      </c>
    </row>
    <row r="547" spans="1:14" x14ac:dyDescent="0.3">
      <c r="A547" t="s">
        <v>11</v>
      </c>
      <c r="B547" s="1" t="s">
        <v>43</v>
      </c>
      <c r="C547" s="1" t="s">
        <v>44</v>
      </c>
      <c r="D547">
        <v>12659</v>
      </c>
      <c r="E547" t="s">
        <v>12</v>
      </c>
      <c r="F547" t="s">
        <v>51</v>
      </c>
      <c r="G547">
        <v>7</v>
      </c>
      <c r="H547">
        <v>18</v>
      </c>
      <c r="I547" t="s">
        <v>45</v>
      </c>
      <c r="J547" cm="1">
        <f t="array" ref="J547">IFERROR(_xlfn.XLOOKUP(G547,'Wedgewood Pharm-GA-Yr2-2025'!$E$4:$L$4,
    _xlfn.XLOOKUP('Rate Load'!H547,'Wedgewood Pharm-GA-Yr2-2025'!$D$21:$D$40,
        'Wedgewood Pharm-GA-Yr2-2025'!$E$21:$L$40,0,0),0,0), "No Match")</f>
        <v>20.14</v>
      </c>
      <c r="K547" t="s">
        <v>46</v>
      </c>
      <c r="L547" t="s">
        <v>13</v>
      </c>
      <c r="M547">
        <v>1</v>
      </c>
      <c r="N547" t="str">
        <f t="shared" si="8"/>
        <v>INSERT INTO TNL_RATING.dbo.usps_rate_master VALUES ('USPS', '2/13/2025', '2/13/2026', 12659, 'US', 'USPS Ground Advantage', 7, 18, 'L', 20.14, 'Wedgewood_USPS_2025', 'NonCubic','1');</v>
      </c>
    </row>
    <row r="548" spans="1:14" x14ac:dyDescent="0.3">
      <c r="A548" t="s">
        <v>11</v>
      </c>
      <c r="B548" s="1" t="s">
        <v>43</v>
      </c>
      <c r="C548" s="1" t="s">
        <v>44</v>
      </c>
      <c r="D548">
        <v>12659</v>
      </c>
      <c r="E548" t="s">
        <v>12</v>
      </c>
      <c r="F548" t="s">
        <v>51</v>
      </c>
      <c r="G548">
        <v>7</v>
      </c>
      <c r="H548">
        <v>19</v>
      </c>
      <c r="I548" t="s">
        <v>45</v>
      </c>
      <c r="J548" cm="1">
        <f t="array" ref="J548">IFERROR(_xlfn.XLOOKUP(G548,'Wedgewood Pharm-GA-Yr2-2025'!$E$4:$L$4,
    _xlfn.XLOOKUP('Rate Load'!H548,'Wedgewood Pharm-GA-Yr2-2025'!$D$21:$D$40,
        'Wedgewood Pharm-GA-Yr2-2025'!$E$21:$L$40,0,0),0,0), "No Match")</f>
        <v>20.89</v>
      </c>
      <c r="K548" t="s">
        <v>46</v>
      </c>
      <c r="L548" t="s">
        <v>13</v>
      </c>
      <c r="M548">
        <v>1</v>
      </c>
      <c r="N548" t="str">
        <f t="shared" si="8"/>
        <v>INSERT INTO TNL_RATING.dbo.usps_rate_master VALUES ('USPS', '2/13/2025', '2/13/2026', 12659, 'US', 'USPS Ground Advantage', 7, 19, 'L', 20.89, 'Wedgewood_USPS_2025', 'NonCubic','1');</v>
      </c>
    </row>
    <row r="549" spans="1:14" x14ac:dyDescent="0.3">
      <c r="A549" t="s">
        <v>11</v>
      </c>
      <c r="B549" s="1" t="s">
        <v>43</v>
      </c>
      <c r="C549" s="1" t="s">
        <v>44</v>
      </c>
      <c r="D549">
        <v>12659</v>
      </c>
      <c r="E549" t="s">
        <v>12</v>
      </c>
      <c r="F549" t="s">
        <v>51</v>
      </c>
      <c r="G549">
        <v>7</v>
      </c>
      <c r="H549">
        <v>20</v>
      </c>
      <c r="I549" t="s">
        <v>45</v>
      </c>
      <c r="J549" cm="1">
        <f t="array" ref="J549">IFERROR(_xlfn.XLOOKUP(G549,'Wedgewood Pharm-GA-Yr2-2025'!$E$4:$L$4,
    _xlfn.XLOOKUP('Rate Load'!H549,'Wedgewood Pharm-GA-Yr2-2025'!$D$21:$D$40,
        'Wedgewood Pharm-GA-Yr2-2025'!$E$21:$L$40,0,0),0,0), "No Match")</f>
        <v>21.71</v>
      </c>
      <c r="K549" t="s">
        <v>46</v>
      </c>
      <c r="L549" t="s">
        <v>13</v>
      </c>
      <c r="M549">
        <v>1</v>
      </c>
      <c r="N549" t="str">
        <f t="shared" si="8"/>
        <v>INSERT INTO TNL_RATING.dbo.usps_rate_master VALUES ('USPS', '2/13/2025', '2/13/2026', 12659, 'US', 'USPS Ground Advantage', 7, 20, 'L', 21.71, 'Wedgewood_USPS_2025', 'NonCubic','1');</v>
      </c>
    </row>
    <row r="550" spans="1:14" x14ac:dyDescent="0.3">
      <c r="A550" t="s">
        <v>11</v>
      </c>
      <c r="B550" s="1" t="s">
        <v>43</v>
      </c>
      <c r="C550" s="1" t="s">
        <v>44</v>
      </c>
      <c r="D550">
        <v>12659</v>
      </c>
      <c r="E550" t="s">
        <v>12</v>
      </c>
      <c r="F550" t="s">
        <v>51</v>
      </c>
      <c r="G550">
        <v>8</v>
      </c>
      <c r="H550">
        <v>1</v>
      </c>
      <c r="I550" t="s">
        <v>45</v>
      </c>
      <c r="J550" cm="1">
        <f t="array" ref="J550">IFERROR(_xlfn.XLOOKUP(G550,'Wedgewood Pharm-GA-Yr2-2025'!$E$4:$L$4,
    _xlfn.XLOOKUP('Rate Load'!H550,'Wedgewood Pharm-GA-Yr2-2025'!$D$21:$D$40,
        'Wedgewood Pharm-GA-Yr2-2025'!$E$21:$L$40,0,0),0,0), "No Match")</f>
        <v>7.74</v>
      </c>
      <c r="K550" t="s">
        <v>46</v>
      </c>
      <c r="L550" t="s">
        <v>13</v>
      </c>
      <c r="M550">
        <v>1</v>
      </c>
      <c r="N550" t="str">
        <f t="shared" si="8"/>
        <v>INSERT INTO TNL_RATING.dbo.usps_rate_master VALUES ('USPS', '2/13/2025', '2/13/2026', 12659, 'US', 'USPS Ground Advantage', 8, 1, 'L', 7.74, 'Wedgewood_USPS_2025', 'NonCubic','1');</v>
      </c>
    </row>
    <row r="551" spans="1:14" x14ac:dyDescent="0.3">
      <c r="A551" t="s">
        <v>11</v>
      </c>
      <c r="B551" s="1" t="s">
        <v>43</v>
      </c>
      <c r="C551" s="1" t="s">
        <v>44</v>
      </c>
      <c r="D551">
        <v>12659</v>
      </c>
      <c r="E551" t="s">
        <v>12</v>
      </c>
      <c r="F551" t="s">
        <v>51</v>
      </c>
      <c r="G551">
        <v>8</v>
      </c>
      <c r="H551">
        <v>2</v>
      </c>
      <c r="I551" t="s">
        <v>45</v>
      </c>
      <c r="J551" cm="1">
        <f t="array" ref="J551">IFERROR(_xlfn.XLOOKUP(G551,'Wedgewood Pharm-GA-Yr2-2025'!$E$4:$L$4,
    _xlfn.XLOOKUP('Rate Load'!H551,'Wedgewood Pharm-GA-Yr2-2025'!$D$21:$D$40,
        'Wedgewood Pharm-GA-Yr2-2025'!$E$21:$L$40,0,0),0,0), "No Match")</f>
        <v>9.14</v>
      </c>
      <c r="K551" t="s">
        <v>46</v>
      </c>
      <c r="L551" t="s">
        <v>13</v>
      </c>
      <c r="M551">
        <v>1</v>
      </c>
      <c r="N551" t="str">
        <f t="shared" si="8"/>
        <v>INSERT INTO TNL_RATING.dbo.usps_rate_master VALUES ('USPS', '2/13/2025', '2/13/2026', 12659, 'US', 'USPS Ground Advantage', 8, 2, 'L', 9.14, 'Wedgewood_USPS_2025', 'NonCubic','1');</v>
      </c>
    </row>
    <row r="552" spans="1:14" x14ac:dyDescent="0.3">
      <c r="A552" t="s">
        <v>11</v>
      </c>
      <c r="B552" s="1" t="s">
        <v>43</v>
      </c>
      <c r="C552" s="1" t="s">
        <v>44</v>
      </c>
      <c r="D552">
        <v>12659</v>
      </c>
      <c r="E552" t="s">
        <v>12</v>
      </c>
      <c r="F552" t="s">
        <v>51</v>
      </c>
      <c r="G552">
        <v>8</v>
      </c>
      <c r="H552">
        <v>3</v>
      </c>
      <c r="I552" t="s">
        <v>45</v>
      </c>
      <c r="J552" cm="1">
        <f t="array" ref="J552">IFERROR(_xlfn.XLOOKUP(G552,'Wedgewood Pharm-GA-Yr2-2025'!$E$4:$L$4,
    _xlfn.XLOOKUP('Rate Load'!H552,'Wedgewood Pharm-GA-Yr2-2025'!$D$21:$D$40,
        'Wedgewood Pharm-GA-Yr2-2025'!$E$21:$L$40,0,0),0,0), "No Match")</f>
        <v>10.5</v>
      </c>
      <c r="K552" t="s">
        <v>46</v>
      </c>
      <c r="L552" t="s">
        <v>13</v>
      </c>
      <c r="M552">
        <v>1</v>
      </c>
      <c r="N552" t="str">
        <f t="shared" si="8"/>
        <v>INSERT INTO TNL_RATING.dbo.usps_rate_master VALUES ('USPS', '2/13/2025', '2/13/2026', 12659, 'US', 'USPS Ground Advantage', 8, 3, 'L', 10.5, 'Wedgewood_USPS_2025', 'NonCubic','1');</v>
      </c>
    </row>
    <row r="553" spans="1:14" x14ac:dyDescent="0.3">
      <c r="A553" t="s">
        <v>11</v>
      </c>
      <c r="B553" s="1" t="s">
        <v>43</v>
      </c>
      <c r="C553" s="1" t="s">
        <v>44</v>
      </c>
      <c r="D553">
        <v>12659</v>
      </c>
      <c r="E553" t="s">
        <v>12</v>
      </c>
      <c r="F553" t="s">
        <v>51</v>
      </c>
      <c r="G553">
        <v>8</v>
      </c>
      <c r="H553">
        <v>4</v>
      </c>
      <c r="I553" t="s">
        <v>45</v>
      </c>
      <c r="J553" cm="1">
        <f t="array" ref="J553">IFERROR(_xlfn.XLOOKUP(G553,'Wedgewood Pharm-GA-Yr2-2025'!$E$4:$L$4,
    _xlfn.XLOOKUP('Rate Load'!H553,'Wedgewood Pharm-GA-Yr2-2025'!$D$21:$D$40,
        'Wedgewood Pharm-GA-Yr2-2025'!$E$21:$L$40,0,0),0,0), "No Match")</f>
        <v>11.42</v>
      </c>
      <c r="K553" t="s">
        <v>46</v>
      </c>
      <c r="L553" t="s">
        <v>13</v>
      </c>
      <c r="M553">
        <v>1</v>
      </c>
      <c r="N553" t="str">
        <f t="shared" si="8"/>
        <v>INSERT INTO TNL_RATING.dbo.usps_rate_master VALUES ('USPS', '2/13/2025', '2/13/2026', 12659, 'US', 'USPS Ground Advantage', 8, 4, 'L', 11.42, 'Wedgewood_USPS_2025', 'NonCubic','1');</v>
      </c>
    </row>
    <row r="554" spans="1:14" x14ac:dyDescent="0.3">
      <c r="A554" t="s">
        <v>11</v>
      </c>
      <c r="B554" s="1" t="s">
        <v>43</v>
      </c>
      <c r="C554" s="1" t="s">
        <v>44</v>
      </c>
      <c r="D554">
        <v>12659</v>
      </c>
      <c r="E554" t="s">
        <v>12</v>
      </c>
      <c r="F554" t="s">
        <v>51</v>
      </c>
      <c r="G554">
        <v>8</v>
      </c>
      <c r="H554">
        <v>5</v>
      </c>
      <c r="I554" t="s">
        <v>45</v>
      </c>
      <c r="J554" cm="1">
        <f t="array" ref="J554">IFERROR(_xlfn.XLOOKUP(G554,'Wedgewood Pharm-GA-Yr2-2025'!$E$4:$L$4,
    _xlfn.XLOOKUP('Rate Load'!H554,'Wedgewood Pharm-GA-Yr2-2025'!$D$21:$D$40,
        'Wedgewood Pharm-GA-Yr2-2025'!$E$21:$L$40,0,0),0,0), "No Match")</f>
        <v>12.12</v>
      </c>
      <c r="K554" t="s">
        <v>46</v>
      </c>
      <c r="L554" t="s">
        <v>13</v>
      </c>
      <c r="M554">
        <v>1</v>
      </c>
      <c r="N554" t="str">
        <f t="shared" si="8"/>
        <v>INSERT INTO TNL_RATING.dbo.usps_rate_master VALUES ('USPS', '2/13/2025', '2/13/2026', 12659, 'US', 'USPS Ground Advantage', 8, 5, 'L', 12.12, 'Wedgewood_USPS_2025', 'NonCubic','1');</v>
      </c>
    </row>
    <row r="555" spans="1:14" x14ac:dyDescent="0.3">
      <c r="A555" t="s">
        <v>11</v>
      </c>
      <c r="B555" s="1" t="s">
        <v>43</v>
      </c>
      <c r="C555" s="1" t="s">
        <v>44</v>
      </c>
      <c r="D555">
        <v>12659</v>
      </c>
      <c r="E555" t="s">
        <v>12</v>
      </c>
      <c r="F555" t="s">
        <v>51</v>
      </c>
      <c r="G555">
        <v>8</v>
      </c>
      <c r="H555">
        <v>6</v>
      </c>
      <c r="I555" t="s">
        <v>45</v>
      </c>
      <c r="J555" cm="1">
        <f t="array" ref="J555">IFERROR(_xlfn.XLOOKUP(G555,'Wedgewood Pharm-GA-Yr2-2025'!$E$4:$L$4,
    _xlfn.XLOOKUP('Rate Load'!H555,'Wedgewood Pharm-GA-Yr2-2025'!$D$21:$D$40,
        'Wedgewood Pharm-GA-Yr2-2025'!$E$21:$L$40,0,0),0,0), "No Match")</f>
        <v>12.45</v>
      </c>
      <c r="K555" t="s">
        <v>46</v>
      </c>
      <c r="L555" t="s">
        <v>13</v>
      </c>
      <c r="M555">
        <v>1</v>
      </c>
      <c r="N555" t="str">
        <f t="shared" si="8"/>
        <v>INSERT INTO TNL_RATING.dbo.usps_rate_master VALUES ('USPS', '2/13/2025', '2/13/2026', 12659, 'US', 'USPS Ground Advantage', 8, 6, 'L', 12.45, 'Wedgewood_USPS_2025', 'NonCubic','1');</v>
      </c>
    </row>
    <row r="556" spans="1:14" x14ac:dyDescent="0.3">
      <c r="A556" t="s">
        <v>11</v>
      </c>
      <c r="B556" s="1" t="s">
        <v>43</v>
      </c>
      <c r="C556" s="1" t="s">
        <v>44</v>
      </c>
      <c r="D556">
        <v>12659</v>
      </c>
      <c r="E556" t="s">
        <v>12</v>
      </c>
      <c r="F556" t="s">
        <v>51</v>
      </c>
      <c r="G556">
        <v>8</v>
      </c>
      <c r="H556">
        <v>7</v>
      </c>
      <c r="I556" t="s">
        <v>45</v>
      </c>
      <c r="J556" cm="1">
        <f t="array" ref="J556">IFERROR(_xlfn.XLOOKUP(G556,'Wedgewood Pharm-GA-Yr2-2025'!$E$4:$L$4,
    _xlfn.XLOOKUP('Rate Load'!H556,'Wedgewood Pharm-GA-Yr2-2025'!$D$21:$D$40,
        'Wedgewood Pharm-GA-Yr2-2025'!$E$21:$L$40,0,0),0,0), "No Match")</f>
        <v>13.07</v>
      </c>
      <c r="K556" t="s">
        <v>46</v>
      </c>
      <c r="L556" t="s">
        <v>13</v>
      </c>
      <c r="M556">
        <v>1</v>
      </c>
      <c r="N556" t="str">
        <f t="shared" si="8"/>
        <v>INSERT INTO TNL_RATING.dbo.usps_rate_master VALUES ('USPS', '2/13/2025', '2/13/2026', 12659, 'US', 'USPS Ground Advantage', 8, 7, 'L', 13.07, 'Wedgewood_USPS_2025', 'NonCubic','1');</v>
      </c>
    </row>
    <row r="557" spans="1:14" x14ac:dyDescent="0.3">
      <c r="A557" t="s">
        <v>11</v>
      </c>
      <c r="B557" s="1" t="s">
        <v>43</v>
      </c>
      <c r="C557" s="1" t="s">
        <v>44</v>
      </c>
      <c r="D557">
        <v>12659</v>
      </c>
      <c r="E557" t="s">
        <v>12</v>
      </c>
      <c r="F557" t="s">
        <v>51</v>
      </c>
      <c r="G557">
        <v>8</v>
      </c>
      <c r="H557">
        <v>8</v>
      </c>
      <c r="I557" t="s">
        <v>45</v>
      </c>
      <c r="J557" cm="1">
        <f t="array" ref="J557">IFERROR(_xlfn.XLOOKUP(G557,'Wedgewood Pharm-GA-Yr2-2025'!$E$4:$L$4,
    _xlfn.XLOOKUP('Rate Load'!H557,'Wedgewood Pharm-GA-Yr2-2025'!$D$21:$D$40,
        'Wedgewood Pharm-GA-Yr2-2025'!$E$21:$L$40,0,0),0,0), "No Match")</f>
        <v>13.56</v>
      </c>
      <c r="K557" t="s">
        <v>46</v>
      </c>
      <c r="L557" t="s">
        <v>13</v>
      </c>
      <c r="M557">
        <v>1</v>
      </c>
      <c r="N557" t="str">
        <f t="shared" si="8"/>
        <v>INSERT INTO TNL_RATING.dbo.usps_rate_master VALUES ('USPS', '2/13/2025', '2/13/2026', 12659, 'US', 'USPS Ground Advantage', 8, 8, 'L', 13.56, 'Wedgewood_USPS_2025', 'NonCubic','1');</v>
      </c>
    </row>
    <row r="558" spans="1:14" x14ac:dyDescent="0.3">
      <c r="A558" t="s">
        <v>11</v>
      </c>
      <c r="B558" s="1" t="s">
        <v>43</v>
      </c>
      <c r="C558" s="1" t="s">
        <v>44</v>
      </c>
      <c r="D558">
        <v>12659</v>
      </c>
      <c r="E558" t="s">
        <v>12</v>
      </c>
      <c r="F558" t="s">
        <v>51</v>
      </c>
      <c r="G558">
        <v>8</v>
      </c>
      <c r="H558">
        <v>9</v>
      </c>
      <c r="I558" t="s">
        <v>45</v>
      </c>
      <c r="J558" cm="1">
        <f t="array" ref="J558">IFERROR(_xlfn.XLOOKUP(G558,'Wedgewood Pharm-GA-Yr2-2025'!$E$4:$L$4,
    _xlfn.XLOOKUP('Rate Load'!H558,'Wedgewood Pharm-GA-Yr2-2025'!$D$21:$D$40,
        'Wedgewood Pharm-GA-Yr2-2025'!$E$21:$L$40,0,0),0,0), "No Match")</f>
        <v>14.209999999999999</v>
      </c>
      <c r="K558" t="s">
        <v>46</v>
      </c>
      <c r="L558" t="s">
        <v>13</v>
      </c>
      <c r="M558">
        <v>1</v>
      </c>
      <c r="N558" t="str">
        <f t="shared" si="8"/>
        <v>INSERT INTO TNL_RATING.dbo.usps_rate_master VALUES ('USPS', '2/13/2025', '2/13/2026', 12659, 'US', 'USPS Ground Advantage', 8, 9, 'L', 14.21, 'Wedgewood_USPS_2025', 'NonCubic','1');</v>
      </c>
    </row>
    <row r="559" spans="1:14" x14ac:dyDescent="0.3">
      <c r="A559" t="s">
        <v>11</v>
      </c>
      <c r="B559" s="1" t="s">
        <v>43</v>
      </c>
      <c r="C559" s="1" t="s">
        <v>44</v>
      </c>
      <c r="D559">
        <v>12659</v>
      </c>
      <c r="E559" t="s">
        <v>12</v>
      </c>
      <c r="F559" t="s">
        <v>51</v>
      </c>
      <c r="G559">
        <v>8</v>
      </c>
      <c r="H559">
        <v>10</v>
      </c>
      <c r="I559" t="s">
        <v>45</v>
      </c>
      <c r="J559" cm="1">
        <f t="array" ref="J559">IFERROR(_xlfn.XLOOKUP(G559,'Wedgewood Pharm-GA-Yr2-2025'!$E$4:$L$4,
    _xlfn.XLOOKUP('Rate Load'!H559,'Wedgewood Pharm-GA-Yr2-2025'!$D$21:$D$40,
        'Wedgewood Pharm-GA-Yr2-2025'!$E$21:$L$40,0,0),0,0), "No Match")</f>
        <v>15</v>
      </c>
      <c r="K559" t="s">
        <v>46</v>
      </c>
      <c r="L559" t="s">
        <v>13</v>
      </c>
      <c r="M559">
        <v>1</v>
      </c>
      <c r="N559" t="str">
        <f t="shared" si="8"/>
        <v>INSERT INTO TNL_RATING.dbo.usps_rate_master VALUES ('USPS', '2/13/2025', '2/13/2026', 12659, 'US', 'USPS Ground Advantage', 8, 10, 'L', 15, 'Wedgewood_USPS_2025', 'NonCubic','1');</v>
      </c>
    </row>
    <row r="560" spans="1:14" x14ac:dyDescent="0.3">
      <c r="A560" t="s">
        <v>11</v>
      </c>
      <c r="B560" s="1" t="s">
        <v>43</v>
      </c>
      <c r="C560" s="1" t="s">
        <v>44</v>
      </c>
      <c r="D560">
        <v>12659</v>
      </c>
      <c r="E560" t="s">
        <v>12</v>
      </c>
      <c r="F560" t="s">
        <v>51</v>
      </c>
      <c r="G560">
        <v>8</v>
      </c>
      <c r="H560">
        <v>11</v>
      </c>
      <c r="I560" t="s">
        <v>45</v>
      </c>
      <c r="J560" cm="1">
        <f t="array" ref="J560">IFERROR(_xlfn.XLOOKUP(G560,'Wedgewood Pharm-GA-Yr2-2025'!$E$4:$L$4,
    _xlfn.XLOOKUP('Rate Load'!H560,'Wedgewood Pharm-GA-Yr2-2025'!$D$21:$D$40,
        'Wedgewood Pharm-GA-Yr2-2025'!$E$21:$L$40,0,0),0,0), "No Match")</f>
        <v>15.879999999999999</v>
      </c>
      <c r="K560" t="s">
        <v>46</v>
      </c>
      <c r="L560" t="s">
        <v>13</v>
      </c>
      <c r="M560">
        <v>1</v>
      </c>
      <c r="N560" t="str">
        <f t="shared" si="8"/>
        <v>INSERT INTO TNL_RATING.dbo.usps_rate_master VALUES ('USPS', '2/13/2025', '2/13/2026', 12659, 'US', 'USPS Ground Advantage', 8, 11, 'L', 15.88, 'Wedgewood_USPS_2025', 'NonCubic','1');</v>
      </c>
    </row>
    <row r="561" spans="1:14" x14ac:dyDescent="0.3">
      <c r="A561" t="s">
        <v>11</v>
      </c>
      <c r="B561" s="1" t="s">
        <v>43</v>
      </c>
      <c r="C561" s="1" t="s">
        <v>44</v>
      </c>
      <c r="D561">
        <v>12659</v>
      </c>
      <c r="E561" t="s">
        <v>12</v>
      </c>
      <c r="F561" t="s">
        <v>51</v>
      </c>
      <c r="G561">
        <v>8</v>
      </c>
      <c r="H561">
        <v>12</v>
      </c>
      <c r="I561" t="s">
        <v>45</v>
      </c>
      <c r="J561" cm="1">
        <f t="array" ref="J561">IFERROR(_xlfn.XLOOKUP(G561,'Wedgewood Pharm-GA-Yr2-2025'!$E$4:$L$4,
    _xlfn.XLOOKUP('Rate Load'!H561,'Wedgewood Pharm-GA-Yr2-2025'!$D$21:$D$40,
        'Wedgewood Pharm-GA-Yr2-2025'!$E$21:$L$40,0,0),0,0), "No Match")</f>
        <v>16.700000000000003</v>
      </c>
      <c r="K561" t="s">
        <v>46</v>
      </c>
      <c r="L561" t="s">
        <v>13</v>
      </c>
      <c r="M561">
        <v>1</v>
      </c>
      <c r="N561" t="str">
        <f t="shared" si="8"/>
        <v>INSERT INTO TNL_RATING.dbo.usps_rate_master VALUES ('USPS', '2/13/2025', '2/13/2026', 12659, 'US', 'USPS Ground Advantage', 8, 12, 'L', 16.7, 'Wedgewood_USPS_2025', 'NonCubic','1');</v>
      </c>
    </row>
    <row r="562" spans="1:14" x14ac:dyDescent="0.3">
      <c r="A562" t="s">
        <v>11</v>
      </c>
      <c r="B562" s="1" t="s">
        <v>43</v>
      </c>
      <c r="C562" s="1" t="s">
        <v>44</v>
      </c>
      <c r="D562">
        <v>12659</v>
      </c>
      <c r="E562" t="s">
        <v>12</v>
      </c>
      <c r="F562" t="s">
        <v>51</v>
      </c>
      <c r="G562">
        <v>8</v>
      </c>
      <c r="H562">
        <v>13</v>
      </c>
      <c r="I562" t="s">
        <v>45</v>
      </c>
      <c r="J562" cm="1">
        <f t="array" ref="J562">IFERROR(_xlfn.XLOOKUP(G562,'Wedgewood Pharm-GA-Yr2-2025'!$E$4:$L$4,
    _xlfn.XLOOKUP('Rate Load'!H562,'Wedgewood Pharm-GA-Yr2-2025'!$D$21:$D$40,
        'Wedgewood Pharm-GA-Yr2-2025'!$E$21:$L$40,0,0),0,0), "No Match")</f>
        <v>17.810000000000002</v>
      </c>
      <c r="K562" t="s">
        <v>46</v>
      </c>
      <c r="L562" t="s">
        <v>13</v>
      </c>
      <c r="M562">
        <v>1</v>
      </c>
      <c r="N562" t="str">
        <f t="shared" si="8"/>
        <v>INSERT INTO TNL_RATING.dbo.usps_rate_master VALUES ('USPS', '2/13/2025', '2/13/2026', 12659, 'US', 'USPS Ground Advantage', 8, 13, 'L', 17.81, 'Wedgewood_USPS_2025', 'NonCubic','1');</v>
      </c>
    </row>
    <row r="563" spans="1:14" x14ac:dyDescent="0.3">
      <c r="A563" t="s">
        <v>11</v>
      </c>
      <c r="B563" s="1" t="s">
        <v>43</v>
      </c>
      <c r="C563" s="1" t="s">
        <v>44</v>
      </c>
      <c r="D563">
        <v>12659</v>
      </c>
      <c r="E563" t="s">
        <v>12</v>
      </c>
      <c r="F563" t="s">
        <v>51</v>
      </c>
      <c r="G563">
        <v>8</v>
      </c>
      <c r="H563">
        <v>14</v>
      </c>
      <c r="I563" t="s">
        <v>45</v>
      </c>
      <c r="J563" cm="1">
        <f t="array" ref="J563">IFERROR(_xlfn.XLOOKUP(G563,'Wedgewood Pharm-GA-Yr2-2025'!$E$4:$L$4,
    _xlfn.XLOOKUP('Rate Load'!H563,'Wedgewood Pharm-GA-Yr2-2025'!$D$21:$D$40,
        'Wedgewood Pharm-GA-Yr2-2025'!$E$21:$L$40,0,0),0,0), "No Match")</f>
        <v>18.940000000000001</v>
      </c>
      <c r="K563" t="s">
        <v>46</v>
      </c>
      <c r="L563" t="s">
        <v>13</v>
      </c>
      <c r="M563">
        <v>1</v>
      </c>
      <c r="N563" t="str">
        <f t="shared" si="8"/>
        <v>INSERT INTO TNL_RATING.dbo.usps_rate_master VALUES ('USPS', '2/13/2025', '2/13/2026', 12659, 'US', 'USPS Ground Advantage', 8, 14, 'L', 18.94, 'Wedgewood_USPS_2025', 'NonCubic','1');</v>
      </c>
    </row>
    <row r="564" spans="1:14" x14ac:dyDescent="0.3">
      <c r="A564" t="s">
        <v>11</v>
      </c>
      <c r="B564" s="1" t="s">
        <v>43</v>
      </c>
      <c r="C564" s="1" t="s">
        <v>44</v>
      </c>
      <c r="D564">
        <v>12659</v>
      </c>
      <c r="E564" t="s">
        <v>12</v>
      </c>
      <c r="F564" t="s">
        <v>51</v>
      </c>
      <c r="G564">
        <v>8</v>
      </c>
      <c r="H564">
        <v>15</v>
      </c>
      <c r="I564" t="s">
        <v>45</v>
      </c>
      <c r="J564" cm="1">
        <f t="array" ref="J564">IFERROR(_xlfn.XLOOKUP(G564,'Wedgewood Pharm-GA-Yr2-2025'!$E$4:$L$4,
    _xlfn.XLOOKUP('Rate Load'!H564,'Wedgewood Pharm-GA-Yr2-2025'!$D$21:$D$40,
        'Wedgewood Pharm-GA-Yr2-2025'!$E$21:$L$40,0,0),0,0), "No Match")</f>
        <v>20.110000000000003</v>
      </c>
      <c r="K564" t="s">
        <v>46</v>
      </c>
      <c r="L564" t="s">
        <v>13</v>
      </c>
      <c r="M564">
        <v>1</v>
      </c>
      <c r="N564" t="str">
        <f t="shared" si="8"/>
        <v>INSERT INTO TNL_RATING.dbo.usps_rate_master VALUES ('USPS', '2/13/2025', '2/13/2026', 12659, 'US', 'USPS Ground Advantage', 8, 15, 'L', 20.11, 'Wedgewood_USPS_2025', 'NonCubic','1');</v>
      </c>
    </row>
    <row r="565" spans="1:14" x14ac:dyDescent="0.3">
      <c r="A565" t="s">
        <v>11</v>
      </c>
      <c r="B565" s="1" t="s">
        <v>43</v>
      </c>
      <c r="C565" s="1" t="s">
        <v>44</v>
      </c>
      <c r="D565">
        <v>12659</v>
      </c>
      <c r="E565" t="s">
        <v>12</v>
      </c>
      <c r="F565" t="s">
        <v>51</v>
      </c>
      <c r="G565">
        <v>8</v>
      </c>
      <c r="H565">
        <v>16</v>
      </c>
      <c r="I565" t="s">
        <v>45</v>
      </c>
      <c r="J565" cm="1">
        <f t="array" ref="J565">IFERROR(_xlfn.XLOOKUP(G565,'Wedgewood Pharm-GA-Yr2-2025'!$E$4:$L$4,
    _xlfn.XLOOKUP('Rate Load'!H565,'Wedgewood Pharm-GA-Yr2-2025'!$D$21:$D$40,
        'Wedgewood Pharm-GA-Yr2-2025'!$E$21:$L$40,0,0),0,0), "No Match")</f>
        <v>20.830000000000002</v>
      </c>
      <c r="K565" t="s">
        <v>46</v>
      </c>
      <c r="L565" t="s">
        <v>13</v>
      </c>
      <c r="M565">
        <v>1</v>
      </c>
      <c r="N565" t="str">
        <f t="shared" si="8"/>
        <v>INSERT INTO TNL_RATING.dbo.usps_rate_master VALUES ('USPS', '2/13/2025', '2/13/2026', 12659, 'US', 'USPS Ground Advantage', 8, 16, 'L', 20.83, 'Wedgewood_USPS_2025', 'NonCubic','1');</v>
      </c>
    </row>
    <row r="566" spans="1:14" x14ac:dyDescent="0.3">
      <c r="A566" t="s">
        <v>11</v>
      </c>
      <c r="B566" s="1" t="s">
        <v>43</v>
      </c>
      <c r="C566" s="1" t="s">
        <v>44</v>
      </c>
      <c r="D566">
        <v>12659</v>
      </c>
      <c r="E566" t="s">
        <v>12</v>
      </c>
      <c r="F566" t="s">
        <v>51</v>
      </c>
      <c r="G566">
        <v>8</v>
      </c>
      <c r="H566">
        <v>17</v>
      </c>
      <c r="I566" t="s">
        <v>45</v>
      </c>
      <c r="J566" cm="1">
        <f t="array" ref="J566">IFERROR(_xlfn.XLOOKUP(G566,'Wedgewood Pharm-GA-Yr2-2025'!$E$4:$L$4,
    _xlfn.XLOOKUP('Rate Load'!H566,'Wedgewood Pharm-GA-Yr2-2025'!$D$21:$D$40,
        'Wedgewood Pharm-GA-Yr2-2025'!$E$21:$L$40,0,0),0,0), "No Match")</f>
        <v>21.6</v>
      </c>
      <c r="K566" t="s">
        <v>46</v>
      </c>
      <c r="L566" t="s">
        <v>13</v>
      </c>
      <c r="M566">
        <v>1</v>
      </c>
      <c r="N566" t="str">
        <f t="shared" si="8"/>
        <v>INSERT INTO TNL_RATING.dbo.usps_rate_master VALUES ('USPS', '2/13/2025', '2/13/2026', 12659, 'US', 'USPS Ground Advantage', 8, 17, 'L', 21.6, 'Wedgewood_USPS_2025', 'NonCubic','1');</v>
      </c>
    </row>
    <row r="567" spans="1:14" x14ac:dyDescent="0.3">
      <c r="A567" t="s">
        <v>11</v>
      </c>
      <c r="B567" s="1" t="s">
        <v>43</v>
      </c>
      <c r="C567" s="1" t="s">
        <v>44</v>
      </c>
      <c r="D567">
        <v>12659</v>
      </c>
      <c r="E567" t="s">
        <v>12</v>
      </c>
      <c r="F567" t="s">
        <v>51</v>
      </c>
      <c r="G567">
        <v>8</v>
      </c>
      <c r="H567">
        <v>18</v>
      </c>
      <c r="I567" t="s">
        <v>45</v>
      </c>
      <c r="J567" cm="1">
        <f t="array" ref="J567">IFERROR(_xlfn.XLOOKUP(G567,'Wedgewood Pharm-GA-Yr2-2025'!$E$4:$L$4,
    _xlfn.XLOOKUP('Rate Load'!H567,'Wedgewood Pharm-GA-Yr2-2025'!$D$21:$D$40,
        'Wedgewood Pharm-GA-Yr2-2025'!$E$21:$L$40,0,0),0,0), "No Match")</f>
        <v>22.8</v>
      </c>
      <c r="K567" t="s">
        <v>46</v>
      </c>
      <c r="L567" t="s">
        <v>13</v>
      </c>
      <c r="M567">
        <v>1</v>
      </c>
      <c r="N567" t="str">
        <f t="shared" si="8"/>
        <v>INSERT INTO TNL_RATING.dbo.usps_rate_master VALUES ('USPS', '2/13/2025', '2/13/2026', 12659, 'US', 'USPS Ground Advantage', 8, 18, 'L', 22.8, 'Wedgewood_USPS_2025', 'NonCubic','1');</v>
      </c>
    </row>
    <row r="568" spans="1:14" x14ac:dyDescent="0.3">
      <c r="A568" t="s">
        <v>11</v>
      </c>
      <c r="B568" s="1" t="s">
        <v>43</v>
      </c>
      <c r="C568" s="1" t="s">
        <v>44</v>
      </c>
      <c r="D568">
        <v>12659</v>
      </c>
      <c r="E568" t="s">
        <v>12</v>
      </c>
      <c r="F568" t="s">
        <v>51</v>
      </c>
      <c r="G568">
        <v>8</v>
      </c>
      <c r="H568">
        <v>19</v>
      </c>
      <c r="I568" t="s">
        <v>45</v>
      </c>
      <c r="J568" cm="1">
        <f t="array" ref="J568">IFERROR(_xlfn.XLOOKUP(G568,'Wedgewood Pharm-GA-Yr2-2025'!$E$4:$L$4,
    _xlfn.XLOOKUP('Rate Load'!H568,'Wedgewood Pharm-GA-Yr2-2025'!$D$21:$D$40,
        'Wedgewood Pharm-GA-Yr2-2025'!$E$21:$L$40,0,0),0,0), "No Match")</f>
        <v>23.78</v>
      </c>
      <c r="K568" t="s">
        <v>46</v>
      </c>
      <c r="L568" t="s">
        <v>13</v>
      </c>
      <c r="M568">
        <v>1</v>
      </c>
      <c r="N568" t="str">
        <f t="shared" si="8"/>
        <v>INSERT INTO TNL_RATING.dbo.usps_rate_master VALUES ('USPS', '2/13/2025', '2/13/2026', 12659, 'US', 'USPS Ground Advantage', 8, 19, 'L', 23.78, 'Wedgewood_USPS_2025', 'NonCubic','1');</v>
      </c>
    </row>
    <row r="569" spans="1:14" x14ac:dyDescent="0.3">
      <c r="A569" t="s">
        <v>11</v>
      </c>
      <c r="B569" s="1" t="s">
        <v>43</v>
      </c>
      <c r="C569" s="1" t="s">
        <v>44</v>
      </c>
      <c r="D569">
        <v>12659</v>
      </c>
      <c r="E569" t="s">
        <v>12</v>
      </c>
      <c r="F569" t="s">
        <v>51</v>
      </c>
      <c r="G569">
        <v>8</v>
      </c>
      <c r="H569">
        <v>20</v>
      </c>
      <c r="I569" t="s">
        <v>45</v>
      </c>
      <c r="J569" cm="1">
        <f t="array" ref="J569">IFERROR(_xlfn.XLOOKUP(G569,'Wedgewood Pharm-GA-Yr2-2025'!$E$4:$L$4,
    _xlfn.XLOOKUP('Rate Load'!H569,'Wedgewood Pharm-GA-Yr2-2025'!$D$21:$D$40,
        'Wedgewood Pharm-GA-Yr2-2025'!$E$21:$L$40,0,0),0,0), "No Match")</f>
        <v>24.87</v>
      </c>
      <c r="K569" t="s">
        <v>46</v>
      </c>
      <c r="L569" t="s">
        <v>13</v>
      </c>
      <c r="M569">
        <v>1</v>
      </c>
      <c r="N569" t="str">
        <f t="shared" si="8"/>
        <v>INSERT INTO TNL_RATING.dbo.usps_rate_master VALUES ('USPS', '2/13/2025', '2/13/2026', 12659, 'US', 'USPS Ground Advantage', 8, 20, 'L', 24.87, 'Wedgewood_USPS_2025', 'NonCubic','1');</v>
      </c>
    </row>
    <row r="570" spans="1:14" x14ac:dyDescent="0.3">
      <c r="A570" t="s">
        <v>11</v>
      </c>
      <c r="B570" s="1" t="s">
        <v>43</v>
      </c>
      <c r="C570" s="1" t="s">
        <v>44</v>
      </c>
      <c r="D570">
        <v>12659</v>
      </c>
      <c r="E570" t="s">
        <v>12</v>
      </c>
      <c r="F570" t="s">
        <v>42</v>
      </c>
      <c r="G570">
        <v>1</v>
      </c>
      <c r="H570">
        <v>0.5</v>
      </c>
      <c r="I570" t="s">
        <v>45</v>
      </c>
      <c r="J570" cm="1">
        <f t="array" ref="J570">IFERROR(
    _xlfn.XLOOKUP(G570, 'Wedgewood Pharm-PME-Yr2-2025'!$E$33:$L$33,
        _xlfn.XLOOKUP('Rate Load'!H570, 'Wedgewood Pharm-PME-Yr2-2025'!$D$34:$D$57,
            'Wedgewood Pharm-PME-Yr2-2025'!$E$34:$L$57, 0, 0),
        0, 0),
    _xlfn.XLOOKUP(G570, 'Wedgewood Pharm-PME-Yr2-2025'!$E$33:$L$33,
        _xlfn.XLOOKUP('Rate Load'!L570, 'Wedgewood Pharm-PME-Yr2-2025'!$D$34:$D$57,
            'Wedgewood Pharm-PME-Yr2-2025'!$E$34:$L$57, 0, 0),
        0, 0)
)</f>
        <v>13.49</v>
      </c>
      <c r="K570" t="s">
        <v>46</v>
      </c>
      <c r="L570" t="s">
        <v>13</v>
      </c>
      <c r="M570">
        <v>2</v>
      </c>
      <c r="N570" t="str">
        <f t="shared" si="8"/>
        <v>INSERT INTO TNL_RATING.dbo.usps_rate_master VALUES ('USPS', '2/13/2025', '2/13/2026', 12659, 'US', 'Priority Mail Express', 1, 0.5, 'L', 13.49, 'Wedgewood_USPS_2025', 'NonCubic','2');</v>
      </c>
    </row>
    <row r="571" spans="1:14" x14ac:dyDescent="0.3">
      <c r="A571" t="s">
        <v>11</v>
      </c>
      <c r="B571" s="1" t="s">
        <v>43</v>
      </c>
      <c r="C571" s="1" t="s">
        <v>44</v>
      </c>
      <c r="D571">
        <v>12659</v>
      </c>
      <c r="E571" t="s">
        <v>12</v>
      </c>
      <c r="F571" t="s">
        <v>42</v>
      </c>
      <c r="G571">
        <v>1</v>
      </c>
      <c r="H571">
        <v>1</v>
      </c>
      <c r="I571" t="s">
        <v>45</v>
      </c>
      <c r="J571" cm="1">
        <f t="array" ref="J571">IFERROR(
    _xlfn.XLOOKUP(G571, 'Wedgewood Pharm-PME-Yr2-2025'!$E$33:$L$33,
        _xlfn.XLOOKUP('Rate Load'!H571, 'Wedgewood Pharm-PME-Yr2-2025'!$D$34:$D$57,
            'Wedgewood Pharm-PME-Yr2-2025'!$E$34:$L$57, 0, 0),
        0, 0),
    _xlfn.XLOOKUP(G571, 'Wedgewood Pharm-PME-Yr2-2025'!$E$33:$L$33,
        _xlfn.XLOOKUP('Rate Load'!L571, 'Wedgewood Pharm-PME-Yr2-2025'!$D$34:$D$57,
            'Wedgewood Pharm-PME-Yr2-2025'!$E$34:$L$57, 0, 0),
        0, 0)
)</f>
        <v>13.94</v>
      </c>
      <c r="K571" t="s">
        <v>46</v>
      </c>
      <c r="L571" t="s">
        <v>13</v>
      </c>
      <c r="M571">
        <v>2</v>
      </c>
      <c r="N571" t="str">
        <f t="shared" si="8"/>
        <v>INSERT INTO TNL_RATING.dbo.usps_rate_master VALUES ('USPS', '2/13/2025', '2/13/2026', 12659, 'US', 'Priority Mail Express', 1, 1, 'L', 13.94, 'Wedgewood_USPS_2025', 'NonCubic','2');</v>
      </c>
    </row>
    <row r="572" spans="1:14" x14ac:dyDescent="0.3">
      <c r="A572" t="s">
        <v>11</v>
      </c>
      <c r="B572" s="1" t="s">
        <v>43</v>
      </c>
      <c r="C572" s="1" t="s">
        <v>44</v>
      </c>
      <c r="D572">
        <v>12659</v>
      </c>
      <c r="E572" t="s">
        <v>12</v>
      </c>
      <c r="F572" t="s">
        <v>42</v>
      </c>
      <c r="G572">
        <v>1</v>
      </c>
      <c r="H572">
        <v>2</v>
      </c>
      <c r="I572" t="s">
        <v>45</v>
      </c>
      <c r="J572" cm="1">
        <f t="array" ref="J572">IFERROR(
    _xlfn.XLOOKUP(G572, 'Wedgewood Pharm-PME-Yr2-2025'!$E$33:$L$33,
        _xlfn.XLOOKUP('Rate Load'!H572, 'Wedgewood Pharm-PME-Yr2-2025'!$D$34:$D$57,
            'Wedgewood Pharm-PME-Yr2-2025'!$E$34:$L$57, 0, 0),
        0, 0),
    _xlfn.XLOOKUP(G572, 'Wedgewood Pharm-PME-Yr2-2025'!$E$33:$L$33,
        _xlfn.XLOOKUP('Rate Load'!L572, 'Wedgewood Pharm-PME-Yr2-2025'!$D$34:$D$57,
            'Wedgewood Pharm-PME-Yr2-2025'!$E$34:$L$57, 0, 0),
        0, 0)
)</f>
        <v>15.19</v>
      </c>
      <c r="K572" t="s">
        <v>46</v>
      </c>
      <c r="L572" t="s">
        <v>13</v>
      </c>
      <c r="M572">
        <v>2</v>
      </c>
      <c r="N572" t="str">
        <f t="shared" si="8"/>
        <v>INSERT INTO TNL_RATING.dbo.usps_rate_master VALUES ('USPS', '2/13/2025', '2/13/2026', 12659, 'US', 'Priority Mail Express', 1, 2, 'L', 15.19, 'Wedgewood_USPS_2025', 'NonCubic','2');</v>
      </c>
    </row>
    <row r="573" spans="1:14" x14ac:dyDescent="0.3">
      <c r="A573" t="s">
        <v>11</v>
      </c>
      <c r="B573" s="1" t="s">
        <v>43</v>
      </c>
      <c r="C573" s="1" t="s">
        <v>44</v>
      </c>
      <c r="D573">
        <v>12659</v>
      </c>
      <c r="E573" t="s">
        <v>12</v>
      </c>
      <c r="F573" t="s">
        <v>42</v>
      </c>
      <c r="G573">
        <v>1</v>
      </c>
      <c r="H573">
        <v>3</v>
      </c>
      <c r="I573" t="s">
        <v>45</v>
      </c>
      <c r="J573" cm="1">
        <f t="array" ref="J573">IFERROR(
    _xlfn.XLOOKUP(G573, 'Wedgewood Pharm-PME-Yr2-2025'!$E$33:$L$33,
        _xlfn.XLOOKUP('Rate Load'!H573, 'Wedgewood Pharm-PME-Yr2-2025'!$D$34:$D$57,
            'Wedgewood Pharm-PME-Yr2-2025'!$E$34:$L$57, 0, 0),
        0, 0),
    _xlfn.XLOOKUP(G573, 'Wedgewood Pharm-PME-Yr2-2025'!$E$33:$L$33,
        _xlfn.XLOOKUP('Rate Load'!L573, 'Wedgewood Pharm-PME-Yr2-2025'!$D$34:$D$57,
            'Wedgewood Pharm-PME-Yr2-2025'!$E$34:$L$57, 0, 0),
        0, 0)
)</f>
        <v>16.84</v>
      </c>
      <c r="K573" t="s">
        <v>46</v>
      </c>
      <c r="L573" t="s">
        <v>13</v>
      </c>
      <c r="M573">
        <v>2</v>
      </c>
      <c r="N573" t="str">
        <f t="shared" si="8"/>
        <v>INSERT INTO TNL_RATING.dbo.usps_rate_master VALUES ('USPS', '2/13/2025', '2/13/2026', 12659, 'US', 'Priority Mail Express', 1, 3, 'L', 16.84, 'Wedgewood_USPS_2025', 'NonCubic','2');</v>
      </c>
    </row>
    <row r="574" spans="1:14" x14ac:dyDescent="0.3">
      <c r="A574" t="s">
        <v>11</v>
      </c>
      <c r="B574" s="1" t="s">
        <v>43</v>
      </c>
      <c r="C574" s="1" t="s">
        <v>44</v>
      </c>
      <c r="D574">
        <v>12659</v>
      </c>
      <c r="E574" t="s">
        <v>12</v>
      </c>
      <c r="F574" t="s">
        <v>42</v>
      </c>
      <c r="G574">
        <v>1</v>
      </c>
      <c r="H574">
        <v>4</v>
      </c>
      <c r="I574" t="s">
        <v>45</v>
      </c>
      <c r="J574" cm="1">
        <f t="array" ref="J574">IFERROR(
    _xlfn.XLOOKUP(G574, 'Wedgewood Pharm-PME-Yr2-2025'!$E$33:$L$33,
        _xlfn.XLOOKUP('Rate Load'!H574, 'Wedgewood Pharm-PME-Yr2-2025'!$D$34:$D$57,
            'Wedgewood Pharm-PME-Yr2-2025'!$E$34:$L$57, 0, 0),
        0, 0),
    _xlfn.XLOOKUP(G574, 'Wedgewood Pharm-PME-Yr2-2025'!$E$33:$L$33,
        _xlfn.XLOOKUP('Rate Load'!L574, 'Wedgewood Pharm-PME-Yr2-2025'!$D$34:$D$57,
            'Wedgewood Pharm-PME-Yr2-2025'!$E$34:$L$57, 0, 0),
        0, 0)
)</f>
        <v>18.48</v>
      </c>
      <c r="K574" t="s">
        <v>46</v>
      </c>
      <c r="L574" t="s">
        <v>13</v>
      </c>
      <c r="M574">
        <v>2</v>
      </c>
      <c r="N574" t="str">
        <f t="shared" si="8"/>
        <v>INSERT INTO TNL_RATING.dbo.usps_rate_master VALUES ('USPS', '2/13/2025', '2/13/2026', 12659, 'US', 'Priority Mail Express', 1, 4, 'L', 18.48, 'Wedgewood_USPS_2025', 'NonCubic','2');</v>
      </c>
    </row>
    <row r="575" spans="1:14" x14ac:dyDescent="0.3">
      <c r="A575" t="s">
        <v>11</v>
      </c>
      <c r="B575" s="1" t="s">
        <v>43</v>
      </c>
      <c r="C575" s="1" t="s">
        <v>44</v>
      </c>
      <c r="D575">
        <v>12659</v>
      </c>
      <c r="E575" t="s">
        <v>12</v>
      </c>
      <c r="F575" t="s">
        <v>42</v>
      </c>
      <c r="G575">
        <v>1</v>
      </c>
      <c r="H575">
        <v>5</v>
      </c>
      <c r="I575" t="s">
        <v>45</v>
      </c>
      <c r="J575" cm="1">
        <f t="array" ref="J575">IFERROR(
    _xlfn.XLOOKUP(G575, 'Wedgewood Pharm-PME-Yr2-2025'!$E$33:$L$33,
        _xlfn.XLOOKUP('Rate Load'!H575, 'Wedgewood Pharm-PME-Yr2-2025'!$D$34:$D$57,
            'Wedgewood Pharm-PME-Yr2-2025'!$E$34:$L$57, 0, 0),
        0, 0),
    _xlfn.XLOOKUP(G575, 'Wedgewood Pharm-PME-Yr2-2025'!$E$33:$L$33,
        _xlfn.XLOOKUP('Rate Load'!L575, 'Wedgewood Pharm-PME-Yr2-2025'!$D$34:$D$57,
            'Wedgewood Pharm-PME-Yr2-2025'!$E$34:$L$57, 0, 0),
        0, 0)
)</f>
        <v>20.110000000000003</v>
      </c>
      <c r="K575" t="s">
        <v>46</v>
      </c>
      <c r="L575" t="s">
        <v>13</v>
      </c>
      <c r="M575">
        <v>2</v>
      </c>
      <c r="N575" t="str">
        <f t="shared" si="8"/>
        <v>INSERT INTO TNL_RATING.dbo.usps_rate_master VALUES ('USPS', '2/13/2025', '2/13/2026', 12659, 'US', 'Priority Mail Express', 1, 5, 'L', 20.11, 'Wedgewood_USPS_2025', 'NonCubic','2');</v>
      </c>
    </row>
    <row r="576" spans="1:14" x14ac:dyDescent="0.3">
      <c r="A576" t="s">
        <v>11</v>
      </c>
      <c r="B576" s="1" t="s">
        <v>43</v>
      </c>
      <c r="C576" s="1" t="s">
        <v>44</v>
      </c>
      <c r="D576">
        <v>12659</v>
      </c>
      <c r="E576" t="s">
        <v>12</v>
      </c>
      <c r="F576" t="s">
        <v>42</v>
      </c>
      <c r="G576">
        <v>1</v>
      </c>
      <c r="H576">
        <v>6</v>
      </c>
      <c r="I576" t="s">
        <v>45</v>
      </c>
      <c r="J576" cm="1">
        <f t="array" ref="J576">IFERROR(
    _xlfn.XLOOKUP(G576, 'Wedgewood Pharm-PME-Yr2-2025'!$E$33:$L$33,
        _xlfn.XLOOKUP('Rate Load'!H576, 'Wedgewood Pharm-PME-Yr2-2025'!$D$34:$D$57,
            'Wedgewood Pharm-PME-Yr2-2025'!$E$34:$L$57, 0, 0),
        0, 0),
    _xlfn.XLOOKUP(G576, 'Wedgewood Pharm-PME-Yr2-2025'!$E$33:$L$33,
        _xlfn.XLOOKUP('Rate Load'!L576, 'Wedgewood Pharm-PME-Yr2-2025'!$D$34:$D$57,
            'Wedgewood Pharm-PME-Yr2-2025'!$E$34:$L$57, 0, 0),
        0, 0)
)</f>
        <v>22.220000000000002</v>
      </c>
      <c r="K576" t="s">
        <v>46</v>
      </c>
      <c r="L576" t="s">
        <v>13</v>
      </c>
      <c r="M576">
        <v>2</v>
      </c>
      <c r="N576" t="str">
        <f t="shared" si="8"/>
        <v>INSERT INTO TNL_RATING.dbo.usps_rate_master VALUES ('USPS', '2/13/2025', '2/13/2026', 12659, 'US', 'Priority Mail Express', 1, 6, 'L', 22.22, 'Wedgewood_USPS_2025', 'NonCubic','2');</v>
      </c>
    </row>
    <row r="577" spans="1:14" x14ac:dyDescent="0.3">
      <c r="A577" t="s">
        <v>11</v>
      </c>
      <c r="B577" s="1" t="s">
        <v>43</v>
      </c>
      <c r="C577" s="1" t="s">
        <v>44</v>
      </c>
      <c r="D577">
        <v>12659</v>
      </c>
      <c r="E577" t="s">
        <v>12</v>
      </c>
      <c r="F577" t="s">
        <v>42</v>
      </c>
      <c r="G577">
        <v>1</v>
      </c>
      <c r="H577">
        <v>7</v>
      </c>
      <c r="I577" t="s">
        <v>45</v>
      </c>
      <c r="J577" cm="1">
        <f t="array" ref="J577">IFERROR(
    _xlfn.XLOOKUP(G577, 'Wedgewood Pharm-PME-Yr2-2025'!$E$33:$L$33,
        _xlfn.XLOOKUP('Rate Load'!H577, 'Wedgewood Pharm-PME-Yr2-2025'!$D$34:$D$57,
            'Wedgewood Pharm-PME-Yr2-2025'!$E$34:$L$57, 0, 0),
        0, 0),
    _xlfn.XLOOKUP(G577, 'Wedgewood Pharm-PME-Yr2-2025'!$E$33:$L$33,
        _xlfn.XLOOKUP('Rate Load'!L577, 'Wedgewood Pharm-PME-Yr2-2025'!$D$34:$D$57,
            'Wedgewood Pharm-PME-Yr2-2025'!$E$34:$L$57, 0, 0),
        0, 0)
)</f>
        <v>24.330000000000002</v>
      </c>
      <c r="K577" t="s">
        <v>46</v>
      </c>
      <c r="L577" t="s">
        <v>13</v>
      </c>
      <c r="M577">
        <v>2</v>
      </c>
      <c r="N577" t="str">
        <f t="shared" si="8"/>
        <v>INSERT INTO TNL_RATING.dbo.usps_rate_master VALUES ('USPS', '2/13/2025', '2/13/2026', 12659, 'US', 'Priority Mail Express', 1, 7, 'L', 24.33, 'Wedgewood_USPS_2025', 'NonCubic','2');</v>
      </c>
    </row>
    <row r="578" spans="1:14" x14ac:dyDescent="0.3">
      <c r="A578" t="s">
        <v>11</v>
      </c>
      <c r="B578" s="1" t="s">
        <v>43</v>
      </c>
      <c r="C578" s="1" t="s">
        <v>44</v>
      </c>
      <c r="D578">
        <v>12659</v>
      </c>
      <c r="E578" t="s">
        <v>12</v>
      </c>
      <c r="F578" t="s">
        <v>42</v>
      </c>
      <c r="G578">
        <v>1</v>
      </c>
      <c r="H578">
        <v>8</v>
      </c>
      <c r="I578" t="s">
        <v>45</v>
      </c>
      <c r="J578" cm="1">
        <f t="array" ref="J578">IFERROR(
    _xlfn.XLOOKUP(G578, 'Wedgewood Pharm-PME-Yr2-2025'!$E$33:$L$33,
        _xlfn.XLOOKUP('Rate Load'!H578, 'Wedgewood Pharm-PME-Yr2-2025'!$D$34:$D$57,
            'Wedgewood Pharm-PME-Yr2-2025'!$E$34:$L$57, 0, 0),
        0, 0),
    _xlfn.XLOOKUP(G578, 'Wedgewood Pharm-PME-Yr2-2025'!$E$33:$L$33,
        _xlfn.XLOOKUP('Rate Load'!L578, 'Wedgewood Pharm-PME-Yr2-2025'!$D$34:$D$57,
            'Wedgewood Pharm-PME-Yr2-2025'!$E$34:$L$57, 0, 0),
        0, 0)
)</f>
        <v>26.430000000000003</v>
      </c>
      <c r="K578" t="s">
        <v>46</v>
      </c>
      <c r="L578" t="s">
        <v>13</v>
      </c>
      <c r="M578">
        <v>2</v>
      </c>
      <c r="N578" t="str">
        <f t="shared" si="8"/>
        <v>INSERT INTO TNL_RATING.dbo.usps_rate_master VALUES ('USPS', '2/13/2025', '2/13/2026', 12659, 'US', 'Priority Mail Express', 1, 8, 'L', 26.43, 'Wedgewood_USPS_2025', 'NonCubic','2');</v>
      </c>
    </row>
    <row r="579" spans="1:14" x14ac:dyDescent="0.3">
      <c r="A579" t="s">
        <v>11</v>
      </c>
      <c r="B579" s="1" t="s">
        <v>43</v>
      </c>
      <c r="C579" s="1" t="s">
        <v>44</v>
      </c>
      <c r="D579">
        <v>12659</v>
      </c>
      <c r="E579" t="s">
        <v>12</v>
      </c>
      <c r="F579" t="s">
        <v>42</v>
      </c>
      <c r="G579">
        <v>1</v>
      </c>
      <c r="H579">
        <v>9</v>
      </c>
      <c r="I579" t="s">
        <v>45</v>
      </c>
      <c r="J579" cm="1">
        <f t="array" ref="J579">IFERROR(
    _xlfn.XLOOKUP(G579, 'Wedgewood Pharm-PME-Yr2-2025'!$E$33:$L$33,
        _xlfn.XLOOKUP('Rate Load'!H579, 'Wedgewood Pharm-PME-Yr2-2025'!$D$34:$D$57,
            'Wedgewood Pharm-PME-Yr2-2025'!$E$34:$L$57, 0, 0),
        0, 0),
    _xlfn.XLOOKUP(G579, 'Wedgewood Pharm-PME-Yr2-2025'!$E$33:$L$33,
        _xlfn.XLOOKUP('Rate Load'!L579, 'Wedgewood Pharm-PME-Yr2-2025'!$D$34:$D$57,
            'Wedgewood Pharm-PME-Yr2-2025'!$E$34:$L$57, 0, 0),
        0, 0)
)</f>
        <v>28.53</v>
      </c>
      <c r="K579" t="s">
        <v>46</v>
      </c>
      <c r="L579" t="s">
        <v>13</v>
      </c>
      <c r="M579">
        <v>2</v>
      </c>
      <c r="N579" t="str">
        <f t="shared" ref="N579:N642" si="9">"INSERT INTO TNL_RATING.dbo.usps_rate_master VALUES ('" &amp; A579 &amp; "', '" &amp; B579 &amp; "', '" &amp; C579 &amp; "', " &amp; D579 &amp; ", '" &amp; E579 &amp; "', '" &amp; F579 &amp; "', " &amp; G579 &amp; ", " &amp; H579 &amp; ", '" &amp; I579 &amp; "', " &amp; J579 &amp; ", '" &amp; K579 &amp; "', '" &amp; L579 &amp; "','" &amp; M579 &amp; "');"</f>
        <v>INSERT INTO TNL_RATING.dbo.usps_rate_master VALUES ('USPS', '2/13/2025', '2/13/2026', 12659, 'US', 'Priority Mail Express', 1, 9, 'L', 28.53, 'Wedgewood_USPS_2025', 'NonCubic','2');</v>
      </c>
    </row>
    <row r="580" spans="1:14" x14ac:dyDescent="0.3">
      <c r="A580" t="s">
        <v>11</v>
      </c>
      <c r="B580" s="1" t="s">
        <v>43</v>
      </c>
      <c r="C580" s="1" t="s">
        <v>44</v>
      </c>
      <c r="D580">
        <v>12659</v>
      </c>
      <c r="E580" t="s">
        <v>12</v>
      </c>
      <c r="F580" t="s">
        <v>42</v>
      </c>
      <c r="G580">
        <v>1</v>
      </c>
      <c r="H580">
        <v>10</v>
      </c>
      <c r="I580" t="s">
        <v>45</v>
      </c>
      <c r="J580" cm="1">
        <f t="array" ref="J580">IFERROR(
    _xlfn.XLOOKUP(G580, 'Wedgewood Pharm-PME-Yr2-2025'!$E$33:$L$33,
        _xlfn.XLOOKUP('Rate Load'!H580, 'Wedgewood Pharm-PME-Yr2-2025'!$D$34:$D$57,
            'Wedgewood Pharm-PME-Yr2-2025'!$E$34:$L$57, 0, 0),
        0, 0),
    _xlfn.XLOOKUP(G580, 'Wedgewood Pharm-PME-Yr2-2025'!$E$33:$L$33,
        _xlfn.XLOOKUP('Rate Load'!L580, 'Wedgewood Pharm-PME-Yr2-2025'!$D$34:$D$57,
            'Wedgewood Pharm-PME-Yr2-2025'!$E$34:$L$57, 0, 0),
        0, 0)
)</f>
        <v>30.630000000000003</v>
      </c>
      <c r="K580" t="s">
        <v>46</v>
      </c>
      <c r="L580" t="s">
        <v>13</v>
      </c>
      <c r="M580">
        <v>2</v>
      </c>
      <c r="N580" t="str">
        <f t="shared" si="9"/>
        <v>INSERT INTO TNL_RATING.dbo.usps_rate_master VALUES ('USPS', '2/13/2025', '2/13/2026', 12659, 'US', 'Priority Mail Express', 1, 10, 'L', 30.63, 'Wedgewood_USPS_2025', 'NonCubic','2');</v>
      </c>
    </row>
    <row r="581" spans="1:14" x14ac:dyDescent="0.3">
      <c r="A581" t="s">
        <v>11</v>
      </c>
      <c r="B581" s="1" t="s">
        <v>43</v>
      </c>
      <c r="C581" s="1" t="s">
        <v>44</v>
      </c>
      <c r="D581">
        <v>12659</v>
      </c>
      <c r="E581" t="s">
        <v>12</v>
      </c>
      <c r="F581" t="s">
        <v>42</v>
      </c>
      <c r="G581">
        <v>1</v>
      </c>
      <c r="H581">
        <v>11</v>
      </c>
      <c r="I581" t="s">
        <v>45</v>
      </c>
      <c r="J581" cm="1">
        <f t="array" ref="J581">IFERROR(
    _xlfn.XLOOKUP(G581, 'Wedgewood Pharm-PME-Yr2-2025'!$E$33:$L$33,
        _xlfn.XLOOKUP('Rate Load'!H581, 'Wedgewood Pharm-PME-Yr2-2025'!$D$34:$D$57,
            'Wedgewood Pharm-PME-Yr2-2025'!$E$34:$L$57, 0, 0),
        0, 0),
    _xlfn.XLOOKUP(G581, 'Wedgewood Pharm-PME-Yr2-2025'!$E$33:$L$33,
        _xlfn.XLOOKUP('Rate Load'!L581, 'Wedgewood Pharm-PME-Yr2-2025'!$D$34:$D$57,
            'Wedgewood Pharm-PME-Yr2-2025'!$E$34:$L$57, 0, 0),
        0, 0)
)</f>
        <v>32.64</v>
      </c>
      <c r="K581" t="s">
        <v>46</v>
      </c>
      <c r="L581" t="s">
        <v>13</v>
      </c>
      <c r="M581">
        <v>2</v>
      </c>
      <c r="N581" t="str">
        <f t="shared" si="9"/>
        <v>INSERT INTO TNL_RATING.dbo.usps_rate_master VALUES ('USPS', '2/13/2025', '2/13/2026', 12659, 'US', 'Priority Mail Express', 1, 11, 'L', 32.64, 'Wedgewood_USPS_2025', 'NonCubic','2');</v>
      </c>
    </row>
    <row r="582" spans="1:14" x14ac:dyDescent="0.3">
      <c r="A582" t="s">
        <v>11</v>
      </c>
      <c r="B582" s="1" t="s">
        <v>43</v>
      </c>
      <c r="C582" s="1" t="s">
        <v>44</v>
      </c>
      <c r="D582">
        <v>12659</v>
      </c>
      <c r="E582" t="s">
        <v>12</v>
      </c>
      <c r="F582" t="s">
        <v>42</v>
      </c>
      <c r="G582">
        <v>1</v>
      </c>
      <c r="H582">
        <v>12</v>
      </c>
      <c r="I582" t="s">
        <v>45</v>
      </c>
      <c r="J582" cm="1">
        <f t="array" ref="J582">IFERROR(
    _xlfn.XLOOKUP(G582, 'Wedgewood Pharm-PME-Yr2-2025'!$E$33:$L$33,
        _xlfn.XLOOKUP('Rate Load'!H582, 'Wedgewood Pharm-PME-Yr2-2025'!$D$34:$D$57,
            'Wedgewood Pharm-PME-Yr2-2025'!$E$34:$L$57, 0, 0),
        0, 0),
    _xlfn.XLOOKUP(G582, 'Wedgewood Pharm-PME-Yr2-2025'!$E$33:$L$33,
        _xlfn.XLOOKUP('Rate Load'!L582, 'Wedgewood Pharm-PME-Yr2-2025'!$D$34:$D$57,
            'Wedgewood Pharm-PME-Yr2-2025'!$E$34:$L$57, 0, 0),
        0, 0)
)</f>
        <v>34.629999999999995</v>
      </c>
      <c r="K582" t="s">
        <v>46</v>
      </c>
      <c r="L582" t="s">
        <v>13</v>
      </c>
      <c r="M582">
        <v>2</v>
      </c>
      <c r="N582" t="str">
        <f t="shared" si="9"/>
        <v>INSERT INTO TNL_RATING.dbo.usps_rate_master VALUES ('USPS', '2/13/2025', '2/13/2026', 12659, 'US', 'Priority Mail Express', 1, 12, 'L', 34.63, 'Wedgewood_USPS_2025', 'NonCubic','2');</v>
      </c>
    </row>
    <row r="583" spans="1:14" x14ac:dyDescent="0.3">
      <c r="A583" t="s">
        <v>11</v>
      </c>
      <c r="B583" s="1" t="s">
        <v>43</v>
      </c>
      <c r="C583" s="1" t="s">
        <v>44</v>
      </c>
      <c r="D583">
        <v>12659</v>
      </c>
      <c r="E583" t="s">
        <v>12</v>
      </c>
      <c r="F583" t="s">
        <v>42</v>
      </c>
      <c r="G583">
        <v>1</v>
      </c>
      <c r="H583">
        <v>13</v>
      </c>
      <c r="I583" t="s">
        <v>45</v>
      </c>
      <c r="J583" cm="1">
        <f t="array" ref="J583">IFERROR(
    _xlfn.XLOOKUP(G583, 'Wedgewood Pharm-PME-Yr2-2025'!$E$33:$L$33,
        _xlfn.XLOOKUP('Rate Load'!H583, 'Wedgewood Pharm-PME-Yr2-2025'!$D$34:$D$57,
            'Wedgewood Pharm-PME-Yr2-2025'!$E$34:$L$57, 0, 0),
        0, 0),
    _xlfn.XLOOKUP(G583, 'Wedgewood Pharm-PME-Yr2-2025'!$E$33:$L$33,
        _xlfn.XLOOKUP('Rate Load'!L583, 'Wedgewood Pharm-PME-Yr2-2025'!$D$34:$D$57,
            'Wedgewood Pharm-PME-Yr2-2025'!$E$34:$L$57, 0, 0),
        0, 0)
)</f>
        <v>36.629999999999995</v>
      </c>
      <c r="K583" t="s">
        <v>46</v>
      </c>
      <c r="L583" t="s">
        <v>13</v>
      </c>
      <c r="M583">
        <v>2</v>
      </c>
      <c r="N583" t="str">
        <f t="shared" si="9"/>
        <v>INSERT INTO TNL_RATING.dbo.usps_rate_master VALUES ('USPS', '2/13/2025', '2/13/2026', 12659, 'US', 'Priority Mail Express', 1, 13, 'L', 36.63, 'Wedgewood_USPS_2025', 'NonCubic','2');</v>
      </c>
    </row>
    <row r="584" spans="1:14" x14ac:dyDescent="0.3">
      <c r="A584" t="s">
        <v>11</v>
      </c>
      <c r="B584" s="1" t="s">
        <v>43</v>
      </c>
      <c r="C584" s="1" t="s">
        <v>44</v>
      </c>
      <c r="D584">
        <v>12659</v>
      </c>
      <c r="E584" t="s">
        <v>12</v>
      </c>
      <c r="F584" t="s">
        <v>42</v>
      </c>
      <c r="G584">
        <v>1</v>
      </c>
      <c r="H584">
        <v>14</v>
      </c>
      <c r="I584" t="s">
        <v>45</v>
      </c>
      <c r="J584" cm="1">
        <f t="array" ref="J584">IFERROR(
    _xlfn.XLOOKUP(G584, 'Wedgewood Pharm-PME-Yr2-2025'!$E$33:$L$33,
        _xlfn.XLOOKUP('Rate Load'!H584, 'Wedgewood Pharm-PME-Yr2-2025'!$D$34:$D$57,
            'Wedgewood Pharm-PME-Yr2-2025'!$E$34:$L$57, 0, 0),
        0, 0),
    _xlfn.XLOOKUP(G584, 'Wedgewood Pharm-PME-Yr2-2025'!$E$33:$L$33,
        _xlfn.XLOOKUP('Rate Load'!L584, 'Wedgewood Pharm-PME-Yr2-2025'!$D$34:$D$57,
            'Wedgewood Pharm-PME-Yr2-2025'!$E$34:$L$57, 0, 0),
        0, 0)
)</f>
        <v>38.629999999999995</v>
      </c>
      <c r="K584" t="s">
        <v>46</v>
      </c>
      <c r="L584" t="s">
        <v>13</v>
      </c>
      <c r="M584">
        <v>2</v>
      </c>
      <c r="N584" t="str">
        <f t="shared" si="9"/>
        <v>INSERT INTO TNL_RATING.dbo.usps_rate_master VALUES ('USPS', '2/13/2025', '2/13/2026', 12659, 'US', 'Priority Mail Express', 1, 14, 'L', 38.63, 'Wedgewood_USPS_2025', 'NonCubic','2');</v>
      </c>
    </row>
    <row r="585" spans="1:14" x14ac:dyDescent="0.3">
      <c r="A585" t="s">
        <v>11</v>
      </c>
      <c r="B585" s="1" t="s">
        <v>43</v>
      </c>
      <c r="C585" s="1" t="s">
        <v>44</v>
      </c>
      <c r="D585">
        <v>12659</v>
      </c>
      <c r="E585" t="s">
        <v>12</v>
      </c>
      <c r="F585" t="s">
        <v>42</v>
      </c>
      <c r="G585">
        <v>1</v>
      </c>
      <c r="H585">
        <v>15</v>
      </c>
      <c r="I585" t="s">
        <v>45</v>
      </c>
      <c r="J585" cm="1">
        <f t="array" ref="J585">IFERROR(
    _xlfn.XLOOKUP(G585, 'Wedgewood Pharm-PME-Yr2-2025'!$E$33:$L$33,
        _xlfn.XLOOKUP('Rate Load'!H585, 'Wedgewood Pharm-PME-Yr2-2025'!$D$34:$D$57,
            'Wedgewood Pharm-PME-Yr2-2025'!$E$34:$L$57, 0, 0),
        0, 0),
    _xlfn.XLOOKUP(G585, 'Wedgewood Pharm-PME-Yr2-2025'!$E$33:$L$33,
        _xlfn.XLOOKUP('Rate Load'!L585, 'Wedgewood Pharm-PME-Yr2-2025'!$D$34:$D$57,
            'Wedgewood Pharm-PME-Yr2-2025'!$E$34:$L$57, 0, 0),
        0, 0)
)</f>
        <v>40.65</v>
      </c>
      <c r="K585" t="s">
        <v>46</v>
      </c>
      <c r="L585" t="s">
        <v>13</v>
      </c>
      <c r="M585">
        <v>2</v>
      </c>
      <c r="N585" t="str">
        <f t="shared" si="9"/>
        <v>INSERT INTO TNL_RATING.dbo.usps_rate_master VALUES ('USPS', '2/13/2025', '2/13/2026', 12659, 'US', 'Priority Mail Express', 1, 15, 'L', 40.65, 'Wedgewood_USPS_2025', 'NonCubic','2');</v>
      </c>
    </row>
    <row r="586" spans="1:14" x14ac:dyDescent="0.3">
      <c r="A586" t="s">
        <v>11</v>
      </c>
      <c r="B586" s="1" t="s">
        <v>43</v>
      </c>
      <c r="C586" s="1" t="s">
        <v>44</v>
      </c>
      <c r="D586">
        <v>12659</v>
      </c>
      <c r="E586" t="s">
        <v>12</v>
      </c>
      <c r="F586" t="s">
        <v>42</v>
      </c>
      <c r="G586">
        <v>1</v>
      </c>
      <c r="H586">
        <v>16</v>
      </c>
      <c r="I586" t="s">
        <v>45</v>
      </c>
      <c r="J586" cm="1">
        <f t="array" ref="J586">IFERROR(
    _xlfn.XLOOKUP(G586, 'Wedgewood Pharm-PME-Yr2-2025'!$E$33:$L$33,
        _xlfn.XLOOKUP('Rate Load'!H586, 'Wedgewood Pharm-PME-Yr2-2025'!$D$34:$D$57,
            'Wedgewood Pharm-PME-Yr2-2025'!$E$34:$L$57, 0, 0),
        0, 0),
    _xlfn.XLOOKUP(G586, 'Wedgewood Pharm-PME-Yr2-2025'!$E$33:$L$33,
        _xlfn.XLOOKUP('Rate Load'!L586, 'Wedgewood Pharm-PME-Yr2-2025'!$D$34:$D$57,
            'Wedgewood Pharm-PME-Yr2-2025'!$E$34:$L$57, 0, 0),
        0, 0)
)</f>
        <v>42.64</v>
      </c>
      <c r="K586" t="s">
        <v>46</v>
      </c>
      <c r="L586" t="s">
        <v>13</v>
      </c>
      <c r="M586">
        <v>2</v>
      </c>
      <c r="N586" t="str">
        <f t="shared" si="9"/>
        <v>INSERT INTO TNL_RATING.dbo.usps_rate_master VALUES ('USPS', '2/13/2025', '2/13/2026', 12659, 'US', 'Priority Mail Express', 1, 16, 'L', 42.64, 'Wedgewood_USPS_2025', 'NonCubic','2');</v>
      </c>
    </row>
    <row r="587" spans="1:14" x14ac:dyDescent="0.3">
      <c r="A587" t="s">
        <v>11</v>
      </c>
      <c r="B587" s="1" t="s">
        <v>43</v>
      </c>
      <c r="C587" s="1" t="s">
        <v>44</v>
      </c>
      <c r="D587">
        <v>12659</v>
      </c>
      <c r="E587" t="s">
        <v>12</v>
      </c>
      <c r="F587" t="s">
        <v>42</v>
      </c>
      <c r="G587">
        <v>1</v>
      </c>
      <c r="H587">
        <v>17</v>
      </c>
      <c r="I587" t="s">
        <v>45</v>
      </c>
      <c r="J587" cm="1">
        <f t="array" ref="J587">IFERROR(
    _xlfn.XLOOKUP(G587, 'Wedgewood Pharm-PME-Yr2-2025'!$E$33:$L$33,
        _xlfn.XLOOKUP('Rate Load'!H587, 'Wedgewood Pharm-PME-Yr2-2025'!$D$34:$D$57,
            'Wedgewood Pharm-PME-Yr2-2025'!$E$34:$L$57, 0, 0),
        0, 0),
    _xlfn.XLOOKUP(G587, 'Wedgewood Pharm-PME-Yr2-2025'!$E$33:$L$33,
        _xlfn.XLOOKUP('Rate Load'!L587, 'Wedgewood Pharm-PME-Yr2-2025'!$D$34:$D$57,
            'Wedgewood Pharm-PME-Yr2-2025'!$E$34:$L$57, 0, 0),
        0, 0)
)</f>
        <v>44.65</v>
      </c>
      <c r="K587" t="s">
        <v>46</v>
      </c>
      <c r="L587" t="s">
        <v>13</v>
      </c>
      <c r="M587">
        <v>2</v>
      </c>
      <c r="N587" t="str">
        <f t="shared" si="9"/>
        <v>INSERT INTO TNL_RATING.dbo.usps_rate_master VALUES ('USPS', '2/13/2025', '2/13/2026', 12659, 'US', 'Priority Mail Express', 1, 17, 'L', 44.65, 'Wedgewood_USPS_2025', 'NonCubic','2');</v>
      </c>
    </row>
    <row r="588" spans="1:14" x14ac:dyDescent="0.3">
      <c r="A588" t="s">
        <v>11</v>
      </c>
      <c r="B588" s="1" t="s">
        <v>43</v>
      </c>
      <c r="C588" s="1" t="s">
        <v>44</v>
      </c>
      <c r="D588">
        <v>12659</v>
      </c>
      <c r="E588" t="s">
        <v>12</v>
      </c>
      <c r="F588" t="s">
        <v>42</v>
      </c>
      <c r="G588">
        <v>1</v>
      </c>
      <c r="H588">
        <v>18</v>
      </c>
      <c r="I588" t="s">
        <v>45</v>
      </c>
      <c r="J588" cm="1">
        <f t="array" ref="J588">IFERROR(
    _xlfn.XLOOKUP(G588, 'Wedgewood Pharm-PME-Yr2-2025'!$E$33:$L$33,
        _xlfn.XLOOKUP('Rate Load'!H588, 'Wedgewood Pharm-PME-Yr2-2025'!$D$34:$D$57,
            'Wedgewood Pharm-PME-Yr2-2025'!$E$34:$L$57, 0, 0),
        0, 0),
    _xlfn.XLOOKUP(G588, 'Wedgewood Pharm-PME-Yr2-2025'!$E$33:$L$33,
        _xlfn.XLOOKUP('Rate Load'!L588, 'Wedgewood Pharm-PME-Yr2-2025'!$D$34:$D$57,
            'Wedgewood Pharm-PME-Yr2-2025'!$E$34:$L$57, 0, 0),
        0, 0)
)</f>
        <v>46.65</v>
      </c>
      <c r="K588" t="s">
        <v>46</v>
      </c>
      <c r="L588" t="s">
        <v>13</v>
      </c>
      <c r="M588">
        <v>2</v>
      </c>
      <c r="N588" t="str">
        <f t="shared" si="9"/>
        <v>INSERT INTO TNL_RATING.dbo.usps_rate_master VALUES ('USPS', '2/13/2025', '2/13/2026', 12659, 'US', 'Priority Mail Express', 1, 18, 'L', 46.65, 'Wedgewood_USPS_2025', 'NonCubic','2');</v>
      </c>
    </row>
    <row r="589" spans="1:14" x14ac:dyDescent="0.3">
      <c r="A589" t="s">
        <v>11</v>
      </c>
      <c r="B589" s="1" t="s">
        <v>43</v>
      </c>
      <c r="C589" s="1" t="s">
        <v>44</v>
      </c>
      <c r="D589">
        <v>12659</v>
      </c>
      <c r="E589" t="s">
        <v>12</v>
      </c>
      <c r="F589" t="s">
        <v>42</v>
      </c>
      <c r="G589">
        <v>1</v>
      </c>
      <c r="H589">
        <v>19</v>
      </c>
      <c r="I589" t="s">
        <v>45</v>
      </c>
      <c r="J589" cm="1">
        <f t="array" ref="J589">IFERROR(
    _xlfn.XLOOKUP(G589, 'Wedgewood Pharm-PME-Yr2-2025'!$E$33:$L$33,
        _xlfn.XLOOKUP('Rate Load'!H589, 'Wedgewood Pharm-PME-Yr2-2025'!$D$34:$D$57,
            'Wedgewood Pharm-PME-Yr2-2025'!$E$34:$L$57, 0, 0),
        0, 0),
    _xlfn.XLOOKUP(G589, 'Wedgewood Pharm-PME-Yr2-2025'!$E$33:$L$33,
        _xlfn.XLOOKUP('Rate Load'!L589, 'Wedgewood Pharm-PME-Yr2-2025'!$D$34:$D$57,
            'Wedgewood Pharm-PME-Yr2-2025'!$E$34:$L$57, 0, 0),
        0, 0)
)</f>
        <v>48.64</v>
      </c>
      <c r="K589" t="s">
        <v>46</v>
      </c>
      <c r="L589" t="s">
        <v>13</v>
      </c>
      <c r="M589">
        <v>2</v>
      </c>
      <c r="N589" t="str">
        <f t="shared" si="9"/>
        <v>INSERT INTO TNL_RATING.dbo.usps_rate_master VALUES ('USPS', '2/13/2025', '2/13/2026', 12659, 'US', 'Priority Mail Express', 1, 19, 'L', 48.64, 'Wedgewood_USPS_2025', 'NonCubic','2');</v>
      </c>
    </row>
    <row r="590" spans="1:14" x14ac:dyDescent="0.3">
      <c r="A590" t="s">
        <v>11</v>
      </c>
      <c r="B590" s="1" t="s">
        <v>43</v>
      </c>
      <c r="C590" s="1" t="s">
        <v>44</v>
      </c>
      <c r="D590">
        <v>12659</v>
      </c>
      <c r="E590" t="s">
        <v>12</v>
      </c>
      <c r="F590" t="s">
        <v>42</v>
      </c>
      <c r="G590">
        <v>1</v>
      </c>
      <c r="H590">
        <v>20</v>
      </c>
      <c r="I590" t="s">
        <v>45</v>
      </c>
      <c r="J590" cm="1">
        <f t="array" ref="J590">IFERROR(
    _xlfn.XLOOKUP(G590, 'Wedgewood Pharm-PME-Yr2-2025'!$E$33:$L$33,
        _xlfn.XLOOKUP('Rate Load'!H590, 'Wedgewood Pharm-PME-Yr2-2025'!$D$34:$D$57,
            'Wedgewood Pharm-PME-Yr2-2025'!$E$34:$L$57, 0, 0),
        0, 0),
    _xlfn.XLOOKUP(G590, 'Wedgewood Pharm-PME-Yr2-2025'!$E$33:$L$33,
        _xlfn.XLOOKUP('Rate Load'!L590, 'Wedgewood Pharm-PME-Yr2-2025'!$D$34:$D$57,
            'Wedgewood Pharm-PME-Yr2-2025'!$E$34:$L$57, 0, 0),
        0, 0)
)</f>
        <v>50.65</v>
      </c>
      <c r="K590" t="s">
        <v>46</v>
      </c>
      <c r="L590" t="s">
        <v>13</v>
      </c>
      <c r="M590">
        <v>2</v>
      </c>
      <c r="N590" t="str">
        <f t="shared" si="9"/>
        <v>INSERT INTO TNL_RATING.dbo.usps_rate_master VALUES ('USPS', '2/13/2025', '2/13/2026', 12659, 'US', 'Priority Mail Express', 1, 20, 'L', 50.65, 'Wedgewood_USPS_2025', 'NonCubic','2');</v>
      </c>
    </row>
    <row r="591" spans="1:14" x14ac:dyDescent="0.3">
      <c r="A591" t="s">
        <v>11</v>
      </c>
      <c r="B591" s="1" t="s">
        <v>43</v>
      </c>
      <c r="C591" s="1" t="s">
        <v>44</v>
      </c>
      <c r="D591">
        <v>12659</v>
      </c>
      <c r="E591" t="s">
        <v>12</v>
      </c>
      <c r="F591" t="s">
        <v>42</v>
      </c>
      <c r="G591">
        <v>2</v>
      </c>
      <c r="H591">
        <v>0.5</v>
      </c>
      <c r="I591" t="s">
        <v>45</v>
      </c>
      <c r="J591" cm="1">
        <f t="array" ref="J591">IFERROR(
    _xlfn.XLOOKUP(G591, 'Wedgewood Pharm-PME-Yr2-2025'!$E$33:$L$33,
        _xlfn.XLOOKUP('Rate Load'!H591, 'Wedgewood Pharm-PME-Yr2-2025'!$D$34:$D$57,
            'Wedgewood Pharm-PME-Yr2-2025'!$E$34:$L$57, 0, 0),
        0, 0),
    _xlfn.XLOOKUP(G591, 'Wedgewood Pharm-PME-Yr2-2025'!$E$33:$L$33,
        _xlfn.XLOOKUP('Rate Load'!L591, 'Wedgewood Pharm-PME-Yr2-2025'!$D$34:$D$57,
            'Wedgewood Pharm-PME-Yr2-2025'!$E$34:$L$57, 0, 0),
        0, 0)
)</f>
        <v>13.49</v>
      </c>
      <c r="K591" t="s">
        <v>46</v>
      </c>
      <c r="L591" t="s">
        <v>13</v>
      </c>
      <c r="M591">
        <v>2</v>
      </c>
      <c r="N591" t="str">
        <f t="shared" si="9"/>
        <v>INSERT INTO TNL_RATING.dbo.usps_rate_master VALUES ('USPS', '2/13/2025', '2/13/2026', 12659, 'US', 'Priority Mail Express', 2, 0.5, 'L', 13.49, 'Wedgewood_USPS_2025', 'NonCubic','2');</v>
      </c>
    </row>
    <row r="592" spans="1:14" x14ac:dyDescent="0.3">
      <c r="A592" t="s">
        <v>11</v>
      </c>
      <c r="B592" s="1" t="s">
        <v>43</v>
      </c>
      <c r="C592" s="1" t="s">
        <v>44</v>
      </c>
      <c r="D592">
        <v>12659</v>
      </c>
      <c r="E592" t="s">
        <v>12</v>
      </c>
      <c r="F592" t="s">
        <v>42</v>
      </c>
      <c r="G592">
        <v>2</v>
      </c>
      <c r="H592">
        <v>1</v>
      </c>
      <c r="I592" t="s">
        <v>45</v>
      </c>
      <c r="J592" cm="1">
        <f t="array" ref="J592">IFERROR(
    _xlfn.XLOOKUP(G592, 'Wedgewood Pharm-PME-Yr2-2025'!$E$33:$L$33,
        _xlfn.XLOOKUP('Rate Load'!H592, 'Wedgewood Pharm-PME-Yr2-2025'!$D$34:$D$57,
            'Wedgewood Pharm-PME-Yr2-2025'!$E$34:$L$57, 0, 0),
        0, 0),
    _xlfn.XLOOKUP(G592, 'Wedgewood Pharm-PME-Yr2-2025'!$E$33:$L$33,
        _xlfn.XLOOKUP('Rate Load'!L592, 'Wedgewood Pharm-PME-Yr2-2025'!$D$34:$D$57,
            'Wedgewood Pharm-PME-Yr2-2025'!$E$34:$L$57, 0, 0),
        0, 0)
)</f>
        <v>14.04</v>
      </c>
      <c r="K592" t="s">
        <v>46</v>
      </c>
      <c r="L592" t="s">
        <v>13</v>
      </c>
      <c r="M592">
        <v>2</v>
      </c>
      <c r="N592" t="str">
        <f t="shared" si="9"/>
        <v>INSERT INTO TNL_RATING.dbo.usps_rate_master VALUES ('USPS', '2/13/2025', '2/13/2026', 12659, 'US', 'Priority Mail Express', 2, 1, 'L', 14.04, 'Wedgewood_USPS_2025', 'NonCubic','2');</v>
      </c>
    </row>
    <row r="593" spans="1:14" x14ac:dyDescent="0.3">
      <c r="A593" t="s">
        <v>11</v>
      </c>
      <c r="B593" s="1" t="s">
        <v>43</v>
      </c>
      <c r="C593" s="1" t="s">
        <v>44</v>
      </c>
      <c r="D593">
        <v>12659</v>
      </c>
      <c r="E593" t="s">
        <v>12</v>
      </c>
      <c r="F593" t="s">
        <v>42</v>
      </c>
      <c r="G593">
        <v>2</v>
      </c>
      <c r="H593">
        <v>2</v>
      </c>
      <c r="I593" t="s">
        <v>45</v>
      </c>
      <c r="J593" cm="1">
        <f t="array" ref="J593">IFERROR(
    _xlfn.XLOOKUP(G593, 'Wedgewood Pharm-PME-Yr2-2025'!$E$33:$L$33,
        _xlfn.XLOOKUP('Rate Load'!H593, 'Wedgewood Pharm-PME-Yr2-2025'!$D$34:$D$57,
            'Wedgewood Pharm-PME-Yr2-2025'!$E$34:$L$57, 0, 0),
        0, 0),
    _xlfn.XLOOKUP(G593, 'Wedgewood Pharm-PME-Yr2-2025'!$E$33:$L$33,
        _xlfn.XLOOKUP('Rate Load'!L593, 'Wedgewood Pharm-PME-Yr2-2025'!$D$34:$D$57,
            'Wedgewood Pharm-PME-Yr2-2025'!$E$34:$L$57, 0, 0),
        0, 0)
)</f>
        <v>15.379999999999999</v>
      </c>
      <c r="K593" t="s">
        <v>46</v>
      </c>
      <c r="L593" t="s">
        <v>13</v>
      </c>
      <c r="M593">
        <v>2</v>
      </c>
      <c r="N593" t="str">
        <f t="shared" si="9"/>
        <v>INSERT INTO TNL_RATING.dbo.usps_rate_master VALUES ('USPS', '2/13/2025', '2/13/2026', 12659, 'US', 'Priority Mail Express', 2, 2, 'L', 15.38, 'Wedgewood_USPS_2025', 'NonCubic','2');</v>
      </c>
    </row>
    <row r="594" spans="1:14" x14ac:dyDescent="0.3">
      <c r="A594" t="s">
        <v>11</v>
      </c>
      <c r="B594" s="1" t="s">
        <v>43</v>
      </c>
      <c r="C594" s="1" t="s">
        <v>44</v>
      </c>
      <c r="D594">
        <v>12659</v>
      </c>
      <c r="E594" t="s">
        <v>12</v>
      </c>
      <c r="F594" t="s">
        <v>42</v>
      </c>
      <c r="G594">
        <v>2</v>
      </c>
      <c r="H594">
        <v>3</v>
      </c>
      <c r="I594" t="s">
        <v>45</v>
      </c>
      <c r="J594" cm="1">
        <f t="array" ref="J594">IFERROR(
    _xlfn.XLOOKUP(G594, 'Wedgewood Pharm-PME-Yr2-2025'!$E$33:$L$33,
        _xlfn.XLOOKUP('Rate Load'!H594, 'Wedgewood Pharm-PME-Yr2-2025'!$D$34:$D$57,
            'Wedgewood Pharm-PME-Yr2-2025'!$E$34:$L$57, 0, 0),
        0, 0),
    _xlfn.XLOOKUP(G594, 'Wedgewood Pharm-PME-Yr2-2025'!$E$33:$L$33,
        _xlfn.XLOOKUP('Rate Load'!L594, 'Wedgewood Pharm-PME-Yr2-2025'!$D$34:$D$57,
            'Wedgewood Pharm-PME-Yr2-2025'!$E$34:$L$57, 0, 0),
        0, 0)
)</f>
        <v>17.130000000000003</v>
      </c>
      <c r="K594" t="s">
        <v>46</v>
      </c>
      <c r="L594" t="s">
        <v>13</v>
      </c>
      <c r="M594">
        <v>2</v>
      </c>
      <c r="N594" t="str">
        <f t="shared" si="9"/>
        <v>INSERT INTO TNL_RATING.dbo.usps_rate_master VALUES ('USPS', '2/13/2025', '2/13/2026', 12659, 'US', 'Priority Mail Express', 2, 3, 'L', 17.13, 'Wedgewood_USPS_2025', 'NonCubic','2');</v>
      </c>
    </row>
    <row r="595" spans="1:14" x14ac:dyDescent="0.3">
      <c r="A595" t="s">
        <v>11</v>
      </c>
      <c r="B595" s="1" t="s">
        <v>43</v>
      </c>
      <c r="C595" s="1" t="s">
        <v>44</v>
      </c>
      <c r="D595">
        <v>12659</v>
      </c>
      <c r="E595" t="s">
        <v>12</v>
      </c>
      <c r="F595" t="s">
        <v>42</v>
      </c>
      <c r="G595">
        <v>2</v>
      </c>
      <c r="H595">
        <v>4</v>
      </c>
      <c r="I595" t="s">
        <v>45</v>
      </c>
      <c r="J595" cm="1">
        <f t="array" ref="J595">IFERROR(
    _xlfn.XLOOKUP(G595, 'Wedgewood Pharm-PME-Yr2-2025'!$E$33:$L$33,
        _xlfn.XLOOKUP('Rate Load'!H595, 'Wedgewood Pharm-PME-Yr2-2025'!$D$34:$D$57,
            'Wedgewood Pharm-PME-Yr2-2025'!$E$34:$L$57, 0, 0),
        0, 0),
    _xlfn.XLOOKUP(G595, 'Wedgewood Pharm-PME-Yr2-2025'!$E$33:$L$33,
        _xlfn.XLOOKUP('Rate Load'!L595, 'Wedgewood Pharm-PME-Yr2-2025'!$D$34:$D$57,
            'Wedgewood Pharm-PME-Yr2-2025'!$E$34:$L$57, 0, 0),
        0, 0)
)</f>
        <v>18.87</v>
      </c>
      <c r="K595" t="s">
        <v>46</v>
      </c>
      <c r="L595" t="s">
        <v>13</v>
      </c>
      <c r="M595">
        <v>2</v>
      </c>
      <c r="N595" t="str">
        <f t="shared" si="9"/>
        <v>INSERT INTO TNL_RATING.dbo.usps_rate_master VALUES ('USPS', '2/13/2025', '2/13/2026', 12659, 'US', 'Priority Mail Express', 2, 4, 'L', 18.87, 'Wedgewood_USPS_2025', 'NonCubic','2');</v>
      </c>
    </row>
    <row r="596" spans="1:14" x14ac:dyDescent="0.3">
      <c r="A596" t="s">
        <v>11</v>
      </c>
      <c r="B596" s="1" t="s">
        <v>43</v>
      </c>
      <c r="C596" s="1" t="s">
        <v>44</v>
      </c>
      <c r="D596">
        <v>12659</v>
      </c>
      <c r="E596" t="s">
        <v>12</v>
      </c>
      <c r="F596" t="s">
        <v>42</v>
      </c>
      <c r="G596">
        <v>2</v>
      </c>
      <c r="H596">
        <v>5</v>
      </c>
      <c r="I596" t="s">
        <v>45</v>
      </c>
      <c r="J596" cm="1">
        <f t="array" ref="J596">IFERROR(
    _xlfn.XLOOKUP(G596, 'Wedgewood Pharm-PME-Yr2-2025'!$E$33:$L$33,
        _xlfn.XLOOKUP('Rate Load'!H596, 'Wedgewood Pharm-PME-Yr2-2025'!$D$34:$D$57,
            'Wedgewood Pharm-PME-Yr2-2025'!$E$34:$L$57, 0, 0),
        0, 0),
    _xlfn.XLOOKUP(G596, 'Wedgewood Pharm-PME-Yr2-2025'!$E$33:$L$33,
        _xlfn.XLOOKUP('Rate Load'!L596, 'Wedgewood Pharm-PME-Yr2-2025'!$D$34:$D$57,
            'Wedgewood Pharm-PME-Yr2-2025'!$E$34:$L$57, 0, 0),
        0, 0)
)</f>
        <v>20.610000000000003</v>
      </c>
      <c r="K596" t="s">
        <v>46</v>
      </c>
      <c r="L596" t="s">
        <v>13</v>
      </c>
      <c r="M596">
        <v>2</v>
      </c>
      <c r="N596" t="str">
        <f t="shared" si="9"/>
        <v>INSERT INTO TNL_RATING.dbo.usps_rate_master VALUES ('USPS', '2/13/2025', '2/13/2026', 12659, 'US', 'Priority Mail Express', 2, 5, 'L', 20.61, 'Wedgewood_USPS_2025', 'NonCubic','2');</v>
      </c>
    </row>
    <row r="597" spans="1:14" x14ac:dyDescent="0.3">
      <c r="A597" t="s">
        <v>11</v>
      </c>
      <c r="B597" s="1" t="s">
        <v>43</v>
      </c>
      <c r="C597" s="1" t="s">
        <v>44</v>
      </c>
      <c r="D597">
        <v>12659</v>
      </c>
      <c r="E597" t="s">
        <v>12</v>
      </c>
      <c r="F597" t="s">
        <v>42</v>
      </c>
      <c r="G597">
        <v>2</v>
      </c>
      <c r="H597">
        <v>6</v>
      </c>
      <c r="I597" t="s">
        <v>45</v>
      </c>
      <c r="J597" cm="1">
        <f t="array" ref="J597">IFERROR(
    _xlfn.XLOOKUP(G597, 'Wedgewood Pharm-PME-Yr2-2025'!$E$33:$L$33,
        _xlfn.XLOOKUP('Rate Load'!H597, 'Wedgewood Pharm-PME-Yr2-2025'!$D$34:$D$57,
            'Wedgewood Pharm-PME-Yr2-2025'!$E$34:$L$57, 0, 0),
        0, 0),
    _xlfn.XLOOKUP(G597, 'Wedgewood Pharm-PME-Yr2-2025'!$E$33:$L$33,
        _xlfn.XLOOKUP('Rate Load'!L597, 'Wedgewood Pharm-PME-Yr2-2025'!$D$34:$D$57,
            'Wedgewood Pharm-PME-Yr2-2025'!$E$34:$L$57, 0, 0),
        0, 0)
)</f>
        <v>22.740000000000002</v>
      </c>
      <c r="K597" t="s">
        <v>46</v>
      </c>
      <c r="L597" t="s">
        <v>13</v>
      </c>
      <c r="M597">
        <v>2</v>
      </c>
      <c r="N597" t="str">
        <f t="shared" si="9"/>
        <v>INSERT INTO TNL_RATING.dbo.usps_rate_master VALUES ('USPS', '2/13/2025', '2/13/2026', 12659, 'US', 'Priority Mail Express', 2, 6, 'L', 22.74, 'Wedgewood_USPS_2025', 'NonCubic','2');</v>
      </c>
    </row>
    <row r="598" spans="1:14" x14ac:dyDescent="0.3">
      <c r="A598" t="s">
        <v>11</v>
      </c>
      <c r="B598" s="1" t="s">
        <v>43</v>
      </c>
      <c r="C598" s="1" t="s">
        <v>44</v>
      </c>
      <c r="D598">
        <v>12659</v>
      </c>
      <c r="E598" t="s">
        <v>12</v>
      </c>
      <c r="F598" t="s">
        <v>42</v>
      </c>
      <c r="G598">
        <v>2</v>
      </c>
      <c r="H598">
        <v>7</v>
      </c>
      <c r="I598" t="s">
        <v>45</v>
      </c>
      <c r="J598" cm="1">
        <f t="array" ref="J598">IFERROR(
    _xlfn.XLOOKUP(G598, 'Wedgewood Pharm-PME-Yr2-2025'!$E$33:$L$33,
        _xlfn.XLOOKUP('Rate Load'!H598, 'Wedgewood Pharm-PME-Yr2-2025'!$D$34:$D$57,
            'Wedgewood Pharm-PME-Yr2-2025'!$E$34:$L$57, 0, 0),
        0, 0),
    _xlfn.XLOOKUP(G598, 'Wedgewood Pharm-PME-Yr2-2025'!$E$33:$L$33,
        _xlfn.XLOOKUP('Rate Load'!L598, 'Wedgewood Pharm-PME-Yr2-2025'!$D$34:$D$57,
            'Wedgewood Pharm-PME-Yr2-2025'!$E$34:$L$57, 0, 0),
        0, 0)
)</f>
        <v>24.900000000000002</v>
      </c>
      <c r="K598" t="s">
        <v>46</v>
      </c>
      <c r="L598" t="s">
        <v>13</v>
      </c>
      <c r="M598">
        <v>2</v>
      </c>
      <c r="N598" t="str">
        <f t="shared" si="9"/>
        <v>INSERT INTO TNL_RATING.dbo.usps_rate_master VALUES ('USPS', '2/13/2025', '2/13/2026', 12659, 'US', 'Priority Mail Express', 2, 7, 'L', 24.9, 'Wedgewood_USPS_2025', 'NonCubic','2');</v>
      </c>
    </row>
    <row r="599" spans="1:14" x14ac:dyDescent="0.3">
      <c r="A599" t="s">
        <v>11</v>
      </c>
      <c r="B599" s="1" t="s">
        <v>43</v>
      </c>
      <c r="C599" s="1" t="s">
        <v>44</v>
      </c>
      <c r="D599">
        <v>12659</v>
      </c>
      <c r="E599" t="s">
        <v>12</v>
      </c>
      <c r="F599" t="s">
        <v>42</v>
      </c>
      <c r="G599">
        <v>2</v>
      </c>
      <c r="H599">
        <v>8</v>
      </c>
      <c r="I599" t="s">
        <v>45</v>
      </c>
      <c r="J599" cm="1">
        <f t="array" ref="J599">IFERROR(
    _xlfn.XLOOKUP(G599, 'Wedgewood Pharm-PME-Yr2-2025'!$E$33:$L$33,
        _xlfn.XLOOKUP('Rate Load'!H599, 'Wedgewood Pharm-PME-Yr2-2025'!$D$34:$D$57,
            'Wedgewood Pharm-PME-Yr2-2025'!$E$34:$L$57, 0, 0),
        0, 0),
    _xlfn.XLOOKUP(G599, 'Wedgewood Pharm-PME-Yr2-2025'!$E$33:$L$33,
        _xlfn.XLOOKUP('Rate Load'!L599, 'Wedgewood Pharm-PME-Yr2-2025'!$D$34:$D$57,
            'Wedgewood Pharm-PME-Yr2-2025'!$E$34:$L$57, 0, 0),
        0, 0)
)</f>
        <v>27.03</v>
      </c>
      <c r="K599" t="s">
        <v>46</v>
      </c>
      <c r="L599" t="s">
        <v>13</v>
      </c>
      <c r="M599">
        <v>2</v>
      </c>
      <c r="N599" t="str">
        <f t="shared" si="9"/>
        <v>INSERT INTO TNL_RATING.dbo.usps_rate_master VALUES ('USPS', '2/13/2025', '2/13/2026', 12659, 'US', 'Priority Mail Express', 2, 8, 'L', 27.03, 'Wedgewood_USPS_2025', 'NonCubic','2');</v>
      </c>
    </row>
    <row r="600" spans="1:14" x14ac:dyDescent="0.3">
      <c r="A600" t="s">
        <v>11</v>
      </c>
      <c r="B600" s="1" t="s">
        <v>43</v>
      </c>
      <c r="C600" s="1" t="s">
        <v>44</v>
      </c>
      <c r="D600">
        <v>12659</v>
      </c>
      <c r="E600" t="s">
        <v>12</v>
      </c>
      <c r="F600" t="s">
        <v>42</v>
      </c>
      <c r="G600">
        <v>2</v>
      </c>
      <c r="H600">
        <v>9</v>
      </c>
      <c r="I600" t="s">
        <v>45</v>
      </c>
      <c r="J600" cm="1">
        <f t="array" ref="J600">IFERROR(
    _xlfn.XLOOKUP(G600, 'Wedgewood Pharm-PME-Yr2-2025'!$E$33:$L$33,
        _xlfn.XLOOKUP('Rate Load'!H600, 'Wedgewood Pharm-PME-Yr2-2025'!$D$34:$D$57,
            'Wedgewood Pharm-PME-Yr2-2025'!$E$34:$L$57, 0, 0),
        0, 0),
    _xlfn.XLOOKUP(G600, 'Wedgewood Pharm-PME-Yr2-2025'!$E$33:$L$33,
        _xlfn.XLOOKUP('Rate Load'!L600, 'Wedgewood Pharm-PME-Yr2-2025'!$D$34:$D$57,
            'Wedgewood Pharm-PME-Yr2-2025'!$E$34:$L$57, 0, 0),
        0, 0)
)</f>
        <v>29.19</v>
      </c>
      <c r="K600" t="s">
        <v>46</v>
      </c>
      <c r="L600" t="s">
        <v>13</v>
      </c>
      <c r="M600">
        <v>2</v>
      </c>
      <c r="N600" t="str">
        <f t="shared" si="9"/>
        <v>INSERT INTO TNL_RATING.dbo.usps_rate_master VALUES ('USPS', '2/13/2025', '2/13/2026', 12659, 'US', 'Priority Mail Express', 2, 9, 'L', 29.19, 'Wedgewood_USPS_2025', 'NonCubic','2');</v>
      </c>
    </row>
    <row r="601" spans="1:14" x14ac:dyDescent="0.3">
      <c r="A601" t="s">
        <v>11</v>
      </c>
      <c r="B601" s="1" t="s">
        <v>43</v>
      </c>
      <c r="C601" s="1" t="s">
        <v>44</v>
      </c>
      <c r="D601">
        <v>12659</v>
      </c>
      <c r="E601" t="s">
        <v>12</v>
      </c>
      <c r="F601" t="s">
        <v>42</v>
      </c>
      <c r="G601">
        <v>2</v>
      </c>
      <c r="H601">
        <v>10</v>
      </c>
      <c r="I601" t="s">
        <v>45</v>
      </c>
      <c r="J601" cm="1">
        <f t="array" ref="J601">IFERROR(
    _xlfn.XLOOKUP(G601, 'Wedgewood Pharm-PME-Yr2-2025'!$E$33:$L$33,
        _xlfn.XLOOKUP('Rate Load'!H601, 'Wedgewood Pharm-PME-Yr2-2025'!$D$34:$D$57,
            'Wedgewood Pharm-PME-Yr2-2025'!$E$34:$L$57, 0, 0),
        0, 0),
    _xlfn.XLOOKUP(G601, 'Wedgewood Pharm-PME-Yr2-2025'!$E$33:$L$33,
        _xlfn.XLOOKUP('Rate Load'!L601, 'Wedgewood Pharm-PME-Yr2-2025'!$D$34:$D$57,
            'Wedgewood Pharm-PME-Yr2-2025'!$E$34:$L$57, 0, 0),
        0, 0)
)</f>
        <v>31.330000000000002</v>
      </c>
      <c r="K601" t="s">
        <v>46</v>
      </c>
      <c r="L601" t="s">
        <v>13</v>
      </c>
      <c r="M601">
        <v>2</v>
      </c>
      <c r="N601" t="str">
        <f t="shared" si="9"/>
        <v>INSERT INTO TNL_RATING.dbo.usps_rate_master VALUES ('USPS', '2/13/2025', '2/13/2026', 12659, 'US', 'Priority Mail Express', 2, 10, 'L', 31.33, 'Wedgewood_USPS_2025', 'NonCubic','2');</v>
      </c>
    </row>
    <row r="602" spans="1:14" x14ac:dyDescent="0.3">
      <c r="A602" t="s">
        <v>11</v>
      </c>
      <c r="B602" s="1" t="s">
        <v>43</v>
      </c>
      <c r="C602" s="1" t="s">
        <v>44</v>
      </c>
      <c r="D602">
        <v>12659</v>
      </c>
      <c r="E602" t="s">
        <v>12</v>
      </c>
      <c r="F602" t="s">
        <v>42</v>
      </c>
      <c r="G602">
        <v>2</v>
      </c>
      <c r="H602">
        <v>11</v>
      </c>
      <c r="I602" t="s">
        <v>45</v>
      </c>
      <c r="J602" cm="1">
        <f t="array" ref="J602">IFERROR(
    _xlfn.XLOOKUP(G602, 'Wedgewood Pharm-PME-Yr2-2025'!$E$33:$L$33,
        _xlfn.XLOOKUP('Rate Load'!H602, 'Wedgewood Pharm-PME-Yr2-2025'!$D$34:$D$57,
            'Wedgewood Pharm-PME-Yr2-2025'!$E$34:$L$57, 0, 0),
        0, 0),
    _xlfn.XLOOKUP(G602, 'Wedgewood Pharm-PME-Yr2-2025'!$E$33:$L$33,
        _xlfn.XLOOKUP('Rate Load'!L602, 'Wedgewood Pharm-PME-Yr2-2025'!$D$34:$D$57,
            'Wedgewood Pharm-PME-Yr2-2025'!$E$34:$L$57, 0, 0),
        0, 0)
)</f>
        <v>33.43</v>
      </c>
      <c r="K602" t="s">
        <v>46</v>
      </c>
      <c r="L602" t="s">
        <v>13</v>
      </c>
      <c r="M602">
        <v>2</v>
      </c>
      <c r="N602" t="str">
        <f t="shared" si="9"/>
        <v>INSERT INTO TNL_RATING.dbo.usps_rate_master VALUES ('USPS', '2/13/2025', '2/13/2026', 12659, 'US', 'Priority Mail Express', 2, 11, 'L', 33.43, 'Wedgewood_USPS_2025', 'NonCubic','2');</v>
      </c>
    </row>
    <row r="603" spans="1:14" x14ac:dyDescent="0.3">
      <c r="A603" t="s">
        <v>11</v>
      </c>
      <c r="B603" s="1" t="s">
        <v>43</v>
      </c>
      <c r="C603" s="1" t="s">
        <v>44</v>
      </c>
      <c r="D603">
        <v>12659</v>
      </c>
      <c r="E603" t="s">
        <v>12</v>
      </c>
      <c r="F603" t="s">
        <v>42</v>
      </c>
      <c r="G603">
        <v>2</v>
      </c>
      <c r="H603">
        <v>12</v>
      </c>
      <c r="I603" t="s">
        <v>45</v>
      </c>
      <c r="J603" cm="1">
        <f t="array" ref="J603">IFERROR(
    _xlfn.XLOOKUP(G603, 'Wedgewood Pharm-PME-Yr2-2025'!$E$33:$L$33,
        _xlfn.XLOOKUP('Rate Load'!H603, 'Wedgewood Pharm-PME-Yr2-2025'!$D$34:$D$57,
            'Wedgewood Pharm-PME-Yr2-2025'!$E$34:$L$57, 0, 0),
        0, 0),
    _xlfn.XLOOKUP(G603, 'Wedgewood Pharm-PME-Yr2-2025'!$E$33:$L$33,
        _xlfn.XLOOKUP('Rate Load'!L603, 'Wedgewood Pharm-PME-Yr2-2025'!$D$34:$D$57,
            'Wedgewood Pharm-PME-Yr2-2025'!$E$34:$L$57, 0, 0),
        0, 0)
)</f>
        <v>35.549999999999997</v>
      </c>
      <c r="K603" t="s">
        <v>46</v>
      </c>
      <c r="L603" t="s">
        <v>13</v>
      </c>
      <c r="M603">
        <v>2</v>
      </c>
      <c r="N603" t="str">
        <f t="shared" si="9"/>
        <v>INSERT INTO TNL_RATING.dbo.usps_rate_master VALUES ('USPS', '2/13/2025', '2/13/2026', 12659, 'US', 'Priority Mail Express', 2, 12, 'L', 35.55, 'Wedgewood_USPS_2025', 'NonCubic','2');</v>
      </c>
    </row>
    <row r="604" spans="1:14" x14ac:dyDescent="0.3">
      <c r="A604" t="s">
        <v>11</v>
      </c>
      <c r="B604" s="1" t="s">
        <v>43</v>
      </c>
      <c r="C604" s="1" t="s">
        <v>44</v>
      </c>
      <c r="D604">
        <v>12659</v>
      </c>
      <c r="E604" t="s">
        <v>12</v>
      </c>
      <c r="F604" t="s">
        <v>42</v>
      </c>
      <c r="G604">
        <v>2</v>
      </c>
      <c r="H604">
        <v>13</v>
      </c>
      <c r="I604" t="s">
        <v>45</v>
      </c>
      <c r="J604" cm="1">
        <f t="array" ref="J604">IFERROR(
    _xlfn.XLOOKUP(G604, 'Wedgewood Pharm-PME-Yr2-2025'!$E$33:$L$33,
        _xlfn.XLOOKUP('Rate Load'!H604, 'Wedgewood Pharm-PME-Yr2-2025'!$D$34:$D$57,
            'Wedgewood Pharm-PME-Yr2-2025'!$E$34:$L$57, 0, 0),
        0, 0),
    _xlfn.XLOOKUP(G604, 'Wedgewood Pharm-PME-Yr2-2025'!$E$33:$L$33,
        _xlfn.XLOOKUP('Rate Load'!L604, 'Wedgewood Pharm-PME-Yr2-2025'!$D$34:$D$57,
            'Wedgewood Pharm-PME-Yr2-2025'!$E$34:$L$57, 0, 0),
        0, 0)
)</f>
        <v>37.659999999999997</v>
      </c>
      <c r="K604" t="s">
        <v>46</v>
      </c>
      <c r="L604" t="s">
        <v>13</v>
      </c>
      <c r="M604">
        <v>2</v>
      </c>
      <c r="N604" t="str">
        <f t="shared" si="9"/>
        <v>INSERT INTO TNL_RATING.dbo.usps_rate_master VALUES ('USPS', '2/13/2025', '2/13/2026', 12659, 'US', 'Priority Mail Express', 2, 13, 'L', 37.66, 'Wedgewood_USPS_2025', 'NonCubic','2');</v>
      </c>
    </row>
    <row r="605" spans="1:14" x14ac:dyDescent="0.3">
      <c r="A605" t="s">
        <v>11</v>
      </c>
      <c r="B605" s="1" t="s">
        <v>43</v>
      </c>
      <c r="C605" s="1" t="s">
        <v>44</v>
      </c>
      <c r="D605">
        <v>12659</v>
      </c>
      <c r="E605" t="s">
        <v>12</v>
      </c>
      <c r="F605" t="s">
        <v>42</v>
      </c>
      <c r="G605">
        <v>2</v>
      </c>
      <c r="H605">
        <v>14</v>
      </c>
      <c r="I605" t="s">
        <v>45</v>
      </c>
      <c r="J605" cm="1">
        <f t="array" ref="J605">IFERROR(
    _xlfn.XLOOKUP(G605, 'Wedgewood Pharm-PME-Yr2-2025'!$E$33:$L$33,
        _xlfn.XLOOKUP('Rate Load'!H605, 'Wedgewood Pharm-PME-Yr2-2025'!$D$34:$D$57,
            'Wedgewood Pharm-PME-Yr2-2025'!$E$34:$L$57, 0, 0),
        0, 0),
    _xlfn.XLOOKUP(G605, 'Wedgewood Pharm-PME-Yr2-2025'!$E$33:$L$33,
        _xlfn.XLOOKUP('Rate Load'!L605, 'Wedgewood Pharm-PME-Yr2-2025'!$D$34:$D$57,
            'Wedgewood Pharm-PME-Yr2-2025'!$E$34:$L$57, 0, 0),
        0, 0)
)</f>
        <v>39.76</v>
      </c>
      <c r="K605" t="s">
        <v>46</v>
      </c>
      <c r="L605" t="s">
        <v>13</v>
      </c>
      <c r="M605">
        <v>2</v>
      </c>
      <c r="N605" t="str">
        <f t="shared" si="9"/>
        <v>INSERT INTO TNL_RATING.dbo.usps_rate_master VALUES ('USPS', '2/13/2025', '2/13/2026', 12659, 'US', 'Priority Mail Express', 2, 14, 'L', 39.76, 'Wedgewood_USPS_2025', 'NonCubic','2');</v>
      </c>
    </row>
    <row r="606" spans="1:14" x14ac:dyDescent="0.3">
      <c r="A606" t="s">
        <v>11</v>
      </c>
      <c r="B606" s="1" t="s">
        <v>43</v>
      </c>
      <c r="C606" s="1" t="s">
        <v>44</v>
      </c>
      <c r="D606">
        <v>12659</v>
      </c>
      <c r="E606" t="s">
        <v>12</v>
      </c>
      <c r="F606" t="s">
        <v>42</v>
      </c>
      <c r="G606">
        <v>2</v>
      </c>
      <c r="H606">
        <v>15</v>
      </c>
      <c r="I606" t="s">
        <v>45</v>
      </c>
      <c r="J606" cm="1">
        <f t="array" ref="J606">IFERROR(
    _xlfn.XLOOKUP(G606, 'Wedgewood Pharm-PME-Yr2-2025'!$E$33:$L$33,
        _xlfn.XLOOKUP('Rate Load'!H606, 'Wedgewood Pharm-PME-Yr2-2025'!$D$34:$D$57,
            'Wedgewood Pharm-PME-Yr2-2025'!$E$34:$L$57, 0, 0),
        0, 0),
    _xlfn.XLOOKUP(G606, 'Wedgewood Pharm-PME-Yr2-2025'!$E$33:$L$33,
        _xlfn.XLOOKUP('Rate Load'!L606, 'Wedgewood Pharm-PME-Yr2-2025'!$D$34:$D$57,
            'Wedgewood Pharm-PME-Yr2-2025'!$E$34:$L$57, 0, 0),
        0, 0)
)</f>
        <v>41.879999999999995</v>
      </c>
      <c r="K606" t="s">
        <v>46</v>
      </c>
      <c r="L606" t="s">
        <v>13</v>
      </c>
      <c r="M606">
        <v>2</v>
      </c>
      <c r="N606" t="str">
        <f t="shared" si="9"/>
        <v>INSERT INTO TNL_RATING.dbo.usps_rate_master VALUES ('USPS', '2/13/2025', '2/13/2026', 12659, 'US', 'Priority Mail Express', 2, 15, 'L', 41.88, 'Wedgewood_USPS_2025', 'NonCubic','2');</v>
      </c>
    </row>
    <row r="607" spans="1:14" x14ac:dyDescent="0.3">
      <c r="A607" t="s">
        <v>11</v>
      </c>
      <c r="B607" s="1" t="s">
        <v>43</v>
      </c>
      <c r="C607" s="1" t="s">
        <v>44</v>
      </c>
      <c r="D607">
        <v>12659</v>
      </c>
      <c r="E607" t="s">
        <v>12</v>
      </c>
      <c r="F607" t="s">
        <v>42</v>
      </c>
      <c r="G607">
        <v>2</v>
      </c>
      <c r="H607">
        <v>16</v>
      </c>
      <c r="I607" t="s">
        <v>45</v>
      </c>
      <c r="J607" cm="1">
        <f t="array" ref="J607">IFERROR(
    _xlfn.XLOOKUP(G607, 'Wedgewood Pharm-PME-Yr2-2025'!$E$33:$L$33,
        _xlfn.XLOOKUP('Rate Load'!H607, 'Wedgewood Pharm-PME-Yr2-2025'!$D$34:$D$57,
            'Wedgewood Pharm-PME-Yr2-2025'!$E$34:$L$57, 0, 0),
        0, 0),
    _xlfn.XLOOKUP(G607, 'Wedgewood Pharm-PME-Yr2-2025'!$E$33:$L$33,
        _xlfn.XLOOKUP('Rate Load'!L607, 'Wedgewood Pharm-PME-Yr2-2025'!$D$34:$D$57,
            'Wedgewood Pharm-PME-Yr2-2025'!$E$34:$L$57, 0, 0),
        0, 0)
)</f>
        <v>44</v>
      </c>
      <c r="K607" t="s">
        <v>46</v>
      </c>
      <c r="L607" t="s">
        <v>13</v>
      </c>
      <c r="M607">
        <v>2</v>
      </c>
      <c r="N607" t="str">
        <f t="shared" si="9"/>
        <v>INSERT INTO TNL_RATING.dbo.usps_rate_master VALUES ('USPS', '2/13/2025', '2/13/2026', 12659, 'US', 'Priority Mail Express', 2, 16, 'L', 44, 'Wedgewood_USPS_2025', 'NonCubic','2');</v>
      </c>
    </row>
    <row r="608" spans="1:14" x14ac:dyDescent="0.3">
      <c r="A608" t="s">
        <v>11</v>
      </c>
      <c r="B608" s="1" t="s">
        <v>43</v>
      </c>
      <c r="C608" s="1" t="s">
        <v>44</v>
      </c>
      <c r="D608">
        <v>12659</v>
      </c>
      <c r="E608" t="s">
        <v>12</v>
      </c>
      <c r="F608" t="s">
        <v>42</v>
      </c>
      <c r="G608">
        <v>2</v>
      </c>
      <c r="H608">
        <v>17</v>
      </c>
      <c r="I608" t="s">
        <v>45</v>
      </c>
      <c r="J608" cm="1">
        <f t="array" ref="J608">IFERROR(
    _xlfn.XLOOKUP(G608, 'Wedgewood Pharm-PME-Yr2-2025'!$E$33:$L$33,
        _xlfn.XLOOKUP('Rate Load'!H608, 'Wedgewood Pharm-PME-Yr2-2025'!$D$34:$D$57,
            'Wedgewood Pharm-PME-Yr2-2025'!$E$34:$L$57, 0, 0),
        0, 0),
    _xlfn.XLOOKUP(G608, 'Wedgewood Pharm-PME-Yr2-2025'!$E$33:$L$33,
        _xlfn.XLOOKUP('Rate Load'!L608, 'Wedgewood Pharm-PME-Yr2-2025'!$D$34:$D$57,
            'Wedgewood Pharm-PME-Yr2-2025'!$E$34:$L$57, 0, 0),
        0, 0)
)</f>
        <v>46.089999999999996</v>
      </c>
      <c r="K608" t="s">
        <v>46</v>
      </c>
      <c r="L608" t="s">
        <v>13</v>
      </c>
      <c r="M608">
        <v>2</v>
      </c>
      <c r="N608" t="str">
        <f t="shared" si="9"/>
        <v>INSERT INTO TNL_RATING.dbo.usps_rate_master VALUES ('USPS', '2/13/2025', '2/13/2026', 12659, 'US', 'Priority Mail Express', 2, 17, 'L', 46.09, 'Wedgewood_USPS_2025', 'NonCubic','2');</v>
      </c>
    </row>
    <row r="609" spans="1:14" x14ac:dyDescent="0.3">
      <c r="A609" t="s">
        <v>11</v>
      </c>
      <c r="B609" s="1" t="s">
        <v>43</v>
      </c>
      <c r="C609" s="1" t="s">
        <v>44</v>
      </c>
      <c r="D609">
        <v>12659</v>
      </c>
      <c r="E609" t="s">
        <v>12</v>
      </c>
      <c r="F609" t="s">
        <v>42</v>
      </c>
      <c r="G609">
        <v>2</v>
      </c>
      <c r="H609">
        <v>18</v>
      </c>
      <c r="I609" t="s">
        <v>45</v>
      </c>
      <c r="J609" cm="1">
        <f t="array" ref="J609">IFERROR(
    _xlfn.XLOOKUP(G609, 'Wedgewood Pharm-PME-Yr2-2025'!$E$33:$L$33,
        _xlfn.XLOOKUP('Rate Load'!H609, 'Wedgewood Pharm-PME-Yr2-2025'!$D$34:$D$57,
            'Wedgewood Pharm-PME-Yr2-2025'!$E$34:$L$57, 0, 0),
        0, 0),
    _xlfn.XLOOKUP(G609, 'Wedgewood Pharm-PME-Yr2-2025'!$E$33:$L$33,
        _xlfn.XLOOKUP('Rate Load'!L609, 'Wedgewood Pharm-PME-Yr2-2025'!$D$34:$D$57,
            'Wedgewood Pharm-PME-Yr2-2025'!$E$34:$L$57, 0, 0),
        0, 0)
)</f>
        <v>48.21</v>
      </c>
      <c r="K609" t="s">
        <v>46</v>
      </c>
      <c r="L609" t="s">
        <v>13</v>
      </c>
      <c r="M609">
        <v>2</v>
      </c>
      <c r="N609" t="str">
        <f t="shared" si="9"/>
        <v>INSERT INTO TNL_RATING.dbo.usps_rate_master VALUES ('USPS', '2/13/2025', '2/13/2026', 12659, 'US', 'Priority Mail Express', 2, 18, 'L', 48.21, 'Wedgewood_USPS_2025', 'NonCubic','2');</v>
      </c>
    </row>
    <row r="610" spans="1:14" x14ac:dyDescent="0.3">
      <c r="A610" t="s">
        <v>11</v>
      </c>
      <c r="B610" s="1" t="s">
        <v>43</v>
      </c>
      <c r="C610" s="1" t="s">
        <v>44</v>
      </c>
      <c r="D610">
        <v>12659</v>
      </c>
      <c r="E610" t="s">
        <v>12</v>
      </c>
      <c r="F610" t="s">
        <v>42</v>
      </c>
      <c r="G610">
        <v>2</v>
      </c>
      <c r="H610">
        <v>19</v>
      </c>
      <c r="I610" t="s">
        <v>45</v>
      </c>
      <c r="J610" cm="1">
        <f t="array" ref="J610">IFERROR(
    _xlfn.XLOOKUP(G610, 'Wedgewood Pharm-PME-Yr2-2025'!$E$33:$L$33,
        _xlfn.XLOOKUP('Rate Load'!H610, 'Wedgewood Pharm-PME-Yr2-2025'!$D$34:$D$57,
            'Wedgewood Pharm-PME-Yr2-2025'!$E$34:$L$57, 0, 0),
        0, 0),
    _xlfn.XLOOKUP(G610, 'Wedgewood Pharm-PME-Yr2-2025'!$E$33:$L$33,
        _xlfn.XLOOKUP('Rate Load'!L610, 'Wedgewood Pharm-PME-Yr2-2025'!$D$34:$D$57,
            'Wedgewood Pharm-PME-Yr2-2025'!$E$34:$L$57, 0, 0),
        0, 0)
)</f>
        <v>50.33</v>
      </c>
      <c r="K610" t="s">
        <v>46</v>
      </c>
      <c r="L610" t="s">
        <v>13</v>
      </c>
      <c r="M610">
        <v>2</v>
      </c>
      <c r="N610" t="str">
        <f t="shared" si="9"/>
        <v>INSERT INTO TNL_RATING.dbo.usps_rate_master VALUES ('USPS', '2/13/2025', '2/13/2026', 12659, 'US', 'Priority Mail Express', 2, 19, 'L', 50.33, 'Wedgewood_USPS_2025', 'NonCubic','2');</v>
      </c>
    </row>
    <row r="611" spans="1:14" x14ac:dyDescent="0.3">
      <c r="A611" t="s">
        <v>11</v>
      </c>
      <c r="B611" s="1" t="s">
        <v>43</v>
      </c>
      <c r="C611" s="1" t="s">
        <v>44</v>
      </c>
      <c r="D611">
        <v>12659</v>
      </c>
      <c r="E611" t="s">
        <v>12</v>
      </c>
      <c r="F611" t="s">
        <v>42</v>
      </c>
      <c r="G611">
        <v>2</v>
      </c>
      <c r="H611">
        <v>20</v>
      </c>
      <c r="I611" t="s">
        <v>45</v>
      </c>
      <c r="J611" cm="1">
        <f t="array" ref="J611">IFERROR(
    _xlfn.XLOOKUP(G611, 'Wedgewood Pharm-PME-Yr2-2025'!$E$33:$L$33,
        _xlfn.XLOOKUP('Rate Load'!H611, 'Wedgewood Pharm-PME-Yr2-2025'!$D$34:$D$57,
            'Wedgewood Pharm-PME-Yr2-2025'!$E$34:$L$57, 0, 0),
        0, 0),
    _xlfn.XLOOKUP(G611, 'Wedgewood Pharm-PME-Yr2-2025'!$E$33:$L$33,
        _xlfn.XLOOKUP('Rate Load'!L611, 'Wedgewood Pharm-PME-Yr2-2025'!$D$34:$D$57,
            'Wedgewood Pharm-PME-Yr2-2025'!$E$34:$L$57, 0, 0),
        0, 0)
)</f>
        <v>52.44</v>
      </c>
      <c r="K611" t="s">
        <v>46</v>
      </c>
      <c r="L611" t="s">
        <v>13</v>
      </c>
      <c r="M611">
        <v>2</v>
      </c>
      <c r="N611" t="str">
        <f t="shared" si="9"/>
        <v>INSERT INTO TNL_RATING.dbo.usps_rate_master VALUES ('USPS', '2/13/2025', '2/13/2026', 12659, 'US', 'Priority Mail Express', 2, 20, 'L', 52.44, 'Wedgewood_USPS_2025', 'NonCubic','2');</v>
      </c>
    </row>
    <row r="612" spans="1:14" x14ac:dyDescent="0.3">
      <c r="A612" t="s">
        <v>11</v>
      </c>
      <c r="B612" s="1" t="s">
        <v>43</v>
      </c>
      <c r="C612" s="1" t="s">
        <v>44</v>
      </c>
      <c r="D612">
        <v>12659</v>
      </c>
      <c r="E612" t="s">
        <v>12</v>
      </c>
      <c r="F612" t="s">
        <v>42</v>
      </c>
      <c r="G612">
        <v>3</v>
      </c>
      <c r="H612">
        <v>0.5</v>
      </c>
      <c r="I612" t="s">
        <v>45</v>
      </c>
      <c r="J612" cm="1">
        <f t="array" ref="J612">IFERROR(
    _xlfn.XLOOKUP(G612, 'Wedgewood Pharm-PME-Yr2-2025'!$E$33:$L$33,
        _xlfn.XLOOKUP('Rate Load'!H612, 'Wedgewood Pharm-PME-Yr2-2025'!$D$34:$D$57,
            'Wedgewood Pharm-PME-Yr2-2025'!$E$34:$L$57, 0, 0),
        0, 0),
    _xlfn.XLOOKUP(G612, 'Wedgewood Pharm-PME-Yr2-2025'!$E$33:$L$33,
        _xlfn.XLOOKUP('Rate Load'!L612, 'Wedgewood Pharm-PME-Yr2-2025'!$D$34:$D$57,
            'Wedgewood Pharm-PME-Yr2-2025'!$E$34:$L$57, 0, 0),
        0, 0)
)</f>
        <v>13.6</v>
      </c>
      <c r="K612" t="s">
        <v>46</v>
      </c>
      <c r="L612" t="s">
        <v>13</v>
      </c>
      <c r="M612">
        <v>2</v>
      </c>
      <c r="N612" t="str">
        <f t="shared" si="9"/>
        <v>INSERT INTO TNL_RATING.dbo.usps_rate_master VALUES ('USPS', '2/13/2025', '2/13/2026', 12659, 'US', 'Priority Mail Express', 3, 0.5, 'L', 13.6, 'Wedgewood_USPS_2025', 'NonCubic','2');</v>
      </c>
    </row>
    <row r="613" spans="1:14" x14ac:dyDescent="0.3">
      <c r="A613" t="s">
        <v>11</v>
      </c>
      <c r="B613" s="1" t="s">
        <v>43</v>
      </c>
      <c r="C613" s="1" t="s">
        <v>44</v>
      </c>
      <c r="D613">
        <v>12659</v>
      </c>
      <c r="E613" t="s">
        <v>12</v>
      </c>
      <c r="F613" t="s">
        <v>42</v>
      </c>
      <c r="G613">
        <v>3</v>
      </c>
      <c r="H613">
        <v>1</v>
      </c>
      <c r="I613" t="s">
        <v>45</v>
      </c>
      <c r="J613" cm="1">
        <f t="array" ref="J613">IFERROR(
    _xlfn.XLOOKUP(G613, 'Wedgewood Pharm-PME-Yr2-2025'!$E$33:$L$33,
        _xlfn.XLOOKUP('Rate Load'!H613, 'Wedgewood Pharm-PME-Yr2-2025'!$D$34:$D$57,
            'Wedgewood Pharm-PME-Yr2-2025'!$E$34:$L$57, 0, 0),
        0, 0),
    _xlfn.XLOOKUP(G613, 'Wedgewood Pharm-PME-Yr2-2025'!$E$33:$L$33,
        _xlfn.XLOOKUP('Rate Load'!L613, 'Wedgewood Pharm-PME-Yr2-2025'!$D$34:$D$57,
            'Wedgewood Pharm-PME-Yr2-2025'!$E$34:$L$57, 0, 0),
        0, 0)
)</f>
        <v>14.41</v>
      </c>
      <c r="K613" t="s">
        <v>46</v>
      </c>
      <c r="L613" t="s">
        <v>13</v>
      </c>
      <c r="M613">
        <v>2</v>
      </c>
      <c r="N613" t="str">
        <f t="shared" si="9"/>
        <v>INSERT INTO TNL_RATING.dbo.usps_rate_master VALUES ('USPS', '2/13/2025', '2/13/2026', 12659, 'US', 'Priority Mail Express', 3, 1, 'L', 14.41, 'Wedgewood_USPS_2025', 'NonCubic','2');</v>
      </c>
    </row>
    <row r="614" spans="1:14" x14ac:dyDescent="0.3">
      <c r="A614" t="s">
        <v>11</v>
      </c>
      <c r="B614" s="1" t="s">
        <v>43</v>
      </c>
      <c r="C614" s="1" t="s">
        <v>44</v>
      </c>
      <c r="D614">
        <v>12659</v>
      </c>
      <c r="E614" t="s">
        <v>12</v>
      </c>
      <c r="F614" t="s">
        <v>42</v>
      </c>
      <c r="G614">
        <v>3</v>
      </c>
      <c r="H614">
        <v>2</v>
      </c>
      <c r="I614" t="s">
        <v>45</v>
      </c>
      <c r="J614" cm="1">
        <f t="array" ref="J614">IFERROR(
    _xlfn.XLOOKUP(G614, 'Wedgewood Pharm-PME-Yr2-2025'!$E$33:$L$33,
        _xlfn.XLOOKUP('Rate Load'!H614, 'Wedgewood Pharm-PME-Yr2-2025'!$D$34:$D$57,
            'Wedgewood Pharm-PME-Yr2-2025'!$E$34:$L$57, 0, 0),
        0, 0),
    _xlfn.XLOOKUP(G614, 'Wedgewood Pharm-PME-Yr2-2025'!$E$33:$L$33,
        _xlfn.XLOOKUP('Rate Load'!L614, 'Wedgewood Pharm-PME-Yr2-2025'!$D$34:$D$57,
            'Wedgewood Pharm-PME-Yr2-2025'!$E$34:$L$57, 0, 0),
        0, 0)
)</f>
        <v>16.020000000000003</v>
      </c>
      <c r="K614" t="s">
        <v>46</v>
      </c>
      <c r="L614" t="s">
        <v>13</v>
      </c>
      <c r="M614">
        <v>2</v>
      </c>
      <c r="N614" t="str">
        <f t="shared" si="9"/>
        <v>INSERT INTO TNL_RATING.dbo.usps_rate_master VALUES ('USPS', '2/13/2025', '2/13/2026', 12659, 'US', 'Priority Mail Express', 3, 2, 'L', 16.02, 'Wedgewood_USPS_2025', 'NonCubic','2');</v>
      </c>
    </row>
    <row r="615" spans="1:14" x14ac:dyDescent="0.3">
      <c r="A615" t="s">
        <v>11</v>
      </c>
      <c r="B615" s="1" t="s">
        <v>43</v>
      </c>
      <c r="C615" s="1" t="s">
        <v>44</v>
      </c>
      <c r="D615">
        <v>12659</v>
      </c>
      <c r="E615" t="s">
        <v>12</v>
      </c>
      <c r="F615" t="s">
        <v>42</v>
      </c>
      <c r="G615">
        <v>3</v>
      </c>
      <c r="H615">
        <v>3</v>
      </c>
      <c r="I615" t="s">
        <v>45</v>
      </c>
      <c r="J615" cm="1">
        <f t="array" ref="J615">IFERROR(
    _xlfn.XLOOKUP(G615, 'Wedgewood Pharm-PME-Yr2-2025'!$E$33:$L$33,
        _xlfn.XLOOKUP('Rate Load'!H615, 'Wedgewood Pharm-PME-Yr2-2025'!$D$34:$D$57,
            'Wedgewood Pharm-PME-Yr2-2025'!$E$34:$L$57, 0, 0),
        0, 0),
    _xlfn.XLOOKUP(G615, 'Wedgewood Pharm-PME-Yr2-2025'!$E$33:$L$33,
        _xlfn.XLOOKUP('Rate Load'!L615, 'Wedgewood Pharm-PME-Yr2-2025'!$D$34:$D$57,
            'Wedgewood Pharm-PME-Yr2-2025'!$E$34:$L$57, 0, 0),
        0, 0)
)</f>
        <v>18.010000000000002</v>
      </c>
      <c r="K615" t="s">
        <v>46</v>
      </c>
      <c r="L615" t="s">
        <v>13</v>
      </c>
      <c r="M615">
        <v>2</v>
      </c>
      <c r="N615" t="str">
        <f t="shared" si="9"/>
        <v>INSERT INTO TNL_RATING.dbo.usps_rate_master VALUES ('USPS', '2/13/2025', '2/13/2026', 12659, 'US', 'Priority Mail Express', 3, 3, 'L', 18.01, 'Wedgewood_USPS_2025', 'NonCubic','2');</v>
      </c>
    </row>
    <row r="616" spans="1:14" x14ac:dyDescent="0.3">
      <c r="A616" t="s">
        <v>11</v>
      </c>
      <c r="B616" s="1" t="s">
        <v>43</v>
      </c>
      <c r="C616" s="1" t="s">
        <v>44</v>
      </c>
      <c r="D616">
        <v>12659</v>
      </c>
      <c r="E616" t="s">
        <v>12</v>
      </c>
      <c r="F616" t="s">
        <v>42</v>
      </c>
      <c r="G616">
        <v>3</v>
      </c>
      <c r="H616">
        <v>4</v>
      </c>
      <c r="I616" t="s">
        <v>45</v>
      </c>
      <c r="J616" cm="1">
        <f t="array" ref="J616">IFERROR(
    _xlfn.XLOOKUP(G616, 'Wedgewood Pharm-PME-Yr2-2025'!$E$33:$L$33,
        _xlfn.XLOOKUP('Rate Load'!H616, 'Wedgewood Pharm-PME-Yr2-2025'!$D$34:$D$57,
            'Wedgewood Pharm-PME-Yr2-2025'!$E$34:$L$57, 0, 0),
        0, 0),
    _xlfn.XLOOKUP(G616, 'Wedgewood Pharm-PME-Yr2-2025'!$E$33:$L$33,
        _xlfn.XLOOKUP('Rate Load'!L616, 'Wedgewood Pharm-PME-Yr2-2025'!$D$34:$D$57,
            'Wedgewood Pharm-PME-Yr2-2025'!$E$34:$L$57, 0, 0),
        0, 0)
)</f>
        <v>20.020000000000003</v>
      </c>
      <c r="K616" t="s">
        <v>46</v>
      </c>
      <c r="L616" t="s">
        <v>13</v>
      </c>
      <c r="M616">
        <v>2</v>
      </c>
      <c r="N616" t="str">
        <f t="shared" si="9"/>
        <v>INSERT INTO TNL_RATING.dbo.usps_rate_master VALUES ('USPS', '2/13/2025', '2/13/2026', 12659, 'US', 'Priority Mail Express', 3, 4, 'L', 20.02, 'Wedgewood_USPS_2025', 'NonCubic','2');</v>
      </c>
    </row>
    <row r="617" spans="1:14" x14ac:dyDescent="0.3">
      <c r="A617" t="s">
        <v>11</v>
      </c>
      <c r="B617" s="1" t="s">
        <v>43</v>
      </c>
      <c r="C617" s="1" t="s">
        <v>44</v>
      </c>
      <c r="D617">
        <v>12659</v>
      </c>
      <c r="E617" t="s">
        <v>12</v>
      </c>
      <c r="F617" t="s">
        <v>42</v>
      </c>
      <c r="G617">
        <v>3</v>
      </c>
      <c r="H617">
        <v>5</v>
      </c>
      <c r="I617" t="s">
        <v>45</v>
      </c>
      <c r="J617" cm="1">
        <f t="array" ref="J617">IFERROR(
    _xlfn.XLOOKUP(G617, 'Wedgewood Pharm-PME-Yr2-2025'!$E$33:$L$33,
        _xlfn.XLOOKUP('Rate Load'!H617, 'Wedgewood Pharm-PME-Yr2-2025'!$D$34:$D$57,
            'Wedgewood Pharm-PME-Yr2-2025'!$E$34:$L$57, 0, 0),
        0, 0),
    _xlfn.XLOOKUP(G617, 'Wedgewood Pharm-PME-Yr2-2025'!$E$33:$L$33,
        _xlfn.XLOOKUP('Rate Load'!L617, 'Wedgewood Pharm-PME-Yr2-2025'!$D$34:$D$57,
            'Wedgewood Pharm-PME-Yr2-2025'!$E$34:$L$57, 0, 0),
        0, 0)
)</f>
        <v>22.020000000000003</v>
      </c>
      <c r="K617" t="s">
        <v>46</v>
      </c>
      <c r="L617" t="s">
        <v>13</v>
      </c>
      <c r="M617">
        <v>2</v>
      </c>
      <c r="N617" t="str">
        <f t="shared" si="9"/>
        <v>INSERT INTO TNL_RATING.dbo.usps_rate_master VALUES ('USPS', '2/13/2025', '2/13/2026', 12659, 'US', 'Priority Mail Express', 3, 5, 'L', 22.02, 'Wedgewood_USPS_2025', 'NonCubic','2');</v>
      </c>
    </row>
    <row r="618" spans="1:14" x14ac:dyDescent="0.3">
      <c r="A618" t="s">
        <v>11</v>
      </c>
      <c r="B618" s="1" t="s">
        <v>43</v>
      </c>
      <c r="C618" s="1" t="s">
        <v>44</v>
      </c>
      <c r="D618">
        <v>12659</v>
      </c>
      <c r="E618" t="s">
        <v>12</v>
      </c>
      <c r="F618" t="s">
        <v>42</v>
      </c>
      <c r="G618">
        <v>3</v>
      </c>
      <c r="H618">
        <v>6</v>
      </c>
      <c r="I618" t="s">
        <v>45</v>
      </c>
      <c r="J618" cm="1">
        <f t="array" ref="J618">IFERROR(
    _xlfn.XLOOKUP(G618, 'Wedgewood Pharm-PME-Yr2-2025'!$E$33:$L$33,
        _xlfn.XLOOKUP('Rate Load'!H618, 'Wedgewood Pharm-PME-Yr2-2025'!$D$34:$D$57,
            'Wedgewood Pharm-PME-Yr2-2025'!$E$34:$L$57, 0, 0),
        0, 0),
    _xlfn.XLOOKUP(G618, 'Wedgewood Pharm-PME-Yr2-2025'!$E$33:$L$33,
        _xlfn.XLOOKUP('Rate Load'!L618, 'Wedgewood Pharm-PME-Yr2-2025'!$D$34:$D$57,
            'Wedgewood Pharm-PME-Yr2-2025'!$E$34:$L$57, 0, 0),
        0, 0)
)</f>
        <v>24.330000000000002</v>
      </c>
      <c r="K618" t="s">
        <v>46</v>
      </c>
      <c r="L618" t="s">
        <v>13</v>
      </c>
      <c r="M618">
        <v>2</v>
      </c>
      <c r="N618" t="str">
        <f t="shared" si="9"/>
        <v>INSERT INTO TNL_RATING.dbo.usps_rate_master VALUES ('USPS', '2/13/2025', '2/13/2026', 12659, 'US', 'Priority Mail Express', 3, 6, 'L', 24.33, 'Wedgewood_USPS_2025', 'NonCubic','2');</v>
      </c>
    </row>
    <row r="619" spans="1:14" x14ac:dyDescent="0.3">
      <c r="A619" t="s">
        <v>11</v>
      </c>
      <c r="B619" s="1" t="s">
        <v>43</v>
      </c>
      <c r="C619" s="1" t="s">
        <v>44</v>
      </c>
      <c r="D619">
        <v>12659</v>
      </c>
      <c r="E619" t="s">
        <v>12</v>
      </c>
      <c r="F619" t="s">
        <v>42</v>
      </c>
      <c r="G619">
        <v>3</v>
      </c>
      <c r="H619">
        <v>7</v>
      </c>
      <c r="I619" t="s">
        <v>45</v>
      </c>
      <c r="J619" cm="1">
        <f t="array" ref="J619">IFERROR(
    _xlfn.XLOOKUP(G619, 'Wedgewood Pharm-PME-Yr2-2025'!$E$33:$L$33,
        _xlfn.XLOOKUP('Rate Load'!H619, 'Wedgewood Pharm-PME-Yr2-2025'!$D$34:$D$57,
            'Wedgewood Pharm-PME-Yr2-2025'!$E$34:$L$57, 0, 0),
        0, 0),
    _xlfn.XLOOKUP(G619, 'Wedgewood Pharm-PME-Yr2-2025'!$E$33:$L$33,
        _xlfn.XLOOKUP('Rate Load'!L619, 'Wedgewood Pharm-PME-Yr2-2025'!$D$34:$D$57,
            'Wedgewood Pharm-PME-Yr2-2025'!$E$34:$L$57, 0, 0),
        0, 0)
)</f>
        <v>26.630000000000003</v>
      </c>
      <c r="K619" t="s">
        <v>46</v>
      </c>
      <c r="L619" t="s">
        <v>13</v>
      </c>
      <c r="M619">
        <v>2</v>
      </c>
      <c r="N619" t="str">
        <f t="shared" si="9"/>
        <v>INSERT INTO TNL_RATING.dbo.usps_rate_master VALUES ('USPS', '2/13/2025', '2/13/2026', 12659, 'US', 'Priority Mail Express', 3, 7, 'L', 26.63, 'Wedgewood_USPS_2025', 'NonCubic','2');</v>
      </c>
    </row>
    <row r="620" spans="1:14" x14ac:dyDescent="0.3">
      <c r="A620" t="s">
        <v>11</v>
      </c>
      <c r="B620" s="1" t="s">
        <v>43</v>
      </c>
      <c r="C620" s="1" t="s">
        <v>44</v>
      </c>
      <c r="D620">
        <v>12659</v>
      </c>
      <c r="E620" t="s">
        <v>12</v>
      </c>
      <c r="F620" t="s">
        <v>42</v>
      </c>
      <c r="G620">
        <v>3</v>
      </c>
      <c r="H620">
        <v>8</v>
      </c>
      <c r="I620" t="s">
        <v>45</v>
      </c>
      <c r="J620" cm="1">
        <f t="array" ref="J620">IFERROR(
    _xlfn.XLOOKUP(G620, 'Wedgewood Pharm-PME-Yr2-2025'!$E$33:$L$33,
        _xlfn.XLOOKUP('Rate Load'!H620, 'Wedgewood Pharm-PME-Yr2-2025'!$D$34:$D$57,
            'Wedgewood Pharm-PME-Yr2-2025'!$E$34:$L$57, 0, 0),
        0, 0),
    _xlfn.XLOOKUP(G620, 'Wedgewood Pharm-PME-Yr2-2025'!$E$33:$L$33,
        _xlfn.XLOOKUP('Rate Load'!L620, 'Wedgewood Pharm-PME-Yr2-2025'!$D$34:$D$57,
            'Wedgewood Pharm-PME-Yr2-2025'!$E$34:$L$57, 0, 0),
        0, 0)
)</f>
        <v>28.92</v>
      </c>
      <c r="K620" t="s">
        <v>46</v>
      </c>
      <c r="L620" t="s">
        <v>13</v>
      </c>
      <c r="M620">
        <v>2</v>
      </c>
      <c r="N620" t="str">
        <f t="shared" si="9"/>
        <v>INSERT INTO TNL_RATING.dbo.usps_rate_master VALUES ('USPS', '2/13/2025', '2/13/2026', 12659, 'US', 'Priority Mail Express', 3, 8, 'L', 28.92, 'Wedgewood_USPS_2025', 'NonCubic','2');</v>
      </c>
    </row>
    <row r="621" spans="1:14" x14ac:dyDescent="0.3">
      <c r="A621" t="s">
        <v>11</v>
      </c>
      <c r="B621" s="1" t="s">
        <v>43</v>
      </c>
      <c r="C621" s="1" t="s">
        <v>44</v>
      </c>
      <c r="D621">
        <v>12659</v>
      </c>
      <c r="E621" t="s">
        <v>12</v>
      </c>
      <c r="F621" t="s">
        <v>42</v>
      </c>
      <c r="G621">
        <v>3</v>
      </c>
      <c r="H621">
        <v>9</v>
      </c>
      <c r="I621" t="s">
        <v>45</v>
      </c>
      <c r="J621" cm="1">
        <f t="array" ref="J621">IFERROR(
    _xlfn.XLOOKUP(G621, 'Wedgewood Pharm-PME-Yr2-2025'!$E$33:$L$33,
        _xlfn.XLOOKUP('Rate Load'!H621, 'Wedgewood Pharm-PME-Yr2-2025'!$D$34:$D$57,
            'Wedgewood Pharm-PME-Yr2-2025'!$E$34:$L$57, 0, 0),
        0, 0),
    _xlfn.XLOOKUP(G621, 'Wedgewood Pharm-PME-Yr2-2025'!$E$33:$L$33,
        _xlfn.XLOOKUP('Rate Load'!L621, 'Wedgewood Pharm-PME-Yr2-2025'!$D$34:$D$57,
            'Wedgewood Pharm-PME-Yr2-2025'!$E$34:$L$57, 0, 0),
        0, 0)
)</f>
        <v>31.23</v>
      </c>
      <c r="K621" t="s">
        <v>46</v>
      </c>
      <c r="L621" t="s">
        <v>13</v>
      </c>
      <c r="M621">
        <v>2</v>
      </c>
      <c r="N621" t="str">
        <f t="shared" si="9"/>
        <v>INSERT INTO TNL_RATING.dbo.usps_rate_master VALUES ('USPS', '2/13/2025', '2/13/2026', 12659, 'US', 'Priority Mail Express', 3, 9, 'L', 31.23, 'Wedgewood_USPS_2025', 'NonCubic','2');</v>
      </c>
    </row>
    <row r="622" spans="1:14" x14ac:dyDescent="0.3">
      <c r="A622" t="s">
        <v>11</v>
      </c>
      <c r="B622" s="1" t="s">
        <v>43</v>
      </c>
      <c r="C622" s="1" t="s">
        <v>44</v>
      </c>
      <c r="D622">
        <v>12659</v>
      </c>
      <c r="E622" t="s">
        <v>12</v>
      </c>
      <c r="F622" t="s">
        <v>42</v>
      </c>
      <c r="G622">
        <v>3</v>
      </c>
      <c r="H622">
        <v>10</v>
      </c>
      <c r="I622" t="s">
        <v>45</v>
      </c>
      <c r="J622" cm="1">
        <f t="array" ref="J622">IFERROR(
    _xlfn.XLOOKUP(G622, 'Wedgewood Pharm-PME-Yr2-2025'!$E$33:$L$33,
        _xlfn.XLOOKUP('Rate Load'!H622, 'Wedgewood Pharm-PME-Yr2-2025'!$D$34:$D$57,
            'Wedgewood Pharm-PME-Yr2-2025'!$E$34:$L$57, 0, 0),
        0, 0),
    _xlfn.XLOOKUP(G622, 'Wedgewood Pharm-PME-Yr2-2025'!$E$33:$L$33,
        _xlfn.XLOOKUP('Rate Load'!L622, 'Wedgewood Pharm-PME-Yr2-2025'!$D$34:$D$57,
            'Wedgewood Pharm-PME-Yr2-2025'!$E$34:$L$57, 0, 0),
        0, 0)
)</f>
        <v>33.53</v>
      </c>
      <c r="K622" t="s">
        <v>46</v>
      </c>
      <c r="L622" t="s">
        <v>13</v>
      </c>
      <c r="M622">
        <v>2</v>
      </c>
      <c r="N622" t="str">
        <f t="shared" si="9"/>
        <v>INSERT INTO TNL_RATING.dbo.usps_rate_master VALUES ('USPS', '2/13/2025', '2/13/2026', 12659, 'US', 'Priority Mail Express', 3, 10, 'L', 33.53, 'Wedgewood_USPS_2025', 'NonCubic','2');</v>
      </c>
    </row>
    <row r="623" spans="1:14" x14ac:dyDescent="0.3">
      <c r="A623" t="s">
        <v>11</v>
      </c>
      <c r="B623" s="1" t="s">
        <v>43</v>
      </c>
      <c r="C623" s="1" t="s">
        <v>44</v>
      </c>
      <c r="D623">
        <v>12659</v>
      </c>
      <c r="E623" t="s">
        <v>12</v>
      </c>
      <c r="F623" t="s">
        <v>42</v>
      </c>
      <c r="G623">
        <v>3</v>
      </c>
      <c r="H623">
        <v>11</v>
      </c>
      <c r="I623" t="s">
        <v>45</v>
      </c>
      <c r="J623" cm="1">
        <f t="array" ref="J623">IFERROR(
    _xlfn.XLOOKUP(G623, 'Wedgewood Pharm-PME-Yr2-2025'!$E$33:$L$33,
        _xlfn.XLOOKUP('Rate Load'!H623, 'Wedgewood Pharm-PME-Yr2-2025'!$D$34:$D$57,
            'Wedgewood Pharm-PME-Yr2-2025'!$E$34:$L$57, 0, 0),
        0, 0),
    _xlfn.XLOOKUP(G623, 'Wedgewood Pharm-PME-Yr2-2025'!$E$33:$L$33,
        _xlfn.XLOOKUP('Rate Load'!L623, 'Wedgewood Pharm-PME-Yr2-2025'!$D$34:$D$57,
            'Wedgewood Pharm-PME-Yr2-2025'!$E$34:$L$57, 0, 0),
        0, 0)
)</f>
        <v>35.979999999999997</v>
      </c>
      <c r="K623" t="s">
        <v>46</v>
      </c>
      <c r="L623" t="s">
        <v>13</v>
      </c>
      <c r="M623">
        <v>2</v>
      </c>
      <c r="N623" t="str">
        <f t="shared" si="9"/>
        <v>INSERT INTO TNL_RATING.dbo.usps_rate_master VALUES ('USPS', '2/13/2025', '2/13/2026', 12659, 'US', 'Priority Mail Express', 3, 11, 'L', 35.98, 'Wedgewood_USPS_2025', 'NonCubic','2');</v>
      </c>
    </row>
    <row r="624" spans="1:14" x14ac:dyDescent="0.3">
      <c r="A624" t="s">
        <v>11</v>
      </c>
      <c r="B624" s="1" t="s">
        <v>43</v>
      </c>
      <c r="C624" s="1" t="s">
        <v>44</v>
      </c>
      <c r="D624">
        <v>12659</v>
      </c>
      <c r="E624" t="s">
        <v>12</v>
      </c>
      <c r="F624" t="s">
        <v>42</v>
      </c>
      <c r="G624">
        <v>3</v>
      </c>
      <c r="H624">
        <v>12</v>
      </c>
      <c r="I624" t="s">
        <v>45</v>
      </c>
      <c r="J624" cm="1">
        <f t="array" ref="J624">IFERROR(
    _xlfn.XLOOKUP(G624, 'Wedgewood Pharm-PME-Yr2-2025'!$E$33:$L$33,
        _xlfn.XLOOKUP('Rate Load'!H624, 'Wedgewood Pharm-PME-Yr2-2025'!$D$34:$D$57,
            'Wedgewood Pharm-PME-Yr2-2025'!$E$34:$L$57, 0, 0),
        0, 0),
    _xlfn.XLOOKUP(G624, 'Wedgewood Pharm-PME-Yr2-2025'!$E$33:$L$33,
        _xlfn.XLOOKUP('Rate Load'!L624, 'Wedgewood Pharm-PME-Yr2-2025'!$D$34:$D$57,
            'Wedgewood Pharm-PME-Yr2-2025'!$E$34:$L$57, 0, 0),
        0, 0)
)</f>
        <v>38.44</v>
      </c>
      <c r="K624" t="s">
        <v>46</v>
      </c>
      <c r="L624" t="s">
        <v>13</v>
      </c>
      <c r="M624">
        <v>2</v>
      </c>
      <c r="N624" t="str">
        <f t="shared" si="9"/>
        <v>INSERT INTO TNL_RATING.dbo.usps_rate_master VALUES ('USPS', '2/13/2025', '2/13/2026', 12659, 'US', 'Priority Mail Express', 3, 12, 'L', 38.44, 'Wedgewood_USPS_2025', 'NonCubic','2');</v>
      </c>
    </row>
    <row r="625" spans="1:14" x14ac:dyDescent="0.3">
      <c r="A625" t="s">
        <v>11</v>
      </c>
      <c r="B625" s="1" t="s">
        <v>43</v>
      </c>
      <c r="C625" s="1" t="s">
        <v>44</v>
      </c>
      <c r="D625">
        <v>12659</v>
      </c>
      <c r="E625" t="s">
        <v>12</v>
      </c>
      <c r="F625" t="s">
        <v>42</v>
      </c>
      <c r="G625">
        <v>3</v>
      </c>
      <c r="H625">
        <v>13</v>
      </c>
      <c r="I625" t="s">
        <v>45</v>
      </c>
      <c r="J625" cm="1">
        <f t="array" ref="J625">IFERROR(
    _xlfn.XLOOKUP(G625, 'Wedgewood Pharm-PME-Yr2-2025'!$E$33:$L$33,
        _xlfn.XLOOKUP('Rate Load'!H625, 'Wedgewood Pharm-PME-Yr2-2025'!$D$34:$D$57,
            'Wedgewood Pharm-PME-Yr2-2025'!$E$34:$L$57, 0, 0),
        0, 0),
    _xlfn.XLOOKUP(G625, 'Wedgewood Pharm-PME-Yr2-2025'!$E$33:$L$33,
        _xlfn.XLOOKUP('Rate Load'!L625, 'Wedgewood Pharm-PME-Yr2-2025'!$D$34:$D$57,
            'Wedgewood Pharm-PME-Yr2-2025'!$E$34:$L$57, 0, 0),
        0, 0)
)</f>
        <v>40.89</v>
      </c>
      <c r="K625" t="s">
        <v>46</v>
      </c>
      <c r="L625" t="s">
        <v>13</v>
      </c>
      <c r="M625">
        <v>2</v>
      </c>
      <c r="N625" t="str">
        <f t="shared" si="9"/>
        <v>INSERT INTO TNL_RATING.dbo.usps_rate_master VALUES ('USPS', '2/13/2025', '2/13/2026', 12659, 'US', 'Priority Mail Express', 3, 13, 'L', 40.89, 'Wedgewood_USPS_2025', 'NonCubic','2');</v>
      </c>
    </row>
    <row r="626" spans="1:14" x14ac:dyDescent="0.3">
      <c r="A626" t="s">
        <v>11</v>
      </c>
      <c r="B626" s="1" t="s">
        <v>43</v>
      </c>
      <c r="C626" s="1" t="s">
        <v>44</v>
      </c>
      <c r="D626">
        <v>12659</v>
      </c>
      <c r="E626" t="s">
        <v>12</v>
      </c>
      <c r="F626" t="s">
        <v>42</v>
      </c>
      <c r="G626">
        <v>3</v>
      </c>
      <c r="H626">
        <v>14</v>
      </c>
      <c r="I626" t="s">
        <v>45</v>
      </c>
      <c r="J626" cm="1">
        <f t="array" ref="J626">IFERROR(
    _xlfn.XLOOKUP(G626, 'Wedgewood Pharm-PME-Yr2-2025'!$E$33:$L$33,
        _xlfn.XLOOKUP('Rate Load'!H626, 'Wedgewood Pharm-PME-Yr2-2025'!$D$34:$D$57,
            'Wedgewood Pharm-PME-Yr2-2025'!$E$34:$L$57, 0, 0),
        0, 0),
    _xlfn.XLOOKUP(G626, 'Wedgewood Pharm-PME-Yr2-2025'!$E$33:$L$33,
        _xlfn.XLOOKUP('Rate Load'!L626, 'Wedgewood Pharm-PME-Yr2-2025'!$D$34:$D$57,
            'Wedgewood Pharm-PME-Yr2-2025'!$E$34:$L$57, 0, 0),
        0, 0)
)</f>
        <v>43.35</v>
      </c>
      <c r="K626" t="s">
        <v>46</v>
      </c>
      <c r="L626" t="s">
        <v>13</v>
      </c>
      <c r="M626">
        <v>2</v>
      </c>
      <c r="N626" t="str">
        <f t="shared" si="9"/>
        <v>INSERT INTO TNL_RATING.dbo.usps_rate_master VALUES ('USPS', '2/13/2025', '2/13/2026', 12659, 'US', 'Priority Mail Express', 3, 14, 'L', 43.35, 'Wedgewood_USPS_2025', 'NonCubic','2');</v>
      </c>
    </row>
    <row r="627" spans="1:14" x14ac:dyDescent="0.3">
      <c r="A627" t="s">
        <v>11</v>
      </c>
      <c r="B627" s="1" t="s">
        <v>43</v>
      </c>
      <c r="C627" s="1" t="s">
        <v>44</v>
      </c>
      <c r="D627">
        <v>12659</v>
      </c>
      <c r="E627" t="s">
        <v>12</v>
      </c>
      <c r="F627" t="s">
        <v>42</v>
      </c>
      <c r="G627">
        <v>3</v>
      </c>
      <c r="H627">
        <v>15</v>
      </c>
      <c r="I627" t="s">
        <v>45</v>
      </c>
      <c r="J627" cm="1">
        <f t="array" ref="J627">IFERROR(
    _xlfn.XLOOKUP(G627, 'Wedgewood Pharm-PME-Yr2-2025'!$E$33:$L$33,
        _xlfn.XLOOKUP('Rate Load'!H627, 'Wedgewood Pharm-PME-Yr2-2025'!$D$34:$D$57,
            'Wedgewood Pharm-PME-Yr2-2025'!$E$34:$L$57, 0, 0),
        0, 0),
    _xlfn.XLOOKUP(G627, 'Wedgewood Pharm-PME-Yr2-2025'!$E$33:$L$33,
        _xlfn.XLOOKUP('Rate Load'!L627, 'Wedgewood Pharm-PME-Yr2-2025'!$D$34:$D$57,
            'Wedgewood Pharm-PME-Yr2-2025'!$E$34:$L$57, 0, 0),
        0, 0)
)</f>
        <v>45.79</v>
      </c>
      <c r="K627" t="s">
        <v>46</v>
      </c>
      <c r="L627" t="s">
        <v>13</v>
      </c>
      <c r="M627">
        <v>2</v>
      </c>
      <c r="N627" t="str">
        <f t="shared" si="9"/>
        <v>INSERT INTO TNL_RATING.dbo.usps_rate_master VALUES ('USPS', '2/13/2025', '2/13/2026', 12659, 'US', 'Priority Mail Express', 3, 15, 'L', 45.79, 'Wedgewood_USPS_2025', 'NonCubic','2');</v>
      </c>
    </row>
    <row r="628" spans="1:14" x14ac:dyDescent="0.3">
      <c r="A628" t="s">
        <v>11</v>
      </c>
      <c r="B628" s="1" t="s">
        <v>43</v>
      </c>
      <c r="C628" s="1" t="s">
        <v>44</v>
      </c>
      <c r="D628">
        <v>12659</v>
      </c>
      <c r="E628" t="s">
        <v>12</v>
      </c>
      <c r="F628" t="s">
        <v>42</v>
      </c>
      <c r="G628">
        <v>3</v>
      </c>
      <c r="H628">
        <v>16</v>
      </c>
      <c r="I628" t="s">
        <v>45</v>
      </c>
      <c r="J628" cm="1">
        <f t="array" ref="J628">IFERROR(
    _xlfn.XLOOKUP(G628, 'Wedgewood Pharm-PME-Yr2-2025'!$E$33:$L$33,
        _xlfn.XLOOKUP('Rate Load'!H628, 'Wedgewood Pharm-PME-Yr2-2025'!$D$34:$D$57,
            'Wedgewood Pharm-PME-Yr2-2025'!$E$34:$L$57, 0, 0),
        0, 0),
    _xlfn.XLOOKUP(G628, 'Wedgewood Pharm-PME-Yr2-2025'!$E$33:$L$33,
        _xlfn.XLOOKUP('Rate Load'!L628, 'Wedgewood Pharm-PME-Yr2-2025'!$D$34:$D$57,
            'Wedgewood Pharm-PME-Yr2-2025'!$E$34:$L$57, 0, 0),
        0, 0)
)</f>
        <v>48.239999999999995</v>
      </c>
      <c r="K628" t="s">
        <v>46</v>
      </c>
      <c r="L628" t="s">
        <v>13</v>
      </c>
      <c r="M628">
        <v>2</v>
      </c>
      <c r="N628" t="str">
        <f t="shared" si="9"/>
        <v>INSERT INTO TNL_RATING.dbo.usps_rate_master VALUES ('USPS', '2/13/2025', '2/13/2026', 12659, 'US', 'Priority Mail Express', 3, 16, 'L', 48.24, 'Wedgewood_USPS_2025', 'NonCubic','2');</v>
      </c>
    </row>
    <row r="629" spans="1:14" x14ac:dyDescent="0.3">
      <c r="A629" t="s">
        <v>11</v>
      </c>
      <c r="B629" s="1" t="s">
        <v>43</v>
      </c>
      <c r="C629" s="1" t="s">
        <v>44</v>
      </c>
      <c r="D629">
        <v>12659</v>
      </c>
      <c r="E629" t="s">
        <v>12</v>
      </c>
      <c r="F629" t="s">
        <v>42</v>
      </c>
      <c r="G629">
        <v>3</v>
      </c>
      <c r="H629">
        <v>17</v>
      </c>
      <c r="I629" t="s">
        <v>45</v>
      </c>
      <c r="J629" cm="1">
        <f t="array" ref="J629">IFERROR(
    _xlfn.XLOOKUP(G629, 'Wedgewood Pharm-PME-Yr2-2025'!$E$33:$L$33,
        _xlfn.XLOOKUP('Rate Load'!H629, 'Wedgewood Pharm-PME-Yr2-2025'!$D$34:$D$57,
            'Wedgewood Pharm-PME-Yr2-2025'!$E$34:$L$57, 0, 0),
        0, 0),
    _xlfn.XLOOKUP(G629, 'Wedgewood Pharm-PME-Yr2-2025'!$E$33:$L$33,
        _xlfn.XLOOKUP('Rate Load'!L629, 'Wedgewood Pharm-PME-Yr2-2025'!$D$34:$D$57,
            'Wedgewood Pharm-PME-Yr2-2025'!$E$34:$L$57, 0, 0),
        0, 0)
)</f>
        <v>50.699999999999996</v>
      </c>
      <c r="K629" t="s">
        <v>46</v>
      </c>
      <c r="L629" t="s">
        <v>13</v>
      </c>
      <c r="M629">
        <v>2</v>
      </c>
      <c r="N629" t="str">
        <f t="shared" si="9"/>
        <v>INSERT INTO TNL_RATING.dbo.usps_rate_master VALUES ('USPS', '2/13/2025', '2/13/2026', 12659, 'US', 'Priority Mail Express', 3, 17, 'L', 50.7, 'Wedgewood_USPS_2025', 'NonCubic','2');</v>
      </c>
    </row>
    <row r="630" spans="1:14" x14ac:dyDescent="0.3">
      <c r="A630" t="s">
        <v>11</v>
      </c>
      <c r="B630" s="1" t="s">
        <v>43</v>
      </c>
      <c r="C630" s="1" t="s">
        <v>44</v>
      </c>
      <c r="D630">
        <v>12659</v>
      </c>
      <c r="E630" t="s">
        <v>12</v>
      </c>
      <c r="F630" t="s">
        <v>42</v>
      </c>
      <c r="G630">
        <v>3</v>
      </c>
      <c r="H630">
        <v>18</v>
      </c>
      <c r="I630" t="s">
        <v>45</v>
      </c>
      <c r="J630" cm="1">
        <f t="array" ref="J630">IFERROR(
    _xlfn.XLOOKUP(G630, 'Wedgewood Pharm-PME-Yr2-2025'!$E$33:$L$33,
        _xlfn.XLOOKUP('Rate Load'!H630, 'Wedgewood Pharm-PME-Yr2-2025'!$D$34:$D$57,
            'Wedgewood Pharm-PME-Yr2-2025'!$E$34:$L$57, 0, 0),
        0, 0),
    _xlfn.XLOOKUP(G630, 'Wedgewood Pharm-PME-Yr2-2025'!$E$33:$L$33,
        _xlfn.XLOOKUP('Rate Load'!L630, 'Wedgewood Pharm-PME-Yr2-2025'!$D$34:$D$57,
            'Wedgewood Pharm-PME-Yr2-2025'!$E$34:$L$57, 0, 0),
        0, 0)
)</f>
        <v>53.14</v>
      </c>
      <c r="K630" t="s">
        <v>46</v>
      </c>
      <c r="L630" t="s">
        <v>13</v>
      </c>
      <c r="M630">
        <v>2</v>
      </c>
      <c r="N630" t="str">
        <f t="shared" si="9"/>
        <v>INSERT INTO TNL_RATING.dbo.usps_rate_master VALUES ('USPS', '2/13/2025', '2/13/2026', 12659, 'US', 'Priority Mail Express', 3, 18, 'L', 53.14, 'Wedgewood_USPS_2025', 'NonCubic','2');</v>
      </c>
    </row>
    <row r="631" spans="1:14" x14ac:dyDescent="0.3">
      <c r="A631" t="s">
        <v>11</v>
      </c>
      <c r="B631" s="1" t="s">
        <v>43</v>
      </c>
      <c r="C631" s="1" t="s">
        <v>44</v>
      </c>
      <c r="D631">
        <v>12659</v>
      </c>
      <c r="E631" t="s">
        <v>12</v>
      </c>
      <c r="F631" t="s">
        <v>42</v>
      </c>
      <c r="G631">
        <v>3</v>
      </c>
      <c r="H631">
        <v>19</v>
      </c>
      <c r="I631" t="s">
        <v>45</v>
      </c>
      <c r="J631" cm="1">
        <f t="array" ref="J631">IFERROR(
    _xlfn.XLOOKUP(G631, 'Wedgewood Pharm-PME-Yr2-2025'!$E$33:$L$33,
        _xlfn.XLOOKUP('Rate Load'!H631, 'Wedgewood Pharm-PME-Yr2-2025'!$D$34:$D$57,
            'Wedgewood Pharm-PME-Yr2-2025'!$E$34:$L$57, 0, 0),
        0, 0),
    _xlfn.XLOOKUP(G631, 'Wedgewood Pharm-PME-Yr2-2025'!$E$33:$L$33,
        _xlfn.XLOOKUP('Rate Load'!L631, 'Wedgewood Pharm-PME-Yr2-2025'!$D$34:$D$57,
            'Wedgewood Pharm-PME-Yr2-2025'!$E$34:$L$57, 0, 0),
        0, 0)
)</f>
        <v>55.6</v>
      </c>
      <c r="K631" t="s">
        <v>46</v>
      </c>
      <c r="L631" t="s">
        <v>13</v>
      </c>
      <c r="M631">
        <v>2</v>
      </c>
      <c r="N631" t="str">
        <f t="shared" si="9"/>
        <v>INSERT INTO TNL_RATING.dbo.usps_rate_master VALUES ('USPS', '2/13/2025', '2/13/2026', 12659, 'US', 'Priority Mail Express', 3, 19, 'L', 55.6, 'Wedgewood_USPS_2025', 'NonCubic','2');</v>
      </c>
    </row>
    <row r="632" spans="1:14" x14ac:dyDescent="0.3">
      <c r="A632" t="s">
        <v>11</v>
      </c>
      <c r="B632" s="1" t="s">
        <v>43</v>
      </c>
      <c r="C632" s="1" t="s">
        <v>44</v>
      </c>
      <c r="D632">
        <v>12659</v>
      </c>
      <c r="E632" t="s">
        <v>12</v>
      </c>
      <c r="F632" t="s">
        <v>42</v>
      </c>
      <c r="G632">
        <v>3</v>
      </c>
      <c r="H632">
        <v>20</v>
      </c>
      <c r="I632" t="s">
        <v>45</v>
      </c>
      <c r="J632" cm="1">
        <f t="array" ref="J632">IFERROR(
    _xlfn.XLOOKUP(G632, 'Wedgewood Pharm-PME-Yr2-2025'!$E$33:$L$33,
        _xlfn.XLOOKUP('Rate Load'!H632, 'Wedgewood Pharm-PME-Yr2-2025'!$D$34:$D$57,
            'Wedgewood Pharm-PME-Yr2-2025'!$E$34:$L$57, 0, 0),
        0, 0),
    _xlfn.XLOOKUP(G632, 'Wedgewood Pharm-PME-Yr2-2025'!$E$33:$L$33,
        _xlfn.XLOOKUP('Rate Load'!L632, 'Wedgewood Pharm-PME-Yr2-2025'!$D$34:$D$57,
            'Wedgewood Pharm-PME-Yr2-2025'!$E$34:$L$57, 0, 0),
        0, 0)
)</f>
        <v>58.04</v>
      </c>
      <c r="K632" t="s">
        <v>46</v>
      </c>
      <c r="L632" t="s">
        <v>13</v>
      </c>
      <c r="M632">
        <v>2</v>
      </c>
      <c r="N632" t="str">
        <f t="shared" si="9"/>
        <v>INSERT INTO TNL_RATING.dbo.usps_rate_master VALUES ('USPS', '2/13/2025', '2/13/2026', 12659, 'US', 'Priority Mail Express', 3, 20, 'L', 58.04, 'Wedgewood_USPS_2025', 'NonCubic','2');</v>
      </c>
    </row>
    <row r="633" spans="1:14" x14ac:dyDescent="0.3">
      <c r="A633" t="s">
        <v>11</v>
      </c>
      <c r="B633" s="1" t="s">
        <v>43</v>
      </c>
      <c r="C633" s="1" t="s">
        <v>44</v>
      </c>
      <c r="D633">
        <v>12659</v>
      </c>
      <c r="E633" t="s">
        <v>12</v>
      </c>
      <c r="F633" t="s">
        <v>42</v>
      </c>
      <c r="G633">
        <v>4</v>
      </c>
      <c r="H633">
        <v>0.5</v>
      </c>
      <c r="I633" t="s">
        <v>45</v>
      </c>
      <c r="J633" cm="1">
        <f t="array" ref="J633">IFERROR(
    _xlfn.XLOOKUP(G633, 'Wedgewood Pharm-PME-Yr2-2025'!$E$33:$L$33,
        _xlfn.XLOOKUP('Rate Load'!H633, 'Wedgewood Pharm-PME-Yr2-2025'!$D$34:$D$57,
            'Wedgewood Pharm-PME-Yr2-2025'!$E$34:$L$57, 0, 0),
        0, 0),
    _xlfn.XLOOKUP(G633, 'Wedgewood Pharm-PME-Yr2-2025'!$E$33:$L$33,
        _xlfn.XLOOKUP('Rate Load'!L633, 'Wedgewood Pharm-PME-Yr2-2025'!$D$34:$D$57,
            'Wedgewood Pharm-PME-Yr2-2025'!$E$34:$L$57, 0, 0),
        0, 0)
)</f>
        <v>13.98</v>
      </c>
      <c r="K633" t="s">
        <v>46</v>
      </c>
      <c r="L633" t="s">
        <v>13</v>
      </c>
      <c r="M633">
        <v>2</v>
      </c>
      <c r="N633" t="str">
        <f t="shared" si="9"/>
        <v>INSERT INTO TNL_RATING.dbo.usps_rate_master VALUES ('USPS', '2/13/2025', '2/13/2026', 12659, 'US', 'Priority Mail Express', 4, 0.5, 'L', 13.98, 'Wedgewood_USPS_2025', 'NonCubic','2');</v>
      </c>
    </row>
    <row r="634" spans="1:14" x14ac:dyDescent="0.3">
      <c r="A634" t="s">
        <v>11</v>
      </c>
      <c r="B634" s="1" t="s">
        <v>43</v>
      </c>
      <c r="C634" s="1" t="s">
        <v>44</v>
      </c>
      <c r="D634">
        <v>12659</v>
      </c>
      <c r="E634" t="s">
        <v>12</v>
      </c>
      <c r="F634" t="s">
        <v>42</v>
      </c>
      <c r="G634">
        <v>4</v>
      </c>
      <c r="H634">
        <v>1</v>
      </c>
      <c r="I634" t="s">
        <v>45</v>
      </c>
      <c r="J634" cm="1">
        <f t="array" ref="J634">IFERROR(
    _xlfn.XLOOKUP(G634, 'Wedgewood Pharm-PME-Yr2-2025'!$E$33:$L$33,
        _xlfn.XLOOKUP('Rate Load'!H634, 'Wedgewood Pharm-PME-Yr2-2025'!$D$34:$D$57,
            'Wedgewood Pharm-PME-Yr2-2025'!$E$34:$L$57, 0, 0),
        0, 0),
    _xlfn.XLOOKUP(G634, 'Wedgewood Pharm-PME-Yr2-2025'!$E$33:$L$33,
        _xlfn.XLOOKUP('Rate Load'!L634, 'Wedgewood Pharm-PME-Yr2-2025'!$D$34:$D$57,
            'Wedgewood Pharm-PME-Yr2-2025'!$E$34:$L$57, 0, 0),
        0, 0)
)</f>
        <v>15.18</v>
      </c>
      <c r="K634" t="s">
        <v>46</v>
      </c>
      <c r="L634" t="s">
        <v>13</v>
      </c>
      <c r="M634">
        <v>2</v>
      </c>
      <c r="N634" t="str">
        <f t="shared" si="9"/>
        <v>INSERT INTO TNL_RATING.dbo.usps_rate_master VALUES ('USPS', '2/13/2025', '2/13/2026', 12659, 'US', 'Priority Mail Express', 4, 1, 'L', 15.18, 'Wedgewood_USPS_2025', 'NonCubic','2');</v>
      </c>
    </row>
    <row r="635" spans="1:14" x14ac:dyDescent="0.3">
      <c r="A635" t="s">
        <v>11</v>
      </c>
      <c r="B635" s="1" t="s">
        <v>43</v>
      </c>
      <c r="C635" s="1" t="s">
        <v>44</v>
      </c>
      <c r="D635">
        <v>12659</v>
      </c>
      <c r="E635" t="s">
        <v>12</v>
      </c>
      <c r="F635" t="s">
        <v>42</v>
      </c>
      <c r="G635">
        <v>4</v>
      </c>
      <c r="H635">
        <v>2</v>
      </c>
      <c r="I635" t="s">
        <v>45</v>
      </c>
      <c r="J635" cm="1">
        <f t="array" ref="J635">IFERROR(
    _xlfn.XLOOKUP(G635, 'Wedgewood Pharm-PME-Yr2-2025'!$E$33:$L$33,
        _xlfn.XLOOKUP('Rate Load'!H635, 'Wedgewood Pharm-PME-Yr2-2025'!$D$34:$D$57,
            'Wedgewood Pharm-PME-Yr2-2025'!$E$34:$L$57, 0, 0),
        0, 0),
    _xlfn.XLOOKUP(G635, 'Wedgewood Pharm-PME-Yr2-2025'!$E$33:$L$33,
        _xlfn.XLOOKUP('Rate Load'!L635, 'Wedgewood Pharm-PME-Yr2-2025'!$D$34:$D$57,
            'Wedgewood Pharm-PME-Yr2-2025'!$E$34:$L$57, 0, 0),
        0, 0)
)</f>
        <v>17.170000000000002</v>
      </c>
      <c r="K635" t="s">
        <v>46</v>
      </c>
      <c r="L635" t="s">
        <v>13</v>
      </c>
      <c r="M635">
        <v>2</v>
      </c>
      <c r="N635" t="str">
        <f t="shared" si="9"/>
        <v>INSERT INTO TNL_RATING.dbo.usps_rate_master VALUES ('USPS', '2/13/2025', '2/13/2026', 12659, 'US', 'Priority Mail Express', 4, 2, 'L', 17.17, 'Wedgewood_USPS_2025', 'NonCubic','2');</v>
      </c>
    </row>
    <row r="636" spans="1:14" x14ac:dyDescent="0.3">
      <c r="A636" t="s">
        <v>11</v>
      </c>
      <c r="B636" s="1" t="s">
        <v>43</v>
      </c>
      <c r="C636" s="1" t="s">
        <v>44</v>
      </c>
      <c r="D636">
        <v>12659</v>
      </c>
      <c r="E636" t="s">
        <v>12</v>
      </c>
      <c r="F636" t="s">
        <v>42</v>
      </c>
      <c r="G636">
        <v>4</v>
      </c>
      <c r="H636">
        <v>3</v>
      </c>
      <c r="I636" t="s">
        <v>45</v>
      </c>
      <c r="J636" cm="1">
        <f t="array" ref="J636">IFERROR(
    _xlfn.XLOOKUP(G636, 'Wedgewood Pharm-PME-Yr2-2025'!$E$33:$L$33,
        _xlfn.XLOOKUP('Rate Load'!H636, 'Wedgewood Pharm-PME-Yr2-2025'!$D$34:$D$57,
            'Wedgewood Pharm-PME-Yr2-2025'!$E$34:$L$57, 0, 0),
        0, 0),
    _xlfn.XLOOKUP(G636, 'Wedgewood Pharm-PME-Yr2-2025'!$E$33:$L$33,
        _xlfn.XLOOKUP('Rate Load'!L636, 'Wedgewood Pharm-PME-Yr2-2025'!$D$34:$D$57,
            'Wedgewood Pharm-PME-Yr2-2025'!$E$34:$L$57, 0, 0),
        0, 0)
)</f>
        <v>19.55</v>
      </c>
      <c r="K636" t="s">
        <v>46</v>
      </c>
      <c r="L636" t="s">
        <v>13</v>
      </c>
      <c r="M636">
        <v>2</v>
      </c>
      <c r="N636" t="str">
        <f t="shared" si="9"/>
        <v>INSERT INTO TNL_RATING.dbo.usps_rate_master VALUES ('USPS', '2/13/2025', '2/13/2026', 12659, 'US', 'Priority Mail Express', 4, 3, 'L', 19.55, 'Wedgewood_USPS_2025', 'NonCubic','2');</v>
      </c>
    </row>
    <row r="637" spans="1:14" x14ac:dyDescent="0.3">
      <c r="A637" t="s">
        <v>11</v>
      </c>
      <c r="B637" s="1" t="s">
        <v>43</v>
      </c>
      <c r="C637" s="1" t="s">
        <v>44</v>
      </c>
      <c r="D637">
        <v>12659</v>
      </c>
      <c r="E637" t="s">
        <v>12</v>
      </c>
      <c r="F637" t="s">
        <v>42</v>
      </c>
      <c r="G637">
        <v>4</v>
      </c>
      <c r="H637">
        <v>4</v>
      </c>
      <c r="I637" t="s">
        <v>45</v>
      </c>
      <c r="J637" cm="1">
        <f t="array" ref="J637">IFERROR(
    _xlfn.XLOOKUP(G637, 'Wedgewood Pharm-PME-Yr2-2025'!$E$33:$L$33,
        _xlfn.XLOOKUP('Rate Load'!H637, 'Wedgewood Pharm-PME-Yr2-2025'!$D$34:$D$57,
            'Wedgewood Pharm-PME-Yr2-2025'!$E$34:$L$57, 0, 0),
        0, 0),
    _xlfn.XLOOKUP(G637, 'Wedgewood Pharm-PME-Yr2-2025'!$E$33:$L$33,
        _xlfn.XLOOKUP('Rate Load'!L637, 'Wedgewood Pharm-PME-Yr2-2025'!$D$34:$D$57,
            'Wedgewood Pharm-PME-Yr2-2025'!$E$34:$L$57, 0, 0),
        0, 0)
)</f>
        <v>21.93</v>
      </c>
      <c r="K637" t="s">
        <v>46</v>
      </c>
      <c r="L637" t="s">
        <v>13</v>
      </c>
      <c r="M637">
        <v>2</v>
      </c>
      <c r="N637" t="str">
        <f t="shared" si="9"/>
        <v>INSERT INTO TNL_RATING.dbo.usps_rate_master VALUES ('USPS', '2/13/2025', '2/13/2026', 12659, 'US', 'Priority Mail Express', 4, 4, 'L', 21.93, 'Wedgewood_USPS_2025', 'NonCubic','2');</v>
      </c>
    </row>
    <row r="638" spans="1:14" x14ac:dyDescent="0.3">
      <c r="A638" t="s">
        <v>11</v>
      </c>
      <c r="B638" s="1" t="s">
        <v>43</v>
      </c>
      <c r="C638" s="1" t="s">
        <v>44</v>
      </c>
      <c r="D638">
        <v>12659</v>
      </c>
      <c r="E638" t="s">
        <v>12</v>
      </c>
      <c r="F638" t="s">
        <v>42</v>
      </c>
      <c r="G638">
        <v>4</v>
      </c>
      <c r="H638">
        <v>5</v>
      </c>
      <c r="I638" t="s">
        <v>45</v>
      </c>
      <c r="J638" cm="1">
        <f t="array" ref="J638">IFERROR(
    _xlfn.XLOOKUP(G638, 'Wedgewood Pharm-PME-Yr2-2025'!$E$33:$L$33,
        _xlfn.XLOOKUP('Rate Load'!H638, 'Wedgewood Pharm-PME-Yr2-2025'!$D$34:$D$57,
            'Wedgewood Pharm-PME-Yr2-2025'!$E$34:$L$57, 0, 0),
        0, 0),
    _xlfn.XLOOKUP(G638, 'Wedgewood Pharm-PME-Yr2-2025'!$E$33:$L$33,
        _xlfn.XLOOKUP('Rate Load'!L638, 'Wedgewood Pharm-PME-Yr2-2025'!$D$34:$D$57,
            'Wedgewood Pharm-PME-Yr2-2025'!$E$34:$L$57, 0, 0),
        0, 0)
)</f>
        <v>24.3</v>
      </c>
      <c r="K638" t="s">
        <v>46</v>
      </c>
      <c r="L638" t="s">
        <v>13</v>
      </c>
      <c r="M638">
        <v>2</v>
      </c>
      <c r="N638" t="str">
        <f t="shared" si="9"/>
        <v>INSERT INTO TNL_RATING.dbo.usps_rate_master VALUES ('USPS', '2/13/2025', '2/13/2026', 12659, 'US', 'Priority Mail Express', 4, 5, 'L', 24.3, 'Wedgewood_USPS_2025', 'NonCubic','2');</v>
      </c>
    </row>
    <row r="639" spans="1:14" x14ac:dyDescent="0.3">
      <c r="A639" t="s">
        <v>11</v>
      </c>
      <c r="B639" s="1" t="s">
        <v>43</v>
      </c>
      <c r="C639" s="1" t="s">
        <v>44</v>
      </c>
      <c r="D639">
        <v>12659</v>
      </c>
      <c r="E639" t="s">
        <v>12</v>
      </c>
      <c r="F639" t="s">
        <v>42</v>
      </c>
      <c r="G639">
        <v>4</v>
      </c>
      <c r="H639">
        <v>6</v>
      </c>
      <c r="I639" t="s">
        <v>45</v>
      </c>
      <c r="J639" cm="1">
        <f t="array" ref="J639">IFERROR(
    _xlfn.XLOOKUP(G639, 'Wedgewood Pharm-PME-Yr2-2025'!$E$33:$L$33,
        _xlfn.XLOOKUP('Rate Load'!H639, 'Wedgewood Pharm-PME-Yr2-2025'!$D$34:$D$57,
            'Wedgewood Pharm-PME-Yr2-2025'!$E$34:$L$57, 0, 0),
        0, 0),
    _xlfn.XLOOKUP(G639, 'Wedgewood Pharm-PME-Yr2-2025'!$E$33:$L$33,
        _xlfn.XLOOKUP('Rate Load'!L639, 'Wedgewood Pharm-PME-Yr2-2025'!$D$34:$D$57,
            'Wedgewood Pharm-PME-Yr2-2025'!$E$34:$L$57, 0, 0),
        0, 0)
)</f>
        <v>26.94</v>
      </c>
      <c r="K639" t="s">
        <v>46</v>
      </c>
      <c r="L639" t="s">
        <v>13</v>
      </c>
      <c r="M639">
        <v>2</v>
      </c>
      <c r="N639" t="str">
        <f t="shared" si="9"/>
        <v>INSERT INTO TNL_RATING.dbo.usps_rate_master VALUES ('USPS', '2/13/2025', '2/13/2026', 12659, 'US', 'Priority Mail Express', 4, 6, 'L', 26.94, 'Wedgewood_USPS_2025', 'NonCubic','2');</v>
      </c>
    </row>
    <row r="640" spans="1:14" x14ac:dyDescent="0.3">
      <c r="A640" t="s">
        <v>11</v>
      </c>
      <c r="B640" s="1" t="s">
        <v>43</v>
      </c>
      <c r="C640" s="1" t="s">
        <v>44</v>
      </c>
      <c r="D640">
        <v>12659</v>
      </c>
      <c r="E640" t="s">
        <v>12</v>
      </c>
      <c r="F640" t="s">
        <v>42</v>
      </c>
      <c r="G640">
        <v>4</v>
      </c>
      <c r="H640">
        <v>7</v>
      </c>
      <c r="I640" t="s">
        <v>45</v>
      </c>
      <c r="J640" cm="1">
        <f t="array" ref="J640">IFERROR(
    _xlfn.XLOOKUP(G640, 'Wedgewood Pharm-PME-Yr2-2025'!$E$33:$L$33,
        _xlfn.XLOOKUP('Rate Load'!H640, 'Wedgewood Pharm-PME-Yr2-2025'!$D$34:$D$57,
            'Wedgewood Pharm-PME-Yr2-2025'!$E$34:$L$57, 0, 0),
        0, 0),
    _xlfn.XLOOKUP(G640, 'Wedgewood Pharm-PME-Yr2-2025'!$E$33:$L$33,
        _xlfn.XLOOKUP('Rate Load'!L640, 'Wedgewood Pharm-PME-Yr2-2025'!$D$34:$D$57,
            'Wedgewood Pharm-PME-Yr2-2025'!$E$34:$L$57, 0, 0),
        0, 0)
)</f>
        <v>29.59</v>
      </c>
      <c r="K640" t="s">
        <v>46</v>
      </c>
      <c r="L640" t="s">
        <v>13</v>
      </c>
      <c r="M640">
        <v>2</v>
      </c>
      <c r="N640" t="str">
        <f t="shared" si="9"/>
        <v>INSERT INTO TNL_RATING.dbo.usps_rate_master VALUES ('USPS', '2/13/2025', '2/13/2026', 12659, 'US', 'Priority Mail Express', 4, 7, 'L', 29.59, 'Wedgewood_USPS_2025', 'NonCubic','2');</v>
      </c>
    </row>
    <row r="641" spans="1:14" x14ac:dyDescent="0.3">
      <c r="A641" t="s">
        <v>11</v>
      </c>
      <c r="B641" s="1" t="s">
        <v>43</v>
      </c>
      <c r="C641" s="1" t="s">
        <v>44</v>
      </c>
      <c r="D641">
        <v>12659</v>
      </c>
      <c r="E641" t="s">
        <v>12</v>
      </c>
      <c r="F641" t="s">
        <v>42</v>
      </c>
      <c r="G641">
        <v>4</v>
      </c>
      <c r="H641">
        <v>8</v>
      </c>
      <c r="I641" t="s">
        <v>45</v>
      </c>
      <c r="J641" cm="1">
        <f t="array" ref="J641">IFERROR(
    _xlfn.XLOOKUP(G641, 'Wedgewood Pharm-PME-Yr2-2025'!$E$33:$L$33,
        _xlfn.XLOOKUP('Rate Load'!H641, 'Wedgewood Pharm-PME-Yr2-2025'!$D$34:$D$57,
            'Wedgewood Pharm-PME-Yr2-2025'!$E$34:$L$57, 0, 0),
        0, 0),
    _xlfn.XLOOKUP(G641, 'Wedgewood Pharm-PME-Yr2-2025'!$E$33:$L$33,
        _xlfn.XLOOKUP('Rate Load'!L641, 'Wedgewood Pharm-PME-Yr2-2025'!$D$34:$D$57,
            'Wedgewood Pharm-PME-Yr2-2025'!$E$34:$L$57, 0, 0),
        0, 0)
)</f>
        <v>32.229999999999997</v>
      </c>
      <c r="K641" t="s">
        <v>46</v>
      </c>
      <c r="L641" t="s">
        <v>13</v>
      </c>
      <c r="M641">
        <v>2</v>
      </c>
      <c r="N641" t="str">
        <f t="shared" si="9"/>
        <v>INSERT INTO TNL_RATING.dbo.usps_rate_master VALUES ('USPS', '2/13/2025', '2/13/2026', 12659, 'US', 'Priority Mail Express', 4, 8, 'L', 32.23, 'Wedgewood_USPS_2025', 'NonCubic','2');</v>
      </c>
    </row>
    <row r="642" spans="1:14" x14ac:dyDescent="0.3">
      <c r="A642" t="s">
        <v>11</v>
      </c>
      <c r="B642" s="1" t="s">
        <v>43</v>
      </c>
      <c r="C642" s="1" t="s">
        <v>44</v>
      </c>
      <c r="D642">
        <v>12659</v>
      </c>
      <c r="E642" t="s">
        <v>12</v>
      </c>
      <c r="F642" t="s">
        <v>42</v>
      </c>
      <c r="G642">
        <v>4</v>
      </c>
      <c r="H642">
        <v>9</v>
      </c>
      <c r="I642" t="s">
        <v>45</v>
      </c>
      <c r="J642" cm="1">
        <f t="array" ref="J642">IFERROR(
    _xlfn.XLOOKUP(G642, 'Wedgewood Pharm-PME-Yr2-2025'!$E$33:$L$33,
        _xlfn.XLOOKUP('Rate Load'!H642, 'Wedgewood Pharm-PME-Yr2-2025'!$D$34:$D$57,
            'Wedgewood Pharm-PME-Yr2-2025'!$E$34:$L$57, 0, 0),
        0, 0),
    _xlfn.XLOOKUP(G642, 'Wedgewood Pharm-PME-Yr2-2025'!$E$33:$L$33,
        _xlfn.XLOOKUP('Rate Load'!L642, 'Wedgewood Pharm-PME-Yr2-2025'!$D$34:$D$57,
            'Wedgewood Pharm-PME-Yr2-2025'!$E$34:$L$57, 0, 0),
        0, 0)
)</f>
        <v>34.879999999999995</v>
      </c>
      <c r="K642" t="s">
        <v>46</v>
      </c>
      <c r="L642" t="s">
        <v>13</v>
      </c>
      <c r="M642">
        <v>2</v>
      </c>
      <c r="N642" t="str">
        <f t="shared" si="9"/>
        <v>INSERT INTO TNL_RATING.dbo.usps_rate_master VALUES ('USPS', '2/13/2025', '2/13/2026', 12659, 'US', 'Priority Mail Express', 4, 9, 'L', 34.88, 'Wedgewood_USPS_2025', 'NonCubic','2');</v>
      </c>
    </row>
    <row r="643" spans="1:14" x14ac:dyDescent="0.3">
      <c r="A643" t="s">
        <v>11</v>
      </c>
      <c r="B643" s="1" t="s">
        <v>43</v>
      </c>
      <c r="C643" s="1" t="s">
        <v>44</v>
      </c>
      <c r="D643">
        <v>12659</v>
      </c>
      <c r="E643" t="s">
        <v>12</v>
      </c>
      <c r="F643" t="s">
        <v>42</v>
      </c>
      <c r="G643">
        <v>4</v>
      </c>
      <c r="H643">
        <v>10</v>
      </c>
      <c r="I643" t="s">
        <v>45</v>
      </c>
      <c r="J643" cm="1">
        <f t="array" ref="J643">IFERROR(
    _xlfn.XLOOKUP(G643, 'Wedgewood Pharm-PME-Yr2-2025'!$E$33:$L$33,
        _xlfn.XLOOKUP('Rate Load'!H643, 'Wedgewood Pharm-PME-Yr2-2025'!$D$34:$D$57,
            'Wedgewood Pharm-PME-Yr2-2025'!$E$34:$L$57, 0, 0),
        0, 0),
    _xlfn.XLOOKUP(G643, 'Wedgewood Pharm-PME-Yr2-2025'!$E$33:$L$33,
        _xlfn.XLOOKUP('Rate Load'!L643, 'Wedgewood Pharm-PME-Yr2-2025'!$D$34:$D$57,
            'Wedgewood Pharm-PME-Yr2-2025'!$E$34:$L$57, 0, 0),
        0, 0)
)</f>
        <v>37.519999999999996</v>
      </c>
      <c r="K643" t="s">
        <v>46</v>
      </c>
      <c r="L643" t="s">
        <v>13</v>
      </c>
      <c r="M643">
        <v>2</v>
      </c>
      <c r="N643" t="str">
        <f t="shared" ref="N643:N706" si="10">"INSERT INTO TNL_RATING.dbo.usps_rate_master VALUES ('" &amp; A643 &amp; "', '" &amp; B643 &amp; "', '" &amp; C643 &amp; "', " &amp; D643 &amp; ", '" &amp; E643 &amp; "', '" &amp; F643 &amp; "', " &amp; G643 &amp; ", " &amp; H643 &amp; ", '" &amp; I643 &amp; "', " &amp; J643 &amp; ", '" &amp; K643 &amp; "', '" &amp; L643 &amp; "','" &amp; M643 &amp; "');"</f>
        <v>INSERT INTO TNL_RATING.dbo.usps_rate_master VALUES ('USPS', '2/13/2025', '2/13/2026', 12659, 'US', 'Priority Mail Express', 4, 10, 'L', 37.52, 'Wedgewood_USPS_2025', 'NonCubic','2');</v>
      </c>
    </row>
    <row r="644" spans="1:14" x14ac:dyDescent="0.3">
      <c r="A644" t="s">
        <v>11</v>
      </c>
      <c r="B644" s="1" t="s">
        <v>43</v>
      </c>
      <c r="C644" s="1" t="s">
        <v>44</v>
      </c>
      <c r="D644">
        <v>12659</v>
      </c>
      <c r="E644" t="s">
        <v>12</v>
      </c>
      <c r="F644" t="s">
        <v>42</v>
      </c>
      <c r="G644">
        <v>4</v>
      </c>
      <c r="H644">
        <v>11</v>
      </c>
      <c r="I644" t="s">
        <v>45</v>
      </c>
      <c r="J644" cm="1">
        <f t="array" ref="J644">IFERROR(
    _xlfn.XLOOKUP(G644, 'Wedgewood Pharm-PME-Yr2-2025'!$E$33:$L$33,
        _xlfn.XLOOKUP('Rate Load'!H644, 'Wedgewood Pharm-PME-Yr2-2025'!$D$34:$D$57,
            'Wedgewood Pharm-PME-Yr2-2025'!$E$34:$L$57, 0, 0),
        0, 0),
    _xlfn.XLOOKUP(G644, 'Wedgewood Pharm-PME-Yr2-2025'!$E$33:$L$33,
        _xlfn.XLOOKUP('Rate Load'!L644, 'Wedgewood Pharm-PME-Yr2-2025'!$D$34:$D$57,
            'Wedgewood Pharm-PME-Yr2-2025'!$E$34:$L$57, 0, 0),
        0, 0)
)</f>
        <v>40.019999999999996</v>
      </c>
      <c r="K644" t="s">
        <v>46</v>
      </c>
      <c r="L644" t="s">
        <v>13</v>
      </c>
      <c r="M644">
        <v>2</v>
      </c>
      <c r="N644" t="str">
        <f t="shared" si="10"/>
        <v>INSERT INTO TNL_RATING.dbo.usps_rate_master VALUES ('USPS', '2/13/2025', '2/13/2026', 12659, 'US', 'Priority Mail Express', 4, 11, 'L', 40.02, 'Wedgewood_USPS_2025', 'NonCubic','2');</v>
      </c>
    </row>
    <row r="645" spans="1:14" x14ac:dyDescent="0.3">
      <c r="A645" t="s">
        <v>11</v>
      </c>
      <c r="B645" s="1" t="s">
        <v>43</v>
      </c>
      <c r="C645" s="1" t="s">
        <v>44</v>
      </c>
      <c r="D645">
        <v>12659</v>
      </c>
      <c r="E645" t="s">
        <v>12</v>
      </c>
      <c r="F645" t="s">
        <v>42</v>
      </c>
      <c r="G645">
        <v>4</v>
      </c>
      <c r="H645">
        <v>12</v>
      </c>
      <c r="I645" t="s">
        <v>45</v>
      </c>
      <c r="J645" cm="1">
        <f t="array" ref="J645">IFERROR(
    _xlfn.XLOOKUP(G645, 'Wedgewood Pharm-PME-Yr2-2025'!$E$33:$L$33,
        _xlfn.XLOOKUP('Rate Load'!H645, 'Wedgewood Pharm-PME-Yr2-2025'!$D$34:$D$57,
            'Wedgewood Pharm-PME-Yr2-2025'!$E$34:$L$57, 0, 0),
        0, 0),
    _xlfn.XLOOKUP(G645, 'Wedgewood Pharm-PME-Yr2-2025'!$E$33:$L$33,
        _xlfn.XLOOKUP('Rate Load'!L645, 'Wedgewood Pharm-PME-Yr2-2025'!$D$34:$D$57,
            'Wedgewood Pharm-PME-Yr2-2025'!$E$34:$L$57, 0, 0),
        0, 0)
)</f>
        <v>42.489999999999995</v>
      </c>
      <c r="K645" t="s">
        <v>46</v>
      </c>
      <c r="L645" t="s">
        <v>13</v>
      </c>
      <c r="M645">
        <v>2</v>
      </c>
      <c r="N645" t="str">
        <f t="shared" si="10"/>
        <v>INSERT INTO TNL_RATING.dbo.usps_rate_master VALUES ('USPS', '2/13/2025', '2/13/2026', 12659, 'US', 'Priority Mail Express', 4, 12, 'L', 42.49, 'Wedgewood_USPS_2025', 'NonCubic','2');</v>
      </c>
    </row>
    <row r="646" spans="1:14" x14ac:dyDescent="0.3">
      <c r="A646" t="s">
        <v>11</v>
      </c>
      <c r="B646" s="1" t="s">
        <v>43</v>
      </c>
      <c r="C646" s="1" t="s">
        <v>44</v>
      </c>
      <c r="D646">
        <v>12659</v>
      </c>
      <c r="E646" t="s">
        <v>12</v>
      </c>
      <c r="F646" t="s">
        <v>42</v>
      </c>
      <c r="G646">
        <v>4</v>
      </c>
      <c r="H646">
        <v>13</v>
      </c>
      <c r="I646" t="s">
        <v>45</v>
      </c>
      <c r="J646" cm="1">
        <f t="array" ref="J646">IFERROR(
    _xlfn.XLOOKUP(G646, 'Wedgewood Pharm-PME-Yr2-2025'!$E$33:$L$33,
        _xlfn.XLOOKUP('Rate Load'!H646, 'Wedgewood Pharm-PME-Yr2-2025'!$D$34:$D$57,
            'Wedgewood Pharm-PME-Yr2-2025'!$E$34:$L$57, 0, 0),
        0, 0),
    _xlfn.XLOOKUP(G646, 'Wedgewood Pharm-PME-Yr2-2025'!$E$33:$L$33,
        _xlfn.XLOOKUP('Rate Load'!L646, 'Wedgewood Pharm-PME-Yr2-2025'!$D$34:$D$57,
            'Wedgewood Pharm-PME-Yr2-2025'!$E$34:$L$57, 0, 0),
        0, 0)
)</f>
        <v>44.97</v>
      </c>
      <c r="K646" t="s">
        <v>46</v>
      </c>
      <c r="L646" t="s">
        <v>13</v>
      </c>
      <c r="M646">
        <v>2</v>
      </c>
      <c r="N646" t="str">
        <f t="shared" si="10"/>
        <v>INSERT INTO TNL_RATING.dbo.usps_rate_master VALUES ('USPS', '2/13/2025', '2/13/2026', 12659, 'US', 'Priority Mail Express', 4, 13, 'L', 44.97, 'Wedgewood_USPS_2025', 'NonCubic','2');</v>
      </c>
    </row>
    <row r="647" spans="1:14" x14ac:dyDescent="0.3">
      <c r="A647" t="s">
        <v>11</v>
      </c>
      <c r="B647" s="1" t="s">
        <v>43</v>
      </c>
      <c r="C647" s="1" t="s">
        <v>44</v>
      </c>
      <c r="D647">
        <v>12659</v>
      </c>
      <c r="E647" t="s">
        <v>12</v>
      </c>
      <c r="F647" t="s">
        <v>42</v>
      </c>
      <c r="G647">
        <v>4</v>
      </c>
      <c r="H647">
        <v>14</v>
      </c>
      <c r="I647" t="s">
        <v>45</v>
      </c>
      <c r="J647" cm="1">
        <f t="array" ref="J647">IFERROR(
    _xlfn.XLOOKUP(G647, 'Wedgewood Pharm-PME-Yr2-2025'!$E$33:$L$33,
        _xlfn.XLOOKUP('Rate Load'!H647, 'Wedgewood Pharm-PME-Yr2-2025'!$D$34:$D$57,
            'Wedgewood Pharm-PME-Yr2-2025'!$E$34:$L$57, 0, 0),
        0, 0),
    _xlfn.XLOOKUP(G647, 'Wedgewood Pharm-PME-Yr2-2025'!$E$33:$L$33,
        _xlfn.XLOOKUP('Rate Load'!L647, 'Wedgewood Pharm-PME-Yr2-2025'!$D$34:$D$57,
            'Wedgewood Pharm-PME-Yr2-2025'!$E$34:$L$57, 0, 0),
        0, 0)
)</f>
        <v>47.46</v>
      </c>
      <c r="K647" t="s">
        <v>46</v>
      </c>
      <c r="L647" t="s">
        <v>13</v>
      </c>
      <c r="M647">
        <v>2</v>
      </c>
      <c r="N647" t="str">
        <f t="shared" si="10"/>
        <v>INSERT INTO TNL_RATING.dbo.usps_rate_master VALUES ('USPS', '2/13/2025', '2/13/2026', 12659, 'US', 'Priority Mail Express', 4, 14, 'L', 47.46, 'Wedgewood_USPS_2025', 'NonCubic','2');</v>
      </c>
    </row>
    <row r="648" spans="1:14" x14ac:dyDescent="0.3">
      <c r="A648" t="s">
        <v>11</v>
      </c>
      <c r="B648" s="1" t="s">
        <v>43</v>
      </c>
      <c r="C648" s="1" t="s">
        <v>44</v>
      </c>
      <c r="D648">
        <v>12659</v>
      </c>
      <c r="E648" t="s">
        <v>12</v>
      </c>
      <c r="F648" t="s">
        <v>42</v>
      </c>
      <c r="G648">
        <v>4</v>
      </c>
      <c r="H648">
        <v>15</v>
      </c>
      <c r="I648" t="s">
        <v>45</v>
      </c>
      <c r="J648" cm="1">
        <f t="array" ref="J648">IFERROR(
    _xlfn.XLOOKUP(G648, 'Wedgewood Pharm-PME-Yr2-2025'!$E$33:$L$33,
        _xlfn.XLOOKUP('Rate Load'!H648, 'Wedgewood Pharm-PME-Yr2-2025'!$D$34:$D$57,
            'Wedgewood Pharm-PME-Yr2-2025'!$E$34:$L$57, 0, 0),
        0, 0),
    _xlfn.XLOOKUP(G648, 'Wedgewood Pharm-PME-Yr2-2025'!$E$33:$L$33,
        _xlfn.XLOOKUP('Rate Load'!L648, 'Wedgewood Pharm-PME-Yr2-2025'!$D$34:$D$57,
            'Wedgewood Pharm-PME-Yr2-2025'!$E$34:$L$57, 0, 0),
        0, 0)
)</f>
        <v>49.919999999999995</v>
      </c>
      <c r="K648" t="s">
        <v>46</v>
      </c>
      <c r="L648" t="s">
        <v>13</v>
      </c>
      <c r="M648">
        <v>2</v>
      </c>
      <c r="N648" t="str">
        <f t="shared" si="10"/>
        <v>INSERT INTO TNL_RATING.dbo.usps_rate_master VALUES ('USPS', '2/13/2025', '2/13/2026', 12659, 'US', 'Priority Mail Express', 4, 15, 'L', 49.92, 'Wedgewood_USPS_2025', 'NonCubic','2');</v>
      </c>
    </row>
    <row r="649" spans="1:14" x14ac:dyDescent="0.3">
      <c r="A649" t="s">
        <v>11</v>
      </c>
      <c r="B649" s="1" t="s">
        <v>43</v>
      </c>
      <c r="C649" s="1" t="s">
        <v>44</v>
      </c>
      <c r="D649">
        <v>12659</v>
      </c>
      <c r="E649" t="s">
        <v>12</v>
      </c>
      <c r="F649" t="s">
        <v>42</v>
      </c>
      <c r="G649">
        <v>4</v>
      </c>
      <c r="H649">
        <v>16</v>
      </c>
      <c r="I649" t="s">
        <v>45</v>
      </c>
      <c r="J649" cm="1">
        <f t="array" ref="J649">IFERROR(
    _xlfn.XLOOKUP(G649, 'Wedgewood Pharm-PME-Yr2-2025'!$E$33:$L$33,
        _xlfn.XLOOKUP('Rate Load'!H649, 'Wedgewood Pharm-PME-Yr2-2025'!$D$34:$D$57,
            'Wedgewood Pharm-PME-Yr2-2025'!$E$34:$L$57, 0, 0),
        0, 0),
    _xlfn.XLOOKUP(G649, 'Wedgewood Pharm-PME-Yr2-2025'!$E$33:$L$33,
        _xlfn.XLOOKUP('Rate Load'!L649, 'Wedgewood Pharm-PME-Yr2-2025'!$D$34:$D$57,
            'Wedgewood Pharm-PME-Yr2-2025'!$E$34:$L$57, 0, 0),
        0, 0)
)</f>
        <v>52.41</v>
      </c>
      <c r="K649" t="s">
        <v>46</v>
      </c>
      <c r="L649" t="s">
        <v>13</v>
      </c>
      <c r="M649">
        <v>2</v>
      </c>
      <c r="N649" t="str">
        <f t="shared" si="10"/>
        <v>INSERT INTO TNL_RATING.dbo.usps_rate_master VALUES ('USPS', '2/13/2025', '2/13/2026', 12659, 'US', 'Priority Mail Express', 4, 16, 'L', 52.41, 'Wedgewood_USPS_2025', 'NonCubic','2');</v>
      </c>
    </row>
    <row r="650" spans="1:14" x14ac:dyDescent="0.3">
      <c r="A650" t="s">
        <v>11</v>
      </c>
      <c r="B650" s="1" t="s">
        <v>43</v>
      </c>
      <c r="C650" s="1" t="s">
        <v>44</v>
      </c>
      <c r="D650">
        <v>12659</v>
      </c>
      <c r="E650" t="s">
        <v>12</v>
      </c>
      <c r="F650" t="s">
        <v>42</v>
      </c>
      <c r="G650">
        <v>4</v>
      </c>
      <c r="H650">
        <v>17</v>
      </c>
      <c r="I650" t="s">
        <v>45</v>
      </c>
      <c r="J650" cm="1">
        <f t="array" ref="J650">IFERROR(
    _xlfn.XLOOKUP(G650, 'Wedgewood Pharm-PME-Yr2-2025'!$E$33:$L$33,
        _xlfn.XLOOKUP('Rate Load'!H650, 'Wedgewood Pharm-PME-Yr2-2025'!$D$34:$D$57,
            'Wedgewood Pharm-PME-Yr2-2025'!$E$34:$L$57, 0, 0),
        0, 0),
    _xlfn.XLOOKUP(G650, 'Wedgewood Pharm-PME-Yr2-2025'!$E$33:$L$33,
        _xlfn.XLOOKUP('Rate Load'!L650, 'Wedgewood Pharm-PME-Yr2-2025'!$D$34:$D$57,
            'Wedgewood Pharm-PME-Yr2-2025'!$E$34:$L$57, 0, 0),
        0, 0)
)</f>
        <v>54.9</v>
      </c>
      <c r="K650" t="s">
        <v>46</v>
      </c>
      <c r="L650" t="s">
        <v>13</v>
      </c>
      <c r="M650">
        <v>2</v>
      </c>
      <c r="N650" t="str">
        <f t="shared" si="10"/>
        <v>INSERT INTO TNL_RATING.dbo.usps_rate_master VALUES ('USPS', '2/13/2025', '2/13/2026', 12659, 'US', 'Priority Mail Express', 4, 17, 'L', 54.9, 'Wedgewood_USPS_2025', 'NonCubic','2');</v>
      </c>
    </row>
    <row r="651" spans="1:14" x14ac:dyDescent="0.3">
      <c r="A651" t="s">
        <v>11</v>
      </c>
      <c r="B651" s="1" t="s">
        <v>43</v>
      </c>
      <c r="C651" s="1" t="s">
        <v>44</v>
      </c>
      <c r="D651">
        <v>12659</v>
      </c>
      <c r="E651" t="s">
        <v>12</v>
      </c>
      <c r="F651" t="s">
        <v>42</v>
      </c>
      <c r="G651">
        <v>4</v>
      </c>
      <c r="H651">
        <v>18</v>
      </c>
      <c r="I651" t="s">
        <v>45</v>
      </c>
      <c r="J651" cm="1">
        <f t="array" ref="J651">IFERROR(
    _xlfn.XLOOKUP(G651, 'Wedgewood Pharm-PME-Yr2-2025'!$E$33:$L$33,
        _xlfn.XLOOKUP('Rate Load'!H651, 'Wedgewood Pharm-PME-Yr2-2025'!$D$34:$D$57,
            'Wedgewood Pharm-PME-Yr2-2025'!$E$34:$L$57, 0, 0),
        0, 0),
    _xlfn.XLOOKUP(G651, 'Wedgewood Pharm-PME-Yr2-2025'!$E$33:$L$33,
        _xlfn.XLOOKUP('Rate Load'!L651, 'Wedgewood Pharm-PME-Yr2-2025'!$D$34:$D$57,
            'Wedgewood Pharm-PME-Yr2-2025'!$E$34:$L$57, 0, 0),
        0, 0)
)</f>
        <v>57.37</v>
      </c>
      <c r="K651" t="s">
        <v>46</v>
      </c>
      <c r="L651" t="s">
        <v>13</v>
      </c>
      <c r="M651">
        <v>2</v>
      </c>
      <c r="N651" t="str">
        <f t="shared" si="10"/>
        <v>INSERT INTO TNL_RATING.dbo.usps_rate_master VALUES ('USPS', '2/13/2025', '2/13/2026', 12659, 'US', 'Priority Mail Express', 4, 18, 'L', 57.37, 'Wedgewood_USPS_2025', 'NonCubic','2');</v>
      </c>
    </row>
    <row r="652" spans="1:14" x14ac:dyDescent="0.3">
      <c r="A652" t="s">
        <v>11</v>
      </c>
      <c r="B652" s="1" t="s">
        <v>43</v>
      </c>
      <c r="C652" s="1" t="s">
        <v>44</v>
      </c>
      <c r="D652">
        <v>12659</v>
      </c>
      <c r="E652" t="s">
        <v>12</v>
      </c>
      <c r="F652" t="s">
        <v>42</v>
      </c>
      <c r="G652">
        <v>4</v>
      </c>
      <c r="H652">
        <v>19</v>
      </c>
      <c r="I652" t="s">
        <v>45</v>
      </c>
      <c r="J652" cm="1">
        <f t="array" ref="J652">IFERROR(
    _xlfn.XLOOKUP(G652, 'Wedgewood Pharm-PME-Yr2-2025'!$E$33:$L$33,
        _xlfn.XLOOKUP('Rate Load'!H652, 'Wedgewood Pharm-PME-Yr2-2025'!$D$34:$D$57,
            'Wedgewood Pharm-PME-Yr2-2025'!$E$34:$L$57, 0, 0),
        0, 0),
    _xlfn.XLOOKUP(G652, 'Wedgewood Pharm-PME-Yr2-2025'!$E$33:$L$33,
        _xlfn.XLOOKUP('Rate Load'!L652, 'Wedgewood Pharm-PME-Yr2-2025'!$D$34:$D$57,
            'Wedgewood Pharm-PME-Yr2-2025'!$E$34:$L$57, 0, 0),
        0, 0)
)</f>
        <v>59.86</v>
      </c>
      <c r="K652" t="s">
        <v>46</v>
      </c>
      <c r="L652" t="s">
        <v>13</v>
      </c>
      <c r="M652">
        <v>2</v>
      </c>
      <c r="N652" t="str">
        <f t="shared" si="10"/>
        <v>INSERT INTO TNL_RATING.dbo.usps_rate_master VALUES ('USPS', '2/13/2025', '2/13/2026', 12659, 'US', 'Priority Mail Express', 4, 19, 'L', 59.86, 'Wedgewood_USPS_2025', 'NonCubic','2');</v>
      </c>
    </row>
    <row r="653" spans="1:14" x14ac:dyDescent="0.3">
      <c r="A653" t="s">
        <v>11</v>
      </c>
      <c r="B653" s="1" t="s">
        <v>43</v>
      </c>
      <c r="C653" s="1" t="s">
        <v>44</v>
      </c>
      <c r="D653">
        <v>12659</v>
      </c>
      <c r="E653" t="s">
        <v>12</v>
      </c>
      <c r="F653" t="s">
        <v>42</v>
      </c>
      <c r="G653">
        <v>4</v>
      </c>
      <c r="H653">
        <v>20</v>
      </c>
      <c r="I653" t="s">
        <v>45</v>
      </c>
      <c r="J653" cm="1">
        <f t="array" ref="J653">IFERROR(
    _xlfn.XLOOKUP(G653, 'Wedgewood Pharm-PME-Yr2-2025'!$E$33:$L$33,
        _xlfn.XLOOKUP('Rate Load'!H653, 'Wedgewood Pharm-PME-Yr2-2025'!$D$34:$D$57,
            'Wedgewood Pharm-PME-Yr2-2025'!$E$34:$L$57, 0, 0),
        0, 0),
    _xlfn.XLOOKUP(G653, 'Wedgewood Pharm-PME-Yr2-2025'!$E$33:$L$33,
        _xlfn.XLOOKUP('Rate Load'!L653, 'Wedgewood Pharm-PME-Yr2-2025'!$D$34:$D$57,
            'Wedgewood Pharm-PME-Yr2-2025'!$E$34:$L$57, 0, 0),
        0, 0)
)</f>
        <v>62.35</v>
      </c>
      <c r="K653" t="s">
        <v>46</v>
      </c>
      <c r="L653" t="s">
        <v>13</v>
      </c>
      <c r="M653">
        <v>2</v>
      </c>
      <c r="N653" t="str">
        <f t="shared" si="10"/>
        <v>INSERT INTO TNL_RATING.dbo.usps_rate_master VALUES ('USPS', '2/13/2025', '2/13/2026', 12659, 'US', 'Priority Mail Express', 4, 20, 'L', 62.35, 'Wedgewood_USPS_2025', 'NonCubic','2');</v>
      </c>
    </row>
    <row r="654" spans="1:14" x14ac:dyDescent="0.3">
      <c r="A654" t="s">
        <v>11</v>
      </c>
      <c r="B654" s="1" t="s">
        <v>43</v>
      </c>
      <c r="C654" s="1" t="s">
        <v>44</v>
      </c>
      <c r="D654">
        <v>12659</v>
      </c>
      <c r="E654" t="s">
        <v>12</v>
      </c>
      <c r="F654" t="s">
        <v>42</v>
      </c>
      <c r="G654">
        <v>5</v>
      </c>
      <c r="H654">
        <v>0.5</v>
      </c>
      <c r="I654" t="s">
        <v>45</v>
      </c>
      <c r="J654" cm="1">
        <f t="array" ref="J654">IFERROR(
    _xlfn.XLOOKUP(G654, 'Wedgewood Pharm-PME-Yr2-2025'!$E$33:$L$33,
        _xlfn.XLOOKUP('Rate Load'!H654, 'Wedgewood Pharm-PME-Yr2-2025'!$D$34:$D$57,
            'Wedgewood Pharm-PME-Yr2-2025'!$E$34:$L$57, 0, 0),
        0, 0),
    _xlfn.XLOOKUP(G654, 'Wedgewood Pharm-PME-Yr2-2025'!$E$33:$L$33,
        _xlfn.XLOOKUP('Rate Load'!L654, 'Wedgewood Pharm-PME-Yr2-2025'!$D$34:$D$57,
            'Wedgewood Pharm-PME-Yr2-2025'!$E$34:$L$57, 0, 0),
        0, 0)
)</f>
        <v>14.65</v>
      </c>
      <c r="K654" t="s">
        <v>46</v>
      </c>
      <c r="L654" t="s">
        <v>13</v>
      </c>
      <c r="M654">
        <v>2</v>
      </c>
      <c r="N654" t="str">
        <f t="shared" si="10"/>
        <v>INSERT INTO TNL_RATING.dbo.usps_rate_master VALUES ('USPS', '2/13/2025', '2/13/2026', 12659, 'US', 'Priority Mail Express', 5, 0.5, 'L', 14.65, 'Wedgewood_USPS_2025', 'NonCubic','2');</v>
      </c>
    </row>
    <row r="655" spans="1:14" x14ac:dyDescent="0.3">
      <c r="A655" t="s">
        <v>11</v>
      </c>
      <c r="B655" s="1" t="s">
        <v>43</v>
      </c>
      <c r="C655" s="1" t="s">
        <v>44</v>
      </c>
      <c r="D655">
        <v>12659</v>
      </c>
      <c r="E655" t="s">
        <v>12</v>
      </c>
      <c r="F655" t="s">
        <v>42</v>
      </c>
      <c r="G655">
        <v>5</v>
      </c>
      <c r="H655">
        <v>1</v>
      </c>
      <c r="I655" t="s">
        <v>45</v>
      </c>
      <c r="J655" cm="1">
        <f t="array" ref="J655">IFERROR(
    _xlfn.XLOOKUP(G655, 'Wedgewood Pharm-PME-Yr2-2025'!$E$33:$L$33,
        _xlfn.XLOOKUP('Rate Load'!H655, 'Wedgewood Pharm-PME-Yr2-2025'!$D$34:$D$57,
            'Wedgewood Pharm-PME-Yr2-2025'!$E$34:$L$57, 0, 0),
        0, 0),
    _xlfn.XLOOKUP(G655, 'Wedgewood Pharm-PME-Yr2-2025'!$E$33:$L$33,
        _xlfn.XLOOKUP('Rate Load'!L655, 'Wedgewood Pharm-PME-Yr2-2025'!$D$34:$D$57,
            'Wedgewood Pharm-PME-Yr2-2025'!$E$34:$L$57, 0, 0),
        0, 0)
)</f>
        <v>16.200000000000003</v>
      </c>
      <c r="K655" t="s">
        <v>46</v>
      </c>
      <c r="L655" t="s">
        <v>13</v>
      </c>
      <c r="M655">
        <v>2</v>
      </c>
      <c r="N655" t="str">
        <f t="shared" si="10"/>
        <v>INSERT INTO TNL_RATING.dbo.usps_rate_master VALUES ('USPS', '2/13/2025', '2/13/2026', 12659, 'US', 'Priority Mail Express', 5, 1, 'L', 16.2, 'Wedgewood_USPS_2025', 'NonCubic','2');</v>
      </c>
    </row>
    <row r="656" spans="1:14" x14ac:dyDescent="0.3">
      <c r="A656" t="s">
        <v>11</v>
      </c>
      <c r="B656" s="1" t="s">
        <v>43</v>
      </c>
      <c r="C656" s="1" t="s">
        <v>44</v>
      </c>
      <c r="D656">
        <v>12659</v>
      </c>
      <c r="E656" t="s">
        <v>12</v>
      </c>
      <c r="F656" t="s">
        <v>42</v>
      </c>
      <c r="G656">
        <v>5</v>
      </c>
      <c r="H656">
        <v>2</v>
      </c>
      <c r="I656" t="s">
        <v>45</v>
      </c>
      <c r="J656" cm="1">
        <f t="array" ref="J656">IFERROR(
    _xlfn.XLOOKUP(G656, 'Wedgewood Pharm-PME-Yr2-2025'!$E$33:$L$33,
        _xlfn.XLOOKUP('Rate Load'!H656, 'Wedgewood Pharm-PME-Yr2-2025'!$D$34:$D$57,
            'Wedgewood Pharm-PME-Yr2-2025'!$E$34:$L$57, 0, 0),
        0, 0),
    _xlfn.XLOOKUP(G656, 'Wedgewood Pharm-PME-Yr2-2025'!$E$33:$L$33,
        _xlfn.XLOOKUP('Rate Load'!L656, 'Wedgewood Pharm-PME-Yr2-2025'!$D$34:$D$57,
            'Wedgewood Pharm-PME-Yr2-2025'!$E$34:$L$57, 0, 0),
        0, 0)
)</f>
        <v>18.520000000000003</v>
      </c>
      <c r="K656" t="s">
        <v>46</v>
      </c>
      <c r="L656" t="s">
        <v>13</v>
      </c>
      <c r="M656">
        <v>2</v>
      </c>
      <c r="N656" t="str">
        <f t="shared" si="10"/>
        <v>INSERT INTO TNL_RATING.dbo.usps_rate_master VALUES ('USPS', '2/13/2025', '2/13/2026', 12659, 'US', 'Priority Mail Express', 5, 2, 'L', 18.52, 'Wedgewood_USPS_2025', 'NonCubic','2');</v>
      </c>
    </row>
    <row r="657" spans="1:14" x14ac:dyDescent="0.3">
      <c r="A657" t="s">
        <v>11</v>
      </c>
      <c r="B657" s="1" t="s">
        <v>43</v>
      </c>
      <c r="C657" s="1" t="s">
        <v>44</v>
      </c>
      <c r="D657">
        <v>12659</v>
      </c>
      <c r="E657" t="s">
        <v>12</v>
      </c>
      <c r="F657" t="s">
        <v>42</v>
      </c>
      <c r="G657">
        <v>5</v>
      </c>
      <c r="H657">
        <v>3</v>
      </c>
      <c r="I657" t="s">
        <v>45</v>
      </c>
      <c r="J657" cm="1">
        <f t="array" ref="J657">IFERROR(
    _xlfn.XLOOKUP(G657, 'Wedgewood Pharm-PME-Yr2-2025'!$E$33:$L$33,
        _xlfn.XLOOKUP('Rate Load'!H657, 'Wedgewood Pharm-PME-Yr2-2025'!$D$34:$D$57,
            'Wedgewood Pharm-PME-Yr2-2025'!$E$34:$L$57, 0, 0),
        0, 0),
    _xlfn.XLOOKUP(G657, 'Wedgewood Pharm-PME-Yr2-2025'!$E$33:$L$33,
        _xlfn.XLOOKUP('Rate Load'!L657, 'Wedgewood Pharm-PME-Yr2-2025'!$D$34:$D$57,
            'Wedgewood Pharm-PME-Yr2-2025'!$E$34:$L$57, 0, 0),
        0, 0)
)</f>
        <v>21.240000000000002</v>
      </c>
      <c r="K657" t="s">
        <v>46</v>
      </c>
      <c r="L657" t="s">
        <v>13</v>
      </c>
      <c r="M657">
        <v>2</v>
      </c>
      <c r="N657" t="str">
        <f t="shared" si="10"/>
        <v>INSERT INTO TNL_RATING.dbo.usps_rate_master VALUES ('USPS', '2/13/2025', '2/13/2026', 12659, 'US', 'Priority Mail Express', 5, 3, 'L', 21.24, 'Wedgewood_USPS_2025', 'NonCubic','2');</v>
      </c>
    </row>
    <row r="658" spans="1:14" x14ac:dyDescent="0.3">
      <c r="A658" t="s">
        <v>11</v>
      </c>
      <c r="B658" s="1" t="s">
        <v>43</v>
      </c>
      <c r="C658" s="1" t="s">
        <v>44</v>
      </c>
      <c r="D658">
        <v>12659</v>
      </c>
      <c r="E658" t="s">
        <v>12</v>
      </c>
      <c r="F658" t="s">
        <v>42</v>
      </c>
      <c r="G658">
        <v>5</v>
      </c>
      <c r="H658">
        <v>4</v>
      </c>
      <c r="I658" t="s">
        <v>45</v>
      </c>
      <c r="J658" cm="1">
        <f t="array" ref="J658">IFERROR(
    _xlfn.XLOOKUP(G658, 'Wedgewood Pharm-PME-Yr2-2025'!$E$33:$L$33,
        _xlfn.XLOOKUP('Rate Load'!H658, 'Wedgewood Pharm-PME-Yr2-2025'!$D$34:$D$57,
            'Wedgewood Pharm-PME-Yr2-2025'!$E$34:$L$57, 0, 0),
        0, 0),
    _xlfn.XLOOKUP(G658, 'Wedgewood Pharm-PME-Yr2-2025'!$E$33:$L$33,
        _xlfn.XLOOKUP('Rate Load'!L658, 'Wedgewood Pharm-PME-Yr2-2025'!$D$34:$D$57,
            'Wedgewood Pharm-PME-Yr2-2025'!$E$34:$L$57, 0, 0),
        0, 0)
)</f>
        <v>23.96</v>
      </c>
      <c r="K658" t="s">
        <v>46</v>
      </c>
      <c r="L658" t="s">
        <v>13</v>
      </c>
      <c r="M658">
        <v>2</v>
      </c>
      <c r="N658" t="str">
        <f t="shared" si="10"/>
        <v>INSERT INTO TNL_RATING.dbo.usps_rate_master VALUES ('USPS', '2/13/2025', '2/13/2026', 12659, 'US', 'Priority Mail Express', 5, 4, 'L', 23.96, 'Wedgewood_USPS_2025', 'NonCubic','2');</v>
      </c>
    </row>
    <row r="659" spans="1:14" x14ac:dyDescent="0.3">
      <c r="A659" t="s">
        <v>11</v>
      </c>
      <c r="B659" s="1" t="s">
        <v>43</v>
      </c>
      <c r="C659" s="1" t="s">
        <v>44</v>
      </c>
      <c r="D659">
        <v>12659</v>
      </c>
      <c r="E659" t="s">
        <v>12</v>
      </c>
      <c r="F659" t="s">
        <v>42</v>
      </c>
      <c r="G659">
        <v>5</v>
      </c>
      <c r="H659">
        <v>5</v>
      </c>
      <c r="I659" t="s">
        <v>45</v>
      </c>
      <c r="J659" cm="1">
        <f t="array" ref="J659">IFERROR(
    _xlfn.XLOOKUP(G659, 'Wedgewood Pharm-PME-Yr2-2025'!$E$33:$L$33,
        _xlfn.XLOOKUP('Rate Load'!H659, 'Wedgewood Pharm-PME-Yr2-2025'!$D$34:$D$57,
            'Wedgewood Pharm-PME-Yr2-2025'!$E$34:$L$57, 0, 0),
        0, 0),
    _xlfn.XLOOKUP(G659, 'Wedgewood Pharm-PME-Yr2-2025'!$E$33:$L$33,
        _xlfn.XLOOKUP('Rate Load'!L659, 'Wedgewood Pharm-PME-Yr2-2025'!$D$34:$D$57,
            'Wedgewood Pharm-PME-Yr2-2025'!$E$34:$L$57, 0, 0),
        0, 0)
)</f>
        <v>26.680000000000003</v>
      </c>
      <c r="K659" t="s">
        <v>46</v>
      </c>
      <c r="L659" t="s">
        <v>13</v>
      </c>
      <c r="M659">
        <v>2</v>
      </c>
      <c r="N659" t="str">
        <f t="shared" si="10"/>
        <v>INSERT INTO TNL_RATING.dbo.usps_rate_master VALUES ('USPS', '2/13/2025', '2/13/2026', 12659, 'US', 'Priority Mail Express', 5, 5, 'L', 26.68, 'Wedgewood_USPS_2025', 'NonCubic','2');</v>
      </c>
    </row>
    <row r="660" spans="1:14" x14ac:dyDescent="0.3">
      <c r="A660" t="s">
        <v>11</v>
      </c>
      <c r="B660" s="1" t="s">
        <v>43</v>
      </c>
      <c r="C660" s="1" t="s">
        <v>44</v>
      </c>
      <c r="D660">
        <v>12659</v>
      </c>
      <c r="E660" t="s">
        <v>12</v>
      </c>
      <c r="F660" t="s">
        <v>42</v>
      </c>
      <c r="G660">
        <v>5</v>
      </c>
      <c r="H660">
        <v>6</v>
      </c>
      <c r="I660" t="s">
        <v>45</v>
      </c>
      <c r="J660" cm="1">
        <f t="array" ref="J660">IFERROR(
    _xlfn.XLOOKUP(G660, 'Wedgewood Pharm-PME-Yr2-2025'!$E$33:$L$33,
        _xlfn.XLOOKUP('Rate Load'!H660, 'Wedgewood Pharm-PME-Yr2-2025'!$D$34:$D$57,
            'Wedgewood Pharm-PME-Yr2-2025'!$E$34:$L$57, 0, 0),
        0, 0),
    _xlfn.XLOOKUP(G660, 'Wedgewood Pharm-PME-Yr2-2025'!$E$33:$L$33,
        _xlfn.XLOOKUP('Rate Load'!L660, 'Wedgewood Pharm-PME-Yr2-2025'!$D$34:$D$57,
            'Wedgewood Pharm-PME-Yr2-2025'!$E$34:$L$57, 0, 0),
        0, 0)
)</f>
        <v>29.46</v>
      </c>
      <c r="K660" t="s">
        <v>46</v>
      </c>
      <c r="L660" t="s">
        <v>13</v>
      </c>
      <c r="M660">
        <v>2</v>
      </c>
      <c r="N660" t="str">
        <f t="shared" si="10"/>
        <v>INSERT INTO TNL_RATING.dbo.usps_rate_master VALUES ('USPS', '2/13/2025', '2/13/2026', 12659, 'US', 'Priority Mail Express', 5, 6, 'L', 29.46, 'Wedgewood_USPS_2025', 'NonCubic','2');</v>
      </c>
    </row>
    <row r="661" spans="1:14" x14ac:dyDescent="0.3">
      <c r="A661" t="s">
        <v>11</v>
      </c>
      <c r="B661" s="1" t="s">
        <v>43</v>
      </c>
      <c r="C661" s="1" t="s">
        <v>44</v>
      </c>
      <c r="D661">
        <v>12659</v>
      </c>
      <c r="E661" t="s">
        <v>12</v>
      </c>
      <c r="F661" t="s">
        <v>42</v>
      </c>
      <c r="G661">
        <v>5</v>
      </c>
      <c r="H661">
        <v>7</v>
      </c>
      <c r="I661" t="s">
        <v>45</v>
      </c>
      <c r="J661" cm="1">
        <f t="array" ref="J661">IFERROR(
    _xlfn.XLOOKUP(G661, 'Wedgewood Pharm-PME-Yr2-2025'!$E$33:$L$33,
        _xlfn.XLOOKUP('Rate Load'!H661, 'Wedgewood Pharm-PME-Yr2-2025'!$D$34:$D$57,
            'Wedgewood Pharm-PME-Yr2-2025'!$E$34:$L$57, 0, 0),
        0, 0),
    _xlfn.XLOOKUP(G661, 'Wedgewood Pharm-PME-Yr2-2025'!$E$33:$L$33,
        _xlfn.XLOOKUP('Rate Load'!L661, 'Wedgewood Pharm-PME-Yr2-2025'!$D$34:$D$57,
            'Wedgewood Pharm-PME-Yr2-2025'!$E$34:$L$57, 0, 0),
        0, 0)
)</f>
        <v>32.22</v>
      </c>
      <c r="K661" t="s">
        <v>46</v>
      </c>
      <c r="L661" t="s">
        <v>13</v>
      </c>
      <c r="M661">
        <v>2</v>
      </c>
      <c r="N661" t="str">
        <f t="shared" si="10"/>
        <v>INSERT INTO TNL_RATING.dbo.usps_rate_master VALUES ('USPS', '2/13/2025', '2/13/2026', 12659, 'US', 'Priority Mail Express', 5, 7, 'L', 32.22, 'Wedgewood_USPS_2025', 'NonCubic','2');</v>
      </c>
    </row>
    <row r="662" spans="1:14" x14ac:dyDescent="0.3">
      <c r="A662" t="s">
        <v>11</v>
      </c>
      <c r="B662" s="1" t="s">
        <v>43</v>
      </c>
      <c r="C662" s="1" t="s">
        <v>44</v>
      </c>
      <c r="D662">
        <v>12659</v>
      </c>
      <c r="E662" t="s">
        <v>12</v>
      </c>
      <c r="F662" t="s">
        <v>42</v>
      </c>
      <c r="G662">
        <v>5</v>
      </c>
      <c r="H662">
        <v>8</v>
      </c>
      <c r="I662" t="s">
        <v>45</v>
      </c>
      <c r="J662" cm="1">
        <f t="array" ref="J662">IFERROR(
    _xlfn.XLOOKUP(G662, 'Wedgewood Pharm-PME-Yr2-2025'!$E$33:$L$33,
        _xlfn.XLOOKUP('Rate Load'!H662, 'Wedgewood Pharm-PME-Yr2-2025'!$D$34:$D$57,
            'Wedgewood Pharm-PME-Yr2-2025'!$E$34:$L$57, 0, 0),
        0, 0),
    _xlfn.XLOOKUP(G662, 'Wedgewood Pharm-PME-Yr2-2025'!$E$33:$L$33,
        _xlfn.XLOOKUP('Rate Load'!L662, 'Wedgewood Pharm-PME-Yr2-2025'!$D$34:$D$57,
            'Wedgewood Pharm-PME-Yr2-2025'!$E$34:$L$57, 0, 0),
        0, 0)
)</f>
        <v>35</v>
      </c>
      <c r="K662" t="s">
        <v>46</v>
      </c>
      <c r="L662" t="s">
        <v>13</v>
      </c>
      <c r="M662">
        <v>2</v>
      </c>
      <c r="N662" t="str">
        <f t="shared" si="10"/>
        <v>INSERT INTO TNL_RATING.dbo.usps_rate_master VALUES ('USPS', '2/13/2025', '2/13/2026', 12659, 'US', 'Priority Mail Express', 5, 8, 'L', 35, 'Wedgewood_USPS_2025', 'NonCubic','2');</v>
      </c>
    </row>
    <row r="663" spans="1:14" x14ac:dyDescent="0.3">
      <c r="A663" t="s">
        <v>11</v>
      </c>
      <c r="B663" s="1" t="s">
        <v>43</v>
      </c>
      <c r="C663" s="1" t="s">
        <v>44</v>
      </c>
      <c r="D663">
        <v>12659</v>
      </c>
      <c r="E663" t="s">
        <v>12</v>
      </c>
      <c r="F663" t="s">
        <v>42</v>
      </c>
      <c r="G663">
        <v>5</v>
      </c>
      <c r="H663">
        <v>9</v>
      </c>
      <c r="I663" t="s">
        <v>45</v>
      </c>
      <c r="J663" cm="1">
        <f t="array" ref="J663">IFERROR(
    _xlfn.XLOOKUP(G663, 'Wedgewood Pharm-PME-Yr2-2025'!$E$33:$L$33,
        _xlfn.XLOOKUP('Rate Load'!H663, 'Wedgewood Pharm-PME-Yr2-2025'!$D$34:$D$57,
            'Wedgewood Pharm-PME-Yr2-2025'!$E$34:$L$57, 0, 0),
        0, 0),
    _xlfn.XLOOKUP(G663, 'Wedgewood Pharm-PME-Yr2-2025'!$E$33:$L$33,
        _xlfn.XLOOKUP('Rate Load'!L663, 'Wedgewood Pharm-PME-Yr2-2025'!$D$34:$D$57,
            'Wedgewood Pharm-PME-Yr2-2025'!$E$34:$L$57, 0, 0),
        0, 0)
)</f>
        <v>37.769999999999996</v>
      </c>
      <c r="K663" t="s">
        <v>46</v>
      </c>
      <c r="L663" t="s">
        <v>13</v>
      </c>
      <c r="M663">
        <v>2</v>
      </c>
      <c r="N663" t="str">
        <f t="shared" si="10"/>
        <v>INSERT INTO TNL_RATING.dbo.usps_rate_master VALUES ('USPS', '2/13/2025', '2/13/2026', 12659, 'US', 'Priority Mail Express', 5, 9, 'L', 37.77, 'Wedgewood_USPS_2025', 'NonCubic','2');</v>
      </c>
    </row>
    <row r="664" spans="1:14" x14ac:dyDescent="0.3">
      <c r="A664" t="s">
        <v>11</v>
      </c>
      <c r="B664" s="1" t="s">
        <v>43</v>
      </c>
      <c r="C664" s="1" t="s">
        <v>44</v>
      </c>
      <c r="D664">
        <v>12659</v>
      </c>
      <c r="E664" t="s">
        <v>12</v>
      </c>
      <c r="F664" t="s">
        <v>42</v>
      </c>
      <c r="G664">
        <v>5</v>
      </c>
      <c r="H664">
        <v>10</v>
      </c>
      <c r="I664" t="s">
        <v>45</v>
      </c>
      <c r="J664" cm="1">
        <f t="array" ref="J664">IFERROR(
    _xlfn.XLOOKUP(G664, 'Wedgewood Pharm-PME-Yr2-2025'!$E$33:$L$33,
        _xlfn.XLOOKUP('Rate Load'!H664, 'Wedgewood Pharm-PME-Yr2-2025'!$D$34:$D$57,
            'Wedgewood Pharm-PME-Yr2-2025'!$E$34:$L$57, 0, 0),
        0, 0),
    _xlfn.XLOOKUP(G664, 'Wedgewood Pharm-PME-Yr2-2025'!$E$33:$L$33,
        _xlfn.XLOOKUP('Rate Load'!L664, 'Wedgewood Pharm-PME-Yr2-2025'!$D$34:$D$57,
            'Wedgewood Pharm-PME-Yr2-2025'!$E$34:$L$57, 0, 0),
        0, 0)
)</f>
        <v>40.54</v>
      </c>
      <c r="K664" t="s">
        <v>46</v>
      </c>
      <c r="L664" t="s">
        <v>13</v>
      </c>
      <c r="M664">
        <v>2</v>
      </c>
      <c r="N664" t="str">
        <f t="shared" si="10"/>
        <v>INSERT INTO TNL_RATING.dbo.usps_rate_master VALUES ('USPS', '2/13/2025', '2/13/2026', 12659, 'US', 'Priority Mail Express', 5, 10, 'L', 40.54, 'Wedgewood_USPS_2025', 'NonCubic','2');</v>
      </c>
    </row>
    <row r="665" spans="1:14" x14ac:dyDescent="0.3">
      <c r="A665" t="s">
        <v>11</v>
      </c>
      <c r="B665" s="1" t="s">
        <v>43</v>
      </c>
      <c r="C665" s="1" t="s">
        <v>44</v>
      </c>
      <c r="D665">
        <v>12659</v>
      </c>
      <c r="E665" t="s">
        <v>12</v>
      </c>
      <c r="F665" t="s">
        <v>42</v>
      </c>
      <c r="G665">
        <v>5</v>
      </c>
      <c r="H665">
        <v>11</v>
      </c>
      <c r="I665" t="s">
        <v>45</v>
      </c>
      <c r="J665" cm="1">
        <f t="array" ref="J665">IFERROR(
    _xlfn.XLOOKUP(G665, 'Wedgewood Pharm-PME-Yr2-2025'!$E$33:$L$33,
        _xlfn.XLOOKUP('Rate Load'!H665, 'Wedgewood Pharm-PME-Yr2-2025'!$D$34:$D$57,
            'Wedgewood Pharm-PME-Yr2-2025'!$E$34:$L$57, 0, 0),
        0, 0),
    _xlfn.XLOOKUP(G665, 'Wedgewood Pharm-PME-Yr2-2025'!$E$33:$L$33,
        _xlfn.XLOOKUP('Rate Load'!L665, 'Wedgewood Pharm-PME-Yr2-2025'!$D$34:$D$57,
            'Wedgewood Pharm-PME-Yr2-2025'!$E$34:$L$57, 0, 0),
        0, 0)
)</f>
        <v>43.05</v>
      </c>
      <c r="K665" t="s">
        <v>46</v>
      </c>
      <c r="L665" t="s">
        <v>13</v>
      </c>
      <c r="M665">
        <v>2</v>
      </c>
      <c r="N665" t="str">
        <f t="shared" si="10"/>
        <v>INSERT INTO TNL_RATING.dbo.usps_rate_master VALUES ('USPS', '2/13/2025', '2/13/2026', 12659, 'US', 'Priority Mail Express', 5, 11, 'L', 43.05, 'Wedgewood_USPS_2025', 'NonCubic','2');</v>
      </c>
    </row>
    <row r="666" spans="1:14" x14ac:dyDescent="0.3">
      <c r="A666" t="s">
        <v>11</v>
      </c>
      <c r="B666" s="1" t="s">
        <v>43</v>
      </c>
      <c r="C666" s="1" t="s">
        <v>44</v>
      </c>
      <c r="D666">
        <v>12659</v>
      </c>
      <c r="E666" t="s">
        <v>12</v>
      </c>
      <c r="F666" t="s">
        <v>42</v>
      </c>
      <c r="G666">
        <v>5</v>
      </c>
      <c r="H666">
        <v>12</v>
      </c>
      <c r="I666" t="s">
        <v>45</v>
      </c>
      <c r="J666" cm="1">
        <f t="array" ref="J666">IFERROR(
    _xlfn.XLOOKUP(G666, 'Wedgewood Pharm-PME-Yr2-2025'!$E$33:$L$33,
        _xlfn.XLOOKUP('Rate Load'!H666, 'Wedgewood Pharm-PME-Yr2-2025'!$D$34:$D$57,
            'Wedgewood Pharm-PME-Yr2-2025'!$E$34:$L$57, 0, 0),
        0, 0),
    _xlfn.XLOOKUP(G666, 'Wedgewood Pharm-PME-Yr2-2025'!$E$33:$L$33,
        _xlfn.XLOOKUP('Rate Load'!L666, 'Wedgewood Pharm-PME-Yr2-2025'!$D$34:$D$57,
            'Wedgewood Pharm-PME-Yr2-2025'!$E$34:$L$57, 0, 0),
        0, 0)
)</f>
        <v>45.559999999999995</v>
      </c>
      <c r="K666" t="s">
        <v>46</v>
      </c>
      <c r="L666" t="s">
        <v>13</v>
      </c>
      <c r="M666">
        <v>2</v>
      </c>
      <c r="N666" t="str">
        <f t="shared" si="10"/>
        <v>INSERT INTO TNL_RATING.dbo.usps_rate_master VALUES ('USPS', '2/13/2025', '2/13/2026', 12659, 'US', 'Priority Mail Express', 5, 12, 'L', 45.56, 'Wedgewood_USPS_2025', 'NonCubic','2');</v>
      </c>
    </row>
    <row r="667" spans="1:14" x14ac:dyDescent="0.3">
      <c r="A667" t="s">
        <v>11</v>
      </c>
      <c r="B667" s="1" t="s">
        <v>43</v>
      </c>
      <c r="C667" s="1" t="s">
        <v>44</v>
      </c>
      <c r="D667">
        <v>12659</v>
      </c>
      <c r="E667" t="s">
        <v>12</v>
      </c>
      <c r="F667" t="s">
        <v>42</v>
      </c>
      <c r="G667">
        <v>5</v>
      </c>
      <c r="H667">
        <v>13</v>
      </c>
      <c r="I667" t="s">
        <v>45</v>
      </c>
      <c r="J667" cm="1">
        <f t="array" ref="J667">IFERROR(
    _xlfn.XLOOKUP(G667, 'Wedgewood Pharm-PME-Yr2-2025'!$E$33:$L$33,
        _xlfn.XLOOKUP('Rate Load'!H667, 'Wedgewood Pharm-PME-Yr2-2025'!$D$34:$D$57,
            'Wedgewood Pharm-PME-Yr2-2025'!$E$34:$L$57, 0, 0),
        0, 0),
    _xlfn.XLOOKUP(G667, 'Wedgewood Pharm-PME-Yr2-2025'!$E$33:$L$33,
        _xlfn.XLOOKUP('Rate Load'!L667, 'Wedgewood Pharm-PME-Yr2-2025'!$D$34:$D$57,
            'Wedgewood Pharm-PME-Yr2-2025'!$E$34:$L$57, 0, 0),
        0, 0)
)</f>
        <v>48.04</v>
      </c>
      <c r="K667" t="s">
        <v>46</v>
      </c>
      <c r="L667" t="s">
        <v>13</v>
      </c>
      <c r="M667">
        <v>2</v>
      </c>
      <c r="N667" t="str">
        <f t="shared" si="10"/>
        <v>INSERT INTO TNL_RATING.dbo.usps_rate_master VALUES ('USPS', '2/13/2025', '2/13/2026', 12659, 'US', 'Priority Mail Express', 5, 13, 'L', 48.04, 'Wedgewood_USPS_2025', 'NonCubic','2');</v>
      </c>
    </row>
    <row r="668" spans="1:14" x14ac:dyDescent="0.3">
      <c r="A668" t="s">
        <v>11</v>
      </c>
      <c r="B668" s="1" t="s">
        <v>43</v>
      </c>
      <c r="C668" s="1" t="s">
        <v>44</v>
      </c>
      <c r="D668">
        <v>12659</v>
      </c>
      <c r="E668" t="s">
        <v>12</v>
      </c>
      <c r="F668" t="s">
        <v>42</v>
      </c>
      <c r="G668">
        <v>5</v>
      </c>
      <c r="H668">
        <v>14</v>
      </c>
      <c r="I668" t="s">
        <v>45</v>
      </c>
      <c r="J668" cm="1">
        <f t="array" ref="J668">IFERROR(
    _xlfn.XLOOKUP(G668, 'Wedgewood Pharm-PME-Yr2-2025'!$E$33:$L$33,
        _xlfn.XLOOKUP('Rate Load'!H668, 'Wedgewood Pharm-PME-Yr2-2025'!$D$34:$D$57,
            'Wedgewood Pharm-PME-Yr2-2025'!$E$34:$L$57, 0, 0),
        0, 0),
    _xlfn.XLOOKUP(G668, 'Wedgewood Pharm-PME-Yr2-2025'!$E$33:$L$33,
        _xlfn.XLOOKUP('Rate Load'!L668, 'Wedgewood Pharm-PME-Yr2-2025'!$D$34:$D$57,
            'Wedgewood Pharm-PME-Yr2-2025'!$E$34:$L$57, 0, 0),
        0, 0)
)</f>
        <v>50.55</v>
      </c>
      <c r="K668" t="s">
        <v>46</v>
      </c>
      <c r="L668" t="s">
        <v>13</v>
      </c>
      <c r="M668">
        <v>2</v>
      </c>
      <c r="N668" t="str">
        <f t="shared" si="10"/>
        <v>INSERT INTO TNL_RATING.dbo.usps_rate_master VALUES ('USPS', '2/13/2025', '2/13/2026', 12659, 'US', 'Priority Mail Express', 5, 14, 'L', 50.55, 'Wedgewood_USPS_2025', 'NonCubic','2');</v>
      </c>
    </row>
    <row r="669" spans="1:14" x14ac:dyDescent="0.3">
      <c r="A669" t="s">
        <v>11</v>
      </c>
      <c r="B669" s="1" t="s">
        <v>43</v>
      </c>
      <c r="C669" s="1" t="s">
        <v>44</v>
      </c>
      <c r="D669">
        <v>12659</v>
      </c>
      <c r="E669" t="s">
        <v>12</v>
      </c>
      <c r="F669" t="s">
        <v>42</v>
      </c>
      <c r="G669">
        <v>5</v>
      </c>
      <c r="H669">
        <v>15</v>
      </c>
      <c r="I669" t="s">
        <v>45</v>
      </c>
      <c r="J669" cm="1">
        <f t="array" ref="J669">IFERROR(
    _xlfn.XLOOKUP(G669, 'Wedgewood Pharm-PME-Yr2-2025'!$E$33:$L$33,
        _xlfn.XLOOKUP('Rate Load'!H669, 'Wedgewood Pharm-PME-Yr2-2025'!$D$34:$D$57,
            'Wedgewood Pharm-PME-Yr2-2025'!$E$34:$L$57, 0, 0),
        0, 0),
    _xlfn.XLOOKUP(G669, 'Wedgewood Pharm-PME-Yr2-2025'!$E$33:$L$33,
        _xlfn.XLOOKUP('Rate Load'!L669, 'Wedgewood Pharm-PME-Yr2-2025'!$D$34:$D$57,
            'Wedgewood Pharm-PME-Yr2-2025'!$E$34:$L$57, 0, 0),
        0, 0)
)</f>
        <v>53.059999999999995</v>
      </c>
      <c r="K669" t="s">
        <v>46</v>
      </c>
      <c r="L669" t="s">
        <v>13</v>
      </c>
      <c r="M669">
        <v>2</v>
      </c>
      <c r="N669" t="str">
        <f t="shared" si="10"/>
        <v>INSERT INTO TNL_RATING.dbo.usps_rate_master VALUES ('USPS', '2/13/2025', '2/13/2026', 12659, 'US', 'Priority Mail Express', 5, 15, 'L', 53.06, 'Wedgewood_USPS_2025', 'NonCubic','2');</v>
      </c>
    </row>
    <row r="670" spans="1:14" x14ac:dyDescent="0.3">
      <c r="A670" t="s">
        <v>11</v>
      </c>
      <c r="B670" s="1" t="s">
        <v>43</v>
      </c>
      <c r="C670" s="1" t="s">
        <v>44</v>
      </c>
      <c r="D670">
        <v>12659</v>
      </c>
      <c r="E670" t="s">
        <v>12</v>
      </c>
      <c r="F670" t="s">
        <v>42</v>
      </c>
      <c r="G670">
        <v>5</v>
      </c>
      <c r="H670">
        <v>16</v>
      </c>
      <c r="I670" t="s">
        <v>45</v>
      </c>
      <c r="J670" cm="1">
        <f t="array" ref="J670">IFERROR(
    _xlfn.XLOOKUP(G670, 'Wedgewood Pharm-PME-Yr2-2025'!$E$33:$L$33,
        _xlfn.XLOOKUP('Rate Load'!H670, 'Wedgewood Pharm-PME-Yr2-2025'!$D$34:$D$57,
            'Wedgewood Pharm-PME-Yr2-2025'!$E$34:$L$57, 0, 0),
        0, 0),
    _xlfn.XLOOKUP(G670, 'Wedgewood Pharm-PME-Yr2-2025'!$E$33:$L$33,
        _xlfn.XLOOKUP('Rate Load'!L670, 'Wedgewood Pharm-PME-Yr2-2025'!$D$34:$D$57,
            'Wedgewood Pharm-PME-Yr2-2025'!$E$34:$L$57, 0, 0),
        0, 0)
)</f>
        <v>55.559999999999995</v>
      </c>
      <c r="K670" t="s">
        <v>46</v>
      </c>
      <c r="L670" t="s">
        <v>13</v>
      </c>
      <c r="M670">
        <v>2</v>
      </c>
      <c r="N670" t="str">
        <f t="shared" si="10"/>
        <v>INSERT INTO TNL_RATING.dbo.usps_rate_master VALUES ('USPS', '2/13/2025', '2/13/2026', 12659, 'US', 'Priority Mail Express', 5, 16, 'L', 55.56, 'Wedgewood_USPS_2025', 'NonCubic','2');</v>
      </c>
    </row>
    <row r="671" spans="1:14" x14ac:dyDescent="0.3">
      <c r="A671" t="s">
        <v>11</v>
      </c>
      <c r="B671" s="1" t="s">
        <v>43</v>
      </c>
      <c r="C671" s="1" t="s">
        <v>44</v>
      </c>
      <c r="D671">
        <v>12659</v>
      </c>
      <c r="E671" t="s">
        <v>12</v>
      </c>
      <c r="F671" t="s">
        <v>42</v>
      </c>
      <c r="G671">
        <v>5</v>
      </c>
      <c r="H671">
        <v>17</v>
      </c>
      <c r="I671" t="s">
        <v>45</v>
      </c>
      <c r="J671" cm="1">
        <f t="array" ref="J671">IFERROR(
    _xlfn.XLOOKUP(G671, 'Wedgewood Pharm-PME-Yr2-2025'!$E$33:$L$33,
        _xlfn.XLOOKUP('Rate Load'!H671, 'Wedgewood Pharm-PME-Yr2-2025'!$D$34:$D$57,
            'Wedgewood Pharm-PME-Yr2-2025'!$E$34:$L$57, 0, 0),
        0, 0),
    _xlfn.XLOOKUP(G671, 'Wedgewood Pharm-PME-Yr2-2025'!$E$33:$L$33,
        _xlfn.XLOOKUP('Rate Load'!L671, 'Wedgewood Pharm-PME-Yr2-2025'!$D$34:$D$57,
            'Wedgewood Pharm-PME-Yr2-2025'!$E$34:$L$57, 0, 0),
        0, 0)
)</f>
        <v>58.05</v>
      </c>
      <c r="K671" t="s">
        <v>46</v>
      </c>
      <c r="L671" t="s">
        <v>13</v>
      </c>
      <c r="M671">
        <v>2</v>
      </c>
      <c r="N671" t="str">
        <f t="shared" si="10"/>
        <v>INSERT INTO TNL_RATING.dbo.usps_rate_master VALUES ('USPS', '2/13/2025', '2/13/2026', 12659, 'US', 'Priority Mail Express', 5, 17, 'L', 58.05, 'Wedgewood_USPS_2025', 'NonCubic','2');</v>
      </c>
    </row>
    <row r="672" spans="1:14" x14ac:dyDescent="0.3">
      <c r="A672" t="s">
        <v>11</v>
      </c>
      <c r="B672" s="1" t="s">
        <v>43</v>
      </c>
      <c r="C672" s="1" t="s">
        <v>44</v>
      </c>
      <c r="D672">
        <v>12659</v>
      </c>
      <c r="E672" t="s">
        <v>12</v>
      </c>
      <c r="F672" t="s">
        <v>42</v>
      </c>
      <c r="G672">
        <v>5</v>
      </c>
      <c r="H672">
        <v>18</v>
      </c>
      <c r="I672" t="s">
        <v>45</v>
      </c>
      <c r="J672" cm="1">
        <f t="array" ref="J672">IFERROR(
    _xlfn.XLOOKUP(G672, 'Wedgewood Pharm-PME-Yr2-2025'!$E$33:$L$33,
        _xlfn.XLOOKUP('Rate Load'!H672, 'Wedgewood Pharm-PME-Yr2-2025'!$D$34:$D$57,
            'Wedgewood Pharm-PME-Yr2-2025'!$E$34:$L$57, 0, 0),
        0, 0),
    _xlfn.XLOOKUP(G672, 'Wedgewood Pharm-PME-Yr2-2025'!$E$33:$L$33,
        _xlfn.XLOOKUP('Rate Load'!L672, 'Wedgewood Pharm-PME-Yr2-2025'!$D$34:$D$57,
            'Wedgewood Pharm-PME-Yr2-2025'!$E$34:$L$57, 0, 0),
        0, 0)
)</f>
        <v>60.559999999999995</v>
      </c>
      <c r="K672" t="s">
        <v>46</v>
      </c>
      <c r="L672" t="s">
        <v>13</v>
      </c>
      <c r="M672">
        <v>2</v>
      </c>
      <c r="N672" t="str">
        <f t="shared" si="10"/>
        <v>INSERT INTO TNL_RATING.dbo.usps_rate_master VALUES ('USPS', '2/13/2025', '2/13/2026', 12659, 'US', 'Priority Mail Express', 5, 18, 'L', 60.56, 'Wedgewood_USPS_2025', 'NonCubic','2');</v>
      </c>
    </row>
    <row r="673" spans="1:14" x14ac:dyDescent="0.3">
      <c r="A673" t="s">
        <v>11</v>
      </c>
      <c r="B673" s="1" t="s">
        <v>43</v>
      </c>
      <c r="C673" s="1" t="s">
        <v>44</v>
      </c>
      <c r="D673">
        <v>12659</v>
      </c>
      <c r="E673" t="s">
        <v>12</v>
      </c>
      <c r="F673" t="s">
        <v>42</v>
      </c>
      <c r="G673">
        <v>5</v>
      </c>
      <c r="H673">
        <v>19</v>
      </c>
      <c r="I673" t="s">
        <v>45</v>
      </c>
      <c r="J673" cm="1">
        <f t="array" ref="J673">IFERROR(
    _xlfn.XLOOKUP(G673, 'Wedgewood Pharm-PME-Yr2-2025'!$E$33:$L$33,
        _xlfn.XLOOKUP('Rate Load'!H673, 'Wedgewood Pharm-PME-Yr2-2025'!$D$34:$D$57,
            'Wedgewood Pharm-PME-Yr2-2025'!$E$34:$L$57, 0, 0),
        0, 0),
    _xlfn.XLOOKUP(G673, 'Wedgewood Pharm-PME-Yr2-2025'!$E$33:$L$33,
        _xlfn.XLOOKUP('Rate Load'!L673, 'Wedgewood Pharm-PME-Yr2-2025'!$D$34:$D$57,
            'Wedgewood Pharm-PME-Yr2-2025'!$E$34:$L$57, 0, 0),
        0, 0)
)</f>
        <v>63.059999999999995</v>
      </c>
      <c r="K673" t="s">
        <v>46</v>
      </c>
      <c r="L673" t="s">
        <v>13</v>
      </c>
      <c r="M673">
        <v>2</v>
      </c>
      <c r="N673" t="str">
        <f t="shared" si="10"/>
        <v>INSERT INTO TNL_RATING.dbo.usps_rate_master VALUES ('USPS', '2/13/2025', '2/13/2026', 12659, 'US', 'Priority Mail Express', 5, 19, 'L', 63.06, 'Wedgewood_USPS_2025', 'NonCubic','2');</v>
      </c>
    </row>
    <row r="674" spans="1:14" x14ac:dyDescent="0.3">
      <c r="A674" t="s">
        <v>11</v>
      </c>
      <c r="B674" s="1" t="s">
        <v>43</v>
      </c>
      <c r="C674" s="1" t="s">
        <v>44</v>
      </c>
      <c r="D674">
        <v>12659</v>
      </c>
      <c r="E674" t="s">
        <v>12</v>
      </c>
      <c r="F674" t="s">
        <v>42</v>
      </c>
      <c r="G674">
        <v>5</v>
      </c>
      <c r="H674">
        <v>20</v>
      </c>
      <c r="I674" t="s">
        <v>45</v>
      </c>
      <c r="J674" cm="1">
        <f t="array" ref="J674">IFERROR(
    _xlfn.XLOOKUP(G674, 'Wedgewood Pharm-PME-Yr2-2025'!$E$33:$L$33,
        _xlfn.XLOOKUP('Rate Load'!H674, 'Wedgewood Pharm-PME-Yr2-2025'!$D$34:$D$57,
            'Wedgewood Pharm-PME-Yr2-2025'!$E$34:$L$57, 0, 0),
        0, 0),
    _xlfn.XLOOKUP(G674, 'Wedgewood Pharm-PME-Yr2-2025'!$E$33:$L$33,
        _xlfn.XLOOKUP('Rate Load'!L674, 'Wedgewood Pharm-PME-Yr2-2025'!$D$34:$D$57,
            'Wedgewood Pharm-PME-Yr2-2025'!$E$34:$L$57, 0, 0),
        0, 0)
)</f>
        <v>65.56</v>
      </c>
      <c r="K674" t="s">
        <v>46</v>
      </c>
      <c r="L674" t="s">
        <v>13</v>
      </c>
      <c r="M674">
        <v>2</v>
      </c>
      <c r="N674" t="str">
        <f t="shared" si="10"/>
        <v>INSERT INTO TNL_RATING.dbo.usps_rate_master VALUES ('USPS', '2/13/2025', '2/13/2026', 12659, 'US', 'Priority Mail Express', 5, 20, 'L', 65.56, 'Wedgewood_USPS_2025', 'NonCubic','2');</v>
      </c>
    </row>
    <row r="675" spans="1:14" x14ac:dyDescent="0.3">
      <c r="A675" t="s">
        <v>11</v>
      </c>
      <c r="B675" s="1" t="s">
        <v>43</v>
      </c>
      <c r="C675" s="1" t="s">
        <v>44</v>
      </c>
      <c r="D675">
        <v>12659</v>
      </c>
      <c r="E675" t="s">
        <v>12</v>
      </c>
      <c r="F675" t="s">
        <v>42</v>
      </c>
      <c r="G675">
        <v>6</v>
      </c>
      <c r="H675">
        <v>0.5</v>
      </c>
      <c r="I675" t="s">
        <v>45</v>
      </c>
      <c r="J675" cm="1">
        <f t="array" ref="J675">IFERROR(
    _xlfn.XLOOKUP(G675, 'Wedgewood Pharm-PME-Yr2-2025'!$E$33:$L$33,
        _xlfn.XLOOKUP('Rate Load'!H675, 'Wedgewood Pharm-PME-Yr2-2025'!$D$34:$D$57,
            'Wedgewood Pharm-PME-Yr2-2025'!$E$34:$L$57, 0, 0),
        0, 0),
    _xlfn.XLOOKUP(G675, 'Wedgewood Pharm-PME-Yr2-2025'!$E$33:$L$33,
        _xlfn.XLOOKUP('Rate Load'!L675, 'Wedgewood Pharm-PME-Yr2-2025'!$D$34:$D$57,
            'Wedgewood Pharm-PME-Yr2-2025'!$E$34:$L$57, 0, 0),
        0, 0)
)</f>
        <v>15.11</v>
      </c>
      <c r="K675" t="s">
        <v>46</v>
      </c>
      <c r="L675" t="s">
        <v>13</v>
      </c>
      <c r="M675">
        <v>2</v>
      </c>
      <c r="N675" t="str">
        <f t="shared" si="10"/>
        <v>INSERT INTO TNL_RATING.dbo.usps_rate_master VALUES ('USPS', '2/13/2025', '2/13/2026', 12659, 'US', 'Priority Mail Express', 6, 0.5, 'L', 15.11, 'Wedgewood_USPS_2025', 'NonCubic','2');</v>
      </c>
    </row>
    <row r="676" spans="1:14" x14ac:dyDescent="0.3">
      <c r="A676" t="s">
        <v>11</v>
      </c>
      <c r="B676" s="1" t="s">
        <v>43</v>
      </c>
      <c r="C676" s="1" t="s">
        <v>44</v>
      </c>
      <c r="D676">
        <v>12659</v>
      </c>
      <c r="E676" t="s">
        <v>12</v>
      </c>
      <c r="F676" t="s">
        <v>42</v>
      </c>
      <c r="G676">
        <v>6</v>
      </c>
      <c r="H676">
        <v>1</v>
      </c>
      <c r="I676" t="s">
        <v>45</v>
      </c>
      <c r="J676" cm="1">
        <f t="array" ref="J676">IFERROR(
    _xlfn.XLOOKUP(G676, 'Wedgewood Pharm-PME-Yr2-2025'!$E$33:$L$33,
        _xlfn.XLOOKUP('Rate Load'!H676, 'Wedgewood Pharm-PME-Yr2-2025'!$D$34:$D$57,
            'Wedgewood Pharm-PME-Yr2-2025'!$E$34:$L$57, 0, 0),
        0, 0),
    _xlfn.XLOOKUP(G676, 'Wedgewood Pharm-PME-Yr2-2025'!$E$33:$L$33,
        _xlfn.XLOOKUP('Rate Load'!L676, 'Wedgewood Pharm-PME-Yr2-2025'!$D$34:$D$57,
            'Wedgewood Pharm-PME-Yr2-2025'!$E$34:$L$57, 0, 0),
        0, 0)
)</f>
        <v>16.8</v>
      </c>
      <c r="K676" t="s">
        <v>46</v>
      </c>
      <c r="L676" t="s">
        <v>13</v>
      </c>
      <c r="M676">
        <v>2</v>
      </c>
      <c r="N676" t="str">
        <f t="shared" si="10"/>
        <v>INSERT INTO TNL_RATING.dbo.usps_rate_master VALUES ('USPS', '2/13/2025', '2/13/2026', 12659, 'US', 'Priority Mail Express', 6, 1, 'L', 16.8, 'Wedgewood_USPS_2025', 'NonCubic','2');</v>
      </c>
    </row>
    <row r="677" spans="1:14" x14ac:dyDescent="0.3">
      <c r="A677" t="s">
        <v>11</v>
      </c>
      <c r="B677" s="1" t="s">
        <v>43</v>
      </c>
      <c r="C677" s="1" t="s">
        <v>44</v>
      </c>
      <c r="D677">
        <v>12659</v>
      </c>
      <c r="E677" t="s">
        <v>12</v>
      </c>
      <c r="F677" t="s">
        <v>42</v>
      </c>
      <c r="G677">
        <v>6</v>
      </c>
      <c r="H677">
        <v>2</v>
      </c>
      <c r="I677" t="s">
        <v>45</v>
      </c>
      <c r="J677" cm="1">
        <f t="array" ref="J677">IFERROR(
    _xlfn.XLOOKUP(G677, 'Wedgewood Pharm-PME-Yr2-2025'!$E$33:$L$33,
        _xlfn.XLOOKUP('Rate Load'!H677, 'Wedgewood Pharm-PME-Yr2-2025'!$D$34:$D$57,
            'Wedgewood Pharm-PME-Yr2-2025'!$E$34:$L$57, 0, 0),
        0, 0),
    _xlfn.XLOOKUP(G677, 'Wedgewood Pharm-PME-Yr2-2025'!$E$33:$L$33,
        _xlfn.XLOOKUP('Rate Load'!L677, 'Wedgewood Pharm-PME-Yr2-2025'!$D$34:$D$57,
            'Wedgewood Pharm-PME-Yr2-2025'!$E$34:$L$57, 0, 0),
        0, 0)
)</f>
        <v>19.270000000000003</v>
      </c>
      <c r="K677" t="s">
        <v>46</v>
      </c>
      <c r="L677" t="s">
        <v>13</v>
      </c>
      <c r="M677">
        <v>2</v>
      </c>
      <c r="N677" t="str">
        <f t="shared" si="10"/>
        <v>INSERT INTO TNL_RATING.dbo.usps_rate_master VALUES ('USPS', '2/13/2025', '2/13/2026', 12659, 'US', 'Priority Mail Express', 6, 2, 'L', 19.27, 'Wedgewood_USPS_2025', 'NonCubic','2');</v>
      </c>
    </row>
    <row r="678" spans="1:14" x14ac:dyDescent="0.3">
      <c r="A678" t="s">
        <v>11</v>
      </c>
      <c r="B678" s="1" t="s">
        <v>43</v>
      </c>
      <c r="C678" s="1" t="s">
        <v>44</v>
      </c>
      <c r="D678">
        <v>12659</v>
      </c>
      <c r="E678" t="s">
        <v>12</v>
      </c>
      <c r="F678" t="s">
        <v>42</v>
      </c>
      <c r="G678">
        <v>6</v>
      </c>
      <c r="H678">
        <v>3</v>
      </c>
      <c r="I678" t="s">
        <v>45</v>
      </c>
      <c r="J678" cm="1">
        <f t="array" ref="J678">IFERROR(
    _xlfn.XLOOKUP(G678, 'Wedgewood Pharm-PME-Yr2-2025'!$E$33:$L$33,
        _xlfn.XLOOKUP('Rate Load'!H678, 'Wedgewood Pharm-PME-Yr2-2025'!$D$34:$D$57,
            'Wedgewood Pharm-PME-Yr2-2025'!$E$34:$L$57, 0, 0),
        0, 0),
    _xlfn.XLOOKUP(G678, 'Wedgewood Pharm-PME-Yr2-2025'!$E$33:$L$33,
        _xlfn.XLOOKUP('Rate Load'!L678, 'Wedgewood Pharm-PME-Yr2-2025'!$D$34:$D$57,
            'Wedgewood Pharm-PME-Yr2-2025'!$E$34:$L$57, 0, 0),
        0, 0)
)</f>
        <v>22.130000000000003</v>
      </c>
      <c r="K678" t="s">
        <v>46</v>
      </c>
      <c r="L678" t="s">
        <v>13</v>
      </c>
      <c r="M678">
        <v>2</v>
      </c>
      <c r="N678" t="str">
        <f t="shared" si="10"/>
        <v>INSERT INTO TNL_RATING.dbo.usps_rate_master VALUES ('USPS', '2/13/2025', '2/13/2026', 12659, 'US', 'Priority Mail Express', 6, 3, 'L', 22.13, 'Wedgewood_USPS_2025', 'NonCubic','2');</v>
      </c>
    </row>
    <row r="679" spans="1:14" x14ac:dyDescent="0.3">
      <c r="A679" t="s">
        <v>11</v>
      </c>
      <c r="B679" s="1" t="s">
        <v>43</v>
      </c>
      <c r="C679" s="1" t="s">
        <v>44</v>
      </c>
      <c r="D679">
        <v>12659</v>
      </c>
      <c r="E679" t="s">
        <v>12</v>
      </c>
      <c r="F679" t="s">
        <v>42</v>
      </c>
      <c r="G679">
        <v>6</v>
      </c>
      <c r="H679">
        <v>4</v>
      </c>
      <c r="I679" t="s">
        <v>45</v>
      </c>
      <c r="J679" cm="1">
        <f t="array" ref="J679">IFERROR(
    _xlfn.XLOOKUP(G679, 'Wedgewood Pharm-PME-Yr2-2025'!$E$33:$L$33,
        _xlfn.XLOOKUP('Rate Load'!H679, 'Wedgewood Pharm-PME-Yr2-2025'!$D$34:$D$57,
            'Wedgewood Pharm-PME-Yr2-2025'!$E$34:$L$57, 0, 0),
        0, 0),
    _xlfn.XLOOKUP(G679, 'Wedgewood Pharm-PME-Yr2-2025'!$E$33:$L$33,
        _xlfn.XLOOKUP('Rate Load'!L679, 'Wedgewood Pharm-PME-Yr2-2025'!$D$34:$D$57,
            'Wedgewood Pharm-PME-Yr2-2025'!$E$34:$L$57, 0, 0),
        0, 0)
)</f>
        <v>25</v>
      </c>
      <c r="K679" t="s">
        <v>46</v>
      </c>
      <c r="L679" t="s">
        <v>13</v>
      </c>
      <c r="M679">
        <v>2</v>
      </c>
      <c r="N679" t="str">
        <f t="shared" si="10"/>
        <v>INSERT INTO TNL_RATING.dbo.usps_rate_master VALUES ('USPS', '2/13/2025', '2/13/2026', 12659, 'US', 'Priority Mail Express', 6, 4, 'L', 25, 'Wedgewood_USPS_2025', 'NonCubic','2');</v>
      </c>
    </row>
    <row r="680" spans="1:14" x14ac:dyDescent="0.3">
      <c r="A680" t="s">
        <v>11</v>
      </c>
      <c r="B680" s="1" t="s">
        <v>43</v>
      </c>
      <c r="C680" s="1" t="s">
        <v>44</v>
      </c>
      <c r="D680">
        <v>12659</v>
      </c>
      <c r="E680" t="s">
        <v>12</v>
      </c>
      <c r="F680" t="s">
        <v>42</v>
      </c>
      <c r="G680">
        <v>6</v>
      </c>
      <c r="H680">
        <v>5</v>
      </c>
      <c r="I680" t="s">
        <v>45</v>
      </c>
      <c r="J680" cm="1">
        <f t="array" ref="J680">IFERROR(
    _xlfn.XLOOKUP(G680, 'Wedgewood Pharm-PME-Yr2-2025'!$E$33:$L$33,
        _xlfn.XLOOKUP('Rate Load'!H680, 'Wedgewood Pharm-PME-Yr2-2025'!$D$34:$D$57,
            'Wedgewood Pharm-PME-Yr2-2025'!$E$34:$L$57, 0, 0),
        0, 0),
    _xlfn.XLOOKUP(G680, 'Wedgewood Pharm-PME-Yr2-2025'!$E$33:$L$33,
        _xlfn.XLOOKUP('Rate Load'!L680, 'Wedgewood Pharm-PME-Yr2-2025'!$D$34:$D$57,
            'Wedgewood Pharm-PME-Yr2-2025'!$E$34:$L$57, 0, 0),
        0, 0)
)</f>
        <v>27.860000000000003</v>
      </c>
      <c r="K680" t="s">
        <v>46</v>
      </c>
      <c r="L680" t="s">
        <v>13</v>
      </c>
      <c r="M680">
        <v>2</v>
      </c>
      <c r="N680" t="str">
        <f t="shared" si="10"/>
        <v>INSERT INTO TNL_RATING.dbo.usps_rate_master VALUES ('USPS', '2/13/2025', '2/13/2026', 12659, 'US', 'Priority Mail Express', 6, 5, 'L', 27.86, 'Wedgewood_USPS_2025', 'NonCubic','2');</v>
      </c>
    </row>
    <row r="681" spans="1:14" x14ac:dyDescent="0.3">
      <c r="A681" t="s">
        <v>11</v>
      </c>
      <c r="B681" s="1" t="s">
        <v>43</v>
      </c>
      <c r="C681" s="1" t="s">
        <v>44</v>
      </c>
      <c r="D681">
        <v>12659</v>
      </c>
      <c r="E681" t="s">
        <v>12</v>
      </c>
      <c r="F681" t="s">
        <v>42</v>
      </c>
      <c r="G681">
        <v>6</v>
      </c>
      <c r="H681">
        <v>6</v>
      </c>
      <c r="I681" t="s">
        <v>45</v>
      </c>
      <c r="J681" cm="1">
        <f t="array" ref="J681">IFERROR(
    _xlfn.XLOOKUP(G681, 'Wedgewood Pharm-PME-Yr2-2025'!$E$33:$L$33,
        _xlfn.XLOOKUP('Rate Load'!H681, 'Wedgewood Pharm-PME-Yr2-2025'!$D$34:$D$57,
            'Wedgewood Pharm-PME-Yr2-2025'!$E$34:$L$57, 0, 0),
        0, 0),
    _xlfn.XLOOKUP(G681, 'Wedgewood Pharm-PME-Yr2-2025'!$E$33:$L$33,
        _xlfn.XLOOKUP('Rate Load'!L681, 'Wedgewood Pharm-PME-Yr2-2025'!$D$34:$D$57,
            'Wedgewood Pharm-PME-Yr2-2025'!$E$34:$L$57, 0, 0),
        0, 0)
)</f>
        <v>30.680000000000003</v>
      </c>
      <c r="K681" t="s">
        <v>46</v>
      </c>
      <c r="L681" t="s">
        <v>13</v>
      </c>
      <c r="M681">
        <v>2</v>
      </c>
      <c r="N681" t="str">
        <f t="shared" si="10"/>
        <v>INSERT INTO TNL_RATING.dbo.usps_rate_master VALUES ('USPS', '2/13/2025', '2/13/2026', 12659, 'US', 'Priority Mail Express', 6, 6, 'L', 30.68, 'Wedgewood_USPS_2025', 'NonCubic','2');</v>
      </c>
    </row>
    <row r="682" spans="1:14" x14ac:dyDescent="0.3">
      <c r="A682" t="s">
        <v>11</v>
      </c>
      <c r="B682" s="1" t="s">
        <v>43</v>
      </c>
      <c r="C682" s="1" t="s">
        <v>44</v>
      </c>
      <c r="D682">
        <v>12659</v>
      </c>
      <c r="E682" t="s">
        <v>12</v>
      </c>
      <c r="F682" t="s">
        <v>42</v>
      </c>
      <c r="G682">
        <v>6</v>
      </c>
      <c r="H682">
        <v>7</v>
      </c>
      <c r="I682" t="s">
        <v>45</v>
      </c>
      <c r="J682" cm="1">
        <f t="array" ref="J682">IFERROR(
    _xlfn.XLOOKUP(G682, 'Wedgewood Pharm-PME-Yr2-2025'!$E$33:$L$33,
        _xlfn.XLOOKUP('Rate Load'!H682, 'Wedgewood Pharm-PME-Yr2-2025'!$D$34:$D$57,
            'Wedgewood Pharm-PME-Yr2-2025'!$E$34:$L$57, 0, 0),
        0, 0),
    _xlfn.XLOOKUP(G682, 'Wedgewood Pharm-PME-Yr2-2025'!$E$33:$L$33,
        _xlfn.XLOOKUP('Rate Load'!L682, 'Wedgewood Pharm-PME-Yr2-2025'!$D$34:$D$57,
            'Wedgewood Pharm-PME-Yr2-2025'!$E$34:$L$57, 0, 0),
        0, 0)
)</f>
        <v>33.479999999999997</v>
      </c>
      <c r="K682" t="s">
        <v>46</v>
      </c>
      <c r="L682" t="s">
        <v>13</v>
      </c>
      <c r="M682">
        <v>2</v>
      </c>
      <c r="N682" t="str">
        <f t="shared" si="10"/>
        <v>INSERT INTO TNL_RATING.dbo.usps_rate_master VALUES ('USPS', '2/13/2025', '2/13/2026', 12659, 'US', 'Priority Mail Express', 6, 7, 'L', 33.48, 'Wedgewood_USPS_2025', 'NonCubic','2');</v>
      </c>
    </row>
    <row r="683" spans="1:14" x14ac:dyDescent="0.3">
      <c r="A683" t="s">
        <v>11</v>
      </c>
      <c r="B683" s="1" t="s">
        <v>43</v>
      </c>
      <c r="C683" s="1" t="s">
        <v>44</v>
      </c>
      <c r="D683">
        <v>12659</v>
      </c>
      <c r="E683" t="s">
        <v>12</v>
      </c>
      <c r="F683" t="s">
        <v>42</v>
      </c>
      <c r="G683">
        <v>6</v>
      </c>
      <c r="H683">
        <v>8</v>
      </c>
      <c r="I683" t="s">
        <v>45</v>
      </c>
      <c r="J683" cm="1">
        <f t="array" ref="J683">IFERROR(
    _xlfn.XLOOKUP(G683, 'Wedgewood Pharm-PME-Yr2-2025'!$E$33:$L$33,
        _xlfn.XLOOKUP('Rate Load'!H683, 'Wedgewood Pharm-PME-Yr2-2025'!$D$34:$D$57,
            'Wedgewood Pharm-PME-Yr2-2025'!$E$34:$L$57, 0, 0),
        0, 0),
    _xlfn.XLOOKUP(G683, 'Wedgewood Pharm-PME-Yr2-2025'!$E$33:$L$33,
        _xlfn.XLOOKUP('Rate Load'!L683, 'Wedgewood Pharm-PME-Yr2-2025'!$D$34:$D$57,
            'Wedgewood Pharm-PME-Yr2-2025'!$E$34:$L$57, 0, 0),
        0, 0)
)</f>
        <v>36.299999999999997</v>
      </c>
      <c r="K683" t="s">
        <v>46</v>
      </c>
      <c r="L683" t="s">
        <v>13</v>
      </c>
      <c r="M683">
        <v>2</v>
      </c>
      <c r="N683" t="str">
        <f t="shared" si="10"/>
        <v>INSERT INTO TNL_RATING.dbo.usps_rate_master VALUES ('USPS', '2/13/2025', '2/13/2026', 12659, 'US', 'Priority Mail Express', 6, 8, 'L', 36.3, 'Wedgewood_USPS_2025', 'NonCubic','2');</v>
      </c>
    </row>
    <row r="684" spans="1:14" x14ac:dyDescent="0.3">
      <c r="A684" t="s">
        <v>11</v>
      </c>
      <c r="B684" s="1" t="s">
        <v>43</v>
      </c>
      <c r="C684" s="1" t="s">
        <v>44</v>
      </c>
      <c r="D684">
        <v>12659</v>
      </c>
      <c r="E684" t="s">
        <v>12</v>
      </c>
      <c r="F684" t="s">
        <v>42</v>
      </c>
      <c r="G684">
        <v>6</v>
      </c>
      <c r="H684">
        <v>9</v>
      </c>
      <c r="I684" t="s">
        <v>45</v>
      </c>
      <c r="J684" cm="1">
        <f t="array" ref="J684">IFERROR(
    _xlfn.XLOOKUP(G684, 'Wedgewood Pharm-PME-Yr2-2025'!$E$33:$L$33,
        _xlfn.XLOOKUP('Rate Load'!H684, 'Wedgewood Pharm-PME-Yr2-2025'!$D$34:$D$57,
            'Wedgewood Pharm-PME-Yr2-2025'!$E$34:$L$57, 0, 0),
        0, 0),
    _xlfn.XLOOKUP(G684, 'Wedgewood Pharm-PME-Yr2-2025'!$E$33:$L$33,
        _xlfn.XLOOKUP('Rate Load'!L684, 'Wedgewood Pharm-PME-Yr2-2025'!$D$34:$D$57,
            'Wedgewood Pharm-PME-Yr2-2025'!$E$34:$L$57, 0, 0),
        0, 0)
)</f>
        <v>39.1</v>
      </c>
      <c r="K684" t="s">
        <v>46</v>
      </c>
      <c r="L684" t="s">
        <v>13</v>
      </c>
      <c r="M684">
        <v>2</v>
      </c>
      <c r="N684" t="str">
        <f t="shared" si="10"/>
        <v>INSERT INTO TNL_RATING.dbo.usps_rate_master VALUES ('USPS', '2/13/2025', '2/13/2026', 12659, 'US', 'Priority Mail Express', 6, 9, 'L', 39.1, 'Wedgewood_USPS_2025', 'NonCubic','2');</v>
      </c>
    </row>
    <row r="685" spans="1:14" x14ac:dyDescent="0.3">
      <c r="A685" t="s">
        <v>11</v>
      </c>
      <c r="B685" s="1" t="s">
        <v>43</v>
      </c>
      <c r="C685" s="1" t="s">
        <v>44</v>
      </c>
      <c r="D685">
        <v>12659</v>
      </c>
      <c r="E685" t="s">
        <v>12</v>
      </c>
      <c r="F685" t="s">
        <v>42</v>
      </c>
      <c r="G685">
        <v>6</v>
      </c>
      <c r="H685">
        <v>10</v>
      </c>
      <c r="I685" t="s">
        <v>45</v>
      </c>
      <c r="J685" cm="1">
        <f t="array" ref="J685">IFERROR(
    _xlfn.XLOOKUP(G685, 'Wedgewood Pharm-PME-Yr2-2025'!$E$33:$L$33,
        _xlfn.XLOOKUP('Rate Load'!H685, 'Wedgewood Pharm-PME-Yr2-2025'!$D$34:$D$57,
            'Wedgewood Pharm-PME-Yr2-2025'!$E$34:$L$57, 0, 0),
        0, 0),
    _xlfn.XLOOKUP(G685, 'Wedgewood Pharm-PME-Yr2-2025'!$E$33:$L$33,
        _xlfn.XLOOKUP('Rate Load'!L685, 'Wedgewood Pharm-PME-Yr2-2025'!$D$34:$D$57,
            'Wedgewood Pharm-PME-Yr2-2025'!$E$34:$L$57, 0, 0),
        0, 0)
)</f>
        <v>41.91</v>
      </c>
      <c r="K685" t="s">
        <v>46</v>
      </c>
      <c r="L685" t="s">
        <v>13</v>
      </c>
      <c r="M685">
        <v>2</v>
      </c>
      <c r="N685" t="str">
        <f t="shared" si="10"/>
        <v>INSERT INTO TNL_RATING.dbo.usps_rate_master VALUES ('USPS', '2/13/2025', '2/13/2026', 12659, 'US', 'Priority Mail Express', 6, 10, 'L', 41.91, 'Wedgewood_USPS_2025', 'NonCubic','2');</v>
      </c>
    </row>
    <row r="686" spans="1:14" x14ac:dyDescent="0.3">
      <c r="A686" t="s">
        <v>11</v>
      </c>
      <c r="B686" s="1" t="s">
        <v>43</v>
      </c>
      <c r="C686" s="1" t="s">
        <v>44</v>
      </c>
      <c r="D686">
        <v>12659</v>
      </c>
      <c r="E686" t="s">
        <v>12</v>
      </c>
      <c r="F686" t="s">
        <v>42</v>
      </c>
      <c r="G686">
        <v>6</v>
      </c>
      <c r="H686">
        <v>11</v>
      </c>
      <c r="I686" t="s">
        <v>45</v>
      </c>
      <c r="J686" cm="1">
        <f t="array" ref="J686">IFERROR(
    _xlfn.XLOOKUP(G686, 'Wedgewood Pharm-PME-Yr2-2025'!$E$33:$L$33,
        _xlfn.XLOOKUP('Rate Load'!H686, 'Wedgewood Pharm-PME-Yr2-2025'!$D$34:$D$57,
            'Wedgewood Pharm-PME-Yr2-2025'!$E$34:$L$57, 0, 0),
        0, 0),
    _xlfn.XLOOKUP(G686, 'Wedgewood Pharm-PME-Yr2-2025'!$E$33:$L$33,
        _xlfn.XLOOKUP('Rate Load'!L686, 'Wedgewood Pharm-PME-Yr2-2025'!$D$34:$D$57,
            'Wedgewood Pharm-PME-Yr2-2025'!$E$34:$L$57, 0, 0),
        0, 0)
)</f>
        <v>44.379999999999995</v>
      </c>
      <c r="K686" t="s">
        <v>46</v>
      </c>
      <c r="L686" t="s">
        <v>13</v>
      </c>
      <c r="M686">
        <v>2</v>
      </c>
      <c r="N686" t="str">
        <f t="shared" si="10"/>
        <v>INSERT INTO TNL_RATING.dbo.usps_rate_master VALUES ('USPS', '2/13/2025', '2/13/2026', 12659, 'US', 'Priority Mail Express', 6, 11, 'L', 44.38, 'Wedgewood_USPS_2025', 'NonCubic','2');</v>
      </c>
    </row>
    <row r="687" spans="1:14" x14ac:dyDescent="0.3">
      <c r="A687" t="s">
        <v>11</v>
      </c>
      <c r="B687" s="1" t="s">
        <v>43</v>
      </c>
      <c r="C687" s="1" t="s">
        <v>44</v>
      </c>
      <c r="D687">
        <v>12659</v>
      </c>
      <c r="E687" t="s">
        <v>12</v>
      </c>
      <c r="F687" t="s">
        <v>42</v>
      </c>
      <c r="G687">
        <v>6</v>
      </c>
      <c r="H687">
        <v>12</v>
      </c>
      <c r="I687" t="s">
        <v>45</v>
      </c>
      <c r="J687" cm="1">
        <f t="array" ref="J687">IFERROR(
    _xlfn.XLOOKUP(G687, 'Wedgewood Pharm-PME-Yr2-2025'!$E$33:$L$33,
        _xlfn.XLOOKUP('Rate Load'!H687, 'Wedgewood Pharm-PME-Yr2-2025'!$D$34:$D$57,
            'Wedgewood Pharm-PME-Yr2-2025'!$E$34:$L$57, 0, 0),
        0, 0),
    _xlfn.XLOOKUP(G687, 'Wedgewood Pharm-PME-Yr2-2025'!$E$33:$L$33,
        _xlfn.XLOOKUP('Rate Load'!L687, 'Wedgewood Pharm-PME-Yr2-2025'!$D$34:$D$57,
            'Wedgewood Pharm-PME-Yr2-2025'!$E$34:$L$57, 0, 0),
        0, 0)
)</f>
        <v>46.86</v>
      </c>
      <c r="K687" t="s">
        <v>46</v>
      </c>
      <c r="L687" t="s">
        <v>13</v>
      </c>
      <c r="M687">
        <v>2</v>
      </c>
      <c r="N687" t="str">
        <f t="shared" si="10"/>
        <v>INSERT INTO TNL_RATING.dbo.usps_rate_master VALUES ('USPS', '2/13/2025', '2/13/2026', 12659, 'US', 'Priority Mail Express', 6, 12, 'L', 46.86, 'Wedgewood_USPS_2025', 'NonCubic','2');</v>
      </c>
    </row>
    <row r="688" spans="1:14" x14ac:dyDescent="0.3">
      <c r="A688" t="s">
        <v>11</v>
      </c>
      <c r="B688" s="1" t="s">
        <v>43</v>
      </c>
      <c r="C688" s="1" t="s">
        <v>44</v>
      </c>
      <c r="D688">
        <v>12659</v>
      </c>
      <c r="E688" t="s">
        <v>12</v>
      </c>
      <c r="F688" t="s">
        <v>42</v>
      </c>
      <c r="G688">
        <v>6</v>
      </c>
      <c r="H688">
        <v>13</v>
      </c>
      <c r="I688" t="s">
        <v>45</v>
      </c>
      <c r="J688" cm="1">
        <f t="array" ref="J688">IFERROR(
    _xlfn.XLOOKUP(G688, 'Wedgewood Pharm-PME-Yr2-2025'!$E$33:$L$33,
        _xlfn.XLOOKUP('Rate Load'!H688, 'Wedgewood Pharm-PME-Yr2-2025'!$D$34:$D$57,
            'Wedgewood Pharm-PME-Yr2-2025'!$E$34:$L$57, 0, 0),
        0, 0),
    _xlfn.XLOOKUP(G688, 'Wedgewood Pharm-PME-Yr2-2025'!$E$33:$L$33,
        _xlfn.XLOOKUP('Rate Load'!L688, 'Wedgewood Pharm-PME-Yr2-2025'!$D$34:$D$57,
            'Wedgewood Pharm-PME-Yr2-2025'!$E$34:$L$57, 0, 0),
        0, 0)
)</f>
        <v>49.32</v>
      </c>
      <c r="K688" t="s">
        <v>46</v>
      </c>
      <c r="L688" t="s">
        <v>13</v>
      </c>
      <c r="M688">
        <v>2</v>
      </c>
      <c r="N688" t="str">
        <f t="shared" si="10"/>
        <v>INSERT INTO TNL_RATING.dbo.usps_rate_master VALUES ('USPS', '2/13/2025', '2/13/2026', 12659, 'US', 'Priority Mail Express', 6, 13, 'L', 49.32, 'Wedgewood_USPS_2025', 'NonCubic','2');</v>
      </c>
    </row>
    <row r="689" spans="1:14" x14ac:dyDescent="0.3">
      <c r="A689" t="s">
        <v>11</v>
      </c>
      <c r="B689" s="1" t="s">
        <v>43</v>
      </c>
      <c r="C689" s="1" t="s">
        <v>44</v>
      </c>
      <c r="D689">
        <v>12659</v>
      </c>
      <c r="E689" t="s">
        <v>12</v>
      </c>
      <c r="F689" t="s">
        <v>42</v>
      </c>
      <c r="G689">
        <v>6</v>
      </c>
      <c r="H689">
        <v>14</v>
      </c>
      <c r="I689" t="s">
        <v>45</v>
      </c>
      <c r="J689" cm="1">
        <f t="array" ref="J689">IFERROR(
    _xlfn.XLOOKUP(G689, 'Wedgewood Pharm-PME-Yr2-2025'!$E$33:$L$33,
        _xlfn.XLOOKUP('Rate Load'!H689, 'Wedgewood Pharm-PME-Yr2-2025'!$D$34:$D$57,
            'Wedgewood Pharm-PME-Yr2-2025'!$E$34:$L$57, 0, 0),
        0, 0),
    _xlfn.XLOOKUP(G689, 'Wedgewood Pharm-PME-Yr2-2025'!$E$33:$L$33,
        _xlfn.XLOOKUP('Rate Load'!L689, 'Wedgewood Pharm-PME-Yr2-2025'!$D$34:$D$57,
            'Wedgewood Pharm-PME-Yr2-2025'!$E$34:$L$57, 0, 0),
        0, 0)
)</f>
        <v>51.79</v>
      </c>
      <c r="K689" t="s">
        <v>46</v>
      </c>
      <c r="L689" t="s">
        <v>13</v>
      </c>
      <c r="M689">
        <v>2</v>
      </c>
      <c r="N689" t="str">
        <f t="shared" si="10"/>
        <v>INSERT INTO TNL_RATING.dbo.usps_rate_master VALUES ('USPS', '2/13/2025', '2/13/2026', 12659, 'US', 'Priority Mail Express', 6, 14, 'L', 51.79, 'Wedgewood_USPS_2025', 'NonCubic','2');</v>
      </c>
    </row>
    <row r="690" spans="1:14" x14ac:dyDescent="0.3">
      <c r="A690" t="s">
        <v>11</v>
      </c>
      <c r="B690" s="1" t="s">
        <v>43</v>
      </c>
      <c r="C690" s="1" t="s">
        <v>44</v>
      </c>
      <c r="D690">
        <v>12659</v>
      </c>
      <c r="E690" t="s">
        <v>12</v>
      </c>
      <c r="F690" t="s">
        <v>42</v>
      </c>
      <c r="G690">
        <v>6</v>
      </c>
      <c r="H690">
        <v>15</v>
      </c>
      <c r="I690" t="s">
        <v>45</v>
      </c>
      <c r="J690" cm="1">
        <f t="array" ref="J690">IFERROR(
    _xlfn.XLOOKUP(G690, 'Wedgewood Pharm-PME-Yr2-2025'!$E$33:$L$33,
        _xlfn.XLOOKUP('Rate Load'!H690, 'Wedgewood Pharm-PME-Yr2-2025'!$D$34:$D$57,
            'Wedgewood Pharm-PME-Yr2-2025'!$E$34:$L$57, 0, 0),
        0, 0),
    _xlfn.XLOOKUP(G690, 'Wedgewood Pharm-PME-Yr2-2025'!$E$33:$L$33,
        _xlfn.XLOOKUP('Rate Load'!L690, 'Wedgewood Pharm-PME-Yr2-2025'!$D$34:$D$57,
            'Wedgewood Pharm-PME-Yr2-2025'!$E$34:$L$57, 0, 0),
        0, 0)
)</f>
        <v>54.26</v>
      </c>
      <c r="K690" t="s">
        <v>46</v>
      </c>
      <c r="L690" t="s">
        <v>13</v>
      </c>
      <c r="M690">
        <v>2</v>
      </c>
      <c r="N690" t="str">
        <f t="shared" si="10"/>
        <v>INSERT INTO TNL_RATING.dbo.usps_rate_master VALUES ('USPS', '2/13/2025', '2/13/2026', 12659, 'US', 'Priority Mail Express', 6, 15, 'L', 54.26, 'Wedgewood_USPS_2025', 'NonCubic','2');</v>
      </c>
    </row>
    <row r="691" spans="1:14" x14ac:dyDescent="0.3">
      <c r="A691" t="s">
        <v>11</v>
      </c>
      <c r="B691" s="1" t="s">
        <v>43</v>
      </c>
      <c r="C691" s="1" t="s">
        <v>44</v>
      </c>
      <c r="D691">
        <v>12659</v>
      </c>
      <c r="E691" t="s">
        <v>12</v>
      </c>
      <c r="F691" t="s">
        <v>42</v>
      </c>
      <c r="G691">
        <v>6</v>
      </c>
      <c r="H691">
        <v>16</v>
      </c>
      <c r="I691" t="s">
        <v>45</v>
      </c>
      <c r="J691" cm="1">
        <f t="array" ref="J691">IFERROR(
    _xlfn.XLOOKUP(G691, 'Wedgewood Pharm-PME-Yr2-2025'!$E$33:$L$33,
        _xlfn.XLOOKUP('Rate Load'!H691, 'Wedgewood Pharm-PME-Yr2-2025'!$D$34:$D$57,
            'Wedgewood Pharm-PME-Yr2-2025'!$E$34:$L$57, 0, 0),
        0, 0),
    _xlfn.XLOOKUP(G691, 'Wedgewood Pharm-PME-Yr2-2025'!$E$33:$L$33,
        _xlfn.XLOOKUP('Rate Load'!L691, 'Wedgewood Pharm-PME-Yr2-2025'!$D$34:$D$57,
            'Wedgewood Pharm-PME-Yr2-2025'!$E$34:$L$57, 0, 0),
        0, 0)
)</f>
        <v>56.71</v>
      </c>
      <c r="K691" t="s">
        <v>46</v>
      </c>
      <c r="L691" t="s">
        <v>13</v>
      </c>
      <c r="M691">
        <v>2</v>
      </c>
      <c r="N691" t="str">
        <f t="shared" si="10"/>
        <v>INSERT INTO TNL_RATING.dbo.usps_rate_master VALUES ('USPS', '2/13/2025', '2/13/2026', 12659, 'US', 'Priority Mail Express', 6, 16, 'L', 56.71, 'Wedgewood_USPS_2025', 'NonCubic','2');</v>
      </c>
    </row>
    <row r="692" spans="1:14" x14ac:dyDescent="0.3">
      <c r="A692" t="s">
        <v>11</v>
      </c>
      <c r="B692" s="1" t="s">
        <v>43</v>
      </c>
      <c r="C692" s="1" t="s">
        <v>44</v>
      </c>
      <c r="D692">
        <v>12659</v>
      </c>
      <c r="E692" t="s">
        <v>12</v>
      </c>
      <c r="F692" t="s">
        <v>42</v>
      </c>
      <c r="G692">
        <v>6</v>
      </c>
      <c r="H692">
        <v>17</v>
      </c>
      <c r="I692" t="s">
        <v>45</v>
      </c>
      <c r="J692" cm="1">
        <f t="array" ref="J692">IFERROR(
    _xlfn.XLOOKUP(G692, 'Wedgewood Pharm-PME-Yr2-2025'!$E$33:$L$33,
        _xlfn.XLOOKUP('Rate Load'!H692, 'Wedgewood Pharm-PME-Yr2-2025'!$D$34:$D$57,
            'Wedgewood Pharm-PME-Yr2-2025'!$E$34:$L$57, 0, 0),
        0, 0),
    _xlfn.XLOOKUP(G692, 'Wedgewood Pharm-PME-Yr2-2025'!$E$33:$L$33,
        _xlfn.XLOOKUP('Rate Load'!L692, 'Wedgewood Pharm-PME-Yr2-2025'!$D$34:$D$57,
            'Wedgewood Pharm-PME-Yr2-2025'!$E$34:$L$57, 0, 0),
        0, 0)
)</f>
        <v>59.18</v>
      </c>
      <c r="K692" t="s">
        <v>46</v>
      </c>
      <c r="L692" t="s">
        <v>13</v>
      </c>
      <c r="M692">
        <v>2</v>
      </c>
      <c r="N692" t="str">
        <f t="shared" si="10"/>
        <v>INSERT INTO TNL_RATING.dbo.usps_rate_master VALUES ('USPS', '2/13/2025', '2/13/2026', 12659, 'US', 'Priority Mail Express', 6, 17, 'L', 59.18, 'Wedgewood_USPS_2025', 'NonCubic','2');</v>
      </c>
    </row>
    <row r="693" spans="1:14" x14ac:dyDescent="0.3">
      <c r="A693" t="s">
        <v>11</v>
      </c>
      <c r="B693" s="1" t="s">
        <v>43</v>
      </c>
      <c r="C693" s="1" t="s">
        <v>44</v>
      </c>
      <c r="D693">
        <v>12659</v>
      </c>
      <c r="E693" t="s">
        <v>12</v>
      </c>
      <c r="F693" t="s">
        <v>42</v>
      </c>
      <c r="G693">
        <v>6</v>
      </c>
      <c r="H693">
        <v>18</v>
      </c>
      <c r="I693" t="s">
        <v>45</v>
      </c>
      <c r="J693" cm="1">
        <f t="array" ref="J693">IFERROR(
    _xlfn.XLOOKUP(G693, 'Wedgewood Pharm-PME-Yr2-2025'!$E$33:$L$33,
        _xlfn.XLOOKUP('Rate Load'!H693, 'Wedgewood Pharm-PME-Yr2-2025'!$D$34:$D$57,
            'Wedgewood Pharm-PME-Yr2-2025'!$E$34:$L$57, 0, 0),
        0, 0),
    _xlfn.XLOOKUP(G693, 'Wedgewood Pharm-PME-Yr2-2025'!$E$33:$L$33,
        _xlfn.XLOOKUP('Rate Load'!L693, 'Wedgewood Pharm-PME-Yr2-2025'!$D$34:$D$57,
            'Wedgewood Pharm-PME-Yr2-2025'!$E$34:$L$57, 0, 0),
        0, 0)
)</f>
        <v>61.66</v>
      </c>
      <c r="K693" t="s">
        <v>46</v>
      </c>
      <c r="L693" t="s">
        <v>13</v>
      </c>
      <c r="M693">
        <v>2</v>
      </c>
      <c r="N693" t="str">
        <f t="shared" si="10"/>
        <v>INSERT INTO TNL_RATING.dbo.usps_rate_master VALUES ('USPS', '2/13/2025', '2/13/2026', 12659, 'US', 'Priority Mail Express', 6, 18, 'L', 61.66, 'Wedgewood_USPS_2025', 'NonCubic','2');</v>
      </c>
    </row>
    <row r="694" spans="1:14" x14ac:dyDescent="0.3">
      <c r="A694" t="s">
        <v>11</v>
      </c>
      <c r="B694" s="1" t="s">
        <v>43</v>
      </c>
      <c r="C694" s="1" t="s">
        <v>44</v>
      </c>
      <c r="D694">
        <v>12659</v>
      </c>
      <c r="E694" t="s">
        <v>12</v>
      </c>
      <c r="F694" t="s">
        <v>42</v>
      </c>
      <c r="G694">
        <v>6</v>
      </c>
      <c r="H694">
        <v>19</v>
      </c>
      <c r="I694" t="s">
        <v>45</v>
      </c>
      <c r="J694" cm="1">
        <f t="array" ref="J694">IFERROR(
    _xlfn.XLOOKUP(G694, 'Wedgewood Pharm-PME-Yr2-2025'!$E$33:$L$33,
        _xlfn.XLOOKUP('Rate Load'!H694, 'Wedgewood Pharm-PME-Yr2-2025'!$D$34:$D$57,
            'Wedgewood Pharm-PME-Yr2-2025'!$E$34:$L$57, 0, 0),
        0, 0),
    _xlfn.XLOOKUP(G694, 'Wedgewood Pharm-PME-Yr2-2025'!$E$33:$L$33,
        _xlfn.XLOOKUP('Rate Load'!L694, 'Wedgewood Pharm-PME-Yr2-2025'!$D$34:$D$57,
            'Wedgewood Pharm-PME-Yr2-2025'!$E$34:$L$57, 0, 0),
        0, 0)
)</f>
        <v>64.12</v>
      </c>
      <c r="K694" t="s">
        <v>46</v>
      </c>
      <c r="L694" t="s">
        <v>13</v>
      </c>
      <c r="M694">
        <v>2</v>
      </c>
      <c r="N694" t="str">
        <f t="shared" si="10"/>
        <v>INSERT INTO TNL_RATING.dbo.usps_rate_master VALUES ('USPS', '2/13/2025', '2/13/2026', 12659, 'US', 'Priority Mail Express', 6, 19, 'L', 64.12, 'Wedgewood_USPS_2025', 'NonCubic','2');</v>
      </c>
    </row>
    <row r="695" spans="1:14" x14ac:dyDescent="0.3">
      <c r="A695" t="s">
        <v>11</v>
      </c>
      <c r="B695" s="1" t="s">
        <v>43</v>
      </c>
      <c r="C695" s="1" t="s">
        <v>44</v>
      </c>
      <c r="D695">
        <v>12659</v>
      </c>
      <c r="E695" t="s">
        <v>12</v>
      </c>
      <c r="F695" t="s">
        <v>42</v>
      </c>
      <c r="G695">
        <v>6</v>
      </c>
      <c r="H695">
        <v>20</v>
      </c>
      <c r="I695" t="s">
        <v>45</v>
      </c>
      <c r="J695" cm="1">
        <f t="array" ref="J695">IFERROR(
    _xlfn.XLOOKUP(G695, 'Wedgewood Pharm-PME-Yr2-2025'!$E$33:$L$33,
        _xlfn.XLOOKUP('Rate Load'!H695, 'Wedgewood Pharm-PME-Yr2-2025'!$D$34:$D$57,
            'Wedgewood Pharm-PME-Yr2-2025'!$E$34:$L$57, 0, 0),
        0, 0),
    _xlfn.XLOOKUP(G695, 'Wedgewood Pharm-PME-Yr2-2025'!$E$33:$L$33,
        _xlfn.XLOOKUP('Rate Load'!L695, 'Wedgewood Pharm-PME-Yr2-2025'!$D$34:$D$57,
            'Wedgewood Pharm-PME-Yr2-2025'!$E$34:$L$57, 0, 0),
        0, 0)
)</f>
        <v>66.59</v>
      </c>
      <c r="K695" t="s">
        <v>46</v>
      </c>
      <c r="L695" t="s">
        <v>13</v>
      </c>
      <c r="M695">
        <v>2</v>
      </c>
      <c r="N695" t="str">
        <f t="shared" si="10"/>
        <v>INSERT INTO TNL_RATING.dbo.usps_rate_master VALUES ('USPS', '2/13/2025', '2/13/2026', 12659, 'US', 'Priority Mail Express', 6, 20, 'L', 66.59, 'Wedgewood_USPS_2025', 'NonCubic','2');</v>
      </c>
    </row>
    <row r="696" spans="1:14" x14ac:dyDescent="0.3">
      <c r="A696" t="s">
        <v>11</v>
      </c>
      <c r="B696" s="1" t="s">
        <v>43</v>
      </c>
      <c r="C696" s="1" t="s">
        <v>44</v>
      </c>
      <c r="D696">
        <v>12659</v>
      </c>
      <c r="E696" t="s">
        <v>12</v>
      </c>
      <c r="F696" t="s">
        <v>42</v>
      </c>
      <c r="G696">
        <v>7</v>
      </c>
      <c r="H696">
        <v>0.5</v>
      </c>
      <c r="I696" t="s">
        <v>45</v>
      </c>
      <c r="J696" cm="1">
        <f t="array" ref="J696">IFERROR(
    _xlfn.XLOOKUP(G696, 'Wedgewood Pharm-PME-Yr2-2025'!$E$33:$L$33,
        _xlfn.XLOOKUP('Rate Load'!H696, 'Wedgewood Pharm-PME-Yr2-2025'!$D$34:$D$57,
            'Wedgewood Pharm-PME-Yr2-2025'!$E$34:$L$57, 0, 0),
        0, 0),
    _xlfn.XLOOKUP(G696, 'Wedgewood Pharm-PME-Yr2-2025'!$E$33:$L$33,
        _xlfn.XLOOKUP('Rate Load'!L696, 'Wedgewood Pharm-PME-Yr2-2025'!$D$34:$D$57,
            'Wedgewood Pharm-PME-Yr2-2025'!$E$34:$L$57, 0, 0),
        0, 0)
)</f>
        <v>15.6</v>
      </c>
      <c r="K696" t="s">
        <v>46</v>
      </c>
      <c r="L696" t="s">
        <v>13</v>
      </c>
      <c r="M696">
        <v>2</v>
      </c>
      <c r="N696" t="str">
        <f t="shared" si="10"/>
        <v>INSERT INTO TNL_RATING.dbo.usps_rate_master VALUES ('USPS', '2/13/2025', '2/13/2026', 12659, 'US', 'Priority Mail Express', 7, 0.5, 'L', 15.6, 'Wedgewood_USPS_2025', 'NonCubic','2');</v>
      </c>
    </row>
    <row r="697" spans="1:14" x14ac:dyDescent="0.3">
      <c r="A697" t="s">
        <v>11</v>
      </c>
      <c r="B697" s="1" t="s">
        <v>43</v>
      </c>
      <c r="C697" s="1" t="s">
        <v>44</v>
      </c>
      <c r="D697">
        <v>12659</v>
      </c>
      <c r="E697" t="s">
        <v>12</v>
      </c>
      <c r="F697" t="s">
        <v>42</v>
      </c>
      <c r="G697">
        <v>7</v>
      </c>
      <c r="H697">
        <v>1</v>
      </c>
      <c r="I697" t="s">
        <v>45</v>
      </c>
      <c r="J697" cm="1">
        <f t="array" ref="J697">IFERROR(
    _xlfn.XLOOKUP(G697, 'Wedgewood Pharm-PME-Yr2-2025'!$E$33:$L$33,
        _xlfn.XLOOKUP('Rate Load'!H697, 'Wedgewood Pharm-PME-Yr2-2025'!$D$34:$D$57,
            'Wedgewood Pharm-PME-Yr2-2025'!$E$34:$L$57, 0, 0),
        0, 0),
    _xlfn.XLOOKUP(G697, 'Wedgewood Pharm-PME-Yr2-2025'!$E$33:$L$33,
        _xlfn.XLOOKUP('Rate Load'!L697, 'Wedgewood Pharm-PME-Yr2-2025'!$D$34:$D$57,
            'Wedgewood Pharm-PME-Yr2-2025'!$E$34:$L$57, 0, 0),
        0, 0)
)</f>
        <v>17.350000000000001</v>
      </c>
      <c r="K697" t="s">
        <v>46</v>
      </c>
      <c r="L697" t="s">
        <v>13</v>
      </c>
      <c r="M697">
        <v>2</v>
      </c>
      <c r="N697" t="str">
        <f t="shared" si="10"/>
        <v>INSERT INTO TNL_RATING.dbo.usps_rate_master VALUES ('USPS', '2/13/2025', '2/13/2026', 12659, 'US', 'Priority Mail Express', 7, 1, 'L', 17.35, 'Wedgewood_USPS_2025', 'NonCubic','2');</v>
      </c>
    </row>
    <row r="698" spans="1:14" x14ac:dyDescent="0.3">
      <c r="A698" t="s">
        <v>11</v>
      </c>
      <c r="B698" s="1" t="s">
        <v>43</v>
      </c>
      <c r="C698" s="1" t="s">
        <v>44</v>
      </c>
      <c r="D698">
        <v>12659</v>
      </c>
      <c r="E698" t="s">
        <v>12</v>
      </c>
      <c r="F698" t="s">
        <v>42</v>
      </c>
      <c r="G698">
        <v>7</v>
      </c>
      <c r="H698">
        <v>2</v>
      </c>
      <c r="I698" t="s">
        <v>45</v>
      </c>
      <c r="J698" cm="1">
        <f t="array" ref="J698">IFERROR(
    _xlfn.XLOOKUP(G698, 'Wedgewood Pharm-PME-Yr2-2025'!$E$33:$L$33,
        _xlfn.XLOOKUP('Rate Load'!H698, 'Wedgewood Pharm-PME-Yr2-2025'!$D$34:$D$57,
            'Wedgewood Pharm-PME-Yr2-2025'!$E$34:$L$57, 0, 0),
        0, 0),
    _xlfn.XLOOKUP(G698, 'Wedgewood Pharm-PME-Yr2-2025'!$E$33:$L$33,
        _xlfn.XLOOKUP('Rate Load'!L698, 'Wedgewood Pharm-PME-Yr2-2025'!$D$34:$D$57,
            'Wedgewood Pharm-PME-Yr2-2025'!$E$34:$L$57, 0, 0),
        0, 0)
)</f>
        <v>19.860000000000003</v>
      </c>
      <c r="K698" t="s">
        <v>46</v>
      </c>
      <c r="L698" t="s">
        <v>13</v>
      </c>
      <c r="M698">
        <v>2</v>
      </c>
      <c r="N698" t="str">
        <f t="shared" si="10"/>
        <v>INSERT INTO TNL_RATING.dbo.usps_rate_master VALUES ('USPS', '2/13/2025', '2/13/2026', 12659, 'US', 'Priority Mail Express', 7, 2, 'L', 19.86, 'Wedgewood_USPS_2025', 'NonCubic','2');</v>
      </c>
    </row>
    <row r="699" spans="1:14" x14ac:dyDescent="0.3">
      <c r="A699" t="s">
        <v>11</v>
      </c>
      <c r="B699" s="1" t="s">
        <v>43</v>
      </c>
      <c r="C699" s="1" t="s">
        <v>44</v>
      </c>
      <c r="D699">
        <v>12659</v>
      </c>
      <c r="E699" t="s">
        <v>12</v>
      </c>
      <c r="F699" t="s">
        <v>42</v>
      </c>
      <c r="G699">
        <v>7</v>
      </c>
      <c r="H699">
        <v>3</v>
      </c>
      <c r="I699" t="s">
        <v>45</v>
      </c>
      <c r="J699" cm="1">
        <f t="array" ref="J699">IFERROR(
    _xlfn.XLOOKUP(G699, 'Wedgewood Pharm-PME-Yr2-2025'!$E$33:$L$33,
        _xlfn.XLOOKUP('Rate Load'!H699, 'Wedgewood Pharm-PME-Yr2-2025'!$D$34:$D$57,
            'Wedgewood Pharm-PME-Yr2-2025'!$E$34:$L$57, 0, 0),
        0, 0),
    _xlfn.XLOOKUP(G699, 'Wedgewood Pharm-PME-Yr2-2025'!$E$33:$L$33,
        _xlfn.XLOOKUP('Rate Load'!L699, 'Wedgewood Pharm-PME-Yr2-2025'!$D$34:$D$57,
            'Wedgewood Pharm-PME-Yr2-2025'!$E$34:$L$57, 0, 0),
        0, 0)
)</f>
        <v>22.790000000000003</v>
      </c>
      <c r="K699" t="s">
        <v>46</v>
      </c>
      <c r="L699" t="s">
        <v>13</v>
      </c>
      <c r="M699">
        <v>2</v>
      </c>
      <c r="N699" t="str">
        <f t="shared" si="10"/>
        <v>INSERT INTO TNL_RATING.dbo.usps_rate_master VALUES ('USPS', '2/13/2025', '2/13/2026', 12659, 'US', 'Priority Mail Express', 7, 3, 'L', 22.79, 'Wedgewood_USPS_2025', 'NonCubic','2');</v>
      </c>
    </row>
    <row r="700" spans="1:14" x14ac:dyDescent="0.3">
      <c r="A700" t="s">
        <v>11</v>
      </c>
      <c r="B700" s="1" t="s">
        <v>43</v>
      </c>
      <c r="C700" s="1" t="s">
        <v>44</v>
      </c>
      <c r="D700">
        <v>12659</v>
      </c>
      <c r="E700" t="s">
        <v>12</v>
      </c>
      <c r="F700" t="s">
        <v>42</v>
      </c>
      <c r="G700">
        <v>7</v>
      </c>
      <c r="H700">
        <v>4</v>
      </c>
      <c r="I700" t="s">
        <v>45</v>
      </c>
      <c r="J700" cm="1">
        <f t="array" ref="J700">IFERROR(
    _xlfn.XLOOKUP(G700, 'Wedgewood Pharm-PME-Yr2-2025'!$E$33:$L$33,
        _xlfn.XLOOKUP('Rate Load'!H700, 'Wedgewood Pharm-PME-Yr2-2025'!$D$34:$D$57,
            'Wedgewood Pharm-PME-Yr2-2025'!$E$34:$L$57, 0, 0),
        0, 0),
    _xlfn.XLOOKUP(G700, 'Wedgewood Pharm-PME-Yr2-2025'!$E$33:$L$33,
        _xlfn.XLOOKUP('Rate Load'!L700, 'Wedgewood Pharm-PME-Yr2-2025'!$D$34:$D$57,
            'Wedgewood Pharm-PME-Yr2-2025'!$E$34:$L$57, 0, 0),
        0, 0)
)</f>
        <v>25.700000000000003</v>
      </c>
      <c r="K700" t="s">
        <v>46</v>
      </c>
      <c r="L700" t="s">
        <v>13</v>
      </c>
      <c r="M700">
        <v>2</v>
      </c>
      <c r="N700" t="str">
        <f t="shared" si="10"/>
        <v>INSERT INTO TNL_RATING.dbo.usps_rate_master VALUES ('USPS', '2/13/2025', '2/13/2026', 12659, 'US', 'Priority Mail Express', 7, 4, 'L', 25.7, 'Wedgewood_USPS_2025', 'NonCubic','2');</v>
      </c>
    </row>
    <row r="701" spans="1:14" x14ac:dyDescent="0.3">
      <c r="A701" t="s">
        <v>11</v>
      </c>
      <c r="B701" s="1" t="s">
        <v>43</v>
      </c>
      <c r="C701" s="1" t="s">
        <v>44</v>
      </c>
      <c r="D701">
        <v>12659</v>
      </c>
      <c r="E701" t="s">
        <v>12</v>
      </c>
      <c r="F701" t="s">
        <v>42</v>
      </c>
      <c r="G701">
        <v>7</v>
      </c>
      <c r="H701">
        <v>5</v>
      </c>
      <c r="I701" t="s">
        <v>45</v>
      </c>
      <c r="J701" cm="1">
        <f t="array" ref="J701">IFERROR(
    _xlfn.XLOOKUP(G701, 'Wedgewood Pharm-PME-Yr2-2025'!$E$33:$L$33,
        _xlfn.XLOOKUP('Rate Load'!H701, 'Wedgewood Pharm-PME-Yr2-2025'!$D$34:$D$57,
            'Wedgewood Pharm-PME-Yr2-2025'!$E$34:$L$57, 0, 0),
        0, 0),
    _xlfn.XLOOKUP(G701, 'Wedgewood Pharm-PME-Yr2-2025'!$E$33:$L$33,
        _xlfn.XLOOKUP('Rate Load'!L701, 'Wedgewood Pharm-PME-Yr2-2025'!$D$34:$D$57,
            'Wedgewood Pharm-PME-Yr2-2025'!$E$34:$L$57, 0, 0),
        0, 0)
)</f>
        <v>28.62</v>
      </c>
      <c r="K701" t="s">
        <v>46</v>
      </c>
      <c r="L701" t="s">
        <v>13</v>
      </c>
      <c r="M701">
        <v>2</v>
      </c>
      <c r="N701" t="str">
        <f t="shared" si="10"/>
        <v>INSERT INTO TNL_RATING.dbo.usps_rate_master VALUES ('USPS', '2/13/2025', '2/13/2026', 12659, 'US', 'Priority Mail Express', 7, 5, 'L', 28.62, 'Wedgewood_USPS_2025', 'NonCubic','2');</v>
      </c>
    </row>
    <row r="702" spans="1:14" x14ac:dyDescent="0.3">
      <c r="A702" t="s">
        <v>11</v>
      </c>
      <c r="B702" s="1" t="s">
        <v>43</v>
      </c>
      <c r="C702" s="1" t="s">
        <v>44</v>
      </c>
      <c r="D702">
        <v>12659</v>
      </c>
      <c r="E702" t="s">
        <v>12</v>
      </c>
      <c r="F702" t="s">
        <v>42</v>
      </c>
      <c r="G702">
        <v>7</v>
      </c>
      <c r="H702">
        <v>6</v>
      </c>
      <c r="I702" t="s">
        <v>45</v>
      </c>
      <c r="J702" cm="1">
        <f t="array" ref="J702">IFERROR(
    _xlfn.XLOOKUP(G702, 'Wedgewood Pharm-PME-Yr2-2025'!$E$33:$L$33,
        _xlfn.XLOOKUP('Rate Load'!H702, 'Wedgewood Pharm-PME-Yr2-2025'!$D$34:$D$57,
            'Wedgewood Pharm-PME-Yr2-2025'!$E$34:$L$57, 0, 0),
        0, 0),
    _xlfn.XLOOKUP(G702, 'Wedgewood Pharm-PME-Yr2-2025'!$E$33:$L$33,
        _xlfn.XLOOKUP('Rate Load'!L702, 'Wedgewood Pharm-PME-Yr2-2025'!$D$34:$D$57,
            'Wedgewood Pharm-PME-Yr2-2025'!$E$34:$L$57, 0, 0),
        0, 0)
)</f>
        <v>31.540000000000003</v>
      </c>
      <c r="K702" t="s">
        <v>46</v>
      </c>
      <c r="L702" t="s">
        <v>13</v>
      </c>
      <c r="M702">
        <v>2</v>
      </c>
      <c r="N702" t="str">
        <f t="shared" si="10"/>
        <v>INSERT INTO TNL_RATING.dbo.usps_rate_master VALUES ('USPS', '2/13/2025', '2/13/2026', 12659, 'US', 'Priority Mail Express', 7, 6, 'L', 31.54, 'Wedgewood_USPS_2025', 'NonCubic','2');</v>
      </c>
    </row>
    <row r="703" spans="1:14" x14ac:dyDescent="0.3">
      <c r="A703" t="s">
        <v>11</v>
      </c>
      <c r="B703" s="1" t="s">
        <v>43</v>
      </c>
      <c r="C703" s="1" t="s">
        <v>44</v>
      </c>
      <c r="D703">
        <v>12659</v>
      </c>
      <c r="E703" t="s">
        <v>12</v>
      </c>
      <c r="F703" t="s">
        <v>42</v>
      </c>
      <c r="G703">
        <v>7</v>
      </c>
      <c r="H703">
        <v>7</v>
      </c>
      <c r="I703" t="s">
        <v>45</v>
      </c>
      <c r="J703" cm="1">
        <f t="array" ref="J703">IFERROR(
    _xlfn.XLOOKUP(G703, 'Wedgewood Pharm-PME-Yr2-2025'!$E$33:$L$33,
        _xlfn.XLOOKUP('Rate Load'!H703, 'Wedgewood Pharm-PME-Yr2-2025'!$D$34:$D$57,
            'Wedgewood Pharm-PME-Yr2-2025'!$E$34:$L$57, 0, 0),
        0, 0),
    _xlfn.XLOOKUP(G703, 'Wedgewood Pharm-PME-Yr2-2025'!$E$33:$L$33,
        _xlfn.XLOOKUP('Rate Load'!L703, 'Wedgewood Pharm-PME-Yr2-2025'!$D$34:$D$57,
            'Wedgewood Pharm-PME-Yr2-2025'!$E$34:$L$57, 0, 0),
        0, 0)
)</f>
        <v>34.44</v>
      </c>
      <c r="K703" t="s">
        <v>46</v>
      </c>
      <c r="L703" t="s">
        <v>13</v>
      </c>
      <c r="M703">
        <v>2</v>
      </c>
      <c r="N703" t="str">
        <f t="shared" si="10"/>
        <v>INSERT INTO TNL_RATING.dbo.usps_rate_master VALUES ('USPS', '2/13/2025', '2/13/2026', 12659, 'US', 'Priority Mail Express', 7, 7, 'L', 34.44, 'Wedgewood_USPS_2025', 'NonCubic','2');</v>
      </c>
    </row>
    <row r="704" spans="1:14" x14ac:dyDescent="0.3">
      <c r="A704" t="s">
        <v>11</v>
      </c>
      <c r="B704" s="1" t="s">
        <v>43</v>
      </c>
      <c r="C704" s="1" t="s">
        <v>44</v>
      </c>
      <c r="D704">
        <v>12659</v>
      </c>
      <c r="E704" t="s">
        <v>12</v>
      </c>
      <c r="F704" t="s">
        <v>42</v>
      </c>
      <c r="G704">
        <v>7</v>
      </c>
      <c r="H704">
        <v>8</v>
      </c>
      <c r="I704" t="s">
        <v>45</v>
      </c>
      <c r="J704" cm="1">
        <f t="array" ref="J704">IFERROR(
    _xlfn.XLOOKUP(G704, 'Wedgewood Pharm-PME-Yr2-2025'!$E$33:$L$33,
        _xlfn.XLOOKUP('Rate Load'!H704, 'Wedgewood Pharm-PME-Yr2-2025'!$D$34:$D$57,
            'Wedgewood Pharm-PME-Yr2-2025'!$E$34:$L$57, 0, 0),
        0, 0),
    _xlfn.XLOOKUP(G704, 'Wedgewood Pharm-PME-Yr2-2025'!$E$33:$L$33,
        _xlfn.XLOOKUP('Rate Load'!L704, 'Wedgewood Pharm-PME-Yr2-2025'!$D$34:$D$57,
            'Wedgewood Pharm-PME-Yr2-2025'!$E$34:$L$57, 0, 0),
        0, 0)
)</f>
        <v>37.369999999999997</v>
      </c>
      <c r="K704" t="s">
        <v>46</v>
      </c>
      <c r="L704" t="s">
        <v>13</v>
      </c>
      <c r="M704">
        <v>2</v>
      </c>
      <c r="N704" t="str">
        <f t="shared" si="10"/>
        <v>INSERT INTO TNL_RATING.dbo.usps_rate_master VALUES ('USPS', '2/13/2025', '2/13/2026', 12659, 'US', 'Priority Mail Express', 7, 8, 'L', 37.37, 'Wedgewood_USPS_2025', 'NonCubic','2');</v>
      </c>
    </row>
    <row r="705" spans="1:14" x14ac:dyDescent="0.3">
      <c r="A705" t="s">
        <v>11</v>
      </c>
      <c r="B705" s="1" t="s">
        <v>43</v>
      </c>
      <c r="C705" s="1" t="s">
        <v>44</v>
      </c>
      <c r="D705">
        <v>12659</v>
      </c>
      <c r="E705" t="s">
        <v>12</v>
      </c>
      <c r="F705" t="s">
        <v>42</v>
      </c>
      <c r="G705">
        <v>7</v>
      </c>
      <c r="H705">
        <v>9</v>
      </c>
      <c r="I705" t="s">
        <v>45</v>
      </c>
      <c r="J705" cm="1">
        <f t="array" ref="J705">IFERROR(
    _xlfn.XLOOKUP(G705, 'Wedgewood Pharm-PME-Yr2-2025'!$E$33:$L$33,
        _xlfn.XLOOKUP('Rate Load'!H705, 'Wedgewood Pharm-PME-Yr2-2025'!$D$34:$D$57,
            'Wedgewood Pharm-PME-Yr2-2025'!$E$34:$L$57, 0, 0),
        0, 0),
    _xlfn.XLOOKUP(G705, 'Wedgewood Pharm-PME-Yr2-2025'!$E$33:$L$33,
        _xlfn.XLOOKUP('Rate Load'!L705, 'Wedgewood Pharm-PME-Yr2-2025'!$D$34:$D$57,
            'Wedgewood Pharm-PME-Yr2-2025'!$E$34:$L$57, 0, 0),
        0, 0)
)</f>
        <v>40.28</v>
      </c>
      <c r="K705" t="s">
        <v>46</v>
      </c>
      <c r="L705" t="s">
        <v>13</v>
      </c>
      <c r="M705">
        <v>2</v>
      </c>
      <c r="N705" t="str">
        <f t="shared" si="10"/>
        <v>INSERT INTO TNL_RATING.dbo.usps_rate_master VALUES ('USPS', '2/13/2025', '2/13/2026', 12659, 'US', 'Priority Mail Express', 7, 9, 'L', 40.28, 'Wedgewood_USPS_2025', 'NonCubic','2');</v>
      </c>
    </row>
    <row r="706" spans="1:14" x14ac:dyDescent="0.3">
      <c r="A706" t="s">
        <v>11</v>
      </c>
      <c r="B706" s="1" t="s">
        <v>43</v>
      </c>
      <c r="C706" s="1" t="s">
        <v>44</v>
      </c>
      <c r="D706">
        <v>12659</v>
      </c>
      <c r="E706" t="s">
        <v>12</v>
      </c>
      <c r="F706" t="s">
        <v>42</v>
      </c>
      <c r="G706">
        <v>7</v>
      </c>
      <c r="H706">
        <v>10</v>
      </c>
      <c r="I706" t="s">
        <v>45</v>
      </c>
      <c r="J706" cm="1">
        <f t="array" ref="J706">IFERROR(
    _xlfn.XLOOKUP(G706, 'Wedgewood Pharm-PME-Yr2-2025'!$E$33:$L$33,
        _xlfn.XLOOKUP('Rate Load'!H706, 'Wedgewood Pharm-PME-Yr2-2025'!$D$34:$D$57,
            'Wedgewood Pharm-PME-Yr2-2025'!$E$34:$L$57, 0, 0),
        0, 0),
    _xlfn.XLOOKUP(G706, 'Wedgewood Pharm-PME-Yr2-2025'!$E$33:$L$33,
        _xlfn.XLOOKUP('Rate Load'!L706, 'Wedgewood Pharm-PME-Yr2-2025'!$D$34:$D$57,
            'Wedgewood Pharm-PME-Yr2-2025'!$E$34:$L$57, 0, 0),
        0, 0)
)</f>
        <v>43.199999999999996</v>
      </c>
      <c r="K706" t="s">
        <v>46</v>
      </c>
      <c r="L706" t="s">
        <v>13</v>
      </c>
      <c r="M706">
        <v>2</v>
      </c>
      <c r="N706" t="str">
        <f t="shared" si="10"/>
        <v>INSERT INTO TNL_RATING.dbo.usps_rate_master VALUES ('USPS', '2/13/2025', '2/13/2026', 12659, 'US', 'Priority Mail Express', 7, 10, 'L', 43.2, 'Wedgewood_USPS_2025', 'NonCubic','2');</v>
      </c>
    </row>
    <row r="707" spans="1:14" x14ac:dyDescent="0.3">
      <c r="A707" t="s">
        <v>11</v>
      </c>
      <c r="B707" s="1" t="s">
        <v>43</v>
      </c>
      <c r="C707" s="1" t="s">
        <v>44</v>
      </c>
      <c r="D707">
        <v>12659</v>
      </c>
      <c r="E707" t="s">
        <v>12</v>
      </c>
      <c r="F707" t="s">
        <v>42</v>
      </c>
      <c r="G707">
        <v>7</v>
      </c>
      <c r="H707">
        <v>11</v>
      </c>
      <c r="I707" t="s">
        <v>45</v>
      </c>
      <c r="J707" cm="1">
        <f t="array" ref="J707">IFERROR(
    _xlfn.XLOOKUP(G707, 'Wedgewood Pharm-PME-Yr2-2025'!$E$33:$L$33,
        _xlfn.XLOOKUP('Rate Load'!H707, 'Wedgewood Pharm-PME-Yr2-2025'!$D$34:$D$57,
            'Wedgewood Pharm-PME-Yr2-2025'!$E$34:$L$57, 0, 0),
        0, 0),
    _xlfn.XLOOKUP(G707, 'Wedgewood Pharm-PME-Yr2-2025'!$E$33:$L$33,
        _xlfn.XLOOKUP('Rate Load'!L707, 'Wedgewood Pharm-PME-Yr2-2025'!$D$34:$D$57,
            'Wedgewood Pharm-PME-Yr2-2025'!$E$34:$L$57, 0, 0),
        0, 0)
)</f>
        <v>45.71</v>
      </c>
      <c r="K707" t="s">
        <v>46</v>
      </c>
      <c r="L707" t="s">
        <v>13</v>
      </c>
      <c r="M707">
        <v>2</v>
      </c>
      <c r="N707" t="str">
        <f t="shared" ref="N707:N770" si="11">"INSERT INTO TNL_RATING.dbo.usps_rate_master VALUES ('" &amp; A707 &amp; "', '" &amp; B707 &amp; "', '" &amp; C707 &amp; "', " &amp; D707 &amp; ", '" &amp; E707 &amp; "', '" &amp; F707 &amp; "', " &amp; G707 &amp; ", " &amp; H707 &amp; ", '" &amp; I707 &amp; "', " &amp; J707 &amp; ", '" &amp; K707 &amp; "', '" &amp; L707 &amp; "','" &amp; M707 &amp; "');"</f>
        <v>INSERT INTO TNL_RATING.dbo.usps_rate_master VALUES ('USPS', '2/13/2025', '2/13/2026', 12659, 'US', 'Priority Mail Express', 7, 11, 'L', 45.71, 'Wedgewood_USPS_2025', 'NonCubic','2');</v>
      </c>
    </row>
    <row r="708" spans="1:14" x14ac:dyDescent="0.3">
      <c r="A708" t="s">
        <v>11</v>
      </c>
      <c r="B708" s="1" t="s">
        <v>43</v>
      </c>
      <c r="C708" s="1" t="s">
        <v>44</v>
      </c>
      <c r="D708">
        <v>12659</v>
      </c>
      <c r="E708" t="s">
        <v>12</v>
      </c>
      <c r="F708" t="s">
        <v>42</v>
      </c>
      <c r="G708">
        <v>7</v>
      </c>
      <c r="H708">
        <v>12</v>
      </c>
      <c r="I708" t="s">
        <v>45</v>
      </c>
      <c r="J708" cm="1">
        <f t="array" ref="J708">IFERROR(
    _xlfn.XLOOKUP(G708, 'Wedgewood Pharm-PME-Yr2-2025'!$E$33:$L$33,
        _xlfn.XLOOKUP('Rate Load'!H708, 'Wedgewood Pharm-PME-Yr2-2025'!$D$34:$D$57,
            'Wedgewood Pharm-PME-Yr2-2025'!$E$34:$L$57, 0, 0),
        0, 0),
    _xlfn.XLOOKUP(G708, 'Wedgewood Pharm-PME-Yr2-2025'!$E$33:$L$33,
        _xlfn.XLOOKUP('Rate Load'!L708, 'Wedgewood Pharm-PME-Yr2-2025'!$D$34:$D$57,
            'Wedgewood Pharm-PME-Yr2-2025'!$E$34:$L$57, 0, 0),
        0, 0)
)</f>
        <v>48.239999999999995</v>
      </c>
      <c r="K708" t="s">
        <v>46</v>
      </c>
      <c r="L708" t="s">
        <v>13</v>
      </c>
      <c r="M708">
        <v>2</v>
      </c>
      <c r="N708" t="str">
        <f t="shared" si="11"/>
        <v>INSERT INTO TNL_RATING.dbo.usps_rate_master VALUES ('USPS', '2/13/2025', '2/13/2026', 12659, 'US', 'Priority Mail Express', 7, 12, 'L', 48.24, 'Wedgewood_USPS_2025', 'NonCubic','2');</v>
      </c>
    </row>
    <row r="709" spans="1:14" x14ac:dyDescent="0.3">
      <c r="A709" t="s">
        <v>11</v>
      </c>
      <c r="B709" s="1" t="s">
        <v>43</v>
      </c>
      <c r="C709" s="1" t="s">
        <v>44</v>
      </c>
      <c r="D709">
        <v>12659</v>
      </c>
      <c r="E709" t="s">
        <v>12</v>
      </c>
      <c r="F709" t="s">
        <v>42</v>
      </c>
      <c r="G709">
        <v>7</v>
      </c>
      <c r="H709">
        <v>13</v>
      </c>
      <c r="I709" t="s">
        <v>45</v>
      </c>
      <c r="J709" cm="1">
        <f t="array" ref="J709">IFERROR(
    _xlfn.XLOOKUP(G709, 'Wedgewood Pharm-PME-Yr2-2025'!$E$33:$L$33,
        _xlfn.XLOOKUP('Rate Load'!H709, 'Wedgewood Pharm-PME-Yr2-2025'!$D$34:$D$57,
            'Wedgewood Pharm-PME-Yr2-2025'!$E$34:$L$57, 0, 0),
        0, 0),
    _xlfn.XLOOKUP(G709, 'Wedgewood Pharm-PME-Yr2-2025'!$E$33:$L$33,
        _xlfn.XLOOKUP('Rate Load'!L709, 'Wedgewood Pharm-PME-Yr2-2025'!$D$34:$D$57,
            'Wedgewood Pharm-PME-Yr2-2025'!$E$34:$L$57, 0, 0),
        0, 0)
)</f>
        <v>50.76</v>
      </c>
      <c r="K709" t="s">
        <v>46</v>
      </c>
      <c r="L709" t="s">
        <v>13</v>
      </c>
      <c r="M709">
        <v>2</v>
      </c>
      <c r="N709" t="str">
        <f t="shared" si="11"/>
        <v>INSERT INTO TNL_RATING.dbo.usps_rate_master VALUES ('USPS', '2/13/2025', '2/13/2026', 12659, 'US', 'Priority Mail Express', 7, 13, 'L', 50.76, 'Wedgewood_USPS_2025', 'NonCubic','2');</v>
      </c>
    </row>
    <row r="710" spans="1:14" x14ac:dyDescent="0.3">
      <c r="A710" t="s">
        <v>11</v>
      </c>
      <c r="B710" s="1" t="s">
        <v>43</v>
      </c>
      <c r="C710" s="1" t="s">
        <v>44</v>
      </c>
      <c r="D710">
        <v>12659</v>
      </c>
      <c r="E710" t="s">
        <v>12</v>
      </c>
      <c r="F710" t="s">
        <v>42</v>
      </c>
      <c r="G710">
        <v>7</v>
      </c>
      <c r="H710">
        <v>14</v>
      </c>
      <c r="I710" t="s">
        <v>45</v>
      </c>
      <c r="J710" cm="1">
        <f t="array" ref="J710">IFERROR(
    _xlfn.XLOOKUP(G710, 'Wedgewood Pharm-PME-Yr2-2025'!$E$33:$L$33,
        _xlfn.XLOOKUP('Rate Load'!H710, 'Wedgewood Pharm-PME-Yr2-2025'!$D$34:$D$57,
            'Wedgewood Pharm-PME-Yr2-2025'!$E$34:$L$57, 0, 0),
        0, 0),
    _xlfn.XLOOKUP(G710, 'Wedgewood Pharm-PME-Yr2-2025'!$E$33:$L$33,
        _xlfn.XLOOKUP('Rate Load'!L710, 'Wedgewood Pharm-PME-Yr2-2025'!$D$34:$D$57,
            'Wedgewood Pharm-PME-Yr2-2025'!$E$34:$L$57, 0, 0),
        0, 0)
)</f>
        <v>53.28</v>
      </c>
      <c r="K710" t="s">
        <v>46</v>
      </c>
      <c r="L710" t="s">
        <v>13</v>
      </c>
      <c r="M710">
        <v>2</v>
      </c>
      <c r="N710" t="str">
        <f t="shared" si="11"/>
        <v>INSERT INTO TNL_RATING.dbo.usps_rate_master VALUES ('USPS', '2/13/2025', '2/13/2026', 12659, 'US', 'Priority Mail Express', 7, 14, 'L', 53.28, 'Wedgewood_USPS_2025', 'NonCubic','2');</v>
      </c>
    </row>
    <row r="711" spans="1:14" x14ac:dyDescent="0.3">
      <c r="A711" t="s">
        <v>11</v>
      </c>
      <c r="B711" s="1" t="s">
        <v>43</v>
      </c>
      <c r="C711" s="1" t="s">
        <v>44</v>
      </c>
      <c r="D711">
        <v>12659</v>
      </c>
      <c r="E711" t="s">
        <v>12</v>
      </c>
      <c r="F711" t="s">
        <v>42</v>
      </c>
      <c r="G711">
        <v>7</v>
      </c>
      <c r="H711">
        <v>15</v>
      </c>
      <c r="I711" t="s">
        <v>45</v>
      </c>
      <c r="J711" cm="1">
        <f t="array" ref="J711">IFERROR(
    _xlfn.XLOOKUP(G711, 'Wedgewood Pharm-PME-Yr2-2025'!$E$33:$L$33,
        _xlfn.XLOOKUP('Rate Load'!H711, 'Wedgewood Pharm-PME-Yr2-2025'!$D$34:$D$57,
            'Wedgewood Pharm-PME-Yr2-2025'!$E$34:$L$57, 0, 0),
        0, 0),
    _xlfn.XLOOKUP(G711, 'Wedgewood Pharm-PME-Yr2-2025'!$E$33:$L$33,
        _xlfn.XLOOKUP('Rate Load'!L711, 'Wedgewood Pharm-PME-Yr2-2025'!$D$34:$D$57,
            'Wedgewood Pharm-PME-Yr2-2025'!$E$34:$L$57, 0, 0),
        0, 0)
)</f>
        <v>55.78</v>
      </c>
      <c r="K711" t="s">
        <v>46</v>
      </c>
      <c r="L711" t="s">
        <v>13</v>
      </c>
      <c r="M711">
        <v>2</v>
      </c>
      <c r="N711" t="str">
        <f t="shared" si="11"/>
        <v>INSERT INTO TNL_RATING.dbo.usps_rate_master VALUES ('USPS', '2/13/2025', '2/13/2026', 12659, 'US', 'Priority Mail Express', 7, 15, 'L', 55.78, 'Wedgewood_USPS_2025', 'NonCubic','2');</v>
      </c>
    </row>
    <row r="712" spans="1:14" x14ac:dyDescent="0.3">
      <c r="A712" t="s">
        <v>11</v>
      </c>
      <c r="B712" s="1" t="s">
        <v>43</v>
      </c>
      <c r="C712" s="1" t="s">
        <v>44</v>
      </c>
      <c r="D712">
        <v>12659</v>
      </c>
      <c r="E712" t="s">
        <v>12</v>
      </c>
      <c r="F712" t="s">
        <v>42</v>
      </c>
      <c r="G712">
        <v>7</v>
      </c>
      <c r="H712">
        <v>16</v>
      </c>
      <c r="I712" t="s">
        <v>45</v>
      </c>
      <c r="J712" cm="1">
        <f t="array" ref="J712">IFERROR(
    _xlfn.XLOOKUP(G712, 'Wedgewood Pharm-PME-Yr2-2025'!$E$33:$L$33,
        _xlfn.XLOOKUP('Rate Load'!H712, 'Wedgewood Pharm-PME-Yr2-2025'!$D$34:$D$57,
            'Wedgewood Pharm-PME-Yr2-2025'!$E$34:$L$57, 0, 0),
        0, 0),
    _xlfn.XLOOKUP(G712, 'Wedgewood Pharm-PME-Yr2-2025'!$E$33:$L$33,
        _xlfn.XLOOKUP('Rate Load'!L712, 'Wedgewood Pharm-PME-Yr2-2025'!$D$34:$D$57,
            'Wedgewood Pharm-PME-Yr2-2025'!$E$34:$L$57, 0, 0),
        0, 0)
)</f>
        <v>58.3</v>
      </c>
      <c r="K712" t="s">
        <v>46</v>
      </c>
      <c r="L712" t="s">
        <v>13</v>
      </c>
      <c r="M712">
        <v>2</v>
      </c>
      <c r="N712" t="str">
        <f t="shared" si="11"/>
        <v>INSERT INTO TNL_RATING.dbo.usps_rate_master VALUES ('USPS', '2/13/2025', '2/13/2026', 12659, 'US', 'Priority Mail Express', 7, 16, 'L', 58.3, 'Wedgewood_USPS_2025', 'NonCubic','2');</v>
      </c>
    </row>
    <row r="713" spans="1:14" x14ac:dyDescent="0.3">
      <c r="A713" t="s">
        <v>11</v>
      </c>
      <c r="B713" s="1" t="s">
        <v>43</v>
      </c>
      <c r="C713" s="1" t="s">
        <v>44</v>
      </c>
      <c r="D713">
        <v>12659</v>
      </c>
      <c r="E713" t="s">
        <v>12</v>
      </c>
      <c r="F713" t="s">
        <v>42</v>
      </c>
      <c r="G713">
        <v>7</v>
      </c>
      <c r="H713">
        <v>17</v>
      </c>
      <c r="I713" t="s">
        <v>45</v>
      </c>
      <c r="J713" cm="1">
        <f t="array" ref="J713">IFERROR(
    _xlfn.XLOOKUP(G713, 'Wedgewood Pharm-PME-Yr2-2025'!$E$33:$L$33,
        _xlfn.XLOOKUP('Rate Load'!H713, 'Wedgewood Pharm-PME-Yr2-2025'!$D$34:$D$57,
            'Wedgewood Pharm-PME-Yr2-2025'!$E$34:$L$57, 0, 0),
        0, 0),
    _xlfn.XLOOKUP(G713, 'Wedgewood Pharm-PME-Yr2-2025'!$E$33:$L$33,
        _xlfn.XLOOKUP('Rate Load'!L713, 'Wedgewood Pharm-PME-Yr2-2025'!$D$34:$D$57,
            'Wedgewood Pharm-PME-Yr2-2025'!$E$34:$L$57, 0, 0),
        0, 0)
)</f>
        <v>60.83</v>
      </c>
      <c r="K713" t="s">
        <v>46</v>
      </c>
      <c r="L713" t="s">
        <v>13</v>
      </c>
      <c r="M713">
        <v>2</v>
      </c>
      <c r="N713" t="str">
        <f t="shared" si="11"/>
        <v>INSERT INTO TNL_RATING.dbo.usps_rate_master VALUES ('USPS', '2/13/2025', '2/13/2026', 12659, 'US', 'Priority Mail Express', 7, 17, 'L', 60.83, 'Wedgewood_USPS_2025', 'NonCubic','2');</v>
      </c>
    </row>
    <row r="714" spans="1:14" x14ac:dyDescent="0.3">
      <c r="A714" t="s">
        <v>11</v>
      </c>
      <c r="B714" s="1" t="s">
        <v>43</v>
      </c>
      <c r="C714" s="1" t="s">
        <v>44</v>
      </c>
      <c r="D714">
        <v>12659</v>
      </c>
      <c r="E714" t="s">
        <v>12</v>
      </c>
      <c r="F714" t="s">
        <v>42</v>
      </c>
      <c r="G714">
        <v>7</v>
      </c>
      <c r="H714">
        <v>18</v>
      </c>
      <c r="I714" t="s">
        <v>45</v>
      </c>
      <c r="J714" cm="1">
        <f t="array" ref="J714">IFERROR(
    _xlfn.XLOOKUP(G714, 'Wedgewood Pharm-PME-Yr2-2025'!$E$33:$L$33,
        _xlfn.XLOOKUP('Rate Load'!H714, 'Wedgewood Pharm-PME-Yr2-2025'!$D$34:$D$57,
            'Wedgewood Pharm-PME-Yr2-2025'!$E$34:$L$57, 0, 0),
        0, 0),
    _xlfn.XLOOKUP(G714, 'Wedgewood Pharm-PME-Yr2-2025'!$E$33:$L$33,
        _xlfn.XLOOKUP('Rate Load'!L714, 'Wedgewood Pharm-PME-Yr2-2025'!$D$34:$D$57,
            'Wedgewood Pharm-PME-Yr2-2025'!$E$34:$L$57, 0, 0),
        0, 0)
)</f>
        <v>63.339999999999996</v>
      </c>
      <c r="K714" t="s">
        <v>46</v>
      </c>
      <c r="L714" t="s">
        <v>13</v>
      </c>
      <c r="M714">
        <v>2</v>
      </c>
      <c r="N714" t="str">
        <f t="shared" si="11"/>
        <v>INSERT INTO TNL_RATING.dbo.usps_rate_master VALUES ('USPS', '2/13/2025', '2/13/2026', 12659, 'US', 'Priority Mail Express', 7, 18, 'L', 63.34, 'Wedgewood_USPS_2025', 'NonCubic','2');</v>
      </c>
    </row>
    <row r="715" spans="1:14" x14ac:dyDescent="0.3">
      <c r="A715" t="s">
        <v>11</v>
      </c>
      <c r="B715" s="1" t="s">
        <v>43</v>
      </c>
      <c r="C715" s="1" t="s">
        <v>44</v>
      </c>
      <c r="D715">
        <v>12659</v>
      </c>
      <c r="E715" t="s">
        <v>12</v>
      </c>
      <c r="F715" t="s">
        <v>42</v>
      </c>
      <c r="G715">
        <v>7</v>
      </c>
      <c r="H715">
        <v>19</v>
      </c>
      <c r="I715" t="s">
        <v>45</v>
      </c>
      <c r="J715" cm="1">
        <f t="array" ref="J715">IFERROR(
    _xlfn.XLOOKUP(G715, 'Wedgewood Pharm-PME-Yr2-2025'!$E$33:$L$33,
        _xlfn.XLOOKUP('Rate Load'!H715, 'Wedgewood Pharm-PME-Yr2-2025'!$D$34:$D$57,
            'Wedgewood Pharm-PME-Yr2-2025'!$E$34:$L$57, 0, 0),
        0, 0),
    _xlfn.XLOOKUP(G715, 'Wedgewood Pharm-PME-Yr2-2025'!$E$33:$L$33,
        _xlfn.XLOOKUP('Rate Load'!L715, 'Wedgewood Pharm-PME-Yr2-2025'!$D$34:$D$57,
            'Wedgewood Pharm-PME-Yr2-2025'!$E$34:$L$57, 0, 0),
        0, 0)
)</f>
        <v>65.87</v>
      </c>
      <c r="K715" t="s">
        <v>46</v>
      </c>
      <c r="L715" t="s">
        <v>13</v>
      </c>
      <c r="M715">
        <v>2</v>
      </c>
      <c r="N715" t="str">
        <f t="shared" si="11"/>
        <v>INSERT INTO TNL_RATING.dbo.usps_rate_master VALUES ('USPS', '2/13/2025', '2/13/2026', 12659, 'US', 'Priority Mail Express', 7, 19, 'L', 65.87, 'Wedgewood_USPS_2025', 'NonCubic','2');</v>
      </c>
    </row>
    <row r="716" spans="1:14" x14ac:dyDescent="0.3">
      <c r="A716" t="s">
        <v>11</v>
      </c>
      <c r="B716" s="1" t="s">
        <v>43</v>
      </c>
      <c r="C716" s="1" t="s">
        <v>44</v>
      </c>
      <c r="D716">
        <v>12659</v>
      </c>
      <c r="E716" t="s">
        <v>12</v>
      </c>
      <c r="F716" t="s">
        <v>42</v>
      </c>
      <c r="G716">
        <v>7</v>
      </c>
      <c r="H716">
        <v>20</v>
      </c>
      <c r="I716" t="s">
        <v>45</v>
      </c>
      <c r="J716" cm="1">
        <f t="array" ref="J716">IFERROR(
    _xlfn.XLOOKUP(G716, 'Wedgewood Pharm-PME-Yr2-2025'!$E$33:$L$33,
        _xlfn.XLOOKUP('Rate Load'!H716, 'Wedgewood Pharm-PME-Yr2-2025'!$D$34:$D$57,
            'Wedgewood Pharm-PME-Yr2-2025'!$E$34:$L$57, 0, 0),
        0, 0),
    _xlfn.XLOOKUP(G716, 'Wedgewood Pharm-PME-Yr2-2025'!$E$33:$L$33,
        _xlfn.XLOOKUP('Rate Load'!L716, 'Wedgewood Pharm-PME-Yr2-2025'!$D$34:$D$57,
            'Wedgewood Pharm-PME-Yr2-2025'!$E$34:$L$57, 0, 0),
        0, 0)
)</f>
        <v>68.37</v>
      </c>
      <c r="K716" t="s">
        <v>46</v>
      </c>
      <c r="L716" t="s">
        <v>13</v>
      </c>
      <c r="M716">
        <v>2</v>
      </c>
      <c r="N716" t="str">
        <f t="shared" si="11"/>
        <v>INSERT INTO TNL_RATING.dbo.usps_rate_master VALUES ('USPS', '2/13/2025', '2/13/2026', 12659, 'US', 'Priority Mail Express', 7, 20, 'L', 68.37, 'Wedgewood_USPS_2025', 'NonCubic','2');</v>
      </c>
    </row>
    <row r="717" spans="1:14" x14ac:dyDescent="0.3">
      <c r="A717" t="s">
        <v>11</v>
      </c>
      <c r="B717" s="1" t="s">
        <v>43</v>
      </c>
      <c r="C717" s="1" t="s">
        <v>44</v>
      </c>
      <c r="D717">
        <v>12659</v>
      </c>
      <c r="E717" t="s">
        <v>12</v>
      </c>
      <c r="F717" t="s">
        <v>42</v>
      </c>
      <c r="G717">
        <v>8</v>
      </c>
      <c r="H717">
        <v>0.5</v>
      </c>
      <c r="I717" t="s">
        <v>45</v>
      </c>
      <c r="J717" cm="1">
        <f t="array" ref="J717">IFERROR(
    _xlfn.XLOOKUP(G717, 'Wedgewood Pharm-PME-Yr2-2025'!$E$33:$L$33,
        _xlfn.XLOOKUP('Rate Load'!H717, 'Wedgewood Pharm-PME-Yr2-2025'!$D$34:$D$57,
            'Wedgewood Pharm-PME-Yr2-2025'!$E$34:$L$57, 0, 0),
        0, 0),
    _xlfn.XLOOKUP(G717, 'Wedgewood Pharm-PME-Yr2-2025'!$E$33:$L$33,
        _xlfn.XLOOKUP('Rate Load'!L717, 'Wedgewood Pharm-PME-Yr2-2025'!$D$34:$D$57,
            'Wedgewood Pharm-PME-Yr2-2025'!$E$34:$L$57, 0, 0),
        0, 0)
)</f>
        <v>16.220000000000002</v>
      </c>
      <c r="K717" t="s">
        <v>46</v>
      </c>
      <c r="L717" t="s">
        <v>13</v>
      </c>
      <c r="M717">
        <v>2</v>
      </c>
      <c r="N717" t="str">
        <f t="shared" si="11"/>
        <v>INSERT INTO TNL_RATING.dbo.usps_rate_master VALUES ('USPS', '2/13/2025', '2/13/2026', 12659, 'US', 'Priority Mail Express', 8, 0.5, 'L', 16.22, 'Wedgewood_USPS_2025', 'NonCubic','2');</v>
      </c>
    </row>
    <row r="718" spans="1:14" x14ac:dyDescent="0.3">
      <c r="A718" t="s">
        <v>11</v>
      </c>
      <c r="B718" s="1" t="s">
        <v>43</v>
      </c>
      <c r="C718" s="1" t="s">
        <v>44</v>
      </c>
      <c r="D718">
        <v>12659</v>
      </c>
      <c r="E718" t="s">
        <v>12</v>
      </c>
      <c r="F718" t="s">
        <v>42</v>
      </c>
      <c r="G718">
        <v>8</v>
      </c>
      <c r="H718">
        <v>1</v>
      </c>
      <c r="I718" t="s">
        <v>45</v>
      </c>
      <c r="J718" cm="1">
        <f t="array" ref="J718">IFERROR(
    _xlfn.XLOOKUP(G718, 'Wedgewood Pharm-PME-Yr2-2025'!$E$33:$L$33,
        _xlfn.XLOOKUP('Rate Load'!H718, 'Wedgewood Pharm-PME-Yr2-2025'!$D$34:$D$57,
            'Wedgewood Pharm-PME-Yr2-2025'!$E$34:$L$57, 0, 0),
        0, 0),
    _xlfn.XLOOKUP(G718, 'Wedgewood Pharm-PME-Yr2-2025'!$E$33:$L$33,
        _xlfn.XLOOKUP('Rate Load'!L718, 'Wedgewood Pharm-PME-Yr2-2025'!$D$34:$D$57,
            'Wedgewood Pharm-PME-Yr2-2025'!$E$34:$L$57, 0, 0),
        0, 0)
)</f>
        <v>17.96</v>
      </c>
      <c r="K718" t="s">
        <v>46</v>
      </c>
      <c r="L718" t="s">
        <v>13</v>
      </c>
      <c r="M718">
        <v>2</v>
      </c>
      <c r="N718" t="str">
        <f t="shared" si="11"/>
        <v>INSERT INTO TNL_RATING.dbo.usps_rate_master VALUES ('USPS', '2/13/2025', '2/13/2026', 12659, 'US', 'Priority Mail Express', 8, 1, 'L', 17.96, 'Wedgewood_USPS_2025', 'NonCubic','2');</v>
      </c>
    </row>
    <row r="719" spans="1:14" x14ac:dyDescent="0.3">
      <c r="A719" t="s">
        <v>11</v>
      </c>
      <c r="B719" s="1" t="s">
        <v>43</v>
      </c>
      <c r="C719" s="1" t="s">
        <v>44</v>
      </c>
      <c r="D719">
        <v>12659</v>
      </c>
      <c r="E719" t="s">
        <v>12</v>
      </c>
      <c r="F719" t="s">
        <v>42</v>
      </c>
      <c r="G719">
        <v>8</v>
      </c>
      <c r="H719">
        <v>2</v>
      </c>
      <c r="I719" t="s">
        <v>45</v>
      </c>
      <c r="J719" cm="1">
        <f t="array" ref="J719">IFERROR(
    _xlfn.XLOOKUP(G719, 'Wedgewood Pharm-PME-Yr2-2025'!$E$33:$L$33,
        _xlfn.XLOOKUP('Rate Load'!H719, 'Wedgewood Pharm-PME-Yr2-2025'!$D$34:$D$57,
            'Wedgewood Pharm-PME-Yr2-2025'!$E$34:$L$57, 0, 0),
        0, 0),
    _xlfn.XLOOKUP(G719, 'Wedgewood Pharm-PME-Yr2-2025'!$E$33:$L$33,
        _xlfn.XLOOKUP('Rate Load'!L719, 'Wedgewood Pharm-PME-Yr2-2025'!$D$34:$D$57,
            'Wedgewood Pharm-PME-Yr2-2025'!$E$34:$L$57, 0, 0),
        0, 0)
)</f>
        <v>20.5</v>
      </c>
      <c r="K719" t="s">
        <v>46</v>
      </c>
      <c r="L719" t="s">
        <v>13</v>
      </c>
      <c r="M719">
        <v>2</v>
      </c>
      <c r="N719" t="str">
        <f t="shared" si="11"/>
        <v>INSERT INTO TNL_RATING.dbo.usps_rate_master VALUES ('USPS', '2/13/2025', '2/13/2026', 12659, 'US', 'Priority Mail Express', 8, 2, 'L', 20.5, 'Wedgewood_USPS_2025', 'NonCubic','2');</v>
      </c>
    </row>
    <row r="720" spans="1:14" x14ac:dyDescent="0.3">
      <c r="A720" t="s">
        <v>11</v>
      </c>
      <c r="B720" s="1" t="s">
        <v>43</v>
      </c>
      <c r="C720" s="1" t="s">
        <v>44</v>
      </c>
      <c r="D720">
        <v>12659</v>
      </c>
      <c r="E720" t="s">
        <v>12</v>
      </c>
      <c r="F720" t="s">
        <v>42</v>
      </c>
      <c r="G720">
        <v>8</v>
      </c>
      <c r="H720">
        <v>3</v>
      </c>
      <c r="I720" t="s">
        <v>45</v>
      </c>
      <c r="J720" cm="1">
        <f t="array" ref="J720">IFERROR(
    _xlfn.XLOOKUP(G720, 'Wedgewood Pharm-PME-Yr2-2025'!$E$33:$L$33,
        _xlfn.XLOOKUP('Rate Load'!H720, 'Wedgewood Pharm-PME-Yr2-2025'!$D$34:$D$57,
            'Wedgewood Pharm-PME-Yr2-2025'!$E$34:$L$57, 0, 0),
        0, 0),
    _xlfn.XLOOKUP(G720, 'Wedgewood Pharm-PME-Yr2-2025'!$E$33:$L$33,
        _xlfn.XLOOKUP('Rate Load'!L720, 'Wedgewood Pharm-PME-Yr2-2025'!$D$34:$D$57,
            'Wedgewood Pharm-PME-Yr2-2025'!$E$34:$L$57, 0, 0),
        0, 0)
)</f>
        <v>23.42</v>
      </c>
      <c r="K720" t="s">
        <v>46</v>
      </c>
      <c r="L720" t="s">
        <v>13</v>
      </c>
      <c r="M720">
        <v>2</v>
      </c>
      <c r="N720" t="str">
        <f t="shared" si="11"/>
        <v>INSERT INTO TNL_RATING.dbo.usps_rate_master VALUES ('USPS', '2/13/2025', '2/13/2026', 12659, 'US', 'Priority Mail Express', 8, 3, 'L', 23.42, 'Wedgewood_USPS_2025', 'NonCubic','2');</v>
      </c>
    </row>
    <row r="721" spans="1:14" x14ac:dyDescent="0.3">
      <c r="A721" t="s">
        <v>11</v>
      </c>
      <c r="B721" s="1" t="s">
        <v>43</v>
      </c>
      <c r="C721" s="1" t="s">
        <v>44</v>
      </c>
      <c r="D721">
        <v>12659</v>
      </c>
      <c r="E721" t="s">
        <v>12</v>
      </c>
      <c r="F721" t="s">
        <v>42</v>
      </c>
      <c r="G721">
        <v>8</v>
      </c>
      <c r="H721">
        <v>4</v>
      </c>
      <c r="I721" t="s">
        <v>45</v>
      </c>
      <c r="J721" cm="1">
        <f t="array" ref="J721">IFERROR(
    _xlfn.XLOOKUP(G721, 'Wedgewood Pharm-PME-Yr2-2025'!$E$33:$L$33,
        _xlfn.XLOOKUP('Rate Load'!H721, 'Wedgewood Pharm-PME-Yr2-2025'!$D$34:$D$57,
            'Wedgewood Pharm-PME-Yr2-2025'!$E$34:$L$57, 0, 0),
        0, 0),
    _xlfn.XLOOKUP(G721, 'Wedgewood Pharm-PME-Yr2-2025'!$E$33:$L$33,
        _xlfn.XLOOKUP('Rate Load'!L721, 'Wedgewood Pharm-PME-Yr2-2025'!$D$34:$D$57,
            'Wedgewood Pharm-PME-Yr2-2025'!$E$34:$L$57, 0, 0),
        0, 0)
)</f>
        <v>26.360000000000003</v>
      </c>
      <c r="K721" t="s">
        <v>46</v>
      </c>
      <c r="L721" t="s">
        <v>13</v>
      </c>
      <c r="M721">
        <v>2</v>
      </c>
      <c r="N721" t="str">
        <f t="shared" si="11"/>
        <v>INSERT INTO TNL_RATING.dbo.usps_rate_master VALUES ('USPS', '2/13/2025', '2/13/2026', 12659, 'US', 'Priority Mail Express', 8, 4, 'L', 26.36, 'Wedgewood_USPS_2025', 'NonCubic','2');</v>
      </c>
    </row>
    <row r="722" spans="1:14" x14ac:dyDescent="0.3">
      <c r="A722" t="s">
        <v>11</v>
      </c>
      <c r="B722" s="1" t="s">
        <v>43</v>
      </c>
      <c r="C722" s="1" t="s">
        <v>44</v>
      </c>
      <c r="D722">
        <v>12659</v>
      </c>
      <c r="E722" t="s">
        <v>12</v>
      </c>
      <c r="F722" t="s">
        <v>42</v>
      </c>
      <c r="G722">
        <v>8</v>
      </c>
      <c r="H722">
        <v>5</v>
      </c>
      <c r="I722" t="s">
        <v>45</v>
      </c>
      <c r="J722" cm="1">
        <f t="array" ref="J722">IFERROR(
    _xlfn.XLOOKUP(G722, 'Wedgewood Pharm-PME-Yr2-2025'!$E$33:$L$33,
        _xlfn.XLOOKUP('Rate Load'!H722, 'Wedgewood Pharm-PME-Yr2-2025'!$D$34:$D$57,
            'Wedgewood Pharm-PME-Yr2-2025'!$E$34:$L$57, 0, 0),
        0, 0),
    _xlfn.XLOOKUP(G722, 'Wedgewood Pharm-PME-Yr2-2025'!$E$33:$L$33,
        _xlfn.XLOOKUP('Rate Load'!L722, 'Wedgewood Pharm-PME-Yr2-2025'!$D$34:$D$57,
            'Wedgewood Pharm-PME-Yr2-2025'!$E$34:$L$57, 0, 0),
        0, 0)
)</f>
        <v>29.270000000000003</v>
      </c>
      <c r="K722" t="s">
        <v>46</v>
      </c>
      <c r="L722" t="s">
        <v>13</v>
      </c>
      <c r="M722">
        <v>2</v>
      </c>
      <c r="N722" t="str">
        <f t="shared" si="11"/>
        <v>INSERT INTO TNL_RATING.dbo.usps_rate_master VALUES ('USPS', '2/13/2025', '2/13/2026', 12659, 'US', 'Priority Mail Express', 8, 5, 'L', 29.27, 'Wedgewood_USPS_2025', 'NonCubic','2');</v>
      </c>
    </row>
    <row r="723" spans="1:14" x14ac:dyDescent="0.3">
      <c r="A723" t="s">
        <v>11</v>
      </c>
      <c r="B723" s="1" t="s">
        <v>43</v>
      </c>
      <c r="C723" s="1" t="s">
        <v>44</v>
      </c>
      <c r="D723">
        <v>12659</v>
      </c>
      <c r="E723" t="s">
        <v>12</v>
      </c>
      <c r="F723" t="s">
        <v>42</v>
      </c>
      <c r="G723">
        <v>8</v>
      </c>
      <c r="H723">
        <v>6</v>
      </c>
      <c r="I723" t="s">
        <v>45</v>
      </c>
      <c r="J723" cm="1">
        <f t="array" ref="J723">IFERROR(
    _xlfn.XLOOKUP(G723, 'Wedgewood Pharm-PME-Yr2-2025'!$E$33:$L$33,
        _xlfn.XLOOKUP('Rate Load'!H723, 'Wedgewood Pharm-PME-Yr2-2025'!$D$34:$D$57,
            'Wedgewood Pharm-PME-Yr2-2025'!$E$34:$L$57, 0, 0),
        0, 0),
    _xlfn.XLOOKUP(G723, 'Wedgewood Pharm-PME-Yr2-2025'!$E$33:$L$33,
        _xlfn.XLOOKUP('Rate Load'!L723, 'Wedgewood Pharm-PME-Yr2-2025'!$D$34:$D$57,
            'Wedgewood Pharm-PME-Yr2-2025'!$E$34:$L$57, 0, 0),
        0, 0)
)</f>
        <v>32.239999999999995</v>
      </c>
      <c r="K723" t="s">
        <v>46</v>
      </c>
      <c r="L723" t="s">
        <v>13</v>
      </c>
      <c r="M723">
        <v>2</v>
      </c>
      <c r="N723" t="str">
        <f t="shared" si="11"/>
        <v>INSERT INTO TNL_RATING.dbo.usps_rate_master VALUES ('USPS', '2/13/2025', '2/13/2026', 12659, 'US', 'Priority Mail Express', 8, 6, 'L', 32.24, 'Wedgewood_USPS_2025', 'NonCubic','2');</v>
      </c>
    </row>
    <row r="724" spans="1:14" x14ac:dyDescent="0.3">
      <c r="A724" t="s">
        <v>11</v>
      </c>
      <c r="B724" s="1" t="s">
        <v>43</v>
      </c>
      <c r="C724" s="1" t="s">
        <v>44</v>
      </c>
      <c r="D724">
        <v>12659</v>
      </c>
      <c r="E724" t="s">
        <v>12</v>
      </c>
      <c r="F724" t="s">
        <v>42</v>
      </c>
      <c r="G724">
        <v>8</v>
      </c>
      <c r="H724">
        <v>7</v>
      </c>
      <c r="I724" t="s">
        <v>45</v>
      </c>
      <c r="J724" cm="1">
        <f t="array" ref="J724">IFERROR(
    _xlfn.XLOOKUP(G724, 'Wedgewood Pharm-PME-Yr2-2025'!$E$33:$L$33,
        _xlfn.XLOOKUP('Rate Load'!H724, 'Wedgewood Pharm-PME-Yr2-2025'!$D$34:$D$57,
            'Wedgewood Pharm-PME-Yr2-2025'!$E$34:$L$57, 0, 0),
        0, 0),
    _xlfn.XLOOKUP(G724, 'Wedgewood Pharm-PME-Yr2-2025'!$E$33:$L$33,
        _xlfn.XLOOKUP('Rate Load'!L724, 'Wedgewood Pharm-PME-Yr2-2025'!$D$34:$D$57,
            'Wedgewood Pharm-PME-Yr2-2025'!$E$34:$L$57, 0, 0),
        0, 0)
)</f>
        <v>35.239999999999995</v>
      </c>
      <c r="K724" t="s">
        <v>46</v>
      </c>
      <c r="L724" t="s">
        <v>13</v>
      </c>
      <c r="M724">
        <v>2</v>
      </c>
      <c r="N724" t="str">
        <f t="shared" si="11"/>
        <v>INSERT INTO TNL_RATING.dbo.usps_rate_master VALUES ('USPS', '2/13/2025', '2/13/2026', 12659, 'US', 'Priority Mail Express', 8, 7, 'L', 35.24, 'Wedgewood_USPS_2025', 'NonCubic','2');</v>
      </c>
    </row>
    <row r="725" spans="1:14" x14ac:dyDescent="0.3">
      <c r="A725" t="s">
        <v>11</v>
      </c>
      <c r="B725" s="1" t="s">
        <v>43</v>
      </c>
      <c r="C725" s="1" t="s">
        <v>44</v>
      </c>
      <c r="D725">
        <v>12659</v>
      </c>
      <c r="E725" t="s">
        <v>12</v>
      </c>
      <c r="F725" t="s">
        <v>42</v>
      </c>
      <c r="G725">
        <v>8</v>
      </c>
      <c r="H725">
        <v>8</v>
      </c>
      <c r="I725" t="s">
        <v>45</v>
      </c>
      <c r="J725" cm="1">
        <f t="array" ref="J725">IFERROR(
    _xlfn.XLOOKUP(G725, 'Wedgewood Pharm-PME-Yr2-2025'!$E$33:$L$33,
        _xlfn.XLOOKUP('Rate Load'!H725, 'Wedgewood Pharm-PME-Yr2-2025'!$D$34:$D$57,
            'Wedgewood Pharm-PME-Yr2-2025'!$E$34:$L$57, 0, 0),
        0, 0),
    _xlfn.XLOOKUP(G725, 'Wedgewood Pharm-PME-Yr2-2025'!$E$33:$L$33,
        _xlfn.XLOOKUP('Rate Load'!L725, 'Wedgewood Pharm-PME-Yr2-2025'!$D$34:$D$57,
            'Wedgewood Pharm-PME-Yr2-2025'!$E$34:$L$57, 0, 0),
        0, 0)
)</f>
        <v>38.199999999999996</v>
      </c>
      <c r="K725" t="s">
        <v>46</v>
      </c>
      <c r="L725" t="s">
        <v>13</v>
      </c>
      <c r="M725">
        <v>2</v>
      </c>
      <c r="N725" t="str">
        <f t="shared" si="11"/>
        <v>INSERT INTO TNL_RATING.dbo.usps_rate_master VALUES ('USPS', '2/13/2025', '2/13/2026', 12659, 'US', 'Priority Mail Express', 8, 8, 'L', 38.2, 'Wedgewood_USPS_2025', 'NonCubic','2');</v>
      </c>
    </row>
    <row r="726" spans="1:14" x14ac:dyDescent="0.3">
      <c r="A726" t="s">
        <v>11</v>
      </c>
      <c r="B726" s="1" t="s">
        <v>43</v>
      </c>
      <c r="C726" s="1" t="s">
        <v>44</v>
      </c>
      <c r="D726">
        <v>12659</v>
      </c>
      <c r="E726" t="s">
        <v>12</v>
      </c>
      <c r="F726" t="s">
        <v>42</v>
      </c>
      <c r="G726">
        <v>8</v>
      </c>
      <c r="H726">
        <v>9</v>
      </c>
      <c r="I726" t="s">
        <v>45</v>
      </c>
      <c r="J726" cm="1">
        <f t="array" ref="J726">IFERROR(
    _xlfn.XLOOKUP(G726, 'Wedgewood Pharm-PME-Yr2-2025'!$E$33:$L$33,
        _xlfn.XLOOKUP('Rate Load'!H726, 'Wedgewood Pharm-PME-Yr2-2025'!$D$34:$D$57,
            'Wedgewood Pharm-PME-Yr2-2025'!$E$34:$L$57, 0, 0),
        0, 0),
    _xlfn.XLOOKUP(G726, 'Wedgewood Pharm-PME-Yr2-2025'!$E$33:$L$33,
        _xlfn.XLOOKUP('Rate Load'!L726, 'Wedgewood Pharm-PME-Yr2-2025'!$D$34:$D$57,
            'Wedgewood Pharm-PME-Yr2-2025'!$E$34:$L$57, 0, 0),
        0, 0)
)</f>
        <v>41.19</v>
      </c>
      <c r="K726" t="s">
        <v>46</v>
      </c>
      <c r="L726" t="s">
        <v>13</v>
      </c>
      <c r="M726">
        <v>2</v>
      </c>
      <c r="N726" t="str">
        <f t="shared" si="11"/>
        <v>INSERT INTO TNL_RATING.dbo.usps_rate_master VALUES ('USPS', '2/13/2025', '2/13/2026', 12659, 'US', 'Priority Mail Express', 8, 9, 'L', 41.19, 'Wedgewood_USPS_2025', 'NonCubic','2');</v>
      </c>
    </row>
    <row r="727" spans="1:14" x14ac:dyDescent="0.3">
      <c r="A727" t="s">
        <v>11</v>
      </c>
      <c r="B727" s="1" t="s">
        <v>43</v>
      </c>
      <c r="C727" s="1" t="s">
        <v>44</v>
      </c>
      <c r="D727">
        <v>12659</v>
      </c>
      <c r="E727" t="s">
        <v>12</v>
      </c>
      <c r="F727" t="s">
        <v>42</v>
      </c>
      <c r="G727">
        <v>8</v>
      </c>
      <c r="H727">
        <v>10</v>
      </c>
      <c r="I727" t="s">
        <v>45</v>
      </c>
      <c r="J727" cm="1">
        <f t="array" ref="J727">IFERROR(
    _xlfn.XLOOKUP(G727, 'Wedgewood Pharm-PME-Yr2-2025'!$E$33:$L$33,
        _xlfn.XLOOKUP('Rate Load'!H727, 'Wedgewood Pharm-PME-Yr2-2025'!$D$34:$D$57,
            'Wedgewood Pharm-PME-Yr2-2025'!$E$34:$L$57, 0, 0),
        0, 0),
    _xlfn.XLOOKUP(G727, 'Wedgewood Pharm-PME-Yr2-2025'!$E$33:$L$33,
        _xlfn.XLOOKUP('Rate Load'!L727, 'Wedgewood Pharm-PME-Yr2-2025'!$D$34:$D$57,
            'Wedgewood Pharm-PME-Yr2-2025'!$E$34:$L$57, 0, 0),
        0, 0)
)</f>
        <v>44.15</v>
      </c>
      <c r="K727" t="s">
        <v>46</v>
      </c>
      <c r="L727" t="s">
        <v>13</v>
      </c>
      <c r="M727">
        <v>2</v>
      </c>
      <c r="N727" t="str">
        <f t="shared" si="11"/>
        <v>INSERT INTO TNL_RATING.dbo.usps_rate_master VALUES ('USPS', '2/13/2025', '2/13/2026', 12659, 'US', 'Priority Mail Express', 8, 10, 'L', 44.15, 'Wedgewood_USPS_2025', 'NonCubic','2');</v>
      </c>
    </row>
    <row r="728" spans="1:14" x14ac:dyDescent="0.3">
      <c r="A728" t="s">
        <v>11</v>
      </c>
      <c r="B728" s="1" t="s">
        <v>43</v>
      </c>
      <c r="C728" s="1" t="s">
        <v>44</v>
      </c>
      <c r="D728">
        <v>12659</v>
      </c>
      <c r="E728" t="s">
        <v>12</v>
      </c>
      <c r="F728" t="s">
        <v>42</v>
      </c>
      <c r="G728">
        <v>8</v>
      </c>
      <c r="H728">
        <v>11</v>
      </c>
      <c r="I728" t="s">
        <v>45</v>
      </c>
      <c r="J728" cm="1">
        <f t="array" ref="J728">IFERROR(
    _xlfn.XLOOKUP(G728, 'Wedgewood Pharm-PME-Yr2-2025'!$E$33:$L$33,
        _xlfn.XLOOKUP('Rate Load'!H728, 'Wedgewood Pharm-PME-Yr2-2025'!$D$34:$D$57,
            'Wedgewood Pharm-PME-Yr2-2025'!$E$34:$L$57, 0, 0),
        0, 0),
    _xlfn.XLOOKUP(G728, 'Wedgewood Pharm-PME-Yr2-2025'!$E$33:$L$33,
        _xlfn.XLOOKUP('Rate Load'!L728, 'Wedgewood Pharm-PME-Yr2-2025'!$D$34:$D$57,
            'Wedgewood Pharm-PME-Yr2-2025'!$E$34:$L$57, 0, 0),
        0, 0)
)</f>
        <v>46.73</v>
      </c>
      <c r="K728" t="s">
        <v>46</v>
      </c>
      <c r="L728" t="s">
        <v>13</v>
      </c>
      <c r="M728">
        <v>2</v>
      </c>
      <c r="N728" t="str">
        <f t="shared" si="11"/>
        <v>INSERT INTO TNL_RATING.dbo.usps_rate_master VALUES ('USPS', '2/13/2025', '2/13/2026', 12659, 'US', 'Priority Mail Express', 8, 11, 'L', 46.73, 'Wedgewood_USPS_2025', 'NonCubic','2');</v>
      </c>
    </row>
    <row r="729" spans="1:14" x14ac:dyDescent="0.3">
      <c r="A729" t="s">
        <v>11</v>
      </c>
      <c r="B729" s="1" t="s">
        <v>43</v>
      </c>
      <c r="C729" s="1" t="s">
        <v>44</v>
      </c>
      <c r="D729">
        <v>12659</v>
      </c>
      <c r="E729" t="s">
        <v>12</v>
      </c>
      <c r="F729" t="s">
        <v>42</v>
      </c>
      <c r="G729">
        <v>8</v>
      </c>
      <c r="H729">
        <v>12</v>
      </c>
      <c r="I729" t="s">
        <v>45</v>
      </c>
      <c r="J729" cm="1">
        <f t="array" ref="J729">IFERROR(
    _xlfn.XLOOKUP(G729, 'Wedgewood Pharm-PME-Yr2-2025'!$E$33:$L$33,
        _xlfn.XLOOKUP('Rate Load'!H729, 'Wedgewood Pharm-PME-Yr2-2025'!$D$34:$D$57,
            'Wedgewood Pharm-PME-Yr2-2025'!$E$34:$L$57, 0, 0),
        0, 0),
    _xlfn.XLOOKUP(G729, 'Wedgewood Pharm-PME-Yr2-2025'!$E$33:$L$33,
        _xlfn.XLOOKUP('Rate Load'!L729, 'Wedgewood Pharm-PME-Yr2-2025'!$D$34:$D$57,
            'Wedgewood Pharm-PME-Yr2-2025'!$E$34:$L$57, 0, 0),
        0, 0)
)</f>
        <v>49.309999999999995</v>
      </c>
      <c r="K729" t="s">
        <v>46</v>
      </c>
      <c r="L729" t="s">
        <v>13</v>
      </c>
      <c r="M729">
        <v>2</v>
      </c>
      <c r="N729" t="str">
        <f t="shared" si="11"/>
        <v>INSERT INTO TNL_RATING.dbo.usps_rate_master VALUES ('USPS', '2/13/2025', '2/13/2026', 12659, 'US', 'Priority Mail Express', 8, 12, 'L', 49.31, 'Wedgewood_USPS_2025', 'NonCubic','2');</v>
      </c>
    </row>
    <row r="730" spans="1:14" x14ac:dyDescent="0.3">
      <c r="A730" t="s">
        <v>11</v>
      </c>
      <c r="B730" s="1" t="s">
        <v>43</v>
      </c>
      <c r="C730" s="1" t="s">
        <v>44</v>
      </c>
      <c r="D730">
        <v>12659</v>
      </c>
      <c r="E730" t="s">
        <v>12</v>
      </c>
      <c r="F730" t="s">
        <v>42</v>
      </c>
      <c r="G730">
        <v>8</v>
      </c>
      <c r="H730">
        <v>13</v>
      </c>
      <c r="I730" t="s">
        <v>45</v>
      </c>
      <c r="J730" cm="1">
        <f t="array" ref="J730">IFERROR(
    _xlfn.XLOOKUP(G730, 'Wedgewood Pharm-PME-Yr2-2025'!$E$33:$L$33,
        _xlfn.XLOOKUP('Rate Load'!H730, 'Wedgewood Pharm-PME-Yr2-2025'!$D$34:$D$57,
            'Wedgewood Pharm-PME-Yr2-2025'!$E$34:$L$57, 0, 0),
        0, 0),
    _xlfn.XLOOKUP(G730, 'Wedgewood Pharm-PME-Yr2-2025'!$E$33:$L$33,
        _xlfn.XLOOKUP('Rate Load'!L730, 'Wedgewood Pharm-PME-Yr2-2025'!$D$34:$D$57,
            'Wedgewood Pharm-PME-Yr2-2025'!$E$34:$L$57, 0, 0),
        0, 0)
)</f>
        <v>51.879999999999995</v>
      </c>
      <c r="K730" t="s">
        <v>46</v>
      </c>
      <c r="L730" t="s">
        <v>13</v>
      </c>
      <c r="M730">
        <v>2</v>
      </c>
      <c r="N730" t="str">
        <f t="shared" si="11"/>
        <v>INSERT INTO TNL_RATING.dbo.usps_rate_master VALUES ('USPS', '2/13/2025', '2/13/2026', 12659, 'US', 'Priority Mail Express', 8, 13, 'L', 51.88, 'Wedgewood_USPS_2025', 'NonCubic','2');</v>
      </c>
    </row>
    <row r="731" spans="1:14" x14ac:dyDescent="0.3">
      <c r="A731" t="s">
        <v>11</v>
      </c>
      <c r="B731" s="1" t="s">
        <v>43</v>
      </c>
      <c r="C731" s="1" t="s">
        <v>44</v>
      </c>
      <c r="D731">
        <v>12659</v>
      </c>
      <c r="E731" t="s">
        <v>12</v>
      </c>
      <c r="F731" t="s">
        <v>42</v>
      </c>
      <c r="G731">
        <v>8</v>
      </c>
      <c r="H731">
        <v>14</v>
      </c>
      <c r="I731" t="s">
        <v>45</v>
      </c>
      <c r="J731" cm="1">
        <f t="array" ref="J731">IFERROR(
    _xlfn.XLOOKUP(G731, 'Wedgewood Pharm-PME-Yr2-2025'!$E$33:$L$33,
        _xlfn.XLOOKUP('Rate Load'!H731, 'Wedgewood Pharm-PME-Yr2-2025'!$D$34:$D$57,
            'Wedgewood Pharm-PME-Yr2-2025'!$E$34:$L$57, 0, 0),
        0, 0),
    _xlfn.XLOOKUP(G731, 'Wedgewood Pharm-PME-Yr2-2025'!$E$33:$L$33,
        _xlfn.XLOOKUP('Rate Load'!L731, 'Wedgewood Pharm-PME-Yr2-2025'!$D$34:$D$57,
            'Wedgewood Pharm-PME-Yr2-2025'!$E$34:$L$57, 0, 0),
        0, 0)
)</f>
        <v>54.46</v>
      </c>
      <c r="K731" t="s">
        <v>46</v>
      </c>
      <c r="L731" t="s">
        <v>13</v>
      </c>
      <c r="M731">
        <v>2</v>
      </c>
      <c r="N731" t="str">
        <f t="shared" si="11"/>
        <v>INSERT INTO TNL_RATING.dbo.usps_rate_master VALUES ('USPS', '2/13/2025', '2/13/2026', 12659, 'US', 'Priority Mail Express', 8, 14, 'L', 54.46, 'Wedgewood_USPS_2025', 'NonCubic','2');</v>
      </c>
    </row>
    <row r="732" spans="1:14" x14ac:dyDescent="0.3">
      <c r="A732" t="s">
        <v>11</v>
      </c>
      <c r="B732" s="1" t="s">
        <v>43</v>
      </c>
      <c r="C732" s="1" t="s">
        <v>44</v>
      </c>
      <c r="D732">
        <v>12659</v>
      </c>
      <c r="E732" t="s">
        <v>12</v>
      </c>
      <c r="F732" t="s">
        <v>42</v>
      </c>
      <c r="G732">
        <v>8</v>
      </c>
      <c r="H732">
        <v>15</v>
      </c>
      <c r="I732" t="s">
        <v>45</v>
      </c>
      <c r="J732" cm="1">
        <f t="array" ref="J732">IFERROR(
    _xlfn.XLOOKUP(G732, 'Wedgewood Pharm-PME-Yr2-2025'!$E$33:$L$33,
        _xlfn.XLOOKUP('Rate Load'!H732, 'Wedgewood Pharm-PME-Yr2-2025'!$D$34:$D$57,
            'Wedgewood Pharm-PME-Yr2-2025'!$E$34:$L$57, 0, 0),
        0, 0),
    _xlfn.XLOOKUP(G732, 'Wedgewood Pharm-PME-Yr2-2025'!$E$33:$L$33,
        _xlfn.XLOOKUP('Rate Load'!L732, 'Wedgewood Pharm-PME-Yr2-2025'!$D$34:$D$57,
            'Wedgewood Pharm-PME-Yr2-2025'!$E$34:$L$57, 0, 0),
        0, 0)
)</f>
        <v>57.04</v>
      </c>
      <c r="K732" t="s">
        <v>46</v>
      </c>
      <c r="L732" t="s">
        <v>13</v>
      </c>
      <c r="M732">
        <v>2</v>
      </c>
      <c r="N732" t="str">
        <f t="shared" si="11"/>
        <v>INSERT INTO TNL_RATING.dbo.usps_rate_master VALUES ('USPS', '2/13/2025', '2/13/2026', 12659, 'US', 'Priority Mail Express', 8, 15, 'L', 57.04, 'Wedgewood_USPS_2025', 'NonCubic','2');</v>
      </c>
    </row>
    <row r="733" spans="1:14" x14ac:dyDescent="0.3">
      <c r="A733" t="s">
        <v>11</v>
      </c>
      <c r="B733" s="1" t="s">
        <v>43</v>
      </c>
      <c r="C733" s="1" t="s">
        <v>44</v>
      </c>
      <c r="D733">
        <v>12659</v>
      </c>
      <c r="E733" t="s">
        <v>12</v>
      </c>
      <c r="F733" t="s">
        <v>42</v>
      </c>
      <c r="G733">
        <v>8</v>
      </c>
      <c r="H733">
        <v>16</v>
      </c>
      <c r="I733" t="s">
        <v>45</v>
      </c>
      <c r="J733" cm="1">
        <f t="array" ref="J733">IFERROR(
    _xlfn.XLOOKUP(G733, 'Wedgewood Pharm-PME-Yr2-2025'!$E$33:$L$33,
        _xlfn.XLOOKUP('Rate Load'!H733, 'Wedgewood Pharm-PME-Yr2-2025'!$D$34:$D$57,
            'Wedgewood Pharm-PME-Yr2-2025'!$E$34:$L$57, 0, 0),
        0, 0),
    _xlfn.XLOOKUP(G733, 'Wedgewood Pharm-PME-Yr2-2025'!$E$33:$L$33,
        _xlfn.XLOOKUP('Rate Load'!L733, 'Wedgewood Pharm-PME-Yr2-2025'!$D$34:$D$57,
            'Wedgewood Pharm-PME-Yr2-2025'!$E$34:$L$57, 0, 0),
        0, 0)
)</f>
        <v>59.62</v>
      </c>
      <c r="K733" t="s">
        <v>46</v>
      </c>
      <c r="L733" t="s">
        <v>13</v>
      </c>
      <c r="M733">
        <v>2</v>
      </c>
      <c r="N733" t="str">
        <f t="shared" si="11"/>
        <v>INSERT INTO TNL_RATING.dbo.usps_rate_master VALUES ('USPS', '2/13/2025', '2/13/2026', 12659, 'US', 'Priority Mail Express', 8, 16, 'L', 59.62, 'Wedgewood_USPS_2025', 'NonCubic','2');</v>
      </c>
    </row>
    <row r="734" spans="1:14" x14ac:dyDescent="0.3">
      <c r="A734" t="s">
        <v>11</v>
      </c>
      <c r="B734" s="1" t="s">
        <v>43</v>
      </c>
      <c r="C734" s="1" t="s">
        <v>44</v>
      </c>
      <c r="D734">
        <v>12659</v>
      </c>
      <c r="E734" t="s">
        <v>12</v>
      </c>
      <c r="F734" t="s">
        <v>42</v>
      </c>
      <c r="G734">
        <v>8</v>
      </c>
      <c r="H734">
        <v>17</v>
      </c>
      <c r="I734" t="s">
        <v>45</v>
      </c>
      <c r="J734" cm="1">
        <f t="array" ref="J734">IFERROR(
    _xlfn.XLOOKUP(G734, 'Wedgewood Pharm-PME-Yr2-2025'!$E$33:$L$33,
        _xlfn.XLOOKUP('Rate Load'!H734, 'Wedgewood Pharm-PME-Yr2-2025'!$D$34:$D$57,
            'Wedgewood Pharm-PME-Yr2-2025'!$E$34:$L$57, 0, 0),
        0, 0),
    _xlfn.XLOOKUP(G734, 'Wedgewood Pharm-PME-Yr2-2025'!$E$33:$L$33,
        _xlfn.XLOOKUP('Rate Load'!L734, 'Wedgewood Pharm-PME-Yr2-2025'!$D$34:$D$57,
            'Wedgewood Pharm-PME-Yr2-2025'!$E$34:$L$57, 0, 0),
        0, 0)
)</f>
        <v>62.199999999999996</v>
      </c>
      <c r="K734" t="s">
        <v>46</v>
      </c>
      <c r="L734" t="s">
        <v>13</v>
      </c>
      <c r="M734">
        <v>2</v>
      </c>
      <c r="N734" t="str">
        <f t="shared" si="11"/>
        <v>INSERT INTO TNL_RATING.dbo.usps_rate_master VALUES ('USPS', '2/13/2025', '2/13/2026', 12659, 'US', 'Priority Mail Express', 8, 17, 'L', 62.2, 'Wedgewood_USPS_2025', 'NonCubic','2');</v>
      </c>
    </row>
    <row r="735" spans="1:14" x14ac:dyDescent="0.3">
      <c r="A735" t="s">
        <v>11</v>
      </c>
      <c r="B735" s="1" t="s">
        <v>43</v>
      </c>
      <c r="C735" s="1" t="s">
        <v>44</v>
      </c>
      <c r="D735">
        <v>12659</v>
      </c>
      <c r="E735" t="s">
        <v>12</v>
      </c>
      <c r="F735" t="s">
        <v>42</v>
      </c>
      <c r="G735">
        <v>8</v>
      </c>
      <c r="H735">
        <v>18</v>
      </c>
      <c r="I735" t="s">
        <v>45</v>
      </c>
      <c r="J735" cm="1">
        <f t="array" ref="J735">IFERROR(
    _xlfn.XLOOKUP(G735, 'Wedgewood Pharm-PME-Yr2-2025'!$E$33:$L$33,
        _xlfn.XLOOKUP('Rate Load'!H735, 'Wedgewood Pharm-PME-Yr2-2025'!$D$34:$D$57,
            'Wedgewood Pharm-PME-Yr2-2025'!$E$34:$L$57, 0, 0),
        0, 0),
    _xlfn.XLOOKUP(G735, 'Wedgewood Pharm-PME-Yr2-2025'!$E$33:$L$33,
        _xlfn.XLOOKUP('Rate Load'!L735, 'Wedgewood Pharm-PME-Yr2-2025'!$D$34:$D$57,
            'Wedgewood Pharm-PME-Yr2-2025'!$E$34:$L$57, 0, 0),
        0, 0)
)</f>
        <v>64.78</v>
      </c>
      <c r="K735" t="s">
        <v>46</v>
      </c>
      <c r="L735" t="s">
        <v>13</v>
      </c>
      <c r="M735">
        <v>2</v>
      </c>
      <c r="N735" t="str">
        <f t="shared" si="11"/>
        <v>INSERT INTO TNL_RATING.dbo.usps_rate_master VALUES ('USPS', '2/13/2025', '2/13/2026', 12659, 'US', 'Priority Mail Express', 8, 18, 'L', 64.78, 'Wedgewood_USPS_2025', 'NonCubic','2');</v>
      </c>
    </row>
    <row r="736" spans="1:14" x14ac:dyDescent="0.3">
      <c r="A736" t="s">
        <v>11</v>
      </c>
      <c r="B736" s="1" t="s">
        <v>43</v>
      </c>
      <c r="C736" s="1" t="s">
        <v>44</v>
      </c>
      <c r="D736">
        <v>12659</v>
      </c>
      <c r="E736" t="s">
        <v>12</v>
      </c>
      <c r="F736" t="s">
        <v>42</v>
      </c>
      <c r="G736">
        <v>8</v>
      </c>
      <c r="H736">
        <v>19</v>
      </c>
      <c r="I736" t="s">
        <v>45</v>
      </c>
      <c r="J736" cm="1">
        <f t="array" ref="J736">IFERROR(
    _xlfn.XLOOKUP(G736, 'Wedgewood Pharm-PME-Yr2-2025'!$E$33:$L$33,
        _xlfn.XLOOKUP('Rate Load'!H736, 'Wedgewood Pharm-PME-Yr2-2025'!$D$34:$D$57,
            'Wedgewood Pharm-PME-Yr2-2025'!$E$34:$L$57, 0, 0),
        0, 0),
    _xlfn.XLOOKUP(G736, 'Wedgewood Pharm-PME-Yr2-2025'!$E$33:$L$33,
        _xlfn.XLOOKUP('Rate Load'!L736, 'Wedgewood Pharm-PME-Yr2-2025'!$D$34:$D$57,
            'Wedgewood Pharm-PME-Yr2-2025'!$E$34:$L$57, 0, 0),
        0, 0)
)</f>
        <v>67.350000000000009</v>
      </c>
      <c r="K736" t="s">
        <v>46</v>
      </c>
      <c r="L736" t="s">
        <v>13</v>
      </c>
      <c r="M736">
        <v>2</v>
      </c>
      <c r="N736" t="str">
        <f t="shared" si="11"/>
        <v>INSERT INTO TNL_RATING.dbo.usps_rate_master VALUES ('USPS', '2/13/2025', '2/13/2026', 12659, 'US', 'Priority Mail Express', 8, 19, 'L', 67.35, 'Wedgewood_USPS_2025', 'NonCubic','2');</v>
      </c>
    </row>
    <row r="737" spans="1:14" x14ac:dyDescent="0.3">
      <c r="A737" t="s">
        <v>11</v>
      </c>
      <c r="B737" s="1" t="s">
        <v>43</v>
      </c>
      <c r="C737" s="1" t="s">
        <v>44</v>
      </c>
      <c r="D737">
        <v>12659</v>
      </c>
      <c r="E737" t="s">
        <v>12</v>
      </c>
      <c r="F737" t="s">
        <v>42</v>
      </c>
      <c r="G737">
        <v>8</v>
      </c>
      <c r="H737">
        <v>20</v>
      </c>
      <c r="I737" t="s">
        <v>45</v>
      </c>
      <c r="J737" cm="1">
        <f t="array" ref="J737">IFERROR(
    _xlfn.XLOOKUP(G737, 'Wedgewood Pharm-PME-Yr2-2025'!$E$33:$L$33,
        _xlfn.XLOOKUP('Rate Load'!H737, 'Wedgewood Pharm-PME-Yr2-2025'!$D$34:$D$57,
            'Wedgewood Pharm-PME-Yr2-2025'!$E$34:$L$57, 0, 0),
        0, 0),
    _xlfn.XLOOKUP(G737, 'Wedgewood Pharm-PME-Yr2-2025'!$E$33:$L$33,
        _xlfn.XLOOKUP('Rate Load'!L737, 'Wedgewood Pharm-PME-Yr2-2025'!$D$34:$D$57,
            'Wedgewood Pharm-PME-Yr2-2025'!$E$34:$L$57, 0, 0),
        0, 0)
)</f>
        <v>69.930000000000007</v>
      </c>
      <c r="K737" t="s">
        <v>46</v>
      </c>
      <c r="L737" t="s">
        <v>13</v>
      </c>
      <c r="M737">
        <v>2</v>
      </c>
      <c r="N737" t="str">
        <f t="shared" si="11"/>
        <v>INSERT INTO TNL_RATING.dbo.usps_rate_master VALUES ('USPS', '2/13/2025', '2/13/2026', 12659, 'US', 'Priority Mail Express', 8, 20, 'L', 69.93, 'Wedgewood_USPS_2025', 'NonCubic','2');</v>
      </c>
    </row>
    <row r="738" spans="1:14" x14ac:dyDescent="0.3">
      <c r="A738" t="s">
        <v>11</v>
      </c>
      <c r="B738" s="1" t="s">
        <v>43</v>
      </c>
      <c r="C738" s="1" t="s">
        <v>44</v>
      </c>
      <c r="D738">
        <v>12659</v>
      </c>
      <c r="E738" t="s">
        <v>12</v>
      </c>
      <c r="F738" t="s">
        <v>42</v>
      </c>
      <c r="G738">
        <v>1</v>
      </c>
      <c r="H738">
        <v>0</v>
      </c>
      <c r="I738" t="s">
        <v>45</v>
      </c>
      <c r="J738" cm="1">
        <f t="array" ref="J738">IFERROR(
    _xlfn.XLOOKUP(G738, 'Wedgewood Pharm-PME-Yr2-2025'!$E$33:$L$33,
        _xlfn.XLOOKUP('Rate Load'!H738, 'Wedgewood Pharm-PME-Yr2-2025'!$D$34:$D$57,
            'Wedgewood Pharm-PME-Yr2-2025'!$E$34:$L$57, 0, 0),
        0, 0),
    _xlfn.XLOOKUP(G738, 'Wedgewood Pharm-PME-Yr2-2025'!$E$33:$L$33,
        _xlfn.XLOOKUP('Rate Load'!L738, 'Wedgewood Pharm-PME-Yr2-2025'!$D$34:$D$57,
            'Wedgewood Pharm-PME-Yr2-2025'!$E$34:$L$57, 0, 0),
        0, 0)
)</f>
        <v>24.680000000000003</v>
      </c>
      <c r="K738" t="s">
        <v>46</v>
      </c>
      <c r="L738" t="s">
        <v>22</v>
      </c>
      <c r="M738">
        <v>2</v>
      </c>
      <c r="N738" t="str">
        <f t="shared" si="11"/>
        <v>INSERT INTO TNL_RATING.dbo.usps_rate_master VALUES ('USPS', '2/13/2025', '2/13/2026', 12659, 'US', 'Priority Mail Express', 1, 0, 'L', 24.68, 'Wedgewood_USPS_2025', 'Flat-Rate Envelope','2');</v>
      </c>
    </row>
    <row r="739" spans="1:14" x14ac:dyDescent="0.3">
      <c r="A739" t="s">
        <v>11</v>
      </c>
      <c r="B739" s="1" t="s">
        <v>43</v>
      </c>
      <c r="C739" s="1" t="s">
        <v>44</v>
      </c>
      <c r="D739">
        <v>12659</v>
      </c>
      <c r="E739" t="s">
        <v>12</v>
      </c>
      <c r="F739" t="s">
        <v>42</v>
      </c>
      <c r="G739">
        <v>2</v>
      </c>
      <c r="H739">
        <v>0</v>
      </c>
      <c r="I739" t="s">
        <v>45</v>
      </c>
      <c r="J739" cm="1">
        <f t="array" ref="J739">IFERROR(
    _xlfn.XLOOKUP(G739, 'Wedgewood Pharm-PME-Yr2-2025'!$E$33:$L$33,
        _xlfn.XLOOKUP('Rate Load'!H739, 'Wedgewood Pharm-PME-Yr2-2025'!$D$34:$D$57,
            'Wedgewood Pharm-PME-Yr2-2025'!$E$34:$L$57, 0, 0),
        0, 0),
    _xlfn.XLOOKUP(G739, 'Wedgewood Pharm-PME-Yr2-2025'!$E$33:$L$33,
        _xlfn.XLOOKUP('Rate Load'!L739, 'Wedgewood Pharm-PME-Yr2-2025'!$D$34:$D$57,
            'Wedgewood Pharm-PME-Yr2-2025'!$E$34:$L$57, 0, 0),
        0, 0)
)</f>
        <v>24.680000000000003</v>
      </c>
      <c r="K739" t="s">
        <v>46</v>
      </c>
      <c r="L739" t="s">
        <v>22</v>
      </c>
      <c r="M739">
        <v>2</v>
      </c>
      <c r="N739" t="str">
        <f t="shared" si="11"/>
        <v>INSERT INTO TNL_RATING.dbo.usps_rate_master VALUES ('USPS', '2/13/2025', '2/13/2026', 12659, 'US', 'Priority Mail Express', 2, 0, 'L', 24.68, 'Wedgewood_USPS_2025', 'Flat-Rate Envelope','2');</v>
      </c>
    </row>
    <row r="740" spans="1:14" x14ac:dyDescent="0.3">
      <c r="A740" t="s">
        <v>11</v>
      </c>
      <c r="B740" s="1" t="s">
        <v>43</v>
      </c>
      <c r="C740" s="1" t="s">
        <v>44</v>
      </c>
      <c r="D740">
        <v>12659</v>
      </c>
      <c r="E740" t="s">
        <v>12</v>
      </c>
      <c r="F740" t="s">
        <v>42</v>
      </c>
      <c r="G740">
        <v>3</v>
      </c>
      <c r="H740">
        <v>0</v>
      </c>
      <c r="I740" t="s">
        <v>45</v>
      </c>
      <c r="J740" cm="1">
        <f t="array" ref="J740">IFERROR(
    _xlfn.XLOOKUP(G740, 'Wedgewood Pharm-PME-Yr2-2025'!$E$33:$L$33,
        _xlfn.XLOOKUP('Rate Load'!H740, 'Wedgewood Pharm-PME-Yr2-2025'!$D$34:$D$57,
            'Wedgewood Pharm-PME-Yr2-2025'!$E$34:$L$57, 0, 0),
        0, 0),
    _xlfn.XLOOKUP(G740, 'Wedgewood Pharm-PME-Yr2-2025'!$E$33:$L$33,
        _xlfn.XLOOKUP('Rate Load'!L740, 'Wedgewood Pharm-PME-Yr2-2025'!$D$34:$D$57,
            'Wedgewood Pharm-PME-Yr2-2025'!$E$34:$L$57, 0, 0),
        0, 0)
)</f>
        <v>24.680000000000003</v>
      </c>
      <c r="K740" t="s">
        <v>46</v>
      </c>
      <c r="L740" t="s">
        <v>22</v>
      </c>
      <c r="M740">
        <v>2</v>
      </c>
      <c r="N740" t="str">
        <f t="shared" si="11"/>
        <v>INSERT INTO TNL_RATING.dbo.usps_rate_master VALUES ('USPS', '2/13/2025', '2/13/2026', 12659, 'US', 'Priority Mail Express', 3, 0, 'L', 24.68, 'Wedgewood_USPS_2025', 'Flat-Rate Envelope','2');</v>
      </c>
    </row>
    <row r="741" spans="1:14" x14ac:dyDescent="0.3">
      <c r="A741" t="s">
        <v>11</v>
      </c>
      <c r="B741" s="1" t="s">
        <v>43</v>
      </c>
      <c r="C741" s="1" t="s">
        <v>44</v>
      </c>
      <c r="D741">
        <v>12659</v>
      </c>
      <c r="E741" t="s">
        <v>12</v>
      </c>
      <c r="F741" t="s">
        <v>42</v>
      </c>
      <c r="G741">
        <v>4</v>
      </c>
      <c r="H741">
        <v>0</v>
      </c>
      <c r="I741" t="s">
        <v>45</v>
      </c>
      <c r="J741" cm="1">
        <f t="array" ref="J741">IFERROR(
    _xlfn.XLOOKUP(G741, 'Wedgewood Pharm-PME-Yr2-2025'!$E$33:$L$33,
        _xlfn.XLOOKUP('Rate Load'!H741, 'Wedgewood Pharm-PME-Yr2-2025'!$D$34:$D$57,
            'Wedgewood Pharm-PME-Yr2-2025'!$E$34:$L$57, 0, 0),
        0, 0),
    _xlfn.XLOOKUP(G741, 'Wedgewood Pharm-PME-Yr2-2025'!$E$33:$L$33,
        _xlfn.XLOOKUP('Rate Load'!L741, 'Wedgewood Pharm-PME-Yr2-2025'!$D$34:$D$57,
            'Wedgewood Pharm-PME-Yr2-2025'!$E$34:$L$57, 0, 0),
        0, 0)
)</f>
        <v>24.680000000000003</v>
      </c>
      <c r="K741" t="s">
        <v>46</v>
      </c>
      <c r="L741" t="s">
        <v>22</v>
      </c>
      <c r="M741">
        <v>2</v>
      </c>
      <c r="N741" t="str">
        <f t="shared" si="11"/>
        <v>INSERT INTO TNL_RATING.dbo.usps_rate_master VALUES ('USPS', '2/13/2025', '2/13/2026', 12659, 'US', 'Priority Mail Express', 4, 0, 'L', 24.68, 'Wedgewood_USPS_2025', 'Flat-Rate Envelope','2');</v>
      </c>
    </row>
    <row r="742" spans="1:14" x14ac:dyDescent="0.3">
      <c r="A742" t="s">
        <v>11</v>
      </c>
      <c r="B742" s="1" t="s">
        <v>43</v>
      </c>
      <c r="C742" s="1" t="s">
        <v>44</v>
      </c>
      <c r="D742">
        <v>12659</v>
      </c>
      <c r="E742" t="s">
        <v>12</v>
      </c>
      <c r="F742" t="s">
        <v>42</v>
      </c>
      <c r="G742">
        <v>5</v>
      </c>
      <c r="H742">
        <v>0</v>
      </c>
      <c r="I742" t="s">
        <v>45</v>
      </c>
      <c r="J742" cm="1">
        <f t="array" ref="J742">IFERROR(
    _xlfn.XLOOKUP(G742, 'Wedgewood Pharm-PME-Yr2-2025'!$E$33:$L$33,
        _xlfn.XLOOKUP('Rate Load'!H742, 'Wedgewood Pharm-PME-Yr2-2025'!$D$34:$D$57,
            'Wedgewood Pharm-PME-Yr2-2025'!$E$34:$L$57, 0, 0),
        0, 0),
    _xlfn.XLOOKUP(G742, 'Wedgewood Pharm-PME-Yr2-2025'!$E$33:$L$33,
        _xlfn.XLOOKUP('Rate Load'!L742, 'Wedgewood Pharm-PME-Yr2-2025'!$D$34:$D$57,
            'Wedgewood Pharm-PME-Yr2-2025'!$E$34:$L$57, 0, 0),
        0, 0)
)</f>
        <v>24.680000000000003</v>
      </c>
      <c r="K742" t="s">
        <v>46</v>
      </c>
      <c r="L742" t="s">
        <v>22</v>
      </c>
      <c r="M742">
        <v>2</v>
      </c>
      <c r="N742" t="str">
        <f t="shared" si="11"/>
        <v>INSERT INTO TNL_RATING.dbo.usps_rate_master VALUES ('USPS', '2/13/2025', '2/13/2026', 12659, 'US', 'Priority Mail Express', 5, 0, 'L', 24.68, 'Wedgewood_USPS_2025', 'Flat-Rate Envelope','2');</v>
      </c>
    </row>
    <row r="743" spans="1:14" x14ac:dyDescent="0.3">
      <c r="A743" t="s">
        <v>11</v>
      </c>
      <c r="B743" s="1" t="s">
        <v>43</v>
      </c>
      <c r="C743" s="1" t="s">
        <v>44</v>
      </c>
      <c r="D743">
        <v>12659</v>
      </c>
      <c r="E743" t="s">
        <v>12</v>
      </c>
      <c r="F743" t="s">
        <v>42</v>
      </c>
      <c r="G743">
        <v>6</v>
      </c>
      <c r="H743">
        <v>0</v>
      </c>
      <c r="I743" t="s">
        <v>45</v>
      </c>
      <c r="J743" cm="1">
        <f t="array" ref="J743">IFERROR(
    _xlfn.XLOOKUP(G743, 'Wedgewood Pharm-PME-Yr2-2025'!$E$33:$L$33,
        _xlfn.XLOOKUP('Rate Load'!H743, 'Wedgewood Pharm-PME-Yr2-2025'!$D$34:$D$57,
            'Wedgewood Pharm-PME-Yr2-2025'!$E$34:$L$57, 0, 0),
        0, 0),
    _xlfn.XLOOKUP(G743, 'Wedgewood Pharm-PME-Yr2-2025'!$E$33:$L$33,
        _xlfn.XLOOKUP('Rate Load'!L743, 'Wedgewood Pharm-PME-Yr2-2025'!$D$34:$D$57,
            'Wedgewood Pharm-PME-Yr2-2025'!$E$34:$L$57, 0, 0),
        0, 0)
)</f>
        <v>24.680000000000003</v>
      </c>
      <c r="K743" t="s">
        <v>46</v>
      </c>
      <c r="L743" t="s">
        <v>22</v>
      </c>
      <c r="M743">
        <v>2</v>
      </c>
      <c r="N743" t="str">
        <f t="shared" si="11"/>
        <v>INSERT INTO TNL_RATING.dbo.usps_rate_master VALUES ('USPS', '2/13/2025', '2/13/2026', 12659, 'US', 'Priority Mail Express', 6, 0, 'L', 24.68, 'Wedgewood_USPS_2025', 'Flat-Rate Envelope','2');</v>
      </c>
    </row>
    <row r="744" spans="1:14" x14ac:dyDescent="0.3">
      <c r="A744" t="s">
        <v>11</v>
      </c>
      <c r="B744" s="1" t="s">
        <v>43</v>
      </c>
      <c r="C744" s="1" t="s">
        <v>44</v>
      </c>
      <c r="D744">
        <v>12659</v>
      </c>
      <c r="E744" t="s">
        <v>12</v>
      </c>
      <c r="F744" t="s">
        <v>42</v>
      </c>
      <c r="G744">
        <v>7</v>
      </c>
      <c r="H744">
        <v>0</v>
      </c>
      <c r="I744" t="s">
        <v>45</v>
      </c>
      <c r="J744" cm="1">
        <f t="array" ref="J744">IFERROR(
    _xlfn.XLOOKUP(G744, 'Wedgewood Pharm-PME-Yr2-2025'!$E$33:$L$33,
        _xlfn.XLOOKUP('Rate Load'!H744, 'Wedgewood Pharm-PME-Yr2-2025'!$D$34:$D$57,
            'Wedgewood Pharm-PME-Yr2-2025'!$E$34:$L$57, 0, 0),
        0, 0),
    _xlfn.XLOOKUP(G744, 'Wedgewood Pharm-PME-Yr2-2025'!$E$33:$L$33,
        _xlfn.XLOOKUP('Rate Load'!L744, 'Wedgewood Pharm-PME-Yr2-2025'!$D$34:$D$57,
            'Wedgewood Pharm-PME-Yr2-2025'!$E$34:$L$57, 0, 0),
        0, 0)
)</f>
        <v>24.680000000000003</v>
      </c>
      <c r="K744" t="s">
        <v>46</v>
      </c>
      <c r="L744" t="s">
        <v>22</v>
      </c>
      <c r="M744">
        <v>2</v>
      </c>
      <c r="N744" t="str">
        <f t="shared" si="11"/>
        <v>INSERT INTO TNL_RATING.dbo.usps_rate_master VALUES ('USPS', '2/13/2025', '2/13/2026', 12659, 'US', 'Priority Mail Express', 7, 0, 'L', 24.68, 'Wedgewood_USPS_2025', 'Flat-Rate Envelope','2');</v>
      </c>
    </row>
    <row r="745" spans="1:14" x14ac:dyDescent="0.3">
      <c r="A745" t="s">
        <v>11</v>
      </c>
      <c r="B745" s="1" t="s">
        <v>43</v>
      </c>
      <c r="C745" s="1" t="s">
        <v>44</v>
      </c>
      <c r="D745">
        <v>12659</v>
      </c>
      <c r="E745" t="s">
        <v>12</v>
      </c>
      <c r="F745" t="s">
        <v>42</v>
      </c>
      <c r="G745">
        <v>8</v>
      </c>
      <c r="H745">
        <v>0</v>
      </c>
      <c r="I745" t="s">
        <v>45</v>
      </c>
      <c r="J745" cm="1">
        <f t="array" ref="J745">IFERROR(
    _xlfn.XLOOKUP(G745, 'Wedgewood Pharm-PME-Yr2-2025'!$E$33:$L$33,
        _xlfn.XLOOKUP('Rate Load'!H745, 'Wedgewood Pharm-PME-Yr2-2025'!$D$34:$D$57,
            'Wedgewood Pharm-PME-Yr2-2025'!$E$34:$L$57, 0, 0),
        0, 0),
    _xlfn.XLOOKUP(G745, 'Wedgewood Pharm-PME-Yr2-2025'!$E$33:$L$33,
        _xlfn.XLOOKUP('Rate Load'!L745, 'Wedgewood Pharm-PME-Yr2-2025'!$D$34:$D$57,
            'Wedgewood Pharm-PME-Yr2-2025'!$E$34:$L$57, 0, 0),
        0, 0)
)</f>
        <v>24.680000000000003</v>
      </c>
      <c r="K745" t="s">
        <v>46</v>
      </c>
      <c r="L745" t="s">
        <v>22</v>
      </c>
      <c r="M745">
        <v>2</v>
      </c>
      <c r="N745" t="str">
        <f t="shared" si="11"/>
        <v>INSERT INTO TNL_RATING.dbo.usps_rate_master VALUES ('USPS', '2/13/2025', '2/13/2026', 12659, 'US', 'Priority Mail Express', 8, 0, 'L', 24.68, 'Wedgewood_USPS_2025', 'Flat-Rate Envelope','2');</v>
      </c>
    </row>
    <row r="746" spans="1:14" x14ac:dyDescent="0.3">
      <c r="A746" t="s">
        <v>11</v>
      </c>
      <c r="B746" s="1" t="s">
        <v>43</v>
      </c>
      <c r="C746" s="1" t="s">
        <v>44</v>
      </c>
      <c r="D746">
        <v>12659</v>
      </c>
      <c r="E746" t="s">
        <v>12</v>
      </c>
      <c r="F746" t="s">
        <v>42</v>
      </c>
      <c r="G746">
        <v>1</v>
      </c>
      <c r="H746">
        <v>0</v>
      </c>
      <c r="I746" t="s">
        <v>45</v>
      </c>
      <c r="J746" cm="1">
        <f t="array" ref="J746">IFERROR(
    _xlfn.XLOOKUP(G746, 'Wedgewood Pharm-PME-Yr2-2025'!$E$33:$L$33,
        _xlfn.XLOOKUP('Rate Load'!H746, 'Wedgewood Pharm-PME-Yr2-2025'!$D$34:$D$57,
            'Wedgewood Pharm-PME-Yr2-2025'!$E$34:$L$57, 0, 0),
        0, 0),
    _xlfn.XLOOKUP(G746, 'Wedgewood Pharm-PME-Yr2-2025'!$E$33:$L$33,
        _xlfn.XLOOKUP('Rate Load'!L746, 'Wedgewood Pharm-PME-Yr2-2025'!$D$34:$D$57,
            'Wedgewood Pharm-PME-Yr2-2025'!$E$34:$L$57, 0, 0),
        0, 0)
)</f>
        <v>24.930000000000003</v>
      </c>
      <c r="K746" t="s">
        <v>46</v>
      </c>
      <c r="L746" t="s">
        <v>23</v>
      </c>
      <c r="M746">
        <v>2</v>
      </c>
      <c r="N746" t="str">
        <f t="shared" si="11"/>
        <v>INSERT INTO TNL_RATING.dbo.usps_rate_master VALUES ('USPS', '2/13/2025', '2/13/2026', 12659, 'US', 'Priority Mail Express', 1, 0, 'L', 24.93, 'Wedgewood_USPS_2025', 'Legal Flat-Rate Envelope','2');</v>
      </c>
    </row>
    <row r="747" spans="1:14" x14ac:dyDescent="0.3">
      <c r="A747" t="s">
        <v>11</v>
      </c>
      <c r="B747" s="1" t="s">
        <v>43</v>
      </c>
      <c r="C747" s="1" t="s">
        <v>44</v>
      </c>
      <c r="D747">
        <v>12659</v>
      </c>
      <c r="E747" t="s">
        <v>12</v>
      </c>
      <c r="F747" t="s">
        <v>42</v>
      </c>
      <c r="G747">
        <v>2</v>
      </c>
      <c r="H747">
        <v>0</v>
      </c>
      <c r="I747" t="s">
        <v>45</v>
      </c>
      <c r="J747" cm="1">
        <f t="array" ref="J747">IFERROR(
    _xlfn.XLOOKUP(G747, 'Wedgewood Pharm-PME-Yr2-2025'!$E$33:$L$33,
        _xlfn.XLOOKUP('Rate Load'!H747, 'Wedgewood Pharm-PME-Yr2-2025'!$D$34:$D$57,
            'Wedgewood Pharm-PME-Yr2-2025'!$E$34:$L$57, 0, 0),
        0, 0),
    _xlfn.XLOOKUP(G747, 'Wedgewood Pharm-PME-Yr2-2025'!$E$33:$L$33,
        _xlfn.XLOOKUP('Rate Load'!L747, 'Wedgewood Pharm-PME-Yr2-2025'!$D$34:$D$57,
            'Wedgewood Pharm-PME-Yr2-2025'!$E$34:$L$57, 0, 0),
        0, 0)
)</f>
        <v>24.930000000000003</v>
      </c>
      <c r="K747" t="s">
        <v>46</v>
      </c>
      <c r="L747" t="s">
        <v>23</v>
      </c>
      <c r="M747">
        <v>2</v>
      </c>
      <c r="N747" t="str">
        <f t="shared" si="11"/>
        <v>INSERT INTO TNL_RATING.dbo.usps_rate_master VALUES ('USPS', '2/13/2025', '2/13/2026', 12659, 'US', 'Priority Mail Express', 2, 0, 'L', 24.93, 'Wedgewood_USPS_2025', 'Legal Flat-Rate Envelope','2');</v>
      </c>
    </row>
    <row r="748" spans="1:14" x14ac:dyDescent="0.3">
      <c r="A748" t="s">
        <v>11</v>
      </c>
      <c r="B748" s="1" t="s">
        <v>43</v>
      </c>
      <c r="C748" s="1" t="s">
        <v>44</v>
      </c>
      <c r="D748">
        <v>12659</v>
      </c>
      <c r="E748" t="s">
        <v>12</v>
      </c>
      <c r="F748" t="s">
        <v>42</v>
      </c>
      <c r="G748">
        <v>3</v>
      </c>
      <c r="H748">
        <v>0</v>
      </c>
      <c r="I748" t="s">
        <v>45</v>
      </c>
      <c r="J748" cm="1">
        <f t="array" ref="J748">IFERROR(
    _xlfn.XLOOKUP(G748, 'Wedgewood Pharm-PME-Yr2-2025'!$E$33:$L$33,
        _xlfn.XLOOKUP('Rate Load'!H748, 'Wedgewood Pharm-PME-Yr2-2025'!$D$34:$D$57,
            'Wedgewood Pharm-PME-Yr2-2025'!$E$34:$L$57, 0, 0),
        0, 0),
    _xlfn.XLOOKUP(G748, 'Wedgewood Pharm-PME-Yr2-2025'!$E$33:$L$33,
        _xlfn.XLOOKUP('Rate Load'!L748, 'Wedgewood Pharm-PME-Yr2-2025'!$D$34:$D$57,
            'Wedgewood Pharm-PME-Yr2-2025'!$E$34:$L$57, 0, 0),
        0, 0)
)</f>
        <v>24.930000000000003</v>
      </c>
      <c r="K748" t="s">
        <v>46</v>
      </c>
      <c r="L748" t="s">
        <v>23</v>
      </c>
      <c r="M748">
        <v>2</v>
      </c>
      <c r="N748" t="str">
        <f t="shared" si="11"/>
        <v>INSERT INTO TNL_RATING.dbo.usps_rate_master VALUES ('USPS', '2/13/2025', '2/13/2026', 12659, 'US', 'Priority Mail Express', 3, 0, 'L', 24.93, 'Wedgewood_USPS_2025', 'Legal Flat-Rate Envelope','2');</v>
      </c>
    </row>
    <row r="749" spans="1:14" x14ac:dyDescent="0.3">
      <c r="A749" t="s">
        <v>11</v>
      </c>
      <c r="B749" s="1" t="s">
        <v>43</v>
      </c>
      <c r="C749" s="1" t="s">
        <v>44</v>
      </c>
      <c r="D749">
        <v>12659</v>
      </c>
      <c r="E749" t="s">
        <v>12</v>
      </c>
      <c r="F749" t="s">
        <v>42</v>
      </c>
      <c r="G749">
        <v>4</v>
      </c>
      <c r="H749">
        <v>0</v>
      </c>
      <c r="I749" t="s">
        <v>45</v>
      </c>
      <c r="J749" cm="1">
        <f t="array" ref="J749">IFERROR(
    _xlfn.XLOOKUP(G749, 'Wedgewood Pharm-PME-Yr2-2025'!$E$33:$L$33,
        _xlfn.XLOOKUP('Rate Load'!H749, 'Wedgewood Pharm-PME-Yr2-2025'!$D$34:$D$57,
            'Wedgewood Pharm-PME-Yr2-2025'!$E$34:$L$57, 0, 0),
        0, 0),
    _xlfn.XLOOKUP(G749, 'Wedgewood Pharm-PME-Yr2-2025'!$E$33:$L$33,
        _xlfn.XLOOKUP('Rate Load'!L749, 'Wedgewood Pharm-PME-Yr2-2025'!$D$34:$D$57,
            'Wedgewood Pharm-PME-Yr2-2025'!$E$34:$L$57, 0, 0),
        0, 0)
)</f>
        <v>24.930000000000003</v>
      </c>
      <c r="K749" t="s">
        <v>46</v>
      </c>
      <c r="L749" t="s">
        <v>23</v>
      </c>
      <c r="M749">
        <v>2</v>
      </c>
      <c r="N749" t="str">
        <f t="shared" si="11"/>
        <v>INSERT INTO TNL_RATING.dbo.usps_rate_master VALUES ('USPS', '2/13/2025', '2/13/2026', 12659, 'US', 'Priority Mail Express', 4, 0, 'L', 24.93, 'Wedgewood_USPS_2025', 'Legal Flat-Rate Envelope','2');</v>
      </c>
    </row>
    <row r="750" spans="1:14" x14ac:dyDescent="0.3">
      <c r="A750" t="s">
        <v>11</v>
      </c>
      <c r="B750" s="1" t="s">
        <v>43</v>
      </c>
      <c r="C750" s="1" t="s">
        <v>44</v>
      </c>
      <c r="D750">
        <v>12659</v>
      </c>
      <c r="E750" t="s">
        <v>12</v>
      </c>
      <c r="F750" t="s">
        <v>42</v>
      </c>
      <c r="G750">
        <v>5</v>
      </c>
      <c r="H750">
        <v>0</v>
      </c>
      <c r="I750" t="s">
        <v>45</v>
      </c>
      <c r="J750" cm="1">
        <f t="array" ref="J750">IFERROR(
    _xlfn.XLOOKUP(G750, 'Wedgewood Pharm-PME-Yr2-2025'!$E$33:$L$33,
        _xlfn.XLOOKUP('Rate Load'!H750, 'Wedgewood Pharm-PME-Yr2-2025'!$D$34:$D$57,
            'Wedgewood Pharm-PME-Yr2-2025'!$E$34:$L$57, 0, 0),
        0, 0),
    _xlfn.XLOOKUP(G750, 'Wedgewood Pharm-PME-Yr2-2025'!$E$33:$L$33,
        _xlfn.XLOOKUP('Rate Load'!L750, 'Wedgewood Pharm-PME-Yr2-2025'!$D$34:$D$57,
            'Wedgewood Pharm-PME-Yr2-2025'!$E$34:$L$57, 0, 0),
        0, 0)
)</f>
        <v>24.930000000000003</v>
      </c>
      <c r="K750" t="s">
        <v>46</v>
      </c>
      <c r="L750" t="s">
        <v>23</v>
      </c>
      <c r="M750">
        <v>2</v>
      </c>
      <c r="N750" t="str">
        <f t="shared" si="11"/>
        <v>INSERT INTO TNL_RATING.dbo.usps_rate_master VALUES ('USPS', '2/13/2025', '2/13/2026', 12659, 'US', 'Priority Mail Express', 5, 0, 'L', 24.93, 'Wedgewood_USPS_2025', 'Legal Flat-Rate Envelope','2');</v>
      </c>
    </row>
    <row r="751" spans="1:14" x14ac:dyDescent="0.3">
      <c r="A751" t="s">
        <v>11</v>
      </c>
      <c r="B751" s="1" t="s">
        <v>43</v>
      </c>
      <c r="C751" s="1" t="s">
        <v>44</v>
      </c>
      <c r="D751">
        <v>12659</v>
      </c>
      <c r="E751" t="s">
        <v>12</v>
      </c>
      <c r="F751" t="s">
        <v>42</v>
      </c>
      <c r="G751">
        <v>6</v>
      </c>
      <c r="H751">
        <v>0</v>
      </c>
      <c r="I751" t="s">
        <v>45</v>
      </c>
      <c r="J751" cm="1">
        <f t="array" ref="J751">IFERROR(
    _xlfn.XLOOKUP(G751, 'Wedgewood Pharm-PME-Yr2-2025'!$E$33:$L$33,
        _xlfn.XLOOKUP('Rate Load'!H751, 'Wedgewood Pharm-PME-Yr2-2025'!$D$34:$D$57,
            'Wedgewood Pharm-PME-Yr2-2025'!$E$34:$L$57, 0, 0),
        0, 0),
    _xlfn.XLOOKUP(G751, 'Wedgewood Pharm-PME-Yr2-2025'!$E$33:$L$33,
        _xlfn.XLOOKUP('Rate Load'!L751, 'Wedgewood Pharm-PME-Yr2-2025'!$D$34:$D$57,
            'Wedgewood Pharm-PME-Yr2-2025'!$E$34:$L$57, 0, 0),
        0, 0)
)</f>
        <v>24.930000000000003</v>
      </c>
      <c r="K751" t="s">
        <v>46</v>
      </c>
      <c r="L751" t="s">
        <v>23</v>
      </c>
      <c r="M751">
        <v>2</v>
      </c>
      <c r="N751" t="str">
        <f t="shared" si="11"/>
        <v>INSERT INTO TNL_RATING.dbo.usps_rate_master VALUES ('USPS', '2/13/2025', '2/13/2026', 12659, 'US', 'Priority Mail Express', 6, 0, 'L', 24.93, 'Wedgewood_USPS_2025', 'Legal Flat-Rate Envelope','2');</v>
      </c>
    </row>
    <row r="752" spans="1:14" x14ac:dyDescent="0.3">
      <c r="A752" t="s">
        <v>11</v>
      </c>
      <c r="B752" s="1" t="s">
        <v>43</v>
      </c>
      <c r="C752" s="1" t="s">
        <v>44</v>
      </c>
      <c r="D752">
        <v>12659</v>
      </c>
      <c r="E752" t="s">
        <v>12</v>
      </c>
      <c r="F752" t="s">
        <v>42</v>
      </c>
      <c r="G752">
        <v>7</v>
      </c>
      <c r="H752">
        <v>0</v>
      </c>
      <c r="I752" t="s">
        <v>45</v>
      </c>
      <c r="J752" cm="1">
        <f t="array" ref="J752">IFERROR(
    _xlfn.XLOOKUP(G752, 'Wedgewood Pharm-PME-Yr2-2025'!$E$33:$L$33,
        _xlfn.XLOOKUP('Rate Load'!H752, 'Wedgewood Pharm-PME-Yr2-2025'!$D$34:$D$57,
            'Wedgewood Pharm-PME-Yr2-2025'!$E$34:$L$57, 0, 0),
        0, 0),
    _xlfn.XLOOKUP(G752, 'Wedgewood Pharm-PME-Yr2-2025'!$E$33:$L$33,
        _xlfn.XLOOKUP('Rate Load'!L752, 'Wedgewood Pharm-PME-Yr2-2025'!$D$34:$D$57,
            'Wedgewood Pharm-PME-Yr2-2025'!$E$34:$L$57, 0, 0),
        0, 0)
)</f>
        <v>24.930000000000003</v>
      </c>
      <c r="K752" t="s">
        <v>46</v>
      </c>
      <c r="L752" t="s">
        <v>23</v>
      </c>
      <c r="M752">
        <v>2</v>
      </c>
      <c r="N752" t="str">
        <f t="shared" si="11"/>
        <v>INSERT INTO TNL_RATING.dbo.usps_rate_master VALUES ('USPS', '2/13/2025', '2/13/2026', 12659, 'US', 'Priority Mail Express', 7, 0, 'L', 24.93, 'Wedgewood_USPS_2025', 'Legal Flat-Rate Envelope','2');</v>
      </c>
    </row>
    <row r="753" spans="1:14" x14ac:dyDescent="0.3">
      <c r="A753" t="s">
        <v>11</v>
      </c>
      <c r="B753" s="1" t="s">
        <v>43</v>
      </c>
      <c r="C753" s="1" t="s">
        <v>44</v>
      </c>
      <c r="D753">
        <v>12659</v>
      </c>
      <c r="E753" t="s">
        <v>12</v>
      </c>
      <c r="F753" t="s">
        <v>42</v>
      </c>
      <c r="G753">
        <v>8</v>
      </c>
      <c r="H753">
        <v>0</v>
      </c>
      <c r="I753" t="s">
        <v>45</v>
      </c>
      <c r="J753" cm="1">
        <f t="array" ref="J753">IFERROR(
    _xlfn.XLOOKUP(G753, 'Wedgewood Pharm-PME-Yr2-2025'!$E$33:$L$33,
        _xlfn.XLOOKUP('Rate Load'!H753, 'Wedgewood Pharm-PME-Yr2-2025'!$D$34:$D$57,
            'Wedgewood Pharm-PME-Yr2-2025'!$E$34:$L$57, 0, 0),
        0, 0),
    _xlfn.XLOOKUP(G753, 'Wedgewood Pharm-PME-Yr2-2025'!$E$33:$L$33,
        _xlfn.XLOOKUP('Rate Load'!L753, 'Wedgewood Pharm-PME-Yr2-2025'!$D$34:$D$57,
            'Wedgewood Pharm-PME-Yr2-2025'!$E$34:$L$57, 0, 0),
        0, 0)
)</f>
        <v>24.930000000000003</v>
      </c>
      <c r="K753" t="s">
        <v>46</v>
      </c>
      <c r="L753" t="s">
        <v>23</v>
      </c>
      <c r="M753">
        <v>2</v>
      </c>
      <c r="N753" t="str">
        <f t="shared" si="11"/>
        <v>INSERT INTO TNL_RATING.dbo.usps_rate_master VALUES ('USPS', '2/13/2025', '2/13/2026', 12659, 'US', 'Priority Mail Express', 8, 0, 'L', 24.93, 'Wedgewood_USPS_2025', 'Legal Flat-Rate Envelope','2');</v>
      </c>
    </row>
    <row r="754" spans="1:14" x14ac:dyDescent="0.3">
      <c r="A754" t="s">
        <v>11</v>
      </c>
      <c r="B754" s="1" t="s">
        <v>43</v>
      </c>
      <c r="C754" s="1" t="s">
        <v>44</v>
      </c>
      <c r="D754">
        <v>12659</v>
      </c>
      <c r="E754" t="s">
        <v>12</v>
      </c>
      <c r="F754" t="s">
        <v>42</v>
      </c>
      <c r="G754">
        <v>1</v>
      </c>
      <c r="H754">
        <v>0</v>
      </c>
      <c r="I754" t="s">
        <v>45</v>
      </c>
      <c r="J754" cm="1">
        <f t="array" ref="J754">IFERROR(
    _xlfn.XLOOKUP(G754, 'Wedgewood Pharm-PME-Yr2-2025'!$E$33:$L$33,
        _xlfn.XLOOKUP('Rate Load'!H754, 'Wedgewood Pharm-PME-Yr2-2025'!$D$34:$D$57,
            'Wedgewood Pharm-PME-Yr2-2025'!$E$34:$L$57, 0, 0),
        0, 0),
    _xlfn.XLOOKUP(G754, 'Wedgewood Pharm-PME-Yr2-2025'!$E$33:$L$33,
        _xlfn.XLOOKUP('Rate Load'!L754, 'Wedgewood Pharm-PME-Yr2-2025'!$D$34:$D$57,
            'Wedgewood Pharm-PME-Yr2-2025'!$E$34:$L$57, 0, 0),
        0, 0)
)</f>
        <v>25.12</v>
      </c>
      <c r="K754" t="s">
        <v>46</v>
      </c>
      <c r="L754" t="s">
        <v>24</v>
      </c>
      <c r="M754">
        <v>2</v>
      </c>
      <c r="N754" t="str">
        <f t="shared" si="11"/>
        <v>INSERT INTO TNL_RATING.dbo.usps_rate_master VALUES ('USPS', '2/13/2025', '2/13/2026', 12659, 'US', 'Priority Mail Express', 1, 0, 'L', 25.12, 'Wedgewood_USPS_2025', 'Padded Flat-Rate Envelope','2');</v>
      </c>
    </row>
    <row r="755" spans="1:14" x14ac:dyDescent="0.3">
      <c r="A755" t="s">
        <v>11</v>
      </c>
      <c r="B755" s="1" t="s">
        <v>43</v>
      </c>
      <c r="C755" s="1" t="s">
        <v>44</v>
      </c>
      <c r="D755">
        <v>12659</v>
      </c>
      <c r="E755" t="s">
        <v>12</v>
      </c>
      <c r="F755" t="s">
        <v>42</v>
      </c>
      <c r="G755">
        <v>2</v>
      </c>
      <c r="H755">
        <v>0</v>
      </c>
      <c r="I755" t="s">
        <v>45</v>
      </c>
      <c r="J755" cm="1">
        <f t="array" ref="J755">IFERROR(
    _xlfn.XLOOKUP(G755, 'Wedgewood Pharm-PME-Yr2-2025'!$E$33:$L$33,
        _xlfn.XLOOKUP('Rate Load'!H755, 'Wedgewood Pharm-PME-Yr2-2025'!$D$34:$D$57,
            'Wedgewood Pharm-PME-Yr2-2025'!$E$34:$L$57, 0, 0),
        0, 0),
    _xlfn.XLOOKUP(G755, 'Wedgewood Pharm-PME-Yr2-2025'!$E$33:$L$33,
        _xlfn.XLOOKUP('Rate Load'!L755, 'Wedgewood Pharm-PME-Yr2-2025'!$D$34:$D$57,
            'Wedgewood Pharm-PME-Yr2-2025'!$E$34:$L$57, 0, 0),
        0, 0)
)</f>
        <v>25.12</v>
      </c>
      <c r="K755" t="s">
        <v>46</v>
      </c>
      <c r="L755" t="s">
        <v>24</v>
      </c>
      <c r="M755">
        <v>2</v>
      </c>
      <c r="N755" t="str">
        <f t="shared" si="11"/>
        <v>INSERT INTO TNL_RATING.dbo.usps_rate_master VALUES ('USPS', '2/13/2025', '2/13/2026', 12659, 'US', 'Priority Mail Express', 2, 0, 'L', 25.12, 'Wedgewood_USPS_2025', 'Padded Flat-Rate Envelope','2');</v>
      </c>
    </row>
    <row r="756" spans="1:14" x14ac:dyDescent="0.3">
      <c r="A756" t="s">
        <v>11</v>
      </c>
      <c r="B756" s="1" t="s">
        <v>43</v>
      </c>
      <c r="C756" s="1" t="s">
        <v>44</v>
      </c>
      <c r="D756">
        <v>12659</v>
      </c>
      <c r="E756" t="s">
        <v>12</v>
      </c>
      <c r="F756" t="s">
        <v>42</v>
      </c>
      <c r="G756">
        <v>3</v>
      </c>
      <c r="H756">
        <v>0</v>
      </c>
      <c r="I756" t="s">
        <v>45</v>
      </c>
      <c r="J756" cm="1">
        <f t="array" ref="J756">IFERROR(
    _xlfn.XLOOKUP(G756, 'Wedgewood Pharm-PME-Yr2-2025'!$E$33:$L$33,
        _xlfn.XLOOKUP('Rate Load'!H756, 'Wedgewood Pharm-PME-Yr2-2025'!$D$34:$D$57,
            'Wedgewood Pharm-PME-Yr2-2025'!$E$34:$L$57, 0, 0),
        0, 0),
    _xlfn.XLOOKUP(G756, 'Wedgewood Pharm-PME-Yr2-2025'!$E$33:$L$33,
        _xlfn.XLOOKUP('Rate Load'!L756, 'Wedgewood Pharm-PME-Yr2-2025'!$D$34:$D$57,
            'Wedgewood Pharm-PME-Yr2-2025'!$E$34:$L$57, 0, 0),
        0, 0)
)</f>
        <v>25.12</v>
      </c>
      <c r="K756" t="s">
        <v>46</v>
      </c>
      <c r="L756" t="s">
        <v>24</v>
      </c>
      <c r="M756">
        <v>2</v>
      </c>
      <c r="N756" t="str">
        <f t="shared" si="11"/>
        <v>INSERT INTO TNL_RATING.dbo.usps_rate_master VALUES ('USPS', '2/13/2025', '2/13/2026', 12659, 'US', 'Priority Mail Express', 3, 0, 'L', 25.12, 'Wedgewood_USPS_2025', 'Padded Flat-Rate Envelope','2');</v>
      </c>
    </row>
    <row r="757" spans="1:14" x14ac:dyDescent="0.3">
      <c r="A757" t="s">
        <v>11</v>
      </c>
      <c r="B757" s="1" t="s">
        <v>43</v>
      </c>
      <c r="C757" s="1" t="s">
        <v>44</v>
      </c>
      <c r="D757">
        <v>12659</v>
      </c>
      <c r="E757" t="s">
        <v>12</v>
      </c>
      <c r="F757" t="s">
        <v>42</v>
      </c>
      <c r="G757">
        <v>4</v>
      </c>
      <c r="H757">
        <v>0</v>
      </c>
      <c r="I757" t="s">
        <v>45</v>
      </c>
      <c r="J757" cm="1">
        <f t="array" ref="J757">IFERROR(
    _xlfn.XLOOKUP(G757, 'Wedgewood Pharm-PME-Yr2-2025'!$E$33:$L$33,
        _xlfn.XLOOKUP('Rate Load'!H757, 'Wedgewood Pharm-PME-Yr2-2025'!$D$34:$D$57,
            'Wedgewood Pharm-PME-Yr2-2025'!$E$34:$L$57, 0, 0),
        0, 0),
    _xlfn.XLOOKUP(G757, 'Wedgewood Pharm-PME-Yr2-2025'!$E$33:$L$33,
        _xlfn.XLOOKUP('Rate Load'!L757, 'Wedgewood Pharm-PME-Yr2-2025'!$D$34:$D$57,
            'Wedgewood Pharm-PME-Yr2-2025'!$E$34:$L$57, 0, 0),
        0, 0)
)</f>
        <v>25.12</v>
      </c>
      <c r="K757" t="s">
        <v>46</v>
      </c>
      <c r="L757" t="s">
        <v>24</v>
      </c>
      <c r="M757">
        <v>2</v>
      </c>
      <c r="N757" t="str">
        <f t="shared" si="11"/>
        <v>INSERT INTO TNL_RATING.dbo.usps_rate_master VALUES ('USPS', '2/13/2025', '2/13/2026', 12659, 'US', 'Priority Mail Express', 4, 0, 'L', 25.12, 'Wedgewood_USPS_2025', 'Padded Flat-Rate Envelope','2');</v>
      </c>
    </row>
    <row r="758" spans="1:14" x14ac:dyDescent="0.3">
      <c r="A758" t="s">
        <v>11</v>
      </c>
      <c r="B758" s="1" t="s">
        <v>43</v>
      </c>
      <c r="C758" s="1" t="s">
        <v>44</v>
      </c>
      <c r="D758">
        <v>12659</v>
      </c>
      <c r="E758" t="s">
        <v>12</v>
      </c>
      <c r="F758" t="s">
        <v>42</v>
      </c>
      <c r="G758">
        <v>5</v>
      </c>
      <c r="H758">
        <v>0</v>
      </c>
      <c r="I758" t="s">
        <v>45</v>
      </c>
      <c r="J758" cm="1">
        <f t="array" ref="J758">IFERROR(
    _xlfn.XLOOKUP(G758, 'Wedgewood Pharm-PME-Yr2-2025'!$E$33:$L$33,
        _xlfn.XLOOKUP('Rate Load'!H758, 'Wedgewood Pharm-PME-Yr2-2025'!$D$34:$D$57,
            'Wedgewood Pharm-PME-Yr2-2025'!$E$34:$L$57, 0, 0),
        0, 0),
    _xlfn.XLOOKUP(G758, 'Wedgewood Pharm-PME-Yr2-2025'!$E$33:$L$33,
        _xlfn.XLOOKUP('Rate Load'!L758, 'Wedgewood Pharm-PME-Yr2-2025'!$D$34:$D$57,
            'Wedgewood Pharm-PME-Yr2-2025'!$E$34:$L$57, 0, 0),
        0, 0)
)</f>
        <v>25.12</v>
      </c>
      <c r="K758" t="s">
        <v>46</v>
      </c>
      <c r="L758" t="s">
        <v>24</v>
      </c>
      <c r="M758">
        <v>2</v>
      </c>
      <c r="N758" t="str">
        <f t="shared" si="11"/>
        <v>INSERT INTO TNL_RATING.dbo.usps_rate_master VALUES ('USPS', '2/13/2025', '2/13/2026', 12659, 'US', 'Priority Mail Express', 5, 0, 'L', 25.12, 'Wedgewood_USPS_2025', 'Padded Flat-Rate Envelope','2');</v>
      </c>
    </row>
    <row r="759" spans="1:14" x14ac:dyDescent="0.3">
      <c r="A759" t="s">
        <v>11</v>
      </c>
      <c r="B759" s="1" t="s">
        <v>43</v>
      </c>
      <c r="C759" s="1" t="s">
        <v>44</v>
      </c>
      <c r="D759">
        <v>12659</v>
      </c>
      <c r="E759" t="s">
        <v>12</v>
      </c>
      <c r="F759" t="s">
        <v>42</v>
      </c>
      <c r="G759">
        <v>6</v>
      </c>
      <c r="H759">
        <v>0</v>
      </c>
      <c r="I759" t="s">
        <v>45</v>
      </c>
      <c r="J759" cm="1">
        <f t="array" ref="J759">IFERROR(
    _xlfn.XLOOKUP(G759, 'Wedgewood Pharm-PME-Yr2-2025'!$E$33:$L$33,
        _xlfn.XLOOKUP('Rate Load'!H759, 'Wedgewood Pharm-PME-Yr2-2025'!$D$34:$D$57,
            'Wedgewood Pharm-PME-Yr2-2025'!$E$34:$L$57, 0, 0),
        0, 0),
    _xlfn.XLOOKUP(G759, 'Wedgewood Pharm-PME-Yr2-2025'!$E$33:$L$33,
        _xlfn.XLOOKUP('Rate Load'!L759, 'Wedgewood Pharm-PME-Yr2-2025'!$D$34:$D$57,
            'Wedgewood Pharm-PME-Yr2-2025'!$E$34:$L$57, 0, 0),
        0, 0)
)</f>
        <v>25.12</v>
      </c>
      <c r="K759" t="s">
        <v>46</v>
      </c>
      <c r="L759" t="s">
        <v>24</v>
      </c>
      <c r="M759">
        <v>2</v>
      </c>
      <c r="N759" t="str">
        <f t="shared" si="11"/>
        <v>INSERT INTO TNL_RATING.dbo.usps_rate_master VALUES ('USPS', '2/13/2025', '2/13/2026', 12659, 'US', 'Priority Mail Express', 6, 0, 'L', 25.12, 'Wedgewood_USPS_2025', 'Padded Flat-Rate Envelope','2');</v>
      </c>
    </row>
    <row r="760" spans="1:14" x14ac:dyDescent="0.3">
      <c r="A760" t="s">
        <v>11</v>
      </c>
      <c r="B760" s="1" t="s">
        <v>43</v>
      </c>
      <c r="C760" s="1" t="s">
        <v>44</v>
      </c>
      <c r="D760">
        <v>12659</v>
      </c>
      <c r="E760" t="s">
        <v>12</v>
      </c>
      <c r="F760" t="s">
        <v>42</v>
      </c>
      <c r="G760">
        <v>7</v>
      </c>
      <c r="H760">
        <v>0</v>
      </c>
      <c r="I760" t="s">
        <v>45</v>
      </c>
      <c r="J760" cm="1">
        <f t="array" ref="J760">IFERROR(
    _xlfn.XLOOKUP(G760, 'Wedgewood Pharm-PME-Yr2-2025'!$E$33:$L$33,
        _xlfn.XLOOKUP('Rate Load'!H760, 'Wedgewood Pharm-PME-Yr2-2025'!$D$34:$D$57,
            'Wedgewood Pharm-PME-Yr2-2025'!$E$34:$L$57, 0, 0),
        0, 0),
    _xlfn.XLOOKUP(G760, 'Wedgewood Pharm-PME-Yr2-2025'!$E$33:$L$33,
        _xlfn.XLOOKUP('Rate Load'!L760, 'Wedgewood Pharm-PME-Yr2-2025'!$D$34:$D$57,
            'Wedgewood Pharm-PME-Yr2-2025'!$E$34:$L$57, 0, 0),
        0, 0)
)</f>
        <v>25.12</v>
      </c>
      <c r="K760" t="s">
        <v>46</v>
      </c>
      <c r="L760" t="s">
        <v>24</v>
      </c>
      <c r="M760">
        <v>2</v>
      </c>
      <c r="N760" t="str">
        <f t="shared" si="11"/>
        <v>INSERT INTO TNL_RATING.dbo.usps_rate_master VALUES ('USPS', '2/13/2025', '2/13/2026', 12659, 'US', 'Priority Mail Express', 7, 0, 'L', 25.12, 'Wedgewood_USPS_2025', 'Padded Flat-Rate Envelope','2');</v>
      </c>
    </row>
    <row r="761" spans="1:14" x14ac:dyDescent="0.3">
      <c r="A761" t="s">
        <v>11</v>
      </c>
      <c r="B761" s="1" t="s">
        <v>43</v>
      </c>
      <c r="C761" s="1" t="s">
        <v>44</v>
      </c>
      <c r="D761">
        <v>12659</v>
      </c>
      <c r="E761" t="s">
        <v>12</v>
      </c>
      <c r="F761" t="s">
        <v>42</v>
      </c>
      <c r="G761">
        <v>8</v>
      </c>
      <c r="H761">
        <v>0</v>
      </c>
      <c r="I761" t="s">
        <v>45</v>
      </c>
      <c r="J761" cm="1">
        <f t="array" ref="J761">IFERROR(
    _xlfn.XLOOKUP(G761, 'Wedgewood Pharm-PME-Yr2-2025'!$E$33:$L$33,
        _xlfn.XLOOKUP('Rate Load'!H761, 'Wedgewood Pharm-PME-Yr2-2025'!$D$34:$D$57,
            'Wedgewood Pharm-PME-Yr2-2025'!$E$34:$L$57, 0, 0),
        0, 0),
    _xlfn.XLOOKUP(G761, 'Wedgewood Pharm-PME-Yr2-2025'!$E$33:$L$33,
        _xlfn.XLOOKUP('Rate Load'!L761, 'Wedgewood Pharm-PME-Yr2-2025'!$D$34:$D$57,
            'Wedgewood Pharm-PME-Yr2-2025'!$E$34:$L$57, 0, 0),
        0, 0)
)</f>
        <v>25.12</v>
      </c>
      <c r="K761" t="s">
        <v>46</v>
      </c>
      <c r="L761" t="s">
        <v>24</v>
      </c>
      <c r="M761">
        <v>2</v>
      </c>
      <c r="N761" t="str">
        <f t="shared" si="11"/>
        <v>INSERT INTO TNL_RATING.dbo.usps_rate_master VALUES ('USPS', '2/13/2025', '2/13/2026', 12659, 'US', 'Priority Mail Express', 8, 0, 'L', 25.12, 'Wedgewood_USPS_2025', 'Padded Flat-Rate Envelope','2');</v>
      </c>
    </row>
    <row r="762" spans="1:14" x14ac:dyDescent="0.3">
      <c r="A762" t="s">
        <v>11</v>
      </c>
      <c r="B762" s="1" t="s">
        <v>43</v>
      </c>
      <c r="C762" s="1" t="s">
        <v>44</v>
      </c>
      <c r="D762">
        <v>12659</v>
      </c>
      <c r="E762" t="s">
        <v>12</v>
      </c>
      <c r="F762" t="s">
        <v>47</v>
      </c>
      <c r="G762">
        <v>1</v>
      </c>
      <c r="H762">
        <v>0.5</v>
      </c>
      <c r="I762" t="s">
        <v>45</v>
      </c>
      <c r="J762" cm="1">
        <f t="array" ref="J762">IFERROR(
    _xlfn.XLOOKUP(G762, 'Wedgewood Pharm-PM-Yr2-2025'!$E$41:$L$41,
        _xlfn.XLOOKUP('Rate Load'!H762, 'Wedgewood Pharm-PM-Yr2-2025'!$D$42:$D$68,
            'Wedgewood Pharm-PM-Yr2-2025'!$E$42:$L$68, 0, 0),
        0, 0),
    _xlfn.XLOOKUP(G762, 'Wedgewood Pharm-PM-Yr2-2025'!$E$41:$L$41,
        _xlfn.XLOOKUP('Rate Load'!L762, 'Wedgewood Pharm-PM-Yr2-2025'!$D$42:$D$68,
            'Wedgewood Pharm-PM-Yr2-2025'!$E$42:$L$68, 0, 0),
        0, 0)
)</f>
        <v>6.9399999999999995</v>
      </c>
      <c r="K762" t="s">
        <v>46</v>
      </c>
      <c r="L762" t="s">
        <v>13</v>
      </c>
      <c r="M762">
        <v>2</v>
      </c>
      <c r="N762" t="str">
        <f t="shared" si="11"/>
        <v>INSERT INTO TNL_RATING.dbo.usps_rate_master VALUES ('USPS', '2/13/2025', '2/13/2026', 12659, 'US', 'Priority Mail', 1, 0.5, 'L', 6.94, 'Wedgewood_USPS_2025', 'NonCubic','2');</v>
      </c>
    </row>
    <row r="763" spans="1:14" x14ac:dyDescent="0.3">
      <c r="A763" t="s">
        <v>11</v>
      </c>
      <c r="B763" s="1" t="s">
        <v>43</v>
      </c>
      <c r="C763" s="1" t="s">
        <v>44</v>
      </c>
      <c r="D763">
        <v>12659</v>
      </c>
      <c r="E763" t="s">
        <v>12</v>
      </c>
      <c r="F763" t="s">
        <v>47</v>
      </c>
      <c r="G763">
        <v>1</v>
      </c>
      <c r="H763">
        <v>1</v>
      </c>
      <c r="I763" t="s">
        <v>45</v>
      </c>
      <c r="J763" cm="1">
        <f t="array" ref="J763">IFERROR(
    _xlfn.XLOOKUP(G763, 'Wedgewood Pharm-PM-Yr2-2025'!$E$41:$L$41,
        _xlfn.XLOOKUP('Rate Load'!H763, 'Wedgewood Pharm-PM-Yr2-2025'!$D$42:$D$68,
            'Wedgewood Pharm-PM-Yr2-2025'!$E$42:$L$68, 0, 0),
        0, 0),
    _xlfn.XLOOKUP(G763, 'Wedgewood Pharm-PM-Yr2-2025'!$E$41:$L$41,
        _xlfn.XLOOKUP('Rate Load'!L763, 'Wedgewood Pharm-PM-Yr2-2025'!$D$42:$D$68,
            'Wedgewood Pharm-PM-Yr2-2025'!$E$42:$L$68, 0, 0),
        0, 0)
)</f>
        <v>6.9399999999999995</v>
      </c>
      <c r="K763" t="s">
        <v>46</v>
      </c>
      <c r="L763" t="s">
        <v>13</v>
      </c>
      <c r="M763">
        <v>2</v>
      </c>
      <c r="N763" t="str">
        <f t="shared" si="11"/>
        <v>INSERT INTO TNL_RATING.dbo.usps_rate_master VALUES ('USPS', '2/13/2025', '2/13/2026', 12659, 'US', 'Priority Mail', 1, 1, 'L', 6.94, 'Wedgewood_USPS_2025', 'NonCubic','2');</v>
      </c>
    </row>
    <row r="764" spans="1:14" x14ac:dyDescent="0.3">
      <c r="A764" t="s">
        <v>11</v>
      </c>
      <c r="B764" s="1" t="s">
        <v>43</v>
      </c>
      <c r="C764" s="1" t="s">
        <v>44</v>
      </c>
      <c r="D764">
        <v>12659</v>
      </c>
      <c r="E764" t="s">
        <v>12</v>
      </c>
      <c r="F764" t="s">
        <v>47</v>
      </c>
      <c r="G764">
        <v>1</v>
      </c>
      <c r="H764">
        <v>2</v>
      </c>
      <c r="I764" t="s">
        <v>45</v>
      </c>
      <c r="J764" cm="1">
        <f t="array" ref="J764">IFERROR(
    _xlfn.XLOOKUP(G764, 'Wedgewood Pharm-PM-Yr2-2025'!$E$41:$L$41,
        _xlfn.XLOOKUP('Rate Load'!H764, 'Wedgewood Pharm-PM-Yr2-2025'!$D$42:$D$68,
            'Wedgewood Pharm-PM-Yr2-2025'!$E$42:$L$68, 0, 0),
        0, 0),
    _xlfn.XLOOKUP(G764, 'Wedgewood Pharm-PM-Yr2-2025'!$E$41:$L$41,
        _xlfn.XLOOKUP('Rate Load'!L764, 'Wedgewood Pharm-PM-Yr2-2025'!$D$42:$D$68,
            'Wedgewood Pharm-PM-Yr2-2025'!$E$42:$L$68, 0, 0),
        0, 0)
)</f>
        <v>6.96</v>
      </c>
      <c r="K764" t="s">
        <v>46</v>
      </c>
      <c r="L764" t="s">
        <v>13</v>
      </c>
      <c r="M764">
        <v>2</v>
      </c>
      <c r="N764" t="str">
        <f t="shared" si="11"/>
        <v>INSERT INTO TNL_RATING.dbo.usps_rate_master VALUES ('USPS', '2/13/2025', '2/13/2026', 12659, 'US', 'Priority Mail', 1, 2, 'L', 6.96, 'Wedgewood_USPS_2025', 'NonCubic','2');</v>
      </c>
    </row>
    <row r="765" spans="1:14" x14ac:dyDescent="0.3">
      <c r="A765" t="s">
        <v>11</v>
      </c>
      <c r="B765" s="1" t="s">
        <v>43</v>
      </c>
      <c r="C765" s="1" t="s">
        <v>44</v>
      </c>
      <c r="D765">
        <v>12659</v>
      </c>
      <c r="E765" t="s">
        <v>12</v>
      </c>
      <c r="F765" t="s">
        <v>47</v>
      </c>
      <c r="G765">
        <v>1</v>
      </c>
      <c r="H765">
        <v>3</v>
      </c>
      <c r="I765" t="s">
        <v>45</v>
      </c>
      <c r="J765" cm="1">
        <f t="array" ref="J765">IFERROR(
    _xlfn.XLOOKUP(G765, 'Wedgewood Pharm-PM-Yr2-2025'!$E$41:$L$41,
        _xlfn.XLOOKUP('Rate Load'!H765, 'Wedgewood Pharm-PM-Yr2-2025'!$D$42:$D$68,
            'Wedgewood Pharm-PM-Yr2-2025'!$E$42:$L$68, 0, 0),
        0, 0),
    _xlfn.XLOOKUP(G765, 'Wedgewood Pharm-PM-Yr2-2025'!$E$41:$L$41,
        _xlfn.XLOOKUP('Rate Load'!L765, 'Wedgewood Pharm-PM-Yr2-2025'!$D$42:$D$68,
            'Wedgewood Pharm-PM-Yr2-2025'!$E$42:$L$68, 0, 0),
        0, 0)
)</f>
        <v>7.06</v>
      </c>
      <c r="K765" t="s">
        <v>46</v>
      </c>
      <c r="L765" t="s">
        <v>13</v>
      </c>
      <c r="M765">
        <v>2</v>
      </c>
      <c r="N765" t="str">
        <f t="shared" si="11"/>
        <v>INSERT INTO TNL_RATING.dbo.usps_rate_master VALUES ('USPS', '2/13/2025', '2/13/2026', 12659, 'US', 'Priority Mail', 1, 3, 'L', 7.06, 'Wedgewood_USPS_2025', 'NonCubic','2');</v>
      </c>
    </row>
    <row r="766" spans="1:14" x14ac:dyDescent="0.3">
      <c r="A766" t="s">
        <v>11</v>
      </c>
      <c r="B766" s="1" t="s">
        <v>43</v>
      </c>
      <c r="C766" s="1" t="s">
        <v>44</v>
      </c>
      <c r="D766">
        <v>12659</v>
      </c>
      <c r="E766" t="s">
        <v>12</v>
      </c>
      <c r="F766" t="s">
        <v>47</v>
      </c>
      <c r="G766">
        <v>1</v>
      </c>
      <c r="H766">
        <v>4</v>
      </c>
      <c r="I766" t="s">
        <v>45</v>
      </c>
      <c r="J766" cm="1">
        <f t="array" ref="J766">IFERROR(
    _xlfn.XLOOKUP(G766, 'Wedgewood Pharm-PM-Yr2-2025'!$E$41:$L$41,
        _xlfn.XLOOKUP('Rate Load'!H766, 'Wedgewood Pharm-PM-Yr2-2025'!$D$42:$D$68,
            'Wedgewood Pharm-PM-Yr2-2025'!$E$42:$L$68, 0, 0),
        0, 0),
    _xlfn.XLOOKUP(G766, 'Wedgewood Pharm-PM-Yr2-2025'!$E$41:$L$41,
        _xlfn.XLOOKUP('Rate Load'!L766, 'Wedgewood Pharm-PM-Yr2-2025'!$D$42:$D$68,
            'Wedgewood Pharm-PM-Yr2-2025'!$E$42:$L$68, 0, 0),
        0, 0)
)</f>
        <v>7.22</v>
      </c>
      <c r="K766" t="s">
        <v>46</v>
      </c>
      <c r="L766" t="s">
        <v>13</v>
      </c>
      <c r="M766">
        <v>2</v>
      </c>
      <c r="N766" t="str">
        <f t="shared" si="11"/>
        <v>INSERT INTO TNL_RATING.dbo.usps_rate_master VALUES ('USPS', '2/13/2025', '2/13/2026', 12659, 'US', 'Priority Mail', 1, 4, 'L', 7.22, 'Wedgewood_USPS_2025', 'NonCubic','2');</v>
      </c>
    </row>
    <row r="767" spans="1:14" x14ac:dyDescent="0.3">
      <c r="A767" t="s">
        <v>11</v>
      </c>
      <c r="B767" s="1" t="s">
        <v>43</v>
      </c>
      <c r="C767" s="1" t="s">
        <v>44</v>
      </c>
      <c r="D767">
        <v>12659</v>
      </c>
      <c r="E767" t="s">
        <v>12</v>
      </c>
      <c r="F767" t="s">
        <v>47</v>
      </c>
      <c r="G767">
        <v>1</v>
      </c>
      <c r="H767">
        <v>5</v>
      </c>
      <c r="I767" t="s">
        <v>45</v>
      </c>
      <c r="J767" cm="1">
        <f t="array" ref="J767">IFERROR(
    _xlfn.XLOOKUP(G767, 'Wedgewood Pharm-PM-Yr2-2025'!$E$41:$L$41,
        _xlfn.XLOOKUP('Rate Load'!H767, 'Wedgewood Pharm-PM-Yr2-2025'!$D$42:$D$68,
            'Wedgewood Pharm-PM-Yr2-2025'!$E$42:$L$68, 0, 0),
        0, 0),
    _xlfn.XLOOKUP(G767, 'Wedgewood Pharm-PM-Yr2-2025'!$E$41:$L$41,
        _xlfn.XLOOKUP('Rate Load'!L767, 'Wedgewood Pharm-PM-Yr2-2025'!$D$42:$D$68,
            'Wedgewood Pharm-PM-Yr2-2025'!$E$42:$L$68, 0, 0),
        0, 0)
)</f>
        <v>7.22</v>
      </c>
      <c r="K767" t="s">
        <v>46</v>
      </c>
      <c r="L767" t="s">
        <v>13</v>
      </c>
      <c r="M767">
        <v>2</v>
      </c>
      <c r="N767" t="str">
        <f t="shared" si="11"/>
        <v>INSERT INTO TNL_RATING.dbo.usps_rate_master VALUES ('USPS', '2/13/2025', '2/13/2026', 12659, 'US', 'Priority Mail', 1, 5, 'L', 7.22, 'Wedgewood_USPS_2025', 'NonCubic','2');</v>
      </c>
    </row>
    <row r="768" spans="1:14" x14ac:dyDescent="0.3">
      <c r="A768" t="s">
        <v>11</v>
      </c>
      <c r="B768" s="1" t="s">
        <v>43</v>
      </c>
      <c r="C768" s="1" t="s">
        <v>44</v>
      </c>
      <c r="D768">
        <v>12659</v>
      </c>
      <c r="E768" t="s">
        <v>12</v>
      </c>
      <c r="F768" t="s">
        <v>47</v>
      </c>
      <c r="G768">
        <v>1</v>
      </c>
      <c r="H768">
        <v>6</v>
      </c>
      <c r="I768" t="s">
        <v>45</v>
      </c>
      <c r="J768" cm="1">
        <f t="array" ref="J768">IFERROR(
    _xlfn.XLOOKUP(G768, 'Wedgewood Pharm-PM-Yr2-2025'!$E$41:$L$41,
        _xlfn.XLOOKUP('Rate Load'!H768, 'Wedgewood Pharm-PM-Yr2-2025'!$D$42:$D$68,
            'Wedgewood Pharm-PM-Yr2-2025'!$E$42:$L$68, 0, 0),
        0, 0),
    _xlfn.XLOOKUP(G768, 'Wedgewood Pharm-PM-Yr2-2025'!$E$41:$L$41,
        _xlfn.XLOOKUP('Rate Load'!L768, 'Wedgewood Pharm-PM-Yr2-2025'!$D$42:$D$68,
            'Wedgewood Pharm-PM-Yr2-2025'!$E$42:$L$68, 0, 0),
        0, 0)
)</f>
        <v>7.3199999999999994</v>
      </c>
      <c r="K768" t="s">
        <v>46</v>
      </c>
      <c r="L768" t="s">
        <v>13</v>
      </c>
      <c r="M768">
        <v>2</v>
      </c>
      <c r="N768" t="str">
        <f t="shared" si="11"/>
        <v>INSERT INTO TNL_RATING.dbo.usps_rate_master VALUES ('USPS', '2/13/2025', '2/13/2026', 12659, 'US', 'Priority Mail', 1, 6, 'L', 7.32, 'Wedgewood_USPS_2025', 'NonCubic','2');</v>
      </c>
    </row>
    <row r="769" spans="1:14" x14ac:dyDescent="0.3">
      <c r="A769" t="s">
        <v>11</v>
      </c>
      <c r="B769" s="1" t="s">
        <v>43</v>
      </c>
      <c r="C769" s="1" t="s">
        <v>44</v>
      </c>
      <c r="D769">
        <v>12659</v>
      </c>
      <c r="E769" t="s">
        <v>12</v>
      </c>
      <c r="F769" t="s">
        <v>47</v>
      </c>
      <c r="G769">
        <v>1</v>
      </c>
      <c r="H769">
        <v>7</v>
      </c>
      <c r="I769" t="s">
        <v>45</v>
      </c>
      <c r="J769" cm="1">
        <f t="array" ref="J769">IFERROR(
    _xlfn.XLOOKUP(G769, 'Wedgewood Pharm-PM-Yr2-2025'!$E$41:$L$41,
        _xlfn.XLOOKUP('Rate Load'!H769, 'Wedgewood Pharm-PM-Yr2-2025'!$D$42:$D$68,
            'Wedgewood Pharm-PM-Yr2-2025'!$E$42:$L$68, 0, 0),
        0, 0),
    _xlfn.XLOOKUP(G769, 'Wedgewood Pharm-PM-Yr2-2025'!$E$41:$L$41,
        _xlfn.XLOOKUP('Rate Load'!L769, 'Wedgewood Pharm-PM-Yr2-2025'!$D$42:$D$68,
            'Wedgewood Pharm-PM-Yr2-2025'!$E$42:$L$68, 0, 0),
        0, 0)
)</f>
        <v>8.43</v>
      </c>
      <c r="K769" t="s">
        <v>46</v>
      </c>
      <c r="L769" t="s">
        <v>13</v>
      </c>
      <c r="M769">
        <v>2</v>
      </c>
      <c r="N769" t="str">
        <f t="shared" si="11"/>
        <v>INSERT INTO TNL_RATING.dbo.usps_rate_master VALUES ('USPS', '2/13/2025', '2/13/2026', 12659, 'US', 'Priority Mail', 1, 7, 'L', 8.43, 'Wedgewood_USPS_2025', 'NonCubic','2');</v>
      </c>
    </row>
    <row r="770" spans="1:14" x14ac:dyDescent="0.3">
      <c r="A770" t="s">
        <v>11</v>
      </c>
      <c r="B770" s="1" t="s">
        <v>43</v>
      </c>
      <c r="C770" s="1" t="s">
        <v>44</v>
      </c>
      <c r="D770">
        <v>12659</v>
      </c>
      <c r="E770" t="s">
        <v>12</v>
      </c>
      <c r="F770" t="s">
        <v>47</v>
      </c>
      <c r="G770">
        <v>1</v>
      </c>
      <c r="H770">
        <v>8</v>
      </c>
      <c r="I770" t="s">
        <v>45</v>
      </c>
      <c r="J770" cm="1">
        <f t="array" ref="J770">IFERROR(
    _xlfn.XLOOKUP(G770, 'Wedgewood Pharm-PM-Yr2-2025'!$E$41:$L$41,
        _xlfn.XLOOKUP('Rate Load'!H770, 'Wedgewood Pharm-PM-Yr2-2025'!$D$42:$D$68,
            'Wedgewood Pharm-PM-Yr2-2025'!$E$42:$L$68, 0, 0),
        0, 0),
    _xlfn.XLOOKUP(G770, 'Wedgewood Pharm-PM-Yr2-2025'!$E$41:$L$41,
        _xlfn.XLOOKUP('Rate Load'!L770, 'Wedgewood Pharm-PM-Yr2-2025'!$D$42:$D$68,
            'Wedgewood Pharm-PM-Yr2-2025'!$E$42:$L$68, 0, 0),
        0, 0)
)</f>
        <v>8.69</v>
      </c>
      <c r="K770" t="s">
        <v>46</v>
      </c>
      <c r="L770" t="s">
        <v>13</v>
      </c>
      <c r="M770">
        <v>2</v>
      </c>
      <c r="N770" t="str">
        <f t="shared" si="11"/>
        <v>INSERT INTO TNL_RATING.dbo.usps_rate_master VALUES ('USPS', '2/13/2025', '2/13/2026', 12659, 'US', 'Priority Mail', 1, 8, 'L', 8.69, 'Wedgewood_USPS_2025', 'NonCubic','2');</v>
      </c>
    </row>
    <row r="771" spans="1:14" x14ac:dyDescent="0.3">
      <c r="A771" t="s">
        <v>11</v>
      </c>
      <c r="B771" s="1" t="s">
        <v>43</v>
      </c>
      <c r="C771" s="1" t="s">
        <v>44</v>
      </c>
      <c r="D771">
        <v>12659</v>
      </c>
      <c r="E771" t="s">
        <v>12</v>
      </c>
      <c r="F771" t="s">
        <v>47</v>
      </c>
      <c r="G771">
        <v>1</v>
      </c>
      <c r="H771">
        <v>9</v>
      </c>
      <c r="I771" t="s">
        <v>45</v>
      </c>
      <c r="J771" cm="1">
        <f t="array" ref="J771">IFERROR(
    _xlfn.XLOOKUP(G771, 'Wedgewood Pharm-PM-Yr2-2025'!$E$41:$L$41,
        _xlfn.XLOOKUP('Rate Load'!H771, 'Wedgewood Pharm-PM-Yr2-2025'!$D$42:$D$68,
            'Wedgewood Pharm-PM-Yr2-2025'!$E$42:$L$68, 0, 0),
        0, 0),
    _xlfn.XLOOKUP(G771, 'Wedgewood Pharm-PM-Yr2-2025'!$E$41:$L$41,
        _xlfn.XLOOKUP('Rate Load'!L771, 'Wedgewood Pharm-PM-Yr2-2025'!$D$42:$D$68,
            'Wedgewood Pharm-PM-Yr2-2025'!$E$42:$L$68, 0, 0),
        0, 0)
)</f>
        <v>9.1199999999999992</v>
      </c>
      <c r="K771" t="s">
        <v>46</v>
      </c>
      <c r="L771" t="s">
        <v>13</v>
      </c>
      <c r="M771">
        <v>2</v>
      </c>
      <c r="N771" t="str">
        <f t="shared" ref="N771:N834" si="12">"INSERT INTO TNL_RATING.dbo.usps_rate_master VALUES ('" &amp; A771 &amp; "', '" &amp; B771 &amp; "', '" &amp; C771 &amp; "', " &amp; D771 &amp; ", '" &amp; E771 &amp; "', '" &amp; F771 &amp; "', " &amp; G771 &amp; ", " &amp; H771 &amp; ", '" &amp; I771 &amp; "', " &amp; J771 &amp; ", '" &amp; K771 &amp; "', '" &amp; L771 &amp; "','" &amp; M771 &amp; "');"</f>
        <v>INSERT INTO TNL_RATING.dbo.usps_rate_master VALUES ('USPS', '2/13/2025', '2/13/2026', 12659, 'US', 'Priority Mail', 1, 9, 'L', 9.12, 'Wedgewood_USPS_2025', 'NonCubic','2');</v>
      </c>
    </row>
    <row r="772" spans="1:14" x14ac:dyDescent="0.3">
      <c r="A772" t="s">
        <v>11</v>
      </c>
      <c r="B772" s="1" t="s">
        <v>43</v>
      </c>
      <c r="C772" s="1" t="s">
        <v>44</v>
      </c>
      <c r="D772">
        <v>12659</v>
      </c>
      <c r="E772" t="s">
        <v>12</v>
      </c>
      <c r="F772" t="s">
        <v>47</v>
      </c>
      <c r="G772">
        <v>1</v>
      </c>
      <c r="H772">
        <v>10</v>
      </c>
      <c r="I772" t="s">
        <v>45</v>
      </c>
      <c r="J772" cm="1">
        <f t="array" ref="J772">IFERROR(
    _xlfn.XLOOKUP(G772, 'Wedgewood Pharm-PM-Yr2-2025'!$E$41:$L$41,
        _xlfn.XLOOKUP('Rate Load'!H772, 'Wedgewood Pharm-PM-Yr2-2025'!$D$42:$D$68,
            'Wedgewood Pharm-PM-Yr2-2025'!$E$42:$L$68, 0, 0),
        0, 0),
    _xlfn.XLOOKUP(G772, 'Wedgewood Pharm-PM-Yr2-2025'!$E$41:$L$41,
        _xlfn.XLOOKUP('Rate Load'!L772, 'Wedgewood Pharm-PM-Yr2-2025'!$D$42:$D$68,
            'Wedgewood Pharm-PM-Yr2-2025'!$E$42:$L$68, 0, 0),
        0, 0)
)</f>
        <v>9.4599999999999991</v>
      </c>
      <c r="K772" t="s">
        <v>46</v>
      </c>
      <c r="L772" t="s">
        <v>13</v>
      </c>
      <c r="M772">
        <v>2</v>
      </c>
      <c r="N772" t="str">
        <f t="shared" si="12"/>
        <v>INSERT INTO TNL_RATING.dbo.usps_rate_master VALUES ('USPS', '2/13/2025', '2/13/2026', 12659, 'US', 'Priority Mail', 1, 10, 'L', 9.46, 'Wedgewood_USPS_2025', 'NonCubic','2');</v>
      </c>
    </row>
    <row r="773" spans="1:14" x14ac:dyDescent="0.3">
      <c r="A773" t="s">
        <v>11</v>
      </c>
      <c r="B773" s="1" t="s">
        <v>43</v>
      </c>
      <c r="C773" s="1" t="s">
        <v>44</v>
      </c>
      <c r="D773">
        <v>12659</v>
      </c>
      <c r="E773" t="s">
        <v>12</v>
      </c>
      <c r="F773" t="s">
        <v>47</v>
      </c>
      <c r="G773">
        <v>1</v>
      </c>
      <c r="H773">
        <v>11</v>
      </c>
      <c r="I773" t="s">
        <v>45</v>
      </c>
      <c r="J773" cm="1">
        <f t="array" ref="J773">IFERROR(
    _xlfn.XLOOKUP(G773, 'Wedgewood Pharm-PM-Yr2-2025'!$E$41:$L$41,
        _xlfn.XLOOKUP('Rate Load'!H773, 'Wedgewood Pharm-PM-Yr2-2025'!$D$42:$D$68,
            'Wedgewood Pharm-PM-Yr2-2025'!$E$42:$L$68, 0, 0),
        0, 0),
    _xlfn.XLOOKUP(G773, 'Wedgewood Pharm-PM-Yr2-2025'!$E$41:$L$41,
        _xlfn.XLOOKUP('Rate Load'!L773, 'Wedgewood Pharm-PM-Yr2-2025'!$D$42:$D$68,
            'Wedgewood Pharm-PM-Yr2-2025'!$E$42:$L$68, 0, 0),
        0, 0)
)</f>
        <v>10.16</v>
      </c>
      <c r="K773" t="s">
        <v>46</v>
      </c>
      <c r="L773" t="s">
        <v>13</v>
      </c>
      <c r="M773">
        <v>2</v>
      </c>
      <c r="N773" t="str">
        <f t="shared" si="12"/>
        <v>INSERT INTO TNL_RATING.dbo.usps_rate_master VALUES ('USPS', '2/13/2025', '2/13/2026', 12659, 'US', 'Priority Mail', 1, 11, 'L', 10.16, 'Wedgewood_USPS_2025', 'NonCubic','2');</v>
      </c>
    </row>
    <row r="774" spans="1:14" x14ac:dyDescent="0.3">
      <c r="A774" t="s">
        <v>11</v>
      </c>
      <c r="B774" s="1" t="s">
        <v>43</v>
      </c>
      <c r="C774" s="1" t="s">
        <v>44</v>
      </c>
      <c r="D774">
        <v>12659</v>
      </c>
      <c r="E774" t="s">
        <v>12</v>
      </c>
      <c r="F774" t="s">
        <v>47</v>
      </c>
      <c r="G774">
        <v>1</v>
      </c>
      <c r="H774">
        <v>12</v>
      </c>
      <c r="I774" t="s">
        <v>45</v>
      </c>
      <c r="J774" cm="1">
        <f t="array" ref="J774">IFERROR(
    _xlfn.XLOOKUP(G774, 'Wedgewood Pharm-PM-Yr2-2025'!$E$41:$L$41,
        _xlfn.XLOOKUP('Rate Load'!H774, 'Wedgewood Pharm-PM-Yr2-2025'!$D$42:$D$68,
            'Wedgewood Pharm-PM-Yr2-2025'!$E$42:$L$68, 0, 0),
        0, 0),
    _xlfn.XLOOKUP(G774, 'Wedgewood Pharm-PM-Yr2-2025'!$E$41:$L$41,
        _xlfn.XLOOKUP('Rate Load'!L774, 'Wedgewood Pharm-PM-Yr2-2025'!$D$42:$D$68,
            'Wedgewood Pharm-PM-Yr2-2025'!$E$42:$L$68, 0, 0),
        0, 0)
)</f>
        <v>10.51</v>
      </c>
      <c r="K774" t="s">
        <v>46</v>
      </c>
      <c r="L774" t="s">
        <v>13</v>
      </c>
      <c r="M774">
        <v>2</v>
      </c>
      <c r="N774" t="str">
        <f t="shared" si="12"/>
        <v>INSERT INTO TNL_RATING.dbo.usps_rate_master VALUES ('USPS', '2/13/2025', '2/13/2026', 12659, 'US', 'Priority Mail', 1, 12, 'L', 10.51, 'Wedgewood_USPS_2025', 'NonCubic','2');</v>
      </c>
    </row>
    <row r="775" spans="1:14" x14ac:dyDescent="0.3">
      <c r="A775" t="s">
        <v>11</v>
      </c>
      <c r="B775" s="1" t="s">
        <v>43</v>
      </c>
      <c r="C775" s="1" t="s">
        <v>44</v>
      </c>
      <c r="D775">
        <v>12659</v>
      </c>
      <c r="E775" t="s">
        <v>12</v>
      </c>
      <c r="F775" t="s">
        <v>47</v>
      </c>
      <c r="G775">
        <v>1</v>
      </c>
      <c r="H775">
        <v>13</v>
      </c>
      <c r="I775" t="s">
        <v>45</v>
      </c>
      <c r="J775" cm="1">
        <f t="array" ref="J775">IFERROR(
    _xlfn.XLOOKUP(G775, 'Wedgewood Pharm-PM-Yr2-2025'!$E$41:$L$41,
        _xlfn.XLOOKUP('Rate Load'!H775, 'Wedgewood Pharm-PM-Yr2-2025'!$D$42:$D$68,
            'Wedgewood Pharm-PM-Yr2-2025'!$E$42:$L$68, 0, 0),
        0, 0),
    _xlfn.XLOOKUP(G775, 'Wedgewood Pharm-PM-Yr2-2025'!$E$41:$L$41,
        _xlfn.XLOOKUP('Rate Load'!L775, 'Wedgewood Pharm-PM-Yr2-2025'!$D$42:$D$68,
            'Wedgewood Pharm-PM-Yr2-2025'!$E$42:$L$68, 0, 0),
        0, 0)
)</f>
        <v>10.89</v>
      </c>
      <c r="K775" t="s">
        <v>46</v>
      </c>
      <c r="L775" t="s">
        <v>13</v>
      </c>
      <c r="M775">
        <v>2</v>
      </c>
      <c r="N775" t="str">
        <f t="shared" si="12"/>
        <v>INSERT INTO TNL_RATING.dbo.usps_rate_master VALUES ('USPS', '2/13/2025', '2/13/2026', 12659, 'US', 'Priority Mail', 1, 13, 'L', 10.89, 'Wedgewood_USPS_2025', 'NonCubic','2');</v>
      </c>
    </row>
    <row r="776" spans="1:14" x14ac:dyDescent="0.3">
      <c r="A776" t="s">
        <v>11</v>
      </c>
      <c r="B776" s="1" t="s">
        <v>43</v>
      </c>
      <c r="C776" s="1" t="s">
        <v>44</v>
      </c>
      <c r="D776">
        <v>12659</v>
      </c>
      <c r="E776" t="s">
        <v>12</v>
      </c>
      <c r="F776" t="s">
        <v>47</v>
      </c>
      <c r="G776">
        <v>1</v>
      </c>
      <c r="H776">
        <v>14</v>
      </c>
      <c r="I776" t="s">
        <v>45</v>
      </c>
      <c r="J776" cm="1">
        <f t="array" ref="J776">IFERROR(
    _xlfn.XLOOKUP(G776, 'Wedgewood Pharm-PM-Yr2-2025'!$E$41:$L$41,
        _xlfn.XLOOKUP('Rate Load'!H776, 'Wedgewood Pharm-PM-Yr2-2025'!$D$42:$D$68,
            'Wedgewood Pharm-PM-Yr2-2025'!$E$42:$L$68, 0, 0),
        0, 0),
    _xlfn.XLOOKUP(G776, 'Wedgewood Pharm-PM-Yr2-2025'!$E$41:$L$41,
        _xlfn.XLOOKUP('Rate Load'!L776, 'Wedgewood Pharm-PM-Yr2-2025'!$D$42:$D$68,
            'Wedgewood Pharm-PM-Yr2-2025'!$E$42:$L$68, 0, 0),
        0, 0)
)</f>
        <v>11.299999999999999</v>
      </c>
      <c r="K776" t="s">
        <v>46</v>
      </c>
      <c r="L776" t="s">
        <v>13</v>
      </c>
      <c r="M776">
        <v>2</v>
      </c>
      <c r="N776" t="str">
        <f t="shared" si="12"/>
        <v>INSERT INTO TNL_RATING.dbo.usps_rate_master VALUES ('USPS', '2/13/2025', '2/13/2026', 12659, 'US', 'Priority Mail', 1, 14, 'L', 11.3, 'Wedgewood_USPS_2025', 'NonCubic','2');</v>
      </c>
    </row>
    <row r="777" spans="1:14" x14ac:dyDescent="0.3">
      <c r="A777" t="s">
        <v>11</v>
      </c>
      <c r="B777" s="1" t="s">
        <v>43</v>
      </c>
      <c r="C777" s="1" t="s">
        <v>44</v>
      </c>
      <c r="D777">
        <v>12659</v>
      </c>
      <c r="E777" t="s">
        <v>12</v>
      </c>
      <c r="F777" t="s">
        <v>47</v>
      </c>
      <c r="G777">
        <v>1</v>
      </c>
      <c r="H777">
        <v>15</v>
      </c>
      <c r="I777" t="s">
        <v>45</v>
      </c>
      <c r="J777" cm="1">
        <f t="array" ref="J777">IFERROR(
    _xlfn.XLOOKUP(G777, 'Wedgewood Pharm-PM-Yr2-2025'!$E$41:$L$41,
        _xlfn.XLOOKUP('Rate Load'!H777, 'Wedgewood Pharm-PM-Yr2-2025'!$D$42:$D$68,
            'Wedgewood Pharm-PM-Yr2-2025'!$E$42:$L$68, 0, 0),
        0, 0),
    _xlfn.XLOOKUP(G777, 'Wedgewood Pharm-PM-Yr2-2025'!$E$41:$L$41,
        _xlfn.XLOOKUP('Rate Load'!L777, 'Wedgewood Pharm-PM-Yr2-2025'!$D$42:$D$68,
            'Wedgewood Pharm-PM-Yr2-2025'!$E$42:$L$68, 0, 0),
        0, 0)
)</f>
        <v>11.6</v>
      </c>
      <c r="K777" t="s">
        <v>46</v>
      </c>
      <c r="L777" t="s">
        <v>13</v>
      </c>
      <c r="M777">
        <v>2</v>
      </c>
      <c r="N777" t="str">
        <f t="shared" si="12"/>
        <v>INSERT INTO TNL_RATING.dbo.usps_rate_master VALUES ('USPS', '2/13/2025', '2/13/2026', 12659, 'US', 'Priority Mail', 1, 15, 'L', 11.6, 'Wedgewood_USPS_2025', 'NonCubic','2');</v>
      </c>
    </row>
    <row r="778" spans="1:14" x14ac:dyDescent="0.3">
      <c r="A778" t="s">
        <v>11</v>
      </c>
      <c r="B778" s="1" t="s">
        <v>43</v>
      </c>
      <c r="C778" s="1" t="s">
        <v>44</v>
      </c>
      <c r="D778">
        <v>12659</v>
      </c>
      <c r="E778" t="s">
        <v>12</v>
      </c>
      <c r="F778" t="s">
        <v>47</v>
      </c>
      <c r="G778">
        <v>1</v>
      </c>
      <c r="H778">
        <v>16</v>
      </c>
      <c r="I778" t="s">
        <v>45</v>
      </c>
      <c r="J778" cm="1">
        <f t="array" ref="J778">IFERROR(
    _xlfn.XLOOKUP(G778, 'Wedgewood Pharm-PM-Yr2-2025'!$E$41:$L$41,
        _xlfn.XLOOKUP('Rate Load'!H778, 'Wedgewood Pharm-PM-Yr2-2025'!$D$42:$D$68,
            'Wedgewood Pharm-PM-Yr2-2025'!$E$42:$L$68, 0, 0),
        0, 0),
    _xlfn.XLOOKUP(G778, 'Wedgewood Pharm-PM-Yr2-2025'!$E$41:$L$41,
        _xlfn.XLOOKUP('Rate Load'!L778, 'Wedgewood Pharm-PM-Yr2-2025'!$D$42:$D$68,
            'Wedgewood Pharm-PM-Yr2-2025'!$E$42:$L$68, 0, 0),
        0, 0)
)</f>
        <v>12.07</v>
      </c>
      <c r="K778" t="s">
        <v>46</v>
      </c>
      <c r="L778" t="s">
        <v>13</v>
      </c>
      <c r="M778">
        <v>2</v>
      </c>
      <c r="N778" t="str">
        <f t="shared" si="12"/>
        <v>INSERT INTO TNL_RATING.dbo.usps_rate_master VALUES ('USPS', '2/13/2025', '2/13/2026', 12659, 'US', 'Priority Mail', 1, 16, 'L', 12.07, 'Wedgewood_USPS_2025', 'NonCubic','2');</v>
      </c>
    </row>
    <row r="779" spans="1:14" x14ac:dyDescent="0.3">
      <c r="A779" t="s">
        <v>11</v>
      </c>
      <c r="B779" s="1" t="s">
        <v>43</v>
      </c>
      <c r="C779" s="1" t="s">
        <v>44</v>
      </c>
      <c r="D779">
        <v>12659</v>
      </c>
      <c r="E779" t="s">
        <v>12</v>
      </c>
      <c r="F779" t="s">
        <v>47</v>
      </c>
      <c r="G779">
        <v>1</v>
      </c>
      <c r="H779">
        <v>17</v>
      </c>
      <c r="I779" t="s">
        <v>45</v>
      </c>
      <c r="J779" cm="1">
        <f t="array" ref="J779">IFERROR(
    _xlfn.XLOOKUP(G779, 'Wedgewood Pharm-PM-Yr2-2025'!$E$41:$L$41,
        _xlfn.XLOOKUP('Rate Load'!H779, 'Wedgewood Pharm-PM-Yr2-2025'!$D$42:$D$68,
            'Wedgewood Pharm-PM-Yr2-2025'!$E$42:$L$68, 0, 0),
        0, 0),
    _xlfn.XLOOKUP(G779, 'Wedgewood Pharm-PM-Yr2-2025'!$E$41:$L$41,
        _xlfn.XLOOKUP('Rate Load'!L779, 'Wedgewood Pharm-PM-Yr2-2025'!$D$42:$D$68,
            'Wedgewood Pharm-PM-Yr2-2025'!$E$42:$L$68, 0, 0),
        0, 0)
)</f>
        <v>12.42</v>
      </c>
      <c r="K779" t="s">
        <v>46</v>
      </c>
      <c r="L779" t="s">
        <v>13</v>
      </c>
      <c r="M779">
        <v>2</v>
      </c>
      <c r="N779" t="str">
        <f t="shared" si="12"/>
        <v>INSERT INTO TNL_RATING.dbo.usps_rate_master VALUES ('USPS', '2/13/2025', '2/13/2026', 12659, 'US', 'Priority Mail', 1, 17, 'L', 12.42, 'Wedgewood_USPS_2025', 'NonCubic','2');</v>
      </c>
    </row>
    <row r="780" spans="1:14" x14ac:dyDescent="0.3">
      <c r="A780" t="s">
        <v>11</v>
      </c>
      <c r="B780" s="1" t="s">
        <v>43</v>
      </c>
      <c r="C780" s="1" t="s">
        <v>44</v>
      </c>
      <c r="D780">
        <v>12659</v>
      </c>
      <c r="E780" t="s">
        <v>12</v>
      </c>
      <c r="F780" t="s">
        <v>47</v>
      </c>
      <c r="G780">
        <v>1</v>
      </c>
      <c r="H780">
        <v>18</v>
      </c>
      <c r="I780" t="s">
        <v>45</v>
      </c>
      <c r="J780" cm="1">
        <f t="array" ref="J780">IFERROR(
    _xlfn.XLOOKUP(G780, 'Wedgewood Pharm-PM-Yr2-2025'!$E$41:$L$41,
        _xlfn.XLOOKUP('Rate Load'!H780, 'Wedgewood Pharm-PM-Yr2-2025'!$D$42:$D$68,
            'Wedgewood Pharm-PM-Yr2-2025'!$E$42:$L$68, 0, 0),
        0, 0),
    _xlfn.XLOOKUP(G780, 'Wedgewood Pharm-PM-Yr2-2025'!$E$41:$L$41,
        _xlfn.XLOOKUP('Rate Load'!L780, 'Wedgewood Pharm-PM-Yr2-2025'!$D$42:$D$68,
            'Wedgewood Pharm-PM-Yr2-2025'!$E$42:$L$68, 0, 0),
        0, 0)
)</f>
        <v>12.83</v>
      </c>
      <c r="K780" t="s">
        <v>46</v>
      </c>
      <c r="L780" t="s">
        <v>13</v>
      </c>
      <c r="M780">
        <v>2</v>
      </c>
      <c r="N780" t="str">
        <f t="shared" si="12"/>
        <v>INSERT INTO TNL_RATING.dbo.usps_rate_master VALUES ('USPS', '2/13/2025', '2/13/2026', 12659, 'US', 'Priority Mail', 1, 18, 'L', 12.83, 'Wedgewood_USPS_2025', 'NonCubic','2');</v>
      </c>
    </row>
    <row r="781" spans="1:14" x14ac:dyDescent="0.3">
      <c r="A781" t="s">
        <v>11</v>
      </c>
      <c r="B781" s="1" t="s">
        <v>43</v>
      </c>
      <c r="C781" s="1" t="s">
        <v>44</v>
      </c>
      <c r="D781">
        <v>12659</v>
      </c>
      <c r="E781" t="s">
        <v>12</v>
      </c>
      <c r="F781" t="s">
        <v>47</v>
      </c>
      <c r="G781">
        <v>1</v>
      </c>
      <c r="H781">
        <v>19</v>
      </c>
      <c r="I781" t="s">
        <v>45</v>
      </c>
      <c r="J781" cm="1">
        <f t="array" ref="J781">IFERROR(
    _xlfn.XLOOKUP(G781, 'Wedgewood Pharm-PM-Yr2-2025'!$E$41:$L$41,
        _xlfn.XLOOKUP('Rate Load'!H781, 'Wedgewood Pharm-PM-Yr2-2025'!$D$42:$D$68,
            'Wedgewood Pharm-PM-Yr2-2025'!$E$42:$L$68, 0, 0),
        0, 0),
    _xlfn.XLOOKUP(G781, 'Wedgewood Pharm-PM-Yr2-2025'!$E$41:$L$41,
        _xlfn.XLOOKUP('Rate Load'!L781, 'Wedgewood Pharm-PM-Yr2-2025'!$D$42:$D$68,
            'Wedgewood Pharm-PM-Yr2-2025'!$E$42:$L$68, 0, 0),
        0, 0)
)</f>
        <v>13.19</v>
      </c>
      <c r="K781" t="s">
        <v>46</v>
      </c>
      <c r="L781" t="s">
        <v>13</v>
      </c>
      <c r="M781">
        <v>2</v>
      </c>
      <c r="N781" t="str">
        <f t="shared" si="12"/>
        <v>INSERT INTO TNL_RATING.dbo.usps_rate_master VALUES ('USPS', '2/13/2025', '2/13/2026', 12659, 'US', 'Priority Mail', 1, 19, 'L', 13.19, 'Wedgewood_USPS_2025', 'NonCubic','2');</v>
      </c>
    </row>
    <row r="782" spans="1:14" x14ac:dyDescent="0.3">
      <c r="A782" t="s">
        <v>11</v>
      </c>
      <c r="B782" s="1" t="s">
        <v>43</v>
      </c>
      <c r="C782" s="1" t="s">
        <v>44</v>
      </c>
      <c r="D782">
        <v>12659</v>
      </c>
      <c r="E782" t="s">
        <v>12</v>
      </c>
      <c r="F782" t="s">
        <v>47</v>
      </c>
      <c r="G782">
        <v>1</v>
      </c>
      <c r="H782">
        <v>20</v>
      </c>
      <c r="I782" t="s">
        <v>45</v>
      </c>
      <c r="J782" cm="1">
        <f t="array" ref="J782">IFERROR(
    _xlfn.XLOOKUP(G782, 'Wedgewood Pharm-PM-Yr2-2025'!$E$41:$L$41,
        _xlfn.XLOOKUP('Rate Load'!H782, 'Wedgewood Pharm-PM-Yr2-2025'!$D$42:$D$68,
            'Wedgewood Pharm-PM-Yr2-2025'!$E$42:$L$68, 0, 0),
        0, 0),
    _xlfn.XLOOKUP(G782, 'Wedgewood Pharm-PM-Yr2-2025'!$E$41:$L$41,
        _xlfn.XLOOKUP('Rate Load'!L782, 'Wedgewood Pharm-PM-Yr2-2025'!$D$42:$D$68,
            'Wedgewood Pharm-PM-Yr2-2025'!$E$42:$L$68, 0, 0),
        0, 0)
)</f>
        <v>13.52</v>
      </c>
      <c r="K782" t="s">
        <v>46</v>
      </c>
      <c r="L782" t="s">
        <v>13</v>
      </c>
      <c r="M782">
        <v>2</v>
      </c>
      <c r="N782" t="str">
        <f t="shared" si="12"/>
        <v>INSERT INTO TNL_RATING.dbo.usps_rate_master VALUES ('USPS', '2/13/2025', '2/13/2026', 12659, 'US', 'Priority Mail', 1, 20, 'L', 13.52, 'Wedgewood_USPS_2025', 'NonCubic','2');</v>
      </c>
    </row>
    <row r="783" spans="1:14" x14ac:dyDescent="0.3">
      <c r="A783" t="s">
        <v>11</v>
      </c>
      <c r="B783" s="1" t="s">
        <v>43</v>
      </c>
      <c r="C783" s="1" t="s">
        <v>44</v>
      </c>
      <c r="D783">
        <v>12659</v>
      </c>
      <c r="E783" t="s">
        <v>12</v>
      </c>
      <c r="F783" t="s">
        <v>47</v>
      </c>
      <c r="G783">
        <v>2</v>
      </c>
      <c r="H783">
        <v>0.5</v>
      </c>
      <c r="I783" t="s">
        <v>45</v>
      </c>
      <c r="J783" cm="1">
        <f t="array" ref="J783">IFERROR(
    _xlfn.XLOOKUP(G783, 'Wedgewood Pharm-PM-Yr2-2025'!$E$41:$L$41,
        _xlfn.XLOOKUP('Rate Load'!H783, 'Wedgewood Pharm-PM-Yr2-2025'!$D$42:$D$68,
            'Wedgewood Pharm-PM-Yr2-2025'!$E$42:$L$68, 0, 0),
        0, 0),
    _xlfn.XLOOKUP(G783, 'Wedgewood Pharm-PM-Yr2-2025'!$E$41:$L$41,
        _xlfn.XLOOKUP('Rate Load'!L783, 'Wedgewood Pharm-PM-Yr2-2025'!$D$42:$D$68,
            'Wedgewood Pharm-PM-Yr2-2025'!$E$42:$L$68, 0, 0),
        0, 0)
)</f>
        <v>6.96</v>
      </c>
      <c r="K783" t="s">
        <v>46</v>
      </c>
      <c r="L783" t="s">
        <v>13</v>
      </c>
      <c r="M783">
        <v>2</v>
      </c>
      <c r="N783" t="str">
        <f t="shared" si="12"/>
        <v>INSERT INTO TNL_RATING.dbo.usps_rate_master VALUES ('USPS', '2/13/2025', '2/13/2026', 12659, 'US', 'Priority Mail', 2, 0.5, 'L', 6.96, 'Wedgewood_USPS_2025', 'NonCubic','2');</v>
      </c>
    </row>
    <row r="784" spans="1:14" x14ac:dyDescent="0.3">
      <c r="A784" t="s">
        <v>11</v>
      </c>
      <c r="B784" s="1" t="s">
        <v>43</v>
      </c>
      <c r="C784" s="1" t="s">
        <v>44</v>
      </c>
      <c r="D784">
        <v>12659</v>
      </c>
      <c r="E784" t="s">
        <v>12</v>
      </c>
      <c r="F784" t="s">
        <v>47</v>
      </c>
      <c r="G784">
        <v>2</v>
      </c>
      <c r="H784">
        <v>1</v>
      </c>
      <c r="I784" t="s">
        <v>45</v>
      </c>
      <c r="J784" cm="1">
        <f t="array" ref="J784">IFERROR(
    _xlfn.XLOOKUP(G784, 'Wedgewood Pharm-PM-Yr2-2025'!$E$41:$L$41,
        _xlfn.XLOOKUP('Rate Load'!H784, 'Wedgewood Pharm-PM-Yr2-2025'!$D$42:$D$68,
            'Wedgewood Pharm-PM-Yr2-2025'!$E$42:$L$68, 0, 0),
        0, 0),
    _xlfn.XLOOKUP(G784, 'Wedgewood Pharm-PM-Yr2-2025'!$E$41:$L$41,
        _xlfn.XLOOKUP('Rate Load'!L784, 'Wedgewood Pharm-PM-Yr2-2025'!$D$42:$D$68,
            'Wedgewood Pharm-PM-Yr2-2025'!$E$42:$L$68, 0, 0),
        0, 0)
)</f>
        <v>6.96</v>
      </c>
      <c r="K784" t="s">
        <v>46</v>
      </c>
      <c r="L784" t="s">
        <v>13</v>
      </c>
      <c r="M784">
        <v>2</v>
      </c>
      <c r="N784" t="str">
        <f t="shared" si="12"/>
        <v>INSERT INTO TNL_RATING.dbo.usps_rate_master VALUES ('USPS', '2/13/2025', '2/13/2026', 12659, 'US', 'Priority Mail', 2, 1, 'L', 6.96, 'Wedgewood_USPS_2025', 'NonCubic','2');</v>
      </c>
    </row>
    <row r="785" spans="1:14" x14ac:dyDescent="0.3">
      <c r="A785" t="s">
        <v>11</v>
      </c>
      <c r="B785" s="1" t="s">
        <v>43</v>
      </c>
      <c r="C785" s="1" t="s">
        <v>44</v>
      </c>
      <c r="D785">
        <v>12659</v>
      </c>
      <c r="E785" t="s">
        <v>12</v>
      </c>
      <c r="F785" t="s">
        <v>47</v>
      </c>
      <c r="G785">
        <v>2</v>
      </c>
      <c r="H785">
        <v>2</v>
      </c>
      <c r="I785" t="s">
        <v>45</v>
      </c>
      <c r="J785" cm="1">
        <f t="array" ref="J785">IFERROR(
    _xlfn.XLOOKUP(G785, 'Wedgewood Pharm-PM-Yr2-2025'!$E$41:$L$41,
        _xlfn.XLOOKUP('Rate Load'!H785, 'Wedgewood Pharm-PM-Yr2-2025'!$D$42:$D$68,
            'Wedgewood Pharm-PM-Yr2-2025'!$E$42:$L$68, 0, 0),
        0, 0),
    _xlfn.XLOOKUP(G785, 'Wedgewood Pharm-PM-Yr2-2025'!$E$41:$L$41,
        _xlfn.XLOOKUP('Rate Load'!L785, 'Wedgewood Pharm-PM-Yr2-2025'!$D$42:$D$68,
            'Wedgewood Pharm-PM-Yr2-2025'!$E$42:$L$68, 0, 0),
        0, 0)
)</f>
        <v>6.96</v>
      </c>
      <c r="K785" t="s">
        <v>46</v>
      </c>
      <c r="L785" t="s">
        <v>13</v>
      </c>
      <c r="M785">
        <v>2</v>
      </c>
      <c r="N785" t="str">
        <f t="shared" si="12"/>
        <v>INSERT INTO TNL_RATING.dbo.usps_rate_master VALUES ('USPS', '2/13/2025', '2/13/2026', 12659, 'US', 'Priority Mail', 2, 2, 'L', 6.96, 'Wedgewood_USPS_2025', 'NonCubic','2');</v>
      </c>
    </row>
    <row r="786" spans="1:14" x14ac:dyDescent="0.3">
      <c r="A786" t="s">
        <v>11</v>
      </c>
      <c r="B786" s="1" t="s">
        <v>43</v>
      </c>
      <c r="C786" s="1" t="s">
        <v>44</v>
      </c>
      <c r="D786">
        <v>12659</v>
      </c>
      <c r="E786" t="s">
        <v>12</v>
      </c>
      <c r="F786" t="s">
        <v>47</v>
      </c>
      <c r="G786">
        <v>2</v>
      </c>
      <c r="H786">
        <v>3</v>
      </c>
      <c r="I786" t="s">
        <v>45</v>
      </c>
      <c r="J786" cm="1">
        <f t="array" ref="J786">IFERROR(
    _xlfn.XLOOKUP(G786, 'Wedgewood Pharm-PM-Yr2-2025'!$E$41:$L$41,
        _xlfn.XLOOKUP('Rate Load'!H786, 'Wedgewood Pharm-PM-Yr2-2025'!$D$42:$D$68,
            'Wedgewood Pharm-PM-Yr2-2025'!$E$42:$L$68, 0, 0),
        0, 0),
    _xlfn.XLOOKUP(G786, 'Wedgewood Pharm-PM-Yr2-2025'!$E$41:$L$41,
        _xlfn.XLOOKUP('Rate Load'!L786, 'Wedgewood Pharm-PM-Yr2-2025'!$D$42:$D$68,
            'Wedgewood Pharm-PM-Yr2-2025'!$E$42:$L$68, 0, 0),
        0, 0)
)</f>
        <v>7.14</v>
      </c>
      <c r="K786" t="s">
        <v>46</v>
      </c>
      <c r="L786" t="s">
        <v>13</v>
      </c>
      <c r="M786">
        <v>2</v>
      </c>
      <c r="N786" t="str">
        <f t="shared" si="12"/>
        <v>INSERT INTO TNL_RATING.dbo.usps_rate_master VALUES ('USPS', '2/13/2025', '2/13/2026', 12659, 'US', 'Priority Mail', 2, 3, 'L', 7.14, 'Wedgewood_USPS_2025', 'NonCubic','2');</v>
      </c>
    </row>
    <row r="787" spans="1:14" x14ac:dyDescent="0.3">
      <c r="A787" t="s">
        <v>11</v>
      </c>
      <c r="B787" s="1" t="s">
        <v>43</v>
      </c>
      <c r="C787" s="1" t="s">
        <v>44</v>
      </c>
      <c r="D787">
        <v>12659</v>
      </c>
      <c r="E787" t="s">
        <v>12</v>
      </c>
      <c r="F787" t="s">
        <v>47</v>
      </c>
      <c r="G787">
        <v>2</v>
      </c>
      <c r="H787">
        <v>4</v>
      </c>
      <c r="I787" t="s">
        <v>45</v>
      </c>
      <c r="J787" cm="1">
        <f t="array" ref="J787">IFERROR(
    _xlfn.XLOOKUP(G787, 'Wedgewood Pharm-PM-Yr2-2025'!$E$41:$L$41,
        _xlfn.XLOOKUP('Rate Load'!H787, 'Wedgewood Pharm-PM-Yr2-2025'!$D$42:$D$68,
            'Wedgewood Pharm-PM-Yr2-2025'!$E$42:$L$68, 0, 0),
        0, 0),
    _xlfn.XLOOKUP(G787, 'Wedgewood Pharm-PM-Yr2-2025'!$E$41:$L$41,
        _xlfn.XLOOKUP('Rate Load'!L787, 'Wedgewood Pharm-PM-Yr2-2025'!$D$42:$D$68,
            'Wedgewood Pharm-PM-Yr2-2025'!$E$42:$L$68, 0, 0),
        0, 0)
)</f>
        <v>7.3199999999999994</v>
      </c>
      <c r="K787" t="s">
        <v>46</v>
      </c>
      <c r="L787" t="s">
        <v>13</v>
      </c>
      <c r="M787">
        <v>2</v>
      </c>
      <c r="N787" t="str">
        <f t="shared" si="12"/>
        <v>INSERT INTO TNL_RATING.dbo.usps_rate_master VALUES ('USPS', '2/13/2025', '2/13/2026', 12659, 'US', 'Priority Mail', 2, 4, 'L', 7.32, 'Wedgewood_USPS_2025', 'NonCubic','2');</v>
      </c>
    </row>
    <row r="788" spans="1:14" x14ac:dyDescent="0.3">
      <c r="A788" t="s">
        <v>11</v>
      </c>
      <c r="B788" s="1" t="s">
        <v>43</v>
      </c>
      <c r="C788" s="1" t="s">
        <v>44</v>
      </c>
      <c r="D788">
        <v>12659</v>
      </c>
      <c r="E788" t="s">
        <v>12</v>
      </c>
      <c r="F788" t="s">
        <v>47</v>
      </c>
      <c r="G788">
        <v>2</v>
      </c>
      <c r="H788">
        <v>5</v>
      </c>
      <c r="I788" t="s">
        <v>45</v>
      </c>
      <c r="J788" cm="1">
        <f t="array" ref="J788">IFERROR(
    _xlfn.XLOOKUP(G788, 'Wedgewood Pharm-PM-Yr2-2025'!$E$41:$L$41,
        _xlfn.XLOOKUP('Rate Load'!H788, 'Wedgewood Pharm-PM-Yr2-2025'!$D$42:$D$68,
            'Wedgewood Pharm-PM-Yr2-2025'!$E$42:$L$68, 0, 0),
        0, 0),
    _xlfn.XLOOKUP(G788, 'Wedgewood Pharm-PM-Yr2-2025'!$E$41:$L$41,
        _xlfn.XLOOKUP('Rate Load'!L788, 'Wedgewood Pharm-PM-Yr2-2025'!$D$42:$D$68,
            'Wedgewood Pharm-PM-Yr2-2025'!$E$42:$L$68, 0, 0),
        0, 0)
)</f>
        <v>7.3599999999999994</v>
      </c>
      <c r="K788" t="s">
        <v>46</v>
      </c>
      <c r="L788" t="s">
        <v>13</v>
      </c>
      <c r="M788">
        <v>2</v>
      </c>
      <c r="N788" t="str">
        <f t="shared" si="12"/>
        <v>INSERT INTO TNL_RATING.dbo.usps_rate_master VALUES ('USPS', '2/13/2025', '2/13/2026', 12659, 'US', 'Priority Mail', 2, 5, 'L', 7.36, 'Wedgewood_USPS_2025', 'NonCubic','2');</v>
      </c>
    </row>
    <row r="789" spans="1:14" x14ac:dyDescent="0.3">
      <c r="A789" t="s">
        <v>11</v>
      </c>
      <c r="B789" s="1" t="s">
        <v>43</v>
      </c>
      <c r="C789" s="1" t="s">
        <v>44</v>
      </c>
      <c r="D789">
        <v>12659</v>
      </c>
      <c r="E789" t="s">
        <v>12</v>
      </c>
      <c r="F789" t="s">
        <v>47</v>
      </c>
      <c r="G789">
        <v>2</v>
      </c>
      <c r="H789">
        <v>6</v>
      </c>
      <c r="I789" t="s">
        <v>45</v>
      </c>
      <c r="J789" cm="1">
        <f t="array" ref="J789">IFERROR(
    _xlfn.XLOOKUP(G789, 'Wedgewood Pharm-PM-Yr2-2025'!$E$41:$L$41,
        _xlfn.XLOOKUP('Rate Load'!H789, 'Wedgewood Pharm-PM-Yr2-2025'!$D$42:$D$68,
            'Wedgewood Pharm-PM-Yr2-2025'!$E$42:$L$68, 0, 0),
        0, 0),
    _xlfn.XLOOKUP(G789, 'Wedgewood Pharm-PM-Yr2-2025'!$E$41:$L$41,
        _xlfn.XLOOKUP('Rate Load'!L789, 'Wedgewood Pharm-PM-Yr2-2025'!$D$42:$D$68,
            'Wedgewood Pharm-PM-Yr2-2025'!$E$42:$L$68, 0, 0),
        0, 0)
)</f>
        <v>7.83</v>
      </c>
      <c r="K789" t="s">
        <v>46</v>
      </c>
      <c r="L789" t="s">
        <v>13</v>
      </c>
      <c r="M789">
        <v>2</v>
      </c>
      <c r="N789" t="str">
        <f t="shared" si="12"/>
        <v>INSERT INTO TNL_RATING.dbo.usps_rate_master VALUES ('USPS', '2/13/2025', '2/13/2026', 12659, 'US', 'Priority Mail', 2, 6, 'L', 7.83, 'Wedgewood_USPS_2025', 'NonCubic','2');</v>
      </c>
    </row>
    <row r="790" spans="1:14" x14ac:dyDescent="0.3">
      <c r="A790" t="s">
        <v>11</v>
      </c>
      <c r="B790" s="1" t="s">
        <v>43</v>
      </c>
      <c r="C790" s="1" t="s">
        <v>44</v>
      </c>
      <c r="D790">
        <v>12659</v>
      </c>
      <c r="E790" t="s">
        <v>12</v>
      </c>
      <c r="F790" t="s">
        <v>47</v>
      </c>
      <c r="G790">
        <v>2</v>
      </c>
      <c r="H790">
        <v>7</v>
      </c>
      <c r="I790" t="s">
        <v>45</v>
      </c>
      <c r="J790" cm="1">
        <f t="array" ref="J790">IFERROR(
    _xlfn.XLOOKUP(G790, 'Wedgewood Pharm-PM-Yr2-2025'!$E$41:$L$41,
        _xlfn.XLOOKUP('Rate Load'!H790, 'Wedgewood Pharm-PM-Yr2-2025'!$D$42:$D$68,
            'Wedgewood Pharm-PM-Yr2-2025'!$E$42:$L$68, 0, 0),
        0, 0),
    _xlfn.XLOOKUP(G790, 'Wedgewood Pharm-PM-Yr2-2025'!$E$41:$L$41,
        _xlfn.XLOOKUP('Rate Load'!L790, 'Wedgewood Pharm-PM-Yr2-2025'!$D$42:$D$68,
            'Wedgewood Pharm-PM-Yr2-2025'!$E$42:$L$68, 0, 0),
        0, 0)
)</f>
        <v>8.52</v>
      </c>
      <c r="K790" t="s">
        <v>46</v>
      </c>
      <c r="L790" t="s">
        <v>13</v>
      </c>
      <c r="M790">
        <v>2</v>
      </c>
      <c r="N790" t="str">
        <f t="shared" si="12"/>
        <v>INSERT INTO TNL_RATING.dbo.usps_rate_master VALUES ('USPS', '2/13/2025', '2/13/2026', 12659, 'US', 'Priority Mail', 2, 7, 'L', 8.52, 'Wedgewood_USPS_2025', 'NonCubic','2');</v>
      </c>
    </row>
    <row r="791" spans="1:14" x14ac:dyDescent="0.3">
      <c r="A791" t="s">
        <v>11</v>
      </c>
      <c r="B791" s="1" t="s">
        <v>43</v>
      </c>
      <c r="C791" s="1" t="s">
        <v>44</v>
      </c>
      <c r="D791">
        <v>12659</v>
      </c>
      <c r="E791" t="s">
        <v>12</v>
      </c>
      <c r="F791" t="s">
        <v>47</v>
      </c>
      <c r="G791">
        <v>2</v>
      </c>
      <c r="H791">
        <v>8</v>
      </c>
      <c r="I791" t="s">
        <v>45</v>
      </c>
      <c r="J791" cm="1">
        <f t="array" ref="J791">IFERROR(
    _xlfn.XLOOKUP(G791, 'Wedgewood Pharm-PM-Yr2-2025'!$E$41:$L$41,
        _xlfn.XLOOKUP('Rate Load'!H791, 'Wedgewood Pharm-PM-Yr2-2025'!$D$42:$D$68,
            'Wedgewood Pharm-PM-Yr2-2025'!$E$42:$L$68, 0, 0),
        0, 0),
    _xlfn.XLOOKUP(G791, 'Wedgewood Pharm-PM-Yr2-2025'!$E$41:$L$41,
        _xlfn.XLOOKUP('Rate Load'!L791, 'Wedgewood Pharm-PM-Yr2-2025'!$D$42:$D$68,
            'Wedgewood Pharm-PM-Yr2-2025'!$E$42:$L$68, 0, 0),
        0, 0)
)</f>
        <v>8.73</v>
      </c>
      <c r="K791" t="s">
        <v>46</v>
      </c>
      <c r="L791" t="s">
        <v>13</v>
      </c>
      <c r="M791">
        <v>2</v>
      </c>
      <c r="N791" t="str">
        <f t="shared" si="12"/>
        <v>INSERT INTO TNL_RATING.dbo.usps_rate_master VALUES ('USPS', '2/13/2025', '2/13/2026', 12659, 'US', 'Priority Mail', 2, 8, 'L', 8.73, 'Wedgewood_USPS_2025', 'NonCubic','2');</v>
      </c>
    </row>
    <row r="792" spans="1:14" x14ac:dyDescent="0.3">
      <c r="A792" t="s">
        <v>11</v>
      </c>
      <c r="B792" s="1" t="s">
        <v>43</v>
      </c>
      <c r="C792" s="1" t="s">
        <v>44</v>
      </c>
      <c r="D792">
        <v>12659</v>
      </c>
      <c r="E792" t="s">
        <v>12</v>
      </c>
      <c r="F792" t="s">
        <v>47</v>
      </c>
      <c r="G792">
        <v>2</v>
      </c>
      <c r="H792">
        <v>9</v>
      </c>
      <c r="I792" t="s">
        <v>45</v>
      </c>
      <c r="J792" cm="1">
        <f t="array" ref="J792">IFERROR(
    _xlfn.XLOOKUP(G792, 'Wedgewood Pharm-PM-Yr2-2025'!$E$41:$L$41,
        _xlfn.XLOOKUP('Rate Load'!H792, 'Wedgewood Pharm-PM-Yr2-2025'!$D$42:$D$68,
            'Wedgewood Pharm-PM-Yr2-2025'!$E$42:$L$68, 0, 0),
        0, 0),
    _xlfn.XLOOKUP(G792, 'Wedgewood Pharm-PM-Yr2-2025'!$E$41:$L$41,
        _xlfn.XLOOKUP('Rate Load'!L792, 'Wedgewood Pharm-PM-Yr2-2025'!$D$42:$D$68,
            'Wedgewood Pharm-PM-Yr2-2025'!$E$42:$L$68, 0, 0),
        0, 0)
)</f>
        <v>9.2999999999999989</v>
      </c>
      <c r="K792" t="s">
        <v>46</v>
      </c>
      <c r="L792" t="s">
        <v>13</v>
      </c>
      <c r="M792">
        <v>2</v>
      </c>
      <c r="N792" t="str">
        <f t="shared" si="12"/>
        <v>INSERT INTO TNL_RATING.dbo.usps_rate_master VALUES ('USPS', '2/13/2025', '2/13/2026', 12659, 'US', 'Priority Mail', 2, 9, 'L', 9.3, 'Wedgewood_USPS_2025', 'NonCubic','2');</v>
      </c>
    </row>
    <row r="793" spans="1:14" x14ac:dyDescent="0.3">
      <c r="A793" t="s">
        <v>11</v>
      </c>
      <c r="B793" s="1" t="s">
        <v>43</v>
      </c>
      <c r="C793" s="1" t="s">
        <v>44</v>
      </c>
      <c r="D793">
        <v>12659</v>
      </c>
      <c r="E793" t="s">
        <v>12</v>
      </c>
      <c r="F793" t="s">
        <v>47</v>
      </c>
      <c r="G793">
        <v>2</v>
      </c>
      <c r="H793">
        <v>10</v>
      </c>
      <c r="I793" t="s">
        <v>45</v>
      </c>
      <c r="J793" cm="1">
        <f t="array" ref="J793">IFERROR(
    _xlfn.XLOOKUP(G793, 'Wedgewood Pharm-PM-Yr2-2025'!$E$41:$L$41,
        _xlfn.XLOOKUP('Rate Load'!H793, 'Wedgewood Pharm-PM-Yr2-2025'!$D$42:$D$68,
            'Wedgewood Pharm-PM-Yr2-2025'!$E$42:$L$68, 0, 0),
        0, 0),
    _xlfn.XLOOKUP(G793, 'Wedgewood Pharm-PM-Yr2-2025'!$E$41:$L$41,
        _xlfn.XLOOKUP('Rate Load'!L793, 'Wedgewood Pharm-PM-Yr2-2025'!$D$42:$D$68,
            'Wedgewood Pharm-PM-Yr2-2025'!$E$42:$L$68, 0, 0),
        0, 0)
)</f>
        <v>9.7899999999999991</v>
      </c>
      <c r="K793" t="s">
        <v>46</v>
      </c>
      <c r="L793" t="s">
        <v>13</v>
      </c>
      <c r="M793">
        <v>2</v>
      </c>
      <c r="N793" t="str">
        <f t="shared" si="12"/>
        <v>INSERT INTO TNL_RATING.dbo.usps_rate_master VALUES ('USPS', '2/13/2025', '2/13/2026', 12659, 'US', 'Priority Mail', 2, 10, 'L', 9.79, 'Wedgewood_USPS_2025', 'NonCubic','2');</v>
      </c>
    </row>
    <row r="794" spans="1:14" x14ac:dyDescent="0.3">
      <c r="A794" t="s">
        <v>11</v>
      </c>
      <c r="B794" s="1" t="s">
        <v>43</v>
      </c>
      <c r="C794" s="1" t="s">
        <v>44</v>
      </c>
      <c r="D794">
        <v>12659</v>
      </c>
      <c r="E794" t="s">
        <v>12</v>
      </c>
      <c r="F794" t="s">
        <v>47</v>
      </c>
      <c r="G794">
        <v>2</v>
      </c>
      <c r="H794">
        <v>11</v>
      </c>
      <c r="I794" t="s">
        <v>45</v>
      </c>
      <c r="J794" cm="1">
        <f t="array" ref="J794">IFERROR(
    _xlfn.XLOOKUP(G794, 'Wedgewood Pharm-PM-Yr2-2025'!$E$41:$L$41,
        _xlfn.XLOOKUP('Rate Load'!H794, 'Wedgewood Pharm-PM-Yr2-2025'!$D$42:$D$68,
            'Wedgewood Pharm-PM-Yr2-2025'!$E$42:$L$68, 0, 0),
        0, 0),
    _xlfn.XLOOKUP(G794, 'Wedgewood Pharm-PM-Yr2-2025'!$E$41:$L$41,
        _xlfn.XLOOKUP('Rate Load'!L794, 'Wedgewood Pharm-PM-Yr2-2025'!$D$42:$D$68,
            'Wedgewood Pharm-PM-Yr2-2025'!$E$42:$L$68, 0, 0),
        0, 0)
)</f>
        <v>10.9</v>
      </c>
      <c r="K794" t="s">
        <v>46</v>
      </c>
      <c r="L794" t="s">
        <v>13</v>
      </c>
      <c r="M794">
        <v>2</v>
      </c>
      <c r="N794" t="str">
        <f t="shared" si="12"/>
        <v>INSERT INTO TNL_RATING.dbo.usps_rate_master VALUES ('USPS', '2/13/2025', '2/13/2026', 12659, 'US', 'Priority Mail', 2, 11, 'L', 10.9, 'Wedgewood_USPS_2025', 'NonCubic','2');</v>
      </c>
    </row>
    <row r="795" spans="1:14" x14ac:dyDescent="0.3">
      <c r="A795" t="s">
        <v>11</v>
      </c>
      <c r="B795" s="1" t="s">
        <v>43</v>
      </c>
      <c r="C795" s="1" t="s">
        <v>44</v>
      </c>
      <c r="D795">
        <v>12659</v>
      </c>
      <c r="E795" t="s">
        <v>12</v>
      </c>
      <c r="F795" t="s">
        <v>47</v>
      </c>
      <c r="G795">
        <v>2</v>
      </c>
      <c r="H795">
        <v>12</v>
      </c>
      <c r="I795" t="s">
        <v>45</v>
      </c>
      <c r="J795" cm="1">
        <f t="array" ref="J795">IFERROR(
    _xlfn.XLOOKUP(G795, 'Wedgewood Pharm-PM-Yr2-2025'!$E$41:$L$41,
        _xlfn.XLOOKUP('Rate Load'!H795, 'Wedgewood Pharm-PM-Yr2-2025'!$D$42:$D$68,
            'Wedgewood Pharm-PM-Yr2-2025'!$E$42:$L$68, 0, 0),
        0, 0),
    _xlfn.XLOOKUP(G795, 'Wedgewood Pharm-PM-Yr2-2025'!$E$41:$L$41,
        _xlfn.XLOOKUP('Rate Load'!L795, 'Wedgewood Pharm-PM-Yr2-2025'!$D$42:$D$68,
            'Wedgewood Pharm-PM-Yr2-2025'!$E$42:$L$68, 0, 0),
        0, 0)
)</f>
        <v>11.31</v>
      </c>
      <c r="K795" t="s">
        <v>46</v>
      </c>
      <c r="L795" t="s">
        <v>13</v>
      </c>
      <c r="M795">
        <v>2</v>
      </c>
      <c r="N795" t="str">
        <f t="shared" si="12"/>
        <v>INSERT INTO TNL_RATING.dbo.usps_rate_master VALUES ('USPS', '2/13/2025', '2/13/2026', 12659, 'US', 'Priority Mail', 2, 12, 'L', 11.31, 'Wedgewood_USPS_2025', 'NonCubic','2');</v>
      </c>
    </row>
    <row r="796" spans="1:14" x14ac:dyDescent="0.3">
      <c r="A796" t="s">
        <v>11</v>
      </c>
      <c r="B796" s="1" t="s">
        <v>43</v>
      </c>
      <c r="C796" s="1" t="s">
        <v>44</v>
      </c>
      <c r="D796">
        <v>12659</v>
      </c>
      <c r="E796" t="s">
        <v>12</v>
      </c>
      <c r="F796" t="s">
        <v>47</v>
      </c>
      <c r="G796">
        <v>2</v>
      </c>
      <c r="H796">
        <v>13</v>
      </c>
      <c r="I796" t="s">
        <v>45</v>
      </c>
      <c r="J796" cm="1">
        <f t="array" ref="J796">IFERROR(
    _xlfn.XLOOKUP(G796, 'Wedgewood Pharm-PM-Yr2-2025'!$E$41:$L$41,
        _xlfn.XLOOKUP('Rate Load'!H796, 'Wedgewood Pharm-PM-Yr2-2025'!$D$42:$D$68,
            'Wedgewood Pharm-PM-Yr2-2025'!$E$42:$L$68, 0, 0),
        0, 0),
    _xlfn.XLOOKUP(G796, 'Wedgewood Pharm-PM-Yr2-2025'!$E$41:$L$41,
        _xlfn.XLOOKUP('Rate Load'!L796, 'Wedgewood Pharm-PM-Yr2-2025'!$D$42:$D$68,
            'Wedgewood Pharm-PM-Yr2-2025'!$E$42:$L$68, 0, 0),
        0, 0)
)</f>
        <v>11.75</v>
      </c>
      <c r="K796" t="s">
        <v>46</v>
      </c>
      <c r="L796" t="s">
        <v>13</v>
      </c>
      <c r="M796">
        <v>2</v>
      </c>
      <c r="N796" t="str">
        <f t="shared" si="12"/>
        <v>INSERT INTO TNL_RATING.dbo.usps_rate_master VALUES ('USPS', '2/13/2025', '2/13/2026', 12659, 'US', 'Priority Mail', 2, 13, 'L', 11.75, 'Wedgewood_USPS_2025', 'NonCubic','2');</v>
      </c>
    </row>
    <row r="797" spans="1:14" x14ac:dyDescent="0.3">
      <c r="A797" t="s">
        <v>11</v>
      </c>
      <c r="B797" s="1" t="s">
        <v>43</v>
      </c>
      <c r="C797" s="1" t="s">
        <v>44</v>
      </c>
      <c r="D797">
        <v>12659</v>
      </c>
      <c r="E797" t="s">
        <v>12</v>
      </c>
      <c r="F797" t="s">
        <v>47</v>
      </c>
      <c r="G797">
        <v>2</v>
      </c>
      <c r="H797">
        <v>14</v>
      </c>
      <c r="I797" t="s">
        <v>45</v>
      </c>
      <c r="J797" cm="1">
        <f t="array" ref="J797">IFERROR(
    _xlfn.XLOOKUP(G797, 'Wedgewood Pharm-PM-Yr2-2025'!$E$41:$L$41,
        _xlfn.XLOOKUP('Rate Load'!H797, 'Wedgewood Pharm-PM-Yr2-2025'!$D$42:$D$68,
            'Wedgewood Pharm-PM-Yr2-2025'!$E$42:$L$68, 0, 0),
        0, 0),
    _xlfn.XLOOKUP(G797, 'Wedgewood Pharm-PM-Yr2-2025'!$E$41:$L$41,
        _xlfn.XLOOKUP('Rate Load'!L797, 'Wedgewood Pharm-PM-Yr2-2025'!$D$42:$D$68,
            'Wedgewood Pharm-PM-Yr2-2025'!$E$42:$L$68, 0, 0),
        0, 0)
)</f>
        <v>12.22</v>
      </c>
      <c r="K797" t="s">
        <v>46</v>
      </c>
      <c r="L797" t="s">
        <v>13</v>
      </c>
      <c r="M797">
        <v>2</v>
      </c>
      <c r="N797" t="str">
        <f t="shared" si="12"/>
        <v>INSERT INTO TNL_RATING.dbo.usps_rate_master VALUES ('USPS', '2/13/2025', '2/13/2026', 12659, 'US', 'Priority Mail', 2, 14, 'L', 12.22, 'Wedgewood_USPS_2025', 'NonCubic','2');</v>
      </c>
    </row>
    <row r="798" spans="1:14" x14ac:dyDescent="0.3">
      <c r="A798" t="s">
        <v>11</v>
      </c>
      <c r="B798" s="1" t="s">
        <v>43</v>
      </c>
      <c r="C798" s="1" t="s">
        <v>44</v>
      </c>
      <c r="D798">
        <v>12659</v>
      </c>
      <c r="E798" t="s">
        <v>12</v>
      </c>
      <c r="F798" t="s">
        <v>47</v>
      </c>
      <c r="G798">
        <v>2</v>
      </c>
      <c r="H798">
        <v>15</v>
      </c>
      <c r="I798" t="s">
        <v>45</v>
      </c>
      <c r="J798" cm="1">
        <f t="array" ref="J798">IFERROR(
    _xlfn.XLOOKUP(G798, 'Wedgewood Pharm-PM-Yr2-2025'!$E$41:$L$41,
        _xlfn.XLOOKUP('Rate Load'!H798, 'Wedgewood Pharm-PM-Yr2-2025'!$D$42:$D$68,
            'Wedgewood Pharm-PM-Yr2-2025'!$E$42:$L$68, 0, 0),
        0, 0),
    _xlfn.XLOOKUP(G798, 'Wedgewood Pharm-PM-Yr2-2025'!$E$41:$L$41,
        _xlfn.XLOOKUP('Rate Load'!L798, 'Wedgewood Pharm-PM-Yr2-2025'!$D$42:$D$68,
            'Wedgewood Pharm-PM-Yr2-2025'!$E$42:$L$68, 0, 0),
        0, 0)
)</f>
        <v>12.59</v>
      </c>
      <c r="K798" t="s">
        <v>46</v>
      </c>
      <c r="L798" t="s">
        <v>13</v>
      </c>
      <c r="M798">
        <v>2</v>
      </c>
      <c r="N798" t="str">
        <f t="shared" si="12"/>
        <v>INSERT INTO TNL_RATING.dbo.usps_rate_master VALUES ('USPS', '2/13/2025', '2/13/2026', 12659, 'US', 'Priority Mail', 2, 15, 'L', 12.59, 'Wedgewood_USPS_2025', 'NonCubic','2');</v>
      </c>
    </row>
    <row r="799" spans="1:14" x14ac:dyDescent="0.3">
      <c r="A799" t="s">
        <v>11</v>
      </c>
      <c r="B799" s="1" t="s">
        <v>43</v>
      </c>
      <c r="C799" s="1" t="s">
        <v>44</v>
      </c>
      <c r="D799">
        <v>12659</v>
      </c>
      <c r="E799" t="s">
        <v>12</v>
      </c>
      <c r="F799" t="s">
        <v>47</v>
      </c>
      <c r="G799">
        <v>2</v>
      </c>
      <c r="H799">
        <v>16</v>
      </c>
      <c r="I799" t="s">
        <v>45</v>
      </c>
      <c r="J799" cm="1">
        <f t="array" ref="J799">IFERROR(
    _xlfn.XLOOKUP(G799, 'Wedgewood Pharm-PM-Yr2-2025'!$E$41:$L$41,
        _xlfn.XLOOKUP('Rate Load'!H799, 'Wedgewood Pharm-PM-Yr2-2025'!$D$42:$D$68,
            'Wedgewood Pharm-PM-Yr2-2025'!$E$42:$L$68, 0, 0),
        0, 0),
    _xlfn.XLOOKUP(G799, 'Wedgewood Pharm-PM-Yr2-2025'!$E$41:$L$41,
        _xlfn.XLOOKUP('Rate Load'!L799, 'Wedgewood Pharm-PM-Yr2-2025'!$D$42:$D$68,
            'Wedgewood Pharm-PM-Yr2-2025'!$E$42:$L$68, 0, 0),
        0, 0)
)</f>
        <v>13.11</v>
      </c>
      <c r="K799" t="s">
        <v>46</v>
      </c>
      <c r="L799" t="s">
        <v>13</v>
      </c>
      <c r="M799">
        <v>2</v>
      </c>
      <c r="N799" t="str">
        <f t="shared" si="12"/>
        <v>INSERT INTO TNL_RATING.dbo.usps_rate_master VALUES ('USPS', '2/13/2025', '2/13/2026', 12659, 'US', 'Priority Mail', 2, 16, 'L', 13.11, 'Wedgewood_USPS_2025', 'NonCubic','2');</v>
      </c>
    </row>
    <row r="800" spans="1:14" x14ac:dyDescent="0.3">
      <c r="A800" t="s">
        <v>11</v>
      </c>
      <c r="B800" s="1" t="s">
        <v>43</v>
      </c>
      <c r="C800" s="1" t="s">
        <v>44</v>
      </c>
      <c r="D800">
        <v>12659</v>
      </c>
      <c r="E800" t="s">
        <v>12</v>
      </c>
      <c r="F800" t="s">
        <v>47</v>
      </c>
      <c r="G800">
        <v>2</v>
      </c>
      <c r="H800">
        <v>17</v>
      </c>
      <c r="I800" t="s">
        <v>45</v>
      </c>
      <c r="J800" cm="1">
        <f t="array" ref="J800">IFERROR(
    _xlfn.XLOOKUP(G800, 'Wedgewood Pharm-PM-Yr2-2025'!$E$41:$L$41,
        _xlfn.XLOOKUP('Rate Load'!H800, 'Wedgewood Pharm-PM-Yr2-2025'!$D$42:$D$68,
            'Wedgewood Pharm-PM-Yr2-2025'!$E$42:$L$68, 0, 0),
        0, 0),
    _xlfn.XLOOKUP(G800, 'Wedgewood Pharm-PM-Yr2-2025'!$E$41:$L$41,
        _xlfn.XLOOKUP('Rate Load'!L800, 'Wedgewood Pharm-PM-Yr2-2025'!$D$42:$D$68,
            'Wedgewood Pharm-PM-Yr2-2025'!$E$42:$L$68, 0, 0),
        0, 0)
)</f>
        <v>13.53</v>
      </c>
      <c r="K800" t="s">
        <v>46</v>
      </c>
      <c r="L800" t="s">
        <v>13</v>
      </c>
      <c r="M800">
        <v>2</v>
      </c>
      <c r="N800" t="str">
        <f t="shared" si="12"/>
        <v>INSERT INTO TNL_RATING.dbo.usps_rate_master VALUES ('USPS', '2/13/2025', '2/13/2026', 12659, 'US', 'Priority Mail', 2, 17, 'L', 13.53, 'Wedgewood_USPS_2025', 'NonCubic','2');</v>
      </c>
    </row>
    <row r="801" spans="1:14" x14ac:dyDescent="0.3">
      <c r="A801" t="s">
        <v>11</v>
      </c>
      <c r="B801" s="1" t="s">
        <v>43</v>
      </c>
      <c r="C801" s="1" t="s">
        <v>44</v>
      </c>
      <c r="D801">
        <v>12659</v>
      </c>
      <c r="E801" t="s">
        <v>12</v>
      </c>
      <c r="F801" t="s">
        <v>47</v>
      </c>
      <c r="G801">
        <v>2</v>
      </c>
      <c r="H801">
        <v>18</v>
      </c>
      <c r="I801" t="s">
        <v>45</v>
      </c>
      <c r="J801" cm="1">
        <f t="array" ref="J801">IFERROR(
    _xlfn.XLOOKUP(G801, 'Wedgewood Pharm-PM-Yr2-2025'!$E$41:$L$41,
        _xlfn.XLOOKUP('Rate Load'!H801, 'Wedgewood Pharm-PM-Yr2-2025'!$D$42:$D$68,
            'Wedgewood Pharm-PM-Yr2-2025'!$E$42:$L$68, 0, 0),
        0, 0),
    _xlfn.XLOOKUP(G801, 'Wedgewood Pharm-PM-Yr2-2025'!$E$41:$L$41,
        _xlfn.XLOOKUP('Rate Load'!L801, 'Wedgewood Pharm-PM-Yr2-2025'!$D$42:$D$68,
            'Wedgewood Pharm-PM-Yr2-2025'!$E$42:$L$68, 0, 0),
        0, 0)
)</f>
        <v>13.73</v>
      </c>
      <c r="K801" t="s">
        <v>46</v>
      </c>
      <c r="L801" t="s">
        <v>13</v>
      </c>
      <c r="M801">
        <v>2</v>
      </c>
      <c r="N801" t="str">
        <f t="shared" si="12"/>
        <v>INSERT INTO TNL_RATING.dbo.usps_rate_master VALUES ('USPS', '2/13/2025', '2/13/2026', 12659, 'US', 'Priority Mail', 2, 18, 'L', 13.73, 'Wedgewood_USPS_2025', 'NonCubic','2');</v>
      </c>
    </row>
    <row r="802" spans="1:14" x14ac:dyDescent="0.3">
      <c r="A802" t="s">
        <v>11</v>
      </c>
      <c r="B802" s="1" t="s">
        <v>43</v>
      </c>
      <c r="C802" s="1" t="s">
        <v>44</v>
      </c>
      <c r="D802">
        <v>12659</v>
      </c>
      <c r="E802" t="s">
        <v>12</v>
      </c>
      <c r="F802" t="s">
        <v>47</v>
      </c>
      <c r="G802">
        <v>2</v>
      </c>
      <c r="H802">
        <v>19</v>
      </c>
      <c r="I802" t="s">
        <v>45</v>
      </c>
      <c r="J802" cm="1">
        <f t="array" ref="J802">IFERROR(
    _xlfn.XLOOKUP(G802, 'Wedgewood Pharm-PM-Yr2-2025'!$E$41:$L$41,
        _xlfn.XLOOKUP('Rate Load'!H802, 'Wedgewood Pharm-PM-Yr2-2025'!$D$42:$D$68,
            'Wedgewood Pharm-PM-Yr2-2025'!$E$42:$L$68, 0, 0),
        0, 0),
    _xlfn.XLOOKUP(G802, 'Wedgewood Pharm-PM-Yr2-2025'!$E$41:$L$41,
        _xlfn.XLOOKUP('Rate Load'!L802, 'Wedgewood Pharm-PM-Yr2-2025'!$D$42:$D$68,
            'Wedgewood Pharm-PM-Yr2-2025'!$E$42:$L$68, 0, 0),
        0, 0)
)</f>
        <v>14.049999999999999</v>
      </c>
      <c r="K802" t="s">
        <v>46</v>
      </c>
      <c r="L802" t="s">
        <v>13</v>
      </c>
      <c r="M802">
        <v>2</v>
      </c>
      <c r="N802" t="str">
        <f t="shared" si="12"/>
        <v>INSERT INTO TNL_RATING.dbo.usps_rate_master VALUES ('USPS', '2/13/2025', '2/13/2026', 12659, 'US', 'Priority Mail', 2, 19, 'L', 14.05, 'Wedgewood_USPS_2025', 'NonCubic','2');</v>
      </c>
    </row>
    <row r="803" spans="1:14" x14ac:dyDescent="0.3">
      <c r="A803" t="s">
        <v>11</v>
      </c>
      <c r="B803" s="1" t="s">
        <v>43</v>
      </c>
      <c r="C803" s="1" t="s">
        <v>44</v>
      </c>
      <c r="D803">
        <v>12659</v>
      </c>
      <c r="E803" t="s">
        <v>12</v>
      </c>
      <c r="F803" t="s">
        <v>47</v>
      </c>
      <c r="G803">
        <v>2</v>
      </c>
      <c r="H803">
        <v>20</v>
      </c>
      <c r="I803" t="s">
        <v>45</v>
      </c>
      <c r="J803" cm="1">
        <f t="array" ref="J803">IFERROR(
    _xlfn.XLOOKUP(G803, 'Wedgewood Pharm-PM-Yr2-2025'!$E$41:$L$41,
        _xlfn.XLOOKUP('Rate Load'!H803, 'Wedgewood Pharm-PM-Yr2-2025'!$D$42:$D$68,
            'Wedgewood Pharm-PM-Yr2-2025'!$E$42:$L$68, 0, 0),
        0, 0),
    _xlfn.XLOOKUP(G803, 'Wedgewood Pharm-PM-Yr2-2025'!$E$41:$L$41,
        _xlfn.XLOOKUP('Rate Load'!L803, 'Wedgewood Pharm-PM-Yr2-2025'!$D$42:$D$68,
            'Wedgewood Pharm-PM-Yr2-2025'!$E$42:$L$68, 0, 0),
        0, 0)
)</f>
        <v>14.32</v>
      </c>
      <c r="K803" t="s">
        <v>46</v>
      </c>
      <c r="L803" t="s">
        <v>13</v>
      </c>
      <c r="M803">
        <v>2</v>
      </c>
      <c r="N803" t="str">
        <f t="shared" si="12"/>
        <v>INSERT INTO TNL_RATING.dbo.usps_rate_master VALUES ('USPS', '2/13/2025', '2/13/2026', 12659, 'US', 'Priority Mail', 2, 20, 'L', 14.32, 'Wedgewood_USPS_2025', 'NonCubic','2');</v>
      </c>
    </row>
    <row r="804" spans="1:14" x14ac:dyDescent="0.3">
      <c r="A804" t="s">
        <v>11</v>
      </c>
      <c r="B804" s="1" t="s">
        <v>43</v>
      </c>
      <c r="C804" s="1" t="s">
        <v>44</v>
      </c>
      <c r="D804">
        <v>12659</v>
      </c>
      <c r="E804" t="s">
        <v>12</v>
      </c>
      <c r="F804" t="s">
        <v>47</v>
      </c>
      <c r="G804">
        <v>3</v>
      </c>
      <c r="H804">
        <v>0.5</v>
      </c>
      <c r="I804" t="s">
        <v>45</v>
      </c>
      <c r="J804" cm="1">
        <f t="array" ref="J804">IFERROR(
    _xlfn.XLOOKUP(G804, 'Wedgewood Pharm-PM-Yr2-2025'!$E$41:$L$41,
        _xlfn.XLOOKUP('Rate Load'!H804, 'Wedgewood Pharm-PM-Yr2-2025'!$D$42:$D$68,
            'Wedgewood Pharm-PM-Yr2-2025'!$E$42:$L$68, 0, 0),
        0, 0),
    _xlfn.XLOOKUP(G804, 'Wedgewood Pharm-PM-Yr2-2025'!$E$41:$L$41,
        _xlfn.XLOOKUP('Rate Load'!L804, 'Wedgewood Pharm-PM-Yr2-2025'!$D$42:$D$68,
            'Wedgewood Pharm-PM-Yr2-2025'!$E$42:$L$68, 0, 0),
        0, 0)
)</f>
        <v>6.96</v>
      </c>
      <c r="K804" t="s">
        <v>46</v>
      </c>
      <c r="L804" t="s">
        <v>13</v>
      </c>
      <c r="M804">
        <v>2</v>
      </c>
      <c r="N804" t="str">
        <f t="shared" si="12"/>
        <v>INSERT INTO TNL_RATING.dbo.usps_rate_master VALUES ('USPS', '2/13/2025', '2/13/2026', 12659, 'US', 'Priority Mail', 3, 0.5, 'L', 6.96, 'Wedgewood_USPS_2025', 'NonCubic','2');</v>
      </c>
    </row>
    <row r="805" spans="1:14" x14ac:dyDescent="0.3">
      <c r="A805" t="s">
        <v>11</v>
      </c>
      <c r="B805" s="1" t="s">
        <v>43</v>
      </c>
      <c r="C805" s="1" t="s">
        <v>44</v>
      </c>
      <c r="D805">
        <v>12659</v>
      </c>
      <c r="E805" t="s">
        <v>12</v>
      </c>
      <c r="F805" t="s">
        <v>47</v>
      </c>
      <c r="G805">
        <v>3</v>
      </c>
      <c r="H805">
        <v>1</v>
      </c>
      <c r="I805" t="s">
        <v>45</v>
      </c>
      <c r="J805" cm="1">
        <f t="array" ref="J805">IFERROR(
    _xlfn.XLOOKUP(G805, 'Wedgewood Pharm-PM-Yr2-2025'!$E$41:$L$41,
        _xlfn.XLOOKUP('Rate Load'!H805, 'Wedgewood Pharm-PM-Yr2-2025'!$D$42:$D$68,
            'Wedgewood Pharm-PM-Yr2-2025'!$E$42:$L$68, 0, 0),
        0, 0),
    _xlfn.XLOOKUP(G805, 'Wedgewood Pharm-PM-Yr2-2025'!$E$41:$L$41,
        _xlfn.XLOOKUP('Rate Load'!L805, 'Wedgewood Pharm-PM-Yr2-2025'!$D$42:$D$68,
            'Wedgewood Pharm-PM-Yr2-2025'!$E$42:$L$68, 0, 0),
        0, 0)
)</f>
        <v>6.96</v>
      </c>
      <c r="K805" t="s">
        <v>46</v>
      </c>
      <c r="L805" t="s">
        <v>13</v>
      </c>
      <c r="M805">
        <v>2</v>
      </c>
      <c r="N805" t="str">
        <f t="shared" si="12"/>
        <v>INSERT INTO TNL_RATING.dbo.usps_rate_master VALUES ('USPS', '2/13/2025', '2/13/2026', 12659, 'US', 'Priority Mail', 3, 1, 'L', 6.96, 'Wedgewood_USPS_2025', 'NonCubic','2');</v>
      </c>
    </row>
    <row r="806" spans="1:14" x14ac:dyDescent="0.3">
      <c r="A806" t="s">
        <v>11</v>
      </c>
      <c r="B806" s="1" t="s">
        <v>43</v>
      </c>
      <c r="C806" s="1" t="s">
        <v>44</v>
      </c>
      <c r="D806">
        <v>12659</v>
      </c>
      <c r="E806" t="s">
        <v>12</v>
      </c>
      <c r="F806" t="s">
        <v>47</v>
      </c>
      <c r="G806">
        <v>3</v>
      </c>
      <c r="H806">
        <v>2</v>
      </c>
      <c r="I806" t="s">
        <v>45</v>
      </c>
      <c r="J806" cm="1">
        <f t="array" ref="J806">IFERROR(
    _xlfn.XLOOKUP(G806, 'Wedgewood Pharm-PM-Yr2-2025'!$E$41:$L$41,
        _xlfn.XLOOKUP('Rate Load'!H806, 'Wedgewood Pharm-PM-Yr2-2025'!$D$42:$D$68,
            'Wedgewood Pharm-PM-Yr2-2025'!$E$42:$L$68, 0, 0),
        0, 0),
    _xlfn.XLOOKUP(G806, 'Wedgewood Pharm-PM-Yr2-2025'!$E$41:$L$41,
        _xlfn.XLOOKUP('Rate Load'!L806, 'Wedgewood Pharm-PM-Yr2-2025'!$D$42:$D$68,
            'Wedgewood Pharm-PM-Yr2-2025'!$E$42:$L$68, 0, 0),
        0, 0)
)</f>
        <v>6.96</v>
      </c>
      <c r="K806" t="s">
        <v>46</v>
      </c>
      <c r="L806" t="s">
        <v>13</v>
      </c>
      <c r="M806">
        <v>2</v>
      </c>
      <c r="N806" t="str">
        <f t="shared" si="12"/>
        <v>INSERT INTO TNL_RATING.dbo.usps_rate_master VALUES ('USPS', '2/13/2025', '2/13/2026', 12659, 'US', 'Priority Mail', 3, 2, 'L', 6.96, 'Wedgewood_USPS_2025', 'NonCubic','2');</v>
      </c>
    </row>
    <row r="807" spans="1:14" x14ac:dyDescent="0.3">
      <c r="A807" t="s">
        <v>11</v>
      </c>
      <c r="B807" s="1" t="s">
        <v>43</v>
      </c>
      <c r="C807" s="1" t="s">
        <v>44</v>
      </c>
      <c r="D807">
        <v>12659</v>
      </c>
      <c r="E807" t="s">
        <v>12</v>
      </c>
      <c r="F807" t="s">
        <v>47</v>
      </c>
      <c r="G807">
        <v>3</v>
      </c>
      <c r="H807">
        <v>3</v>
      </c>
      <c r="I807" t="s">
        <v>45</v>
      </c>
      <c r="J807" cm="1">
        <f t="array" ref="J807">IFERROR(
    _xlfn.XLOOKUP(G807, 'Wedgewood Pharm-PM-Yr2-2025'!$E$41:$L$41,
        _xlfn.XLOOKUP('Rate Load'!H807, 'Wedgewood Pharm-PM-Yr2-2025'!$D$42:$D$68,
            'Wedgewood Pharm-PM-Yr2-2025'!$E$42:$L$68, 0, 0),
        0, 0),
    _xlfn.XLOOKUP(G807, 'Wedgewood Pharm-PM-Yr2-2025'!$E$41:$L$41,
        _xlfn.XLOOKUP('Rate Load'!L807, 'Wedgewood Pharm-PM-Yr2-2025'!$D$42:$D$68,
            'Wedgewood Pharm-PM-Yr2-2025'!$E$42:$L$68, 0, 0),
        0, 0)
)</f>
        <v>7.27</v>
      </c>
      <c r="K807" t="s">
        <v>46</v>
      </c>
      <c r="L807" t="s">
        <v>13</v>
      </c>
      <c r="M807">
        <v>2</v>
      </c>
      <c r="N807" t="str">
        <f t="shared" si="12"/>
        <v>INSERT INTO TNL_RATING.dbo.usps_rate_master VALUES ('USPS', '2/13/2025', '2/13/2026', 12659, 'US', 'Priority Mail', 3, 3, 'L', 7.27, 'Wedgewood_USPS_2025', 'NonCubic','2');</v>
      </c>
    </row>
    <row r="808" spans="1:14" x14ac:dyDescent="0.3">
      <c r="A808" t="s">
        <v>11</v>
      </c>
      <c r="B808" s="1" t="s">
        <v>43</v>
      </c>
      <c r="C808" s="1" t="s">
        <v>44</v>
      </c>
      <c r="D808">
        <v>12659</v>
      </c>
      <c r="E808" t="s">
        <v>12</v>
      </c>
      <c r="F808" t="s">
        <v>47</v>
      </c>
      <c r="G808">
        <v>3</v>
      </c>
      <c r="H808">
        <v>4</v>
      </c>
      <c r="I808" t="s">
        <v>45</v>
      </c>
      <c r="J808" cm="1">
        <f t="array" ref="J808">IFERROR(
    _xlfn.XLOOKUP(G808, 'Wedgewood Pharm-PM-Yr2-2025'!$E$41:$L$41,
        _xlfn.XLOOKUP('Rate Load'!H808, 'Wedgewood Pharm-PM-Yr2-2025'!$D$42:$D$68,
            'Wedgewood Pharm-PM-Yr2-2025'!$E$42:$L$68, 0, 0),
        0, 0),
    _xlfn.XLOOKUP(G808, 'Wedgewood Pharm-PM-Yr2-2025'!$E$41:$L$41,
        _xlfn.XLOOKUP('Rate Load'!L808, 'Wedgewood Pharm-PM-Yr2-2025'!$D$42:$D$68,
            'Wedgewood Pharm-PM-Yr2-2025'!$E$42:$L$68, 0, 0),
        0, 0)
)</f>
        <v>7.34</v>
      </c>
      <c r="K808" t="s">
        <v>46</v>
      </c>
      <c r="L808" t="s">
        <v>13</v>
      </c>
      <c r="M808">
        <v>2</v>
      </c>
      <c r="N808" t="str">
        <f t="shared" si="12"/>
        <v>INSERT INTO TNL_RATING.dbo.usps_rate_master VALUES ('USPS', '2/13/2025', '2/13/2026', 12659, 'US', 'Priority Mail', 3, 4, 'L', 7.34, 'Wedgewood_USPS_2025', 'NonCubic','2');</v>
      </c>
    </row>
    <row r="809" spans="1:14" x14ac:dyDescent="0.3">
      <c r="A809" t="s">
        <v>11</v>
      </c>
      <c r="B809" s="1" t="s">
        <v>43</v>
      </c>
      <c r="C809" s="1" t="s">
        <v>44</v>
      </c>
      <c r="D809">
        <v>12659</v>
      </c>
      <c r="E809" t="s">
        <v>12</v>
      </c>
      <c r="F809" t="s">
        <v>47</v>
      </c>
      <c r="G809">
        <v>3</v>
      </c>
      <c r="H809">
        <v>5</v>
      </c>
      <c r="I809" t="s">
        <v>45</v>
      </c>
      <c r="J809" cm="1">
        <f t="array" ref="J809">IFERROR(
    _xlfn.XLOOKUP(G809, 'Wedgewood Pharm-PM-Yr2-2025'!$E$41:$L$41,
        _xlfn.XLOOKUP('Rate Load'!H809, 'Wedgewood Pharm-PM-Yr2-2025'!$D$42:$D$68,
            'Wedgewood Pharm-PM-Yr2-2025'!$E$42:$L$68, 0, 0),
        0, 0),
    _xlfn.XLOOKUP(G809, 'Wedgewood Pharm-PM-Yr2-2025'!$E$41:$L$41,
        _xlfn.XLOOKUP('Rate Load'!L809, 'Wedgewood Pharm-PM-Yr2-2025'!$D$42:$D$68,
            'Wedgewood Pharm-PM-Yr2-2025'!$E$42:$L$68, 0, 0),
        0, 0)
)</f>
        <v>7.39</v>
      </c>
      <c r="K809" t="s">
        <v>46</v>
      </c>
      <c r="L809" t="s">
        <v>13</v>
      </c>
      <c r="M809">
        <v>2</v>
      </c>
      <c r="N809" t="str">
        <f t="shared" si="12"/>
        <v>INSERT INTO TNL_RATING.dbo.usps_rate_master VALUES ('USPS', '2/13/2025', '2/13/2026', 12659, 'US', 'Priority Mail', 3, 5, 'L', 7.39, 'Wedgewood_USPS_2025', 'NonCubic','2');</v>
      </c>
    </row>
    <row r="810" spans="1:14" x14ac:dyDescent="0.3">
      <c r="A810" t="s">
        <v>11</v>
      </c>
      <c r="B810" s="1" t="s">
        <v>43</v>
      </c>
      <c r="C810" s="1" t="s">
        <v>44</v>
      </c>
      <c r="D810">
        <v>12659</v>
      </c>
      <c r="E810" t="s">
        <v>12</v>
      </c>
      <c r="F810" t="s">
        <v>47</v>
      </c>
      <c r="G810">
        <v>3</v>
      </c>
      <c r="H810">
        <v>6</v>
      </c>
      <c r="I810" t="s">
        <v>45</v>
      </c>
      <c r="J810" cm="1">
        <f t="array" ref="J810">IFERROR(
    _xlfn.XLOOKUP(G810, 'Wedgewood Pharm-PM-Yr2-2025'!$E$41:$L$41,
        _xlfn.XLOOKUP('Rate Load'!H810, 'Wedgewood Pharm-PM-Yr2-2025'!$D$42:$D$68,
            'Wedgewood Pharm-PM-Yr2-2025'!$E$42:$L$68, 0, 0),
        0, 0),
    _xlfn.XLOOKUP(G810, 'Wedgewood Pharm-PM-Yr2-2025'!$E$41:$L$41,
        _xlfn.XLOOKUP('Rate Load'!L810, 'Wedgewood Pharm-PM-Yr2-2025'!$D$42:$D$68,
            'Wedgewood Pharm-PM-Yr2-2025'!$E$42:$L$68, 0, 0),
        0, 0)
)</f>
        <v>7.97</v>
      </c>
      <c r="K810" t="s">
        <v>46</v>
      </c>
      <c r="L810" t="s">
        <v>13</v>
      </c>
      <c r="M810">
        <v>2</v>
      </c>
      <c r="N810" t="str">
        <f t="shared" si="12"/>
        <v>INSERT INTO TNL_RATING.dbo.usps_rate_master VALUES ('USPS', '2/13/2025', '2/13/2026', 12659, 'US', 'Priority Mail', 3, 6, 'L', 7.97, 'Wedgewood_USPS_2025', 'NonCubic','2');</v>
      </c>
    </row>
    <row r="811" spans="1:14" x14ac:dyDescent="0.3">
      <c r="A811" t="s">
        <v>11</v>
      </c>
      <c r="B811" s="1" t="s">
        <v>43</v>
      </c>
      <c r="C811" s="1" t="s">
        <v>44</v>
      </c>
      <c r="D811">
        <v>12659</v>
      </c>
      <c r="E811" t="s">
        <v>12</v>
      </c>
      <c r="F811" t="s">
        <v>47</v>
      </c>
      <c r="G811">
        <v>3</v>
      </c>
      <c r="H811">
        <v>7</v>
      </c>
      <c r="I811" t="s">
        <v>45</v>
      </c>
      <c r="J811" cm="1">
        <f t="array" ref="J811">IFERROR(
    _xlfn.XLOOKUP(G811, 'Wedgewood Pharm-PM-Yr2-2025'!$E$41:$L$41,
        _xlfn.XLOOKUP('Rate Load'!H811, 'Wedgewood Pharm-PM-Yr2-2025'!$D$42:$D$68,
            'Wedgewood Pharm-PM-Yr2-2025'!$E$42:$L$68, 0, 0),
        0, 0),
    _xlfn.XLOOKUP(G811, 'Wedgewood Pharm-PM-Yr2-2025'!$E$41:$L$41,
        _xlfn.XLOOKUP('Rate Load'!L811, 'Wedgewood Pharm-PM-Yr2-2025'!$D$42:$D$68,
            'Wedgewood Pharm-PM-Yr2-2025'!$E$42:$L$68, 0, 0),
        0, 0)
)</f>
        <v>9.6199999999999992</v>
      </c>
      <c r="K811" t="s">
        <v>46</v>
      </c>
      <c r="L811" t="s">
        <v>13</v>
      </c>
      <c r="M811">
        <v>2</v>
      </c>
      <c r="N811" t="str">
        <f t="shared" si="12"/>
        <v>INSERT INTO TNL_RATING.dbo.usps_rate_master VALUES ('USPS', '2/13/2025', '2/13/2026', 12659, 'US', 'Priority Mail', 3, 7, 'L', 9.62, 'Wedgewood_USPS_2025', 'NonCubic','2');</v>
      </c>
    </row>
    <row r="812" spans="1:14" x14ac:dyDescent="0.3">
      <c r="A812" t="s">
        <v>11</v>
      </c>
      <c r="B812" s="1" t="s">
        <v>43</v>
      </c>
      <c r="C812" s="1" t="s">
        <v>44</v>
      </c>
      <c r="D812">
        <v>12659</v>
      </c>
      <c r="E812" t="s">
        <v>12</v>
      </c>
      <c r="F812" t="s">
        <v>47</v>
      </c>
      <c r="G812">
        <v>3</v>
      </c>
      <c r="H812">
        <v>8</v>
      </c>
      <c r="I812" t="s">
        <v>45</v>
      </c>
      <c r="J812" cm="1">
        <f t="array" ref="J812">IFERROR(
    _xlfn.XLOOKUP(G812, 'Wedgewood Pharm-PM-Yr2-2025'!$E$41:$L$41,
        _xlfn.XLOOKUP('Rate Load'!H812, 'Wedgewood Pharm-PM-Yr2-2025'!$D$42:$D$68,
            'Wedgewood Pharm-PM-Yr2-2025'!$E$42:$L$68, 0, 0),
        0, 0),
    _xlfn.XLOOKUP(G812, 'Wedgewood Pharm-PM-Yr2-2025'!$E$41:$L$41,
        _xlfn.XLOOKUP('Rate Load'!L812, 'Wedgewood Pharm-PM-Yr2-2025'!$D$42:$D$68,
            'Wedgewood Pharm-PM-Yr2-2025'!$E$42:$L$68, 0, 0),
        0, 0)
)</f>
        <v>10.1</v>
      </c>
      <c r="K812" t="s">
        <v>46</v>
      </c>
      <c r="L812" t="s">
        <v>13</v>
      </c>
      <c r="M812">
        <v>2</v>
      </c>
      <c r="N812" t="str">
        <f t="shared" si="12"/>
        <v>INSERT INTO TNL_RATING.dbo.usps_rate_master VALUES ('USPS', '2/13/2025', '2/13/2026', 12659, 'US', 'Priority Mail', 3, 8, 'L', 10.1, 'Wedgewood_USPS_2025', 'NonCubic','2');</v>
      </c>
    </row>
    <row r="813" spans="1:14" x14ac:dyDescent="0.3">
      <c r="A813" t="s">
        <v>11</v>
      </c>
      <c r="B813" s="1" t="s">
        <v>43</v>
      </c>
      <c r="C813" s="1" t="s">
        <v>44</v>
      </c>
      <c r="D813">
        <v>12659</v>
      </c>
      <c r="E813" t="s">
        <v>12</v>
      </c>
      <c r="F813" t="s">
        <v>47</v>
      </c>
      <c r="G813">
        <v>3</v>
      </c>
      <c r="H813">
        <v>9</v>
      </c>
      <c r="I813" t="s">
        <v>45</v>
      </c>
      <c r="J813" cm="1">
        <f t="array" ref="J813">IFERROR(
    _xlfn.XLOOKUP(G813, 'Wedgewood Pharm-PM-Yr2-2025'!$E$41:$L$41,
        _xlfn.XLOOKUP('Rate Load'!H813, 'Wedgewood Pharm-PM-Yr2-2025'!$D$42:$D$68,
            'Wedgewood Pharm-PM-Yr2-2025'!$E$42:$L$68, 0, 0),
        0, 0),
    _xlfn.XLOOKUP(G813, 'Wedgewood Pharm-PM-Yr2-2025'!$E$41:$L$41,
        _xlfn.XLOOKUP('Rate Load'!L813, 'Wedgewood Pharm-PM-Yr2-2025'!$D$42:$D$68,
            'Wedgewood Pharm-PM-Yr2-2025'!$E$42:$L$68, 0, 0),
        0, 0)
)</f>
        <v>10.54</v>
      </c>
      <c r="K813" t="s">
        <v>46</v>
      </c>
      <c r="L813" t="s">
        <v>13</v>
      </c>
      <c r="M813">
        <v>2</v>
      </c>
      <c r="N813" t="str">
        <f t="shared" si="12"/>
        <v>INSERT INTO TNL_RATING.dbo.usps_rate_master VALUES ('USPS', '2/13/2025', '2/13/2026', 12659, 'US', 'Priority Mail', 3, 9, 'L', 10.54, 'Wedgewood_USPS_2025', 'NonCubic','2');</v>
      </c>
    </row>
    <row r="814" spans="1:14" x14ac:dyDescent="0.3">
      <c r="A814" t="s">
        <v>11</v>
      </c>
      <c r="B814" s="1" t="s">
        <v>43</v>
      </c>
      <c r="C814" s="1" t="s">
        <v>44</v>
      </c>
      <c r="D814">
        <v>12659</v>
      </c>
      <c r="E814" t="s">
        <v>12</v>
      </c>
      <c r="F814" t="s">
        <v>47</v>
      </c>
      <c r="G814">
        <v>3</v>
      </c>
      <c r="H814">
        <v>10</v>
      </c>
      <c r="I814" t="s">
        <v>45</v>
      </c>
      <c r="J814" cm="1">
        <f t="array" ref="J814">IFERROR(
    _xlfn.XLOOKUP(G814, 'Wedgewood Pharm-PM-Yr2-2025'!$E$41:$L$41,
        _xlfn.XLOOKUP('Rate Load'!H814, 'Wedgewood Pharm-PM-Yr2-2025'!$D$42:$D$68,
            'Wedgewood Pharm-PM-Yr2-2025'!$E$42:$L$68, 0, 0),
        0, 0),
    _xlfn.XLOOKUP(G814, 'Wedgewood Pharm-PM-Yr2-2025'!$E$41:$L$41,
        _xlfn.XLOOKUP('Rate Load'!L814, 'Wedgewood Pharm-PM-Yr2-2025'!$D$42:$D$68,
            'Wedgewood Pharm-PM-Yr2-2025'!$E$42:$L$68, 0, 0),
        0, 0)
)</f>
        <v>11.03</v>
      </c>
      <c r="K814" t="s">
        <v>46</v>
      </c>
      <c r="L814" t="s">
        <v>13</v>
      </c>
      <c r="M814">
        <v>2</v>
      </c>
      <c r="N814" t="str">
        <f t="shared" si="12"/>
        <v>INSERT INTO TNL_RATING.dbo.usps_rate_master VALUES ('USPS', '2/13/2025', '2/13/2026', 12659, 'US', 'Priority Mail', 3, 10, 'L', 11.03, 'Wedgewood_USPS_2025', 'NonCubic','2');</v>
      </c>
    </row>
    <row r="815" spans="1:14" x14ac:dyDescent="0.3">
      <c r="A815" t="s">
        <v>11</v>
      </c>
      <c r="B815" s="1" t="s">
        <v>43</v>
      </c>
      <c r="C815" s="1" t="s">
        <v>44</v>
      </c>
      <c r="D815">
        <v>12659</v>
      </c>
      <c r="E815" t="s">
        <v>12</v>
      </c>
      <c r="F815" t="s">
        <v>47</v>
      </c>
      <c r="G815">
        <v>3</v>
      </c>
      <c r="H815">
        <v>11</v>
      </c>
      <c r="I815" t="s">
        <v>45</v>
      </c>
      <c r="J815" cm="1">
        <f t="array" ref="J815">IFERROR(
    _xlfn.XLOOKUP(G815, 'Wedgewood Pharm-PM-Yr2-2025'!$E$41:$L$41,
        _xlfn.XLOOKUP('Rate Load'!H815, 'Wedgewood Pharm-PM-Yr2-2025'!$D$42:$D$68,
            'Wedgewood Pharm-PM-Yr2-2025'!$E$42:$L$68, 0, 0),
        0, 0),
    _xlfn.XLOOKUP(G815, 'Wedgewood Pharm-PM-Yr2-2025'!$E$41:$L$41,
        _xlfn.XLOOKUP('Rate Load'!L815, 'Wedgewood Pharm-PM-Yr2-2025'!$D$42:$D$68,
            'Wedgewood Pharm-PM-Yr2-2025'!$E$42:$L$68, 0, 0),
        0, 0)
)</f>
        <v>11.73</v>
      </c>
      <c r="K815" t="s">
        <v>46</v>
      </c>
      <c r="L815" t="s">
        <v>13</v>
      </c>
      <c r="M815">
        <v>2</v>
      </c>
      <c r="N815" t="str">
        <f t="shared" si="12"/>
        <v>INSERT INTO TNL_RATING.dbo.usps_rate_master VALUES ('USPS', '2/13/2025', '2/13/2026', 12659, 'US', 'Priority Mail', 3, 11, 'L', 11.73, 'Wedgewood_USPS_2025', 'NonCubic','2');</v>
      </c>
    </row>
    <row r="816" spans="1:14" x14ac:dyDescent="0.3">
      <c r="A816" t="s">
        <v>11</v>
      </c>
      <c r="B816" s="1" t="s">
        <v>43</v>
      </c>
      <c r="C816" s="1" t="s">
        <v>44</v>
      </c>
      <c r="D816">
        <v>12659</v>
      </c>
      <c r="E816" t="s">
        <v>12</v>
      </c>
      <c r="F816" t="s">
        <v>47</v>
      </c>
      <c r="G816">
        <v>3</v>
      </c>
      <c r="H816">
        <v>12</v>
      </c>
      <c r="I816" t="s">
        <v>45</v>
      </c>
      <c r="J816" cm="1">
        <f t="array" ref="J816">IFERROR(
    _xlfn.XLOOKUP(G816, 'Wedgewood Pharm-PM-Yr2-2025'!$E$41:$L$41,
        _xlfn.XLOOKUP('Rate Load'!H816, 'Wedgewood Pharm-PM-Yr2-2025'!$D$42:$D$68,
            'Wedgewood Pharm-PM-Yr2-2025'!$E$42:$L$68, 0, 0),
        0, 0),
    _xlfn.XLOOKUP(G816, 'Wedgewood Pharm-PM-Yr2-2025'!$E$41:$L$41,
        _xlfn.XLOOKUP('Rate Load'!L816, 'Wedgewood Pharm-PM-Yr2-2025'!$D$42:$D$68,
            'Wedgewood Pharm-PM-Yr2-2025'!$E$42:$L$68, 0, 0),
        0, 0)
)</f>
        <v>12.23</v>
      </c>
      <c r="K816" t="s">
        <v>46</v>
      </c>
      <c r="L816" t="s">
        <v>13</v>
      </c>
      <c r="M816">
        <v>2</v>
      </c>
      <c r="N816" t="str">
        <f t="shared" si="12"/>
        <v>INSERT INTO TNL_RATING.dbo.usps_rate_master VALUES ('USPS', '2/13/2025', '2/13/2026', 12659, 'US', 'Priority Mail', 3, 12, 'L', 12.23, 'Wedgewood_USPS_2025', 'NonCubic','2');</v>
      </c>
    </row>
    <row r="817" spans="1:14" x14ac:dyDescent="0.3">
      <c r="A817" t="s">
        <v>11</v>
      </c>
      <c r="B817" s="1" t="s">
        <v>43</v>
      </c>
      <c r="C817" s="1" t="s">
        <v>44</v>
      </c>
      <c r="D817">
        <v>12659</v>
      </c>
      <c r="E817" t="s">
        <v>12</v>
      </c>
      <c r="F817" t="s">
        <v>47</v>
      </c>
      <c r="G817">
        <v>3</v>
      </c>
      <c r="H817">
        <v>13</v>
      </c>
      <c r="I817" t="s">
        <v>45</v>
      </c>
      <c r="J817" cm="1">
        <f t="array" ref="J817">IFERROR(
    _xlfn.XLOOKUP(G817, 'Wedgewood Pharm-PM-Yr2-2025'!$E$41:$L$41,
        _xlfn.XLOOKUP('Rate Load'!H817, 'Wedgewood Pharm-PM-Yr2-2025'!$D$42:$D$68,
            'Wedgewood Pharm-PM-Yr2-2025'!$E$42:$L$68, 0, 0),
        0, 0),
    _xlfn.XLOOKUP(G817, 'Wedgewood Pharm-PM-Yr2-2025'!$E$41:$L$41,
        _xlfn.XLOOKUP('Rate Load'!L817, 'Wedgewood Pharm-PM-Yr2-2025'!$D$42:$D$68,
            'Wedgewood Pharm-PM-Yr2-2025'!$E$42:$L$68, 0, 0),
        0, 0)
)</f>
        <v>12.74</v>
      </c>
      <c r="K817" t="s">
        <v>46</v>
      </c>
      <c r="L817" t="s">
        <v>13</v>
      </c>
      <c r="M817">
        <v>2</v>
      </c>
      <c r="N817" t="str">
        <f t="shared" si="12"/>
        <v>INSERT INTO TNL_RATING.dbo.usps_rate_master VALUES ('USPS', '2/13/2025', '2/13/2026', 12659, 'US', 'Priority Mail', 3, 13, 'L', 12.74, 'Wedgewood_USPS_2025', 'NonCubic','2');</v>
      </c>
    </row>
    <row r="818" spans="1:14" x14ac:dyDescent="0.3">
      <c r="A818" t="s">
        <v>11</v>
      </c>
      <c r="B818" s="1" t="s">
        <v>43</v>
      </c>
      <c r="C818" s="1" t="s">
        <v>44</v>
      </c>
      <c r="D818">
        <v>12659</v>
      </c>
      <c r="E818" t="s">
        <v>12</v>
      </c>
      <c r="F818" t="s">
        <v>47</v>
      </c>
      <c r="G818">
        <v>3</v>
      </c>
      <c r="H818">
        <v>14</v>
      </c>
      <c r="I818" t="s">
        <v>45</v>
      </c>
      <c r="J818" cm="1">
        <f t="array" ref="J818">IFERROR(
    _xlfn.XLOOKUP(G818, 'Wedgewood Pharm-PM-Yr2-2025'!$E$41:$L$41,
        _xlfn.XLOOKUP('Rate Load'!H818, 'Wedgewood Pharm-PM-Yr2-2025'!$D$42:$D$68,
            'Wedgewood Pharm-PM-Yr2-2025'!$E$42:$L$68, 0, 0),
        0, 0),
    _xlfn.XLOOKUP(G818, 'Wedgewood Pharm-PM-Yr2-2025'!$E$41:$L$41,
        _xlfn.XLOOKUP('Rate Load'!L818, 'Wedgewood Pharm-PM-Yr2-2025'!$D$42:$D$68,
            'Wedgewood Pharm-PM-Yr2-2025'!$E$42:$L$68, 0, 0),
        0, 0)
)</f>
        <v>13.25</v>
      </c>
      <c r="K818" t="s">
        <v>46</v>
      </c>
      <c r="L818" t="s">
        <v>13</v>
      </c>
      <c r="M818">
        <v>2</v>
      </c>
      <c r="N818" t="str">
        <f t="shared" si="12"/>
        <v>INSERT INTO TNL_RATING.dbo.usps_rate_master VALUES ('USPS', '2/13/2025', '2/13/2026', 12659, 'US', 'Priority Mail', 3, 14, 'L', 13.25, 'Wedgewood_USPS_2025', 'NonCubic','2');</v>
      </c>
    </row>
    <row r="819" spans="1:14" x14ac:dyDescent="0.3">
      <c r="A819" t="s">
        <v>11</v>
      </c>
      <c r="B819" s="1" t="s">
        <v>43</v>
      </c>
      <c r="C819" s="1" t="s">
        <v>44</v>
      </c>
      <c r="D819">
        <v>12659</v>
      </c>
      <c r="E819" t="s">
        <v>12</v>
      </c>
      <c r="F819" t="s">
        <v>47</v>
      </c>
      <c r="G819">
        <v>3</v>
      </c>
      <c r="H819">
        <v>15</v>
      </c>
      <c r="I819" t="s">
        <v>45</v>
      </c>
      <c r="J819" cm="1">
        <f t="array" ref="J819">IFERROR(
    _xlfn.XLOOKUP(G819, 'Wedgewood Pharm-PM-Yr2-2025'!$E$41:$L$41,
        _xlfn.XLOOKUP('Rate Load'!H819, 'Wedgewood Pharm-PM-Yr2-2025'!$D$42:$D$68,
            'Wedgewood Pharm-PM-Yr2-2025'!$E$42:$L$68, 0, 0),
        0, 0),
    _xlfn.XLOOKUP(G819, 'Wedgewood Pharm-PM-Yr2-2025'!$E$41:$L$41,
        _xlfn.XLOOKUP('Rate Load'!L819, 'Wedgewood Pharm-PM-Yr2-2025'!$D$42:$D$68,
            'Wedgewood Pharm-PM-Yr2-2025'!$E$42:$L$68, 0, 0),
        0, 0)
)</f>
        <v>13.75</v>
      </c>
      <c r="K819" t="s">
        <v>46</v>
      </c>
      <c r="L819" t="s">
        <v>13</v>
      </c>
      <c r="M819">
        <v>2</v>
      </c>
      <c r="N819" t="str">
        <f t="shared" si="12"/>
        <v>INSERT INTO TNL_RATING.dbo.usps_rate_master VALUES ('USPS', '2/13/2025', '2/13/2026', 12659, 'US', 'Priority Mail', 3, 15, 'L', 13.75, 'Wedgewood_USPS_2025', 'NonCubic','2');</v>
      </c>
    </row>
    <row r="820" spans="1:14" x14ac:dyDescent="0.3">
      <c r="A820" t="s">
        <v>11</v>
      </c>
      <c r="B820" s="1" t="s">
        <v>43</v>
      </c>
      <c r="C820" s="1" t="s">
        <v>44</v>
      </c>
      <c r="D820">
        <v>12659</v>
      </c>
      <c r="E820" t="s">
        <v>12</v>
      </c>
      <c r="F820" t="s">
        <v>47</v>
      </c>
      <c r="G820">
        <v>3</v>
      </c>
      <c r="H820">
        <v>16</v>
      </c>
      <c r="I820" t="s">
        <v>45</v>
      </c>
      <c r="J820" cm="1">
        <f t="array" ref="J820">IFERROR(
    _xlfn.XLOOKUP(G820, 'Wedgewood Pharm-PM-Yr2-2025'!$E$41:$L$41,
        _xlfn.XLOOKUP('Rate Load'!H820, 'Wedgewood Pharm-PM-Yr2-2025'!$D$42:$D$68,
            'Wedgewood Pharm-PM-Yr2-2025'!$E$42:$L$68, 0, 0),
        0, 0),
    _xlfn.XLOOKUP(G820, 'Wedgewood Pharm-PM-Yr2-2025'!$E$41:$L$41,
        _xlfn.XLOOKUP('Rate Load'!L820, 'Wedgewood Pharm-PM-Yr2-2025'!$D$42:$D$68,
            'Wedgewood Pharm-PM-Yr2-2025'!$E$42:$L$68, 0, 0),
        0, 0)
)</f>
        <v>14.26</v>
      </c>
      <c r="K820" t="s">
        <v>46</v>
      </c>
      <c r="L820" t="s">
        <v>13</v>
      </c>
      <c r="M820">
        <v>2</v>
      </c>
      <c r="N820" t="str">
        <f t="shared" si="12"/>
        <v>INSERT INTO TNL_RATING.dbo.usps_rate_master VALUES ('USPS', '2/13/2025', '2/13/2026', 12659, 'US', 'Priority Mail', 3, 16, 'L', 14.26, 'Wedgewood_USPS_2025', 'NonCubic','2');</v>
      </c>
    </row>
    <row r="821" spans="1:14" x14ac:dyDescent="0.3">
      <c r="A821" t="s">
        <v>11</v>
      </c>
      <c r="B821" s="1" t="s">
        <v>43</v>
      </c>
      <c r="C821" s="1" t="s">
        <v>44</v>
      </c>
      <c r="D821">
        <v>12659</v>
      </c>
      <c r="E821" t="s">
        <v>12</v>
      </c>
      <c r="F821" t="s">
        <v>47</v>
      </c>
      <c r="G821">
        <v>3</v>
      </c>
      <c r="H821">
        <v>17</v>
      </c>
      <c r="I821" t="s">
        <v>45</v>
      </c>
      <c r="J821" cm="1">
        <f t="array" ref="J821">IFERROR(
    _xlfn.XLOOKUP(G821, 'Wedgewood Pharm-PM-Yr2-2025'!$E$41:$L$41,
        _xlfn.XLOOKUP('Rate Load'!H821, 'Wedgewood Pharm-PM-Yr2-2025'!$D$42:$D$68,
            'Wedgewood Pharm-PM-Yr2-2025'!$E$42:$L$68, 0, 0),
        0, 0),
    _xlfn.XLOOKUP(G821, 'Wedgewood Pharm-PM-Yr2-2025'!$E$41:$L$41,
        _xlfn.XLOOKUP('Rate Load'!L821, 'Wedgewood Pharm-PM-Yr2-2025'!$D$42:$D$68,
            'Wedgewood Pharm-PM-Yr2-2025'!$E$42:$L$68, 0, 0),
        0, 0)
)</f>
        <v>14.67</v>
      </c>
      <c r="K821" t="s">
        <v>46</v>
      </c>
      <c r="L821" t="s">
        <v>13</v>
      </c>
      <c r="M821">
        <v>2</v>
      </c>
      <c r="N821" t="str">
        <f t="shared" si="12"/>
        <v>INSERT INTO TNL_RATING.dbo.usps_rate_master VALUES ('USPS', '2/13/2025', '2/13/2026', 12659, 'US', 'Priority Mail', 3, 17, 'L', 14.67, 'Wedgewood_USPS_2025', 'NonCubic','2');</v>
      </c>
    </row>
    <row r="822" spans="1:14" x14ac:dyDescent="0.3">
      <c r="A822" t="s">
        <v>11</v>
      </c>
      <c r="B822" s="1" t="s">
        <v>43</v>
      </c>
      <c r="C822" s="1" t="s">
        <v>44</v>
      </c>
      <c r="D822">
        <v>12659</v>
      </c>
      <c r="E822" t="s">
        <v>12</v>
      </c>
      <c r="F822" t="s">
        <v>47</v>
      </c>
      <c r="G822">
        <v>3</v>
      </c>
      <c r="H822">
        <v>18</v>
      </c>
      <c r="I822" t="s">
        <v>45</v>
      </c>
      <c r="J822" cm="1">
        <f t="array" ref="J822">IFERROR(
    _xlfn.XLOOKUP(G822, 'Wedgewood Pharm-PM-Yr2-2025'!$E$41:$L$41,
        _xlfn.XLOOKUP('Rate Load'!H822, 'Wedgewood Pharm-PM-Yr2-2025'!$D$42:$D$68,
            'Wedgewood Pharm-PM-Yr2-2025'!$E$42:$L$68, 0, 0),
        0, 0),
    _xlfn.XLOOKUP(G822, 'Wedgewood Pharm-PM-Yr2-2025'!$E$41:$L$41,
        _xlfn.XLOOKUP('Rate Load'!L822, 'Wedgewood Pharm-PM-Yr2-2025'!$D$42:$D$68,
            'Wedgewood Pharm-PM-Yr2-2025'!$E$42:$L$68, 0, 0),
        0, 0)
)</f>
        <v>14.9</v>
      </c>
      <c r="K822" t="s">
        <v>46</v>
      </c>
      <c r="L822" t="s">
        <v>13</v>
      </c>
      <c r="M822">
        <v>2</v>
      </c>
      <c r="N822" t="str">
        <f t="shared" si="12"/>
        <v>INSERT INTO TNL_RATING.dbo.usps_rate_master VALUES ('USPS', '2/13/2025', '2/13/2026', 12659, 'US', 'Priority Mail', 3, 18, 'L', 14.9, 'Wedgewood_USPS_2025', 'NonCubic','2');</v>
      </c>
    </row>
    <row r="823" spans="1:14" x14ac:dyDescent="0.3">
      <c r="A823" t="s">
        <v>11</v>
      </c>
      <c r="B823" s="1" t="s">
        <v>43</v>
      </c>
      <c r="C823" s="1" t="s">
        <v>44</v>
      </c>
      <c r="D823">
        <v>12659</v>
      </c>
      <c r="E823" t="s">
        <v>12</v>
      </c>
      <c r="F823" t="s">
        <v>47</v>
      </c>
      <c r="G823">
        <v>3</v>
      </c>
      <c r="H823">
        <v>19</v>
      </c>
      <c r="I823" t="s">
        <v>45</v>
      </c>
      <c r="J823" cm="1">
        <f t="array" ref="J823">IFERROR(
    _xlfn.XLOOKUP(G823, 'Wedgewood Pharm-PM-Yr2-2025'!$E$41:$L$41,
        _xlfn.XLOOKUP('Rate Load'!H823, 'Wedgewood Pharm-PM-Yr2-2025'!$D$42:$D$68,
            'Wedgewood Pharm-PM-Yr2-2025'!$E$42:$L$68, 0, 0),
        0, 0),
    _xlfn.XLOOKUP(G823, 'Wedgewood Pharm-PM-Yr2-2025'!$E$41:$L$41,
        _xlfn.XLOOKUP('Rate Load'!L823, 'Wedgewood Pharm-PM-Yr2-2025'!$D$42:$D$68,
            'Wedgewood Pharm-PM-Yr2-2025'!$E$42:$L$68, 0, 0),
        0, 0)
)</f>
        <v>15.39</v>
      </c>
      <c r="K823" t="s">
        <v>46</v>
      </c>
      <c r="L823" t="s">
        <v>13</v>
      </c>
      <c r="M823">
        <v>2</v>
      </c>
      <c r="N823" t="str">
        <f t="shared" si="12"/>
        <v>INSERT INTO TNL_RATING.dbo.usps_rate_master VALUES ('USPS', '2/13/2025', '2/13/2026', 12659, 'US', 'Priority Mail', 3, 19, 'L', 15.39, 'Wedgewood_USPS_2025', 'NonCubic','2');</v>
      </c>
    </row>
    <row r="824" spans="1:14" x14ac:dyDescent="0.3">
      <c r="A824" t="s">
        <v>11</v>
      </c>
      <c r="B824" s="1" t="s">
        <v>43</v>
      </c>
      <c r="C824" s="1" t="s">
        <v>44</v>
      </c>
      <c r="D824">
        <v>12659</v>
      </c>
      <c r="E824" t="s">
        <v>12</v>
      </c>
      <c r="F824" t="s">
        <v>47</v>
      </c>
      <c r="G824">
        <v>3</v>
      </c>
      <c r="H824">
        <v>20</v>
      </c>
      <c r="I824" t="s">
        <v>45</v>
      </c>
      <c r="J824" cm="1">
        <f t="array" ref="J824">IFERROR(
    _xlfn.XLOOKUP(G824, 'Wedgewood Pharm-PM-Yr2-2025'!$E$41:$L$41,
        _xlfn.XLOOKUP('Rate Load'!H824, 'Wedgewood Pharm-PM-Yr2-2025'!$D$42:$D$68,
            'Wedgewood Pharm-PM-Yr2-2025'!$E$42:$L$68, 0, 0),
        0, 0),
    _xlfn.XLOOKUP(G824, 'Wedgewood Pharm-PM-Yr2-2025'!$E$41:$L$41,
        _xlfn.XLOOKUP('Rate Load'!L824, 'Wedgewood Pharm-PM-Yr2-2025'!$D$42:$D$68,
            'Wedgewood Pharm-PM-Yr2-2025'!$E$42:$L$68, 0, 0),
        0, 0)
)</f>
        <v>15.709999999999999</v>
      </c>
      <c r="K824" t="s">
        <v>46</v>
      </c>
      <c r="L824" t="s">
        <v>13</v>
      </c>
      <c r="M824">
        <v>2</v>
      </c>
      <c r="N824" t="str">
        <f t="shared" si="12"/>
        <v>INSERT INTO TNL_RATING.dbo.usps_rate_master VALUES ('USPS', '2/13/2025', '2/13/2026', 12659, 'US', 'Priority Mail', 3, 20, 'L', 15.71, 'Wedgewood_USPS_2025', 'NonCubic','2');</v>
      </c>
    </row>
    <row r="825" spans="1:14" x14ac:dyDescent="0.3">
      <c r="A825" t="s">
        <v>11</v>
      </c>
      <c r="B825" s="1" t="s">
        <v>43</v>
      </c>
      <c r="C825" s="1" t="s">
        <v>44</v>
      </c>
      <c r="D825">
        <v>12659</v>
      </c>
      <c r="E825" t="s">
        <v>12</v>
      </c>
      <c r="F825" t="s">
        <v>47</v>
      </c>
      <c r="G825">
        <v>4</v>
      </c>
      <c r="H825">
        <v>0.5</v>
      </c>
      <c r="I825" t="s">
        <v>45</v>
      </c>
      <c r="J825" cm="1">
        <f t="array" ref="J825">IFERROR(
    _xlfn.XLOOKUP(G825, 'Wedgewood Pharm-PM-Yr2-2025'!$E$41:$L$41,
        _xlfn.XLOOKUP('Rate Load'!H825, 'Wedgewood Pharm-PM-Yr2-2025'!$D$42:$D$68,
            'Wedgewood Pharm-PM-Yr2-2025'!$E$42:$L$68, 0, 0),
        0, 0),
    _xlfn.XLOOKUP(G825, 'Wedgewood Pharm-PM-Yr2-2025'!$E$41:$L$41,
        _xlfn.XLOOKUP('Rate Load'!L825, 'Wedgewood Pharm-PM-Yr2-2025'!$D$42:$D$68,
            'Wedgewood Pharm-PM-Yr2-2025'!$E$42:$L$68, 0, 0),
        0, 0)
)</f>
        <v>6.96</v>
      </c>
      <c r="K825" t="s">
        <v>46</v>
      </c>
      <c r="L825" t="s">
        <v>13</v>
      </c>
      <c r="M825">
        <v>2</v>
      </c>
      <c r="N825" t="str">
        <f t="shared" si="12"/>
        <v>INSERT INTO TNL_RATING.dbo.usps_rate_master VALUES ('USPS', '2/13/2025', '2/13/2026', 12659, 'US', 'Priority Mail', 4, 0.5, 'L', 6.96, 'Wedgewood_USPS_2025', 'NonCubic','2');</v>
      </c>
    </row>
    <row r="826" spans="1:14" x14ac:dyDescent="0.3">
      <c r="A826" t="s">
        <v>11</v>
      </c>
      <c r="B826" s="1" t="s">
        <v>43</v>
      </c>
      <c r="C826" s="1" t="s">
        <v>44</v>
      </c>
      <c r="D826">
        <v>12659</v>
      </c>
      <c r="E826" t="s">
        <v>12</v>
      </c>
      <c r="F826" t="s">
        <v>47</v>
      </c>
      <c r="G826">
        <v>4</v>
      </c>
      <c r="H826">
        <v>1</v>
      </c>
      <c r="I826" t="s">
        <v>45</v>
      </c>
      <c r="J826" cm="1">
        <f t="array" ref="J826">IFERROR(
    _xlfn.XLOOKUP(G826, 'Wedgewood Pharm-PM-Yr2-2025'!$E$41:$L$41,
        _xlfn.XLOOKUP('Rate Load'!H826, 'Wedgewood Pharm-PM-Yr2-2025'!$D$42:$D$68,
            'Wedgewood Pharm-PM-Yr2-2025'!$E$42:$L$68, 0, 0),
        0, 0),
    _xlfn.XLOOKUP(G826, 'Wedgewood Pharm-PM-Yr2-2025'!$E$41:$L$41,
        _xlfn.XLOOKUP('Rate Load'!L826, 'Wedgewood Pharm-PM-Yr2-2025'!$D$42:$D$68,
            'Wedgewood Pharm-PM-Yr2-2025'!$E$42:$L$68, 0, 0),
        0, 0)
)</f>
        <v>6.96</v>
      </c>
      <c r="K826" t="s">
        <v>46</v>
      </c>
      <c r="L826" t="s">
        <v>13</v>
      </c>
      <c r="M826">
        <v>2</v>
      </c>
      <c r="N826" t="str">
        <f t="shared" si="12"/>
        <v>INSERT INTO TNL_RATING.dbo.usps_rate_master VALUES ('USPS', '2/13/2025', '2/13/2026', 12659, 'US', 'Priority Mail', 4, 1, 'L', 6.96, 'Wedgewood_USPS_2025', 'NonCubic','2');</v>
      </c>
    </row>
    <row r="827" spans="1:14" x14ac:dyDescent="0.3">
      <c r="A827" t="s">
        <v>11</v>
      </c>
      <c r="B827" s="1" t="s">
        <v>43</v>
      </c>
      <c r="C827" s="1" t="s">
        <v>44</v>
      </c>
      <c r="D827">
        <v>12659</v>
      </c>
      <c r="E827" t="s">
        <v>12</v>
      </c>
      <c r="F827" t="s">
        <v>47</v>
      </c>
      <c r="G827">
        <v>4</v>
      </c>
      <c r="H827">
        <v>2</v>
      </c>
      <c r="I827" t="s">
        <v>45</v>
      </c>
      <c r="J827" cm="1">
        <f t="array" ref="J827">IFERROR(
    _xlfn.XLOOKUP(G827, 'Wedgewood Pharm-PM-Yr2-2025'!$E$41:$L$41,
        _xlfn.XLOOKUP('Rate Load'!H827, 'Wedgewood Pharm-PM-Yr2-2025'!$D$42:$D$68,
            'Wedgewood Pharm-PM-Yr2-2025'!$E$42:$L$68, 0, 0),
        0, 0),
    _xlfn.XLOOKUP(G827, 'Wedgewood Pharm-PM-Yr2-2025'!$E$41:$L$41,
        _xlfn.XLOOKUP('Rate Load'!L827, 'Wedgewood Pharm-PM-Yr2-2025'!$D$42:$D$68,
            'Wedgewood Pharm-PM-Yr2-2025'!$E$42:$L$68, 0, 0),
        0, 0)
)</f>
        <v>7.08</v>
      </c>
      <c r="K827" t="s">
        <v>46</v>
      </c>
      <c r="L827" t="s">
        <v>13</v>
      </c>
      <c r="M827">
        <v>2</v>
      </c>
      <c r="N827" t="str">
        <f t="shared" si="12"/>
        <v>INSERT INTO TNL_RATING.dbo.usps_rate_master VALUES ('USPS', '2/13/2025', '2/13/2026', 12659, 'US', 'Priority Mail', 4, 2, 'L', 7.08, 'Wedgewood_USPS_2025', 'NonCubic','2');</v>
      </c>
    </row>
    <row r="828" spans="1:14" x14ac:dyDescent="0.3">
      <c r="A828" t="s">
        <v>11</v>
      </c>
      <c r="B828" s="1" t="s">
        <v>43</v>
      </c>
      <c r="C828" s="1" t="s">
        <v>44</v>
      </c>
      <c r="D828">
        <v>12659</v>
      </c>
      <c r="E828" t="s">
        <v>12</v>
      </c>
      <c r="F828" t="s">
        <v>47</v>
      </c>
      <c r="G828">
        <v>4</v>
      </c>
      <c r="H828">
        <v>3</v>
      </c>
      <c r="I828" t="s">
        <v>45</v>
      </c>
      <c r="J828" cm="1">
        <f t="array" ref="J828">IFERROR(
    _xlfn.XLOOKUP(G828, 'Wedgewood Pharm-PM-Yr2-2025'!$E$41:$L$41,
        _xlfn.XLOOKUP('Rate Load'!H828, 'Wedgewood Pharm-PM-Yr2-2025'!$D$42:$D$68,
            'Wedgewood Pharm-PM-Yr2-2025'!$E$42:$L$68, 0, 0),
        0, 0),
    _xlfn.XLOOKUP(G828, 'Wedgewood Pharm-PM-Yr2-2025'!$E$41:$L$41,
        _xlfn.XLOOKUP('Rate Load'!L828, 'Wedgewood Pharm-PM-Yr2-2025'!$D$42:$D$68,
            'Wedgewood Pharm-PM-Yr2-2025'!$E$42:$L$68, 0, 0),
        0, 0)
)</f>
        <v>7.35</v>
      </c>
      <c r="K828" t="s">
        <v>46</v>
      </c>
      <c r="L828" t="s">
        <v>13</v>
      </c>
      <c r="M828">
        <v>2</v>
      </c>
      <c r="N828" t="str">
        <f t="shared" si="12"/>
        <v>INSERT INTO TNL_RATING.dbo.usps_rate_master VALUES ('USPS', '2/13/2025', '2/13/2026', 12659, 'US', 'Priority Mail', 4, 3, 'L', 7.35, 'Wedgewood_USPS_2025', 'NonCubic','2');</v>
      </c>
    </row>
    <row r="829" spans="1:14" x14ac:dyDescent="0.3">
      <c r="A829" t="s">
        <v>11</v>
      </c>
      <c r="B829" s="1" t="s">
        <v>43</v>
      </c>
      <c r="C829" s="1" t="s">
        <v>44</v>
      </c>
      <c r="D829">
        <v>12659</v>
      </c>
      <c r="E829" t="s">
        <v>12</v>
      </c>
      <c r="F829" t="s">
        <v>47</v>
      </c>
      <c r="G829">
        <v>4</v>
      </c>
      <c r="H829">
        <v>4</v>
      </c>
      <c r="I829" t="s">
        <v>45</v>
      </c>
      <c r="J829" cm="1">
        <f t="array" ref="J829">IFERROR(
    _xlfn.XLOOKUP(G829, 'Wedgewood Pharm-PM-Yr2-2025'!$E$41:$L$41,
        _xlfn.XLOOKUP('Rate Load'!H829, 'Wedgewood Pharm-PM-Yr2-2025'!$D$42:$D$68,
            'Wedgewood Pharm-PM-Yr2-2025'!$E$42:$L$68, 0, 0),
        0, 0),
    _xlfn.XLOOKUP(G829, 'Wedgewood Pharm-PM-Yr2-2025'!$E$41:$L$41,
        _xlfn.XLOOKUP('Rate Load'!L829, 'Wedgewood Pharm-PM-Yr2-2025'!$D$42:$D$68,
            'Wedgewood Pharm-PM-Yr2-2025'!$E$42:$L$68, 0, 0),
        0, 0)
)</f>
        <v>7.39</v>
      </c>
      <c r="K829" t="s">
        <v>46</v>
      </c>
      <c r="L829" t="s">
        <v>13</v>
      </c>
      <c r="M829">
        <v>2</v>
      </c>
      <c r="N829" t="str">
        <f t="shared" si="12"/>
        <v>INSERT INTO TNL_RATING.dbo.usps_rate_master VALUES ('USPS', '2/13/2025', '2/13/2026', 12659, 'US', 'Priority Mail', 4, 4, 'L', 7.39, 'Wedgewood_USPS_2025', 'NonCubic','2');</v>
      </c>
    </row>
    <row r="830" spans="1:14" x14ac:dyDescent="0.3">
      <c r="A830" t="s">
        <v>11</v>
      </c>
      <c r="B830" s="1" t="s">
        <v>43</v>
      </c>
      <c r="C830" s="1" t="s">
        <v>44</v>
      </c>
      <c r="D830">
        <v>12659</v>
      </c>
      <c r="E830" t="s">
        <v>12</v>
      </c>
      <c r="F830" t="s">
        <v>47</v>
      </c>
      <c r="G830">
        <v>4</v>
      </c>
      <c r="H830">
        <v>5</v>
      </c>
      <c r="I830" t="s">
        <v>45</v>
      </c>
      <c r="J830" cm="1">
        <f t="array" ref="J830">IFERROR(
    _xlfn.XLOOKUP(G830, 'Wedgewood Pharm-PM-Yr2-2025'!$E$41:$L$41,
        _xlfn.XLOOKUP('Rate Load'!H830, 'Wedgewood Pharm-PM-Yr2-2025'!$D$42:$D$68,
            'Wedgewood Pharm-PM-Yr2-2025'!$E$42:$L$68, 0, 0),
        0, 0),
    _xlfn.XLOOKUP(G830, 'Wedgewood Pharm-PM-Yr2-2025'!$E$41:$L$41,
        _xlfn.XLOOKUP('Rate Load'!L830, 'Wedgewood Pharm-PM-Yr2-2025'!$D$42:$D$68,
            'Wedgewood Pharm-PM-Yr2-2025'!$E$42:$L$68, 0, 0),
        0, 0)
)</f>
        <v>7.6</v>
      </c>
      <c r="K830" t="s">
        <v>46</v>
      </c>
      <c r="L830" t="s">
        <v>13</v>
      </c>
      <c r="M830">
        <v>2</v>
      </c>
      <c r="N830" t="str">
        <f t="shared" si="12"/>
        <v>INSERT INTO TNL_RATING.dbo.usps_rate_master VALUES ('USPS', '2/13/2025', '2/13/2026', 12659, 'US', 'Priority Mail', 4, 5, 'L', 7.6, 'Wedgewood_USPS_2025', 'NonCubic','2');</v>
      </c>
    </row>
    <row r="831" spans="1:14" x14ac:dyDescent="0.3">
      <c r="A831" t="s">
        <v>11</v>
      </c>
      <c r="B831" s="1" t="s">
        <v>43</v>
      </c>
      <c r="C831" s="1" t="s">
        <v>44</v>
      </c>
      <c r="D831">
        <v>12659</v>
      </c>
      <c r="E831" t="s">
        <v>12</v>
      </c>
      <c r="F831" t="s">
        <v>47</v>
      </c>
      <c r="G831">
        <v>4</v>
      </c>
      <c r="H831">
        <v>6</v>
      </c>
      <c r="I831" t="s">
        <v>45</v>
      </c>
      <c r="J831" cm="1">
        <f t="array" ref="J831">IFERROR(
    _xlfn.XLOOKUP(G831, 'Wedgewood Pharm-PM-Yr2-2025'!$E$41:$L$41,
        _xlfn.XLOOKUP('Rate Load'!H831, 'Wedgewood Pharm-PM-Yr2-2025'!$D$42:$D$68,
            'Wedgewood Pharm-PM-Yr2-2025'!$E$42:$L$68, 0, 0),
        0, 0),
    _xlfn.XLOOKUP(G831, 'Wedgewood Pharm-PM-Yr2-2025'!$E$41:$L$41,
        _xlfn.XLOOKUP('Rate Load'!L831, 'Wedgewood Pharm-PM-Yr2-2025'!$D$42:$D$68,
            'Wedgewood Pharm-PM-Yr2-2025'!$E$42:$L$68, 0, 0),
        0, 0)
)</f>
        <v>8.0499999999999989</v>
      </c>
      <c r="K831" t="s">
        <v>46</v>
      </c>
      <c r="L831" t="s">
        <v>13</v>
      </c>
      <c r="M831">
        <v>2</v>
      </c>
      <c r="N831" t="str">
        <f t="shared" si="12"/>
        <v>INSERT INTO TNL_RATING.dbo.usps_rate_master VALUES ('USPS', '2/13/2025', '2/13/2026', 12659, 'US', 'Priority Mail', 4, 6, 'L', 8.05, 'Wedgewood_USPS_2025', 'NonCubic','2');</v>
      </c>
    </row>
    <row r="832" spans="1:14" x14ac:dyDescent="0.3">
      <c r="A832" t="s">
        <v>11</v>
      </c>
      <c r="B832" s="1" t="s">
        <v>43</v>
      </c>
      <c r="C832" s="1" t="s">
        <v>44</v>
      </c>
      <c r="D832">
        <v>12659</v>
      </c>
      <c r="E832" t="s">
        <v>12</v>
      </c>
      <c r="F832" t="s">
        <v>47</v>
      </c>
      <c r="G832">
        <v>4</v>
      </c>
      <c r="H832">
        <v>7</v>
      </c>
      <c r="I832" t="s">
        <v>45</v>
      </c>
      <c r="J832" cm="1">
        <f t="array" ref="J832">IFERROR(
    _xlfn.XLOOKUP(G832, 'Wedgewood Pharm-PM-Yr2-2025'!$E$41:$L$41,
        _xlfn.XLOOKUP('Rate Load'!H832, 'Wedgewood Pharm-PM-Yr2-2025'!$D$42:$D$68,
            'Wedgewood Pharm-PM-Yr2-2025'!$E$42:$L$68, 0, 0),
        0, 0),
    _xlfn.XLOOKUP(G832, 'Wedgewood Pharm-PM-Yr2-2025'!$E$41:$L$41,
        _xlfn.XLOOKUP('Rate Load'!L832, 'Wedgewood Pharm-PM-Yr2-2025'!$D$42:$D$68,
            'Wedgewood Pharm-PM-Yr2-2025'!$E$42:$L$68, 0, 0),
        0, 0)
)</f>
        <v>10.129999999999999</v>
      </c>
      <c r="K832" t="s">
        <v>46</v>
      </c>
      <c r="L832" t="s">
        <v>13</v>
      </c>
      <c r="M832">
        <v>2</v>
      </c>
      <c r="N832" t="str">
        <f t="shared" si="12"/>
        <v>INSERT INTO TNL_RATING.dbo.usps_rate_master VALUES ('USPS', '2/13/2025', '2/13/2026', 12659, 'US', 'Priority Mail', 4, 7, 'L', 10.13, 'Wedgewood_USPS_2025', 'NonCubic','2');</v>
      </c>
    </row>
    <row r="833" spans="1:14" x14ac:dyDescent="0.3">
      <c r="A833" t="s">
        <v>11</v>
      </c>
      <c r="B833" s="1" t="s">
        <v>43</v>
      </c>
      <c r="C833" s="1" t="s">
        <v>44</v>
      </c>
      <c r="D833">
        <v>12659</v>
      </c>
      <c r="E833" t="s">
        <v>12</v>
      </c>
      <c r="F833" t="s">
        <v>47</v>
      </c>
      <c r="G833">
        <v>4</v>
      </c>
      <c r="H833">
        <v>8</v>
      </c>
      <c r="I833" t="s">
        <v>45</v>
      </c>
      <c r="J833" cm="1">
        <f t="array" ref="J833">IFERROR(
    _xlfn.XLOOKUP(G833, 'Wedgewood Pharm-PM-Yr2-2025'!$E$41:$L$41,
        _xlfn.XLOOKUP('Rate Load'!H833, 'Wedgewood Pharm-PM-Yr2-2025'!$D$42:$D$68,
            'Wedgewood Pharm-PM-Yr2-2025'!$E$42:$L$68, 0, 0),
        0, 0),
    _xlfn.XLOOKUP(G833, 'Wedgewood Pharm-PM-Yr2-2025'!$E$41:$L$41,
        _xlfn.XLOOKUP('Rate Load'!L833, 'Wedgewood Pharm-PM-Yr2-2025'!$D$42:$D$68,
            'Wedgewood Pharm-PM-Yr2-2025'!$E$42:$L$68, 0, 0),
        0, 0)
)</f>
        <v>11.17</v>
      </c>
      <c r="K833" t="s">
        <v>46</v>
      </c>
      <c r="L833" t="s">
        <v>13</v>
      </c>
      <c r="M833">
        <v>2</v>
      </c>
      <c r="N833" t="str">
        <f t="shared" si="12"/>
        <v>INSERT INTO TNL_RATING.dbo.usps_rate_master VALUES ('USPS', '2/13/2025', '2/13/2026', 12659, 'US', 'Priority Mail', 4, 8, 'L', 11.17, 'Wedgewood_USPS_2025', 'NonCubic','2');</v>
      </c>
    </row>
    <row r="834" spans="1:14" x14ac:dyDescent="0.3">
      <c r="A834" t="s">
        <v>11</v>
      </c>
      <c r="B834" s="1" t="s">
        <v>43</v>
      </c>
      <c r="C834" s="1" t="s">
        <v>44</v>
      </c>
      <c r="D834">
        <v>12659</v>
      </c>
      <c r="E834" t="s">
        <v>12</v>
      </c>
      <c r="F834" t="s">
        <v>47</v>
      </c>
      <c r="G834">
        <v>4</v>
      </c>
      <c r="H834">
        <v>9</v>
      </c>
      <c r="I834" t="s">
        <v>45</v>
      </c>
      <c r="J834" cm="1">
        <f t="array" ref="J834">IFERROR(
    _xlfn.XLOOKUP(G834, 'Wedgewood Pharm-PM-Yr2-2025'!$E$41:$L$41,
        _xlfn.XLOOKUP('Rate Load'!H834, 'Wedgewood Pharm-PM-Yr2-2025'!$D$42:$D$68,
            'Wedgewood Pharm-PM-Yr2-2025'!$E$42:$L$68, 0, 0),
        0, 0),
    _xlfn.XLOOKUP(G834, 'Wedgewood Pharm-PM-Yr2-2025'!$E$41:$L$41,
        _xlfn.XLOOKUP('Rate Load'!L834, 'Wedgewood Pharm-PM-Yr2-2025'!$D$42:$D$68,
            'Wedgewood Pharm-PM-Yr2-2025'!$E$42:$L$68, 0, 0),
        0, 0)
)</f>
        <v>11.709999999999999</v>
      </c>
      <c r="K834" t="s">
        <v>46</v>
      </c>
      <c r="L834" t="s">
        <v>13</v>
      </c>
      <c r="M834">
        <v>2</v>
      </c>
      <c r="N834" t="str">
        <f t="shared" si="12"/>
        <v>INSERT INTO TNL_RATING.dbo.usps_rate_master VALUES ('USPS', '2/13/2025', '2/13/2026', 12659, 'US', 'Priority Mail', 4, 9, 'L', 11.71, 'Wedgewood_USPS_2025', 'NonCubic','2');</v>
      </c>
    </row>
    <row r="835" spans="1:14" x14ac:dyDescent="0.3">
      <c r="A835" t="s">
        <v>11</v>
      </c>
      <c r="B835" s="1" t="s">
        <v>43</v>
      </c>
      <c r="C835" s="1" t="s">
        <v>44</v>
      </c>
      <c r="D835">
        <v>12659</v>
      </c>
      <c r="E835" t="s">
        <v>12</v>
      </c>
      <c r="F835" t="s">
        <v>47</v>
      </c>
      <c r="G835">
        <v>4</v>
      </c>
      <c r="H835">
        <v>10</v>
      </c>
      <c r="I835" t="s">
        <v>45</v>
      </c>
      <c r="J835" cm="1">
        <f t="array" ref="J835">IFERROR(
    _xlfn.XLOOKUP(G835, 'Wedgewood Pharm-PM-Yr2-2025'!$E$41:$L$41,
        _xlfn.XLOOKUP('Rate Load'!H835, 'Wedgewood Pharm-PM-Yr2-2025'!$D$42:$D$68,
            'Wedgewood Pharm-PM-Yr2-2025'!$E$42:$L$68, 0, 0),
        0, 0),
    _xlfn.XLOOKUP(G835, 'Wedgewood Pharm-PM-Yr2-2025'!$E$41:$L$41,
        _xlfn.XLOOKUP('Rate Load'!L835, 'Wedgewood Pharm-PM-Yr2-2025'!$D$42:$D$68,
            'Wedgewood Pharm-PM-Yr2-2025'!$E$42:$L$68, 0, 0),
        0, 0)
)</f>
        <v>12.06</v>
      </c>
      <c r="K835" t="s">
        <v>46</v>
      </c>
      <c r="L835" t="s">
        <v>13</v>
      </c>
      <c r="M835">
        <v>2</v>
      </c>
      <c r="N835" t="str">
        <f t="shared" ref="N835:N898" si="13">"INSERT INTO TNL_RATING.dbo.usps_rate_master VALUES ('" &amp; A835 &amp; "', '" &amp; B835 &amp; "', '" &amp; C835 &amp; "', " &amp; D835 &amp; ", '" &amp; E835 &amp; "', '" &amp; F835 &amp; "', " &amp; G835 &amp; ", " &amp; H835 &amp; ", '" &amp; I835 &amp; "', " &amp; J835 &amp; ", '" &amp; K835 &amp; "', '" &amp; L835 &amp; "','" &amp; M835 &amp; "');"</f>
        <v>INSERT INTO TNL_RATING.dbo.usps_rate_master VALUES ('USPS', '2/13/2025', '2/13/2026', 12659, 'US', 'Priority Mail', 4, 10, 'L', 12.06, 'Wedgewood_USPS_2025', 'NonCubic','2');</v>
      </c>
    </row>
    <row r="836" spans="1:14" x14ac:dyDescent="0.3">
      <c r="A836" t="s">
        <v>11</v>
      </c>
      <c r="B836" s="1" t="s">
        <v>43</v>
      </c>
      <c r="C836" s="1" t="s">
        <v>44</v>
      </c>
      <c r="D836">
        <v>12659</v>
      </c>
      <c r="E836" t="s">
        <v>12</v>
      </c>
      <c r="F836" t="s">
        <v>47</v>
      </c>
      <c r="G836">
        <v>4</v>
      </c>
      <c r="H836">
        <v>11</v>
      </c>
      <c r="I836" t="s">
        <v>45</v>
      </c>
      <c r="J836" cm="1">
        <f t="array" ref="J836">IFERROR(
    _xlfn.XLOOKUP(G836, 'Wedgewood Pharm-PM-Yr2-2025'!$E$41:$L$41,
        _xlfn.XLOOKUP('Rate Load'!H836, 'Wedgewood Pharm-PM-Yr2-2025'!$D$42:$D$68,
            'Wedgewood Pharm-PM-Yr2-2025'!$E$42:$L$68, 0, 0),
        0, 0),
    _xlfn.XLOOKUP(G836, 'Wedgewood Pharm-PM-Yr2-2025'!$E$41:$L$41,
        _xlfn.XLOOKUP('Rate Load'!L836, 'Wedgewood Pharm-PM-Yr2-2025'!$D$42:$D$68,
            'Wedgewood Pharm-PM-Yr2-2025'!$E$42:$L$68, 0, 0),
        0, 0)
)</f>
        <v>13.12</v>
      </c>
      <c r="K836" t="s">
        <v>46</v>
      </c>
      <c r="L836" t="s">
        <v>13</v>
      </c>
      <c r="M836">
        <v>2</v>
      </c>
      <c r="N836" t="str">
        <f t="shared" si="13"/>
        <v>INSERT INTO TNL_RATING.dbo.usps_rate_master VALUES ('USPS', '2/13/2025', '2/13/2026', 12659, 'US', 'Priority Mail', 4, 11, 'L', 13.12, 'Wedgewood_USPS_2025', 'NonCubic','2');</v>
      </c>
    </row>
    <row r="837" spans="1:14" x14ac:dyDescent="0.3">
      <c r="A837" t="s">
        <v>11</v>
      </c>
      <c r="B837" s="1" t="s">
        <v>43</v>
      </c>
      <c r="C837" s="1" t="s">
        <v>44</v>
      </c>
      <c r="D837">
        <v>12659</v>
      </c>
      <c r="E837" t="s">
        <v>12</v>
      </c>
      <c r="F837" t="s">
        <v>47</v>
      </c>
      <c r="G837">
        <v>4</v>
      </c>
      <c r="H837">
        <v>12</v>
      </c>
      <c r="I837" t="s">
        <v>45</v>
      </c>
      <c r="J837" cm="1">
        <f t="array" ref="J837">IFERROR(
    _xlfn.XLOOKUP(G837, 'Wedgewood Pharm-PM-Yr2-2025'!$E$41:$L$41,
        _xlfn.XLOOKUP('Rate Load'!H837, 'Wedgewood Pharm-PM-Yr2-2025'!$D$42:$D$68,
            'Wedgewood Pharm-PM-Yr2-2025'!$E$42:$L$68, 0, 0),
        0, 0),
    _xlfn.XLOOKUP(G837, 'Wedgewood Pharm-PM-Yr2-2025'!$E$41:$L$41,
        _xlfn.XLOOKUP('Rate Load'!L837, 'Wedgewood Pharm-PM-Yr2-2025'!$D$42:$D$68,
            'Wedgewood Pharm-PM-Yr2-2025'!$E$42:$L$68, 0, 0),
        0, 0)
)</f>
        <v>13.73</v>
      </c>
      <c r="K837" t="s">
        <v>46</v>
      </c>
      <c r="L837" t="s">
        <v>13</v>
      </c>
      <c r="M837">
        <v>2</v>
      </c>
      <c r="N837" t="str">
        <f t="shared" si="13"/>
        <v>INSERT INTO TNL_RATING.dbo.usps_rate_master VALUES ('USPS', '2/13/2025', '2/13/2026', 12659, 'US', 'Priority Mail', 4, 12, 'L', 13.73, 'Wedgewood_USPS_2025', 'NonCubic','2');</v>
      </c>
    </row>
    <row r="838" spans="1:14" x14ac:dyDescent="0.3">
      <c r="A838" t="s">
        <v>11</v>
      </c>
      <c r="B838" s="1" t="s">
        <v>43</v>
      </c>
      <c r="C838" s="1" t="s">
        <v>44</v>
      </c>
      <c r="D838">
        <v>12659</v>
      </c>
      <c r="E838" t="s">
        <v>12</v>
      </c>
      <c r="F838" t="s">
        <v>47</v>
      </c>
      <c r="G838">
        <v>4</v>
      </c>
      <c r="H838">
        <v>13</v>
      </c>
      <c r="I838" t="s">
        <v>45</v>
      </c>
      <c r="J838" cm="1">
        <f t="array" ref="J838">IFERROR(
    _xlfn.XLOOKUP(G838, 'Wedgewood Pharm-PM-Yr2-2025'!$E$41:$L$41,
        _xlfn.XLOOKUP('Rate Load'!H838, 'Wedgewood Pharm-PM-Yr2-2025'!$D$42:$D$68,
            'Wedgewood Pharm-PM-Yr2-2025'!$E$42:$L$68, 0, 0),
        0, 0),
    _xlfn.XLOOKUP(G838, 'Wedgewood Pharm-PM-Yr2-2025'!$E$41:$L$41,
        _xlfn.XLOOKUP('Rate Load'!L838, 'Wedgewood Pharm-PM-Yr2-2025'!$D$42:$D$68,
            'Wedgewood Pharm-PM-Yr2-2025'!$E$42:$L$68, 0, 0),
        0, 0)
)</f>
        <v>14.17</v>
      </c>
      <c r="K838" t="s">
        <v>46</v>
      </c>
      <c r="L838" t="s">
        <v>13</v>
      </c>
      <c r="M838">
        <v>2</v>
      </c>
      <c r="N838" t="str">
        <f t="shared" si="13"/>
        <v>INSERT INTO TNL_RATING.dbo.usps_rate_master VALUES ('USPS', '2/13/2025', '2/13/2026', 12659, 'US', 'Priority Mail', 4, 13, 'L', 14.17, 'Wedgewood_USPS_2025', 'NonCubic','2');</v>
      </c>
    </row>
    <row r="839" spans="1:14" x14ac:dyDescent="0.3">
      <c r="A839" t="s">
        <v>11</v>
      </c>
      <c r="B839" s="1" t="s">
        <v>43</v>
      </c>
      <c r="C839" s="1" t="s">
        <v>44</v>
      </c>
      <c r="D839">
        <v>12659</v>
      </c>
      <c r="E839" t="s">
        <v>12</v>
      </c>
      <c r="F839" t="s">
        <v>47</v>
      </c>
      <c r="G839">
        <v>4</v>
      </c>
      <c r="H839">
        <v>14</v>
      </c>
      <c r="I839" t="s">
        <v>45</v>
      </c>
      <c r="J839" cm="1">
        <f t="array" ref="J839">IFERROR(
    _xlfn.XLOOKUP(G839, 'Wedgewood Pharm-PM-Yr2-2025'!$E$41:$L$41,
        _xlfn.XLOOKUP('Rate Load'!H839, 'Wedgewood Pharm-PM-Yr2-2025'!$D$42:$D$68,
            'Wedgewood Pharm-PM-Yr2-2025'!$E$42:$L$68, 0, 0),
        0, 0),
    _xlfn.XLOOKUP(G839, 'Wedgewood Pharm-PM-Yr2-2025'!$E$41:$L$41,
        _xlfn.XLOOKUP('Rate Load'!L839, 'Wedgewood Pharm-PM-Yr2-2025'!$D$42:$D$68,
            'Wedgewood Pharm-PM-Yr2-2025'!$E$42:$L$68, 0, 0),
        0, 0)
)</f>
        <v>14.43</v>
      </c>
      <c r="K839" t="s">
        <v>46</v>
      </c>
      <c r="L839" t="s">
        <v>13</v>
      </c>
      <c r="M839">
        <v>2</v>
      </c>
      <c r="N839" t="str">
        <f t="shared" si="13"/>
        <v>INSERT INTO TNL_RATING.dbo.usps_rate_master VALUES ('USPS', '2/13/2025', '2/13/2026', 12659, 'US', 'Priority Mail', 4, 14, 'L', 14.43, 'Wedgewood_USPS_2025', 'NonCubic','2');</v>
      </c>
    </row>
    <row r="840" spans="1:14" x14ac:dyDescent="0.3">
      <c r="A840" t="s">
        <v>11</v>
      </c>
      <c r="B840" s="1" t="s">
        <v>43</v>
      </c>
      <c r="C840" s="1" t="s">
        <v>44</v>
      </c>
      <c r="D840">
        <v>12659</v>
      </c>
      <c r="E840" t="s">
        <v>12</v>
      </c>
      <c r="F840" t="s">
        <v>47</v>
      </c>
      <c r="G840">
        <v>4</v>
      </c>
      <c r="H840">
        <v>15</v>
      </c>
      <c r="I840" t="s">
        <v>45</v>
      </c>
      <c r="J840" cm="1">
        <f t="array" ref="J840">IFERROR(
    _xlfn.XLOOKUP(G840, 'Wedgewood Pharm-PM-Yr2-2025'!$E$41:$L$41,
        _xlfn.XLOOKUP('Rate Load'!H840, 'Wedgewood Pharm-PM-Yr2-2025'!$D$42:$D$68,
            'Wedgewood Pharm-PM-Yr2-2025'!$E$42:$L$68, 0, 0),
        0, 0),
    _xlfn.XLOOKUP(G840, 'Wedgewood Pharm-PM-Yr2-2025'!$E$41:$L$41,
        _xlfn.XLOOKUP('Rate Load'!L840, 'Wedgewood Pharm-PM-Yr2-2025'!$D$42:$D$68,
            'Wedgewood Pharm-PM-Yr2-2025'!$E$42:$L$68, 0, 0),
        0, 0)
)</f>
        <v>14.85</v>
      </c>
      <c r="K840" t="s">
        <v>46</v>
      </c>
      <c r="L840" t="s">
        <v>13</v>
      </c>
      <c r="M840">
        <v>2</v>
      </c>
      <c r="N840" t="str">
        <f t="shared" si="13"/>
        <v>INSERT INTO TNL_RATING.dbo.usps_rate_master VALUES ('USPS', '2/13/2025', '2/13/2026', 12659, 'US', 'Priority Mail', 4, 15, 'L', 14.85, 'Wedgewood_USPS_2025', 'NonCubic','2');</v>
      </c>
    </row>
    <row r="841" spans="1:14" x14ac:dyDescent="0.3">
      <c r="A841" t="s">
        <v>11</v>
      </c>
      <c r="B841" s="1" t="s">
        <v>43</v>
      </c>
      <c r="C841" s="1" t="s">
        <v>44</v>
      </c>
      <c r="D841">
        <v>12659</v>
      </c>
      <c r="E841" t="s">
        <v>12</v>
      </c>
      <c r="F841" t="s">
        <v>47</v>
      </c>
      <c r="G841">
        <v>4</v>
      </c>
      <c r="H841">
        <v>16</v>
      </c>
      <c r="I841" t="s">
        <v>45</v>
      </c>
      <c r="J841" cm="1">
        <f t="array" ref="J841">IFERROR(
    _xlfn.XLOOKUP(G841, 'Wedgewood Pharm-PM-Yr2-2025'!$E$41:$L$41,
        _xlfn.XLOOKUP('Rate Load'!H841, 'Wedgewood Pharm-PM-Yr2-2025'!$D$42:$D$68,
            'Wedgewood Pharm-PM-Yr2-2025'!$E$42:$L$68, 0, 0),
        0, 0),
    _xlfn.XLOOKUP(G841, 'Wedgewood Pharm-PM-Yr2-2025'!$E$41:$L$41,
        _xlfn.XLOOKUP('Rate Load'!L841, 'Wedgewood Pharm-PM-Yr2-2025'!$D$42:$D$68,
            'Wedgewood Pharm-PM-Yr2-2025'!$E$42:$L$68, 0, 0),
        0, 0)
)</f>
        <v>15.1</v>
      </c>
      <c r="K841" t="s">
        <v>46</v>
      </c>
      <c r="L841" t="s">
        <v>13</v>
      </c>
      <c r="M841">
        <v>2</v>
      </c>
      <c r="N841" t="str">
        <f t="shared" si="13"/>
        <v>INSERT INTO TNL_RATING.dbo.usps_rate_master VALUES ('USPS', '2/13/2025', '2/13/2026', 12659, 'US', 'Priority Mail', 4, 16, 'L', 15.1, 'Wedgewood_USPS_2025', 'NonCubic','2');</v>
      </c>
    </row>
    <row r="842" spans="1:14" x14ac:dyDescent="0.3">
      <c r="A842" t="s">
        <v>11</v>
      </c>
      <c r="B842" s="1" t="s">
        <v>43</v>
      </c>
      <c r="C842" s="1" t="s">
        <v>44</v>
      </c>
      <c r="D842">
        <v>12659</v>
      </c>
      <c r="E842" t="s">
        <v>12</v>
      </c>
      <c r="F842" t="s">
        <v>47</v>
      </c>
      <c r="G842">
        <v>4</v>
      </c>
      <c r="H842">
        <v>17</v>
      </c>
      <c r="I842" t="s">
        <v>45</v>
      </c>
      <c r="J842" cm="1">
        <f t="array" ref="J842">IFERROR(
    _xlfn.XLOOKUP(G842, 'Wedgewood Pharm-PM-Yr2-2025'!$E$41:$L$41,
        _xlfn.XLOOKUP('Rate Load'!H842, 'Wedgewood Pharm-PM-Yr2-2025'!$D$42:$D$68,
            'Wedgewood Pharm-PM-Yr2-2025'!$E$42:$L$68, 0, 0),
        0, 0),
    _xlfn.XLOOKUP(G842, 'Wedgewood Pharm-PM-Yr2-2025'!$E$41:$L$41,
        _xlfn.XLOOKUP('Rate Load'!L842, 'Wedgewood Pharm-PM-Yr2-2025'!$D$42:$D$68,
            'Wedgewood Pharm-PM-Yr2-2025'!$E$42:$L$68, 0, 0),
        0, 0)
)</f>
        <v>15.5</v>
      </c>
      <c r="K842" t="s">
        <v>46</v>
      </c>
      <c r="L842" t="s">
        <v>13</v>
      </c>
      <c r="M842">
        <v>2</v>
      </c>
      <c r="N842" t="str">
        <f t="shared" si="13"/>
        <v>INSERT INTO TNL_RATING.dbo.usps_rate_master VALUES ('USPS', '2/13/2025', '2/13/2026', 12659, 'US', 'Priority Mail', 4, 17, 'L', 15.5, 'Wedgewood_USPS_2025', 'NonCubic','2');</v>
      </c>
    </row>
    <row r="843" spans="1:14" x14ac:dyDescent="0.3">
      <c r="A843" t="s">
        <v>11</v>
      </c>
      <c r="B843" s="1" t="s">
        <v>43</v>
      </c>
      <c r="C843" s="1" t="s">
        <v>44</v>
      </c>
      <c r="D843">
        <v>12659</v>
      </c>
      <c r="E843" t="s">
        <v>12</v>
      </c>
      <c r="F843" t="s">
        <v>47</v>
      </c>
      <c r="G843">
        <v>4</v>
      </c>
      <c r="H843">
        <v>18</v>
      </c>
      <c r="I843" t="s">
        <v>45</v>
      </c>
      <c r="J843" cm="1">
        <f t="array" ref="J843">IFERROR(
    _xlfn.XLOOKUP(G843, 'Wedgewood Pharm-PM-Yr2-2025'!$E$41:$L$41,
        _xlfn.XLOOKUP('Rate Load'!H843, 'Wedgewood Pharm-PM-Yr2-2025'!$D$42:$D$68,
            'Wedgewood Pharm-PM-Yr2-2025'!$E$42:$L$68, 0, 0),
        0, 0),
    _xlfn.XLOOKUP(G843, 'Wedgewood Pharm-PM-Yr2-2025'!$E$41:$L$41,
        _xlfn.XLOOKUP('Rate Load'!L843, 'Wedgewood Pharm-PM-Yr2-2025'!$D$42:$D$68,
            'Wedgewood Pharm-PM-Yr2-2025'!$E$42:$L$68, 0, 0),
        0, 0)
)</f>
        <v>15.77</v>
      </c>
      <c r="K843" t="s">
        <v>46</v>
      </c>
      <c r="L843" t="s">
        <v>13</v>
      </c>
      <c r="M843">
        <v>2</v>
      </c>
      <c r="N843" t="str">
        <f t="shared" si="13"/>
        <v>INSERT INTO TNL_RATING.dbo.usps_rate_master VALUES ('USPS', '2/13/2025', '2/13/2026', 12659, 'US', 'Priority Mail', 4, 18, 'L', 15.77, 'Wedgewood_USPS_2025', 'NonCubic','2');</v>
      </c>
    </row>
    <row r="844" spans="1:14" x14ac:dyDescent="0.3">
      <c r="A844" t="s">
        <v>11</v>
      </c>
      <c r="B844" s="1" t="s">
        <v>43</v>
      </c>
      <c r="C844" s="1" t="s">
        <v>44</v>
      </c>
      <c r="D844">
        <v>12659</v>
      </c>
      <c r="E844" t="s">
        <v>12</v>
      </c>
      <c r="F844" t="s">
        <v>47</v>
      </c>
      <c r="G844">
        <v>4</v>
      </c>
      <c r="H844">
        <v>19</v>
      </c>
      <c r="I844" t="s">
        <v>45</v>
      </c>
      <c r="J844" cm="1">
        <f t="array" ref="J844">IFERROR(
    _xlfn.XLOOKUP(G844, 'Wedgewood Pharm-PM-Yr2-2025'!$E$41:$L$41,
        _xlfn.XLOOKUP('Rate Load'!H844, 'Wedgewood Pharm-PM-Yr2-2025'!$D$42:$D$68,
            'Wedgewood Pharm-PM-Yr2-2025'!$E$42:$L$68, 0, 0),
        0, 0),
    _xlfn.XLOOKUP(G844, 'Wedgewood Pharm-PM-Yr2-2025'!$E$41:$L$41,
        _xlfn.XLOOKUP('Rate Load'!L844, 'Wedgewood Pharm-PM-Yr2-2025'!$D$42:$D$68,
            'Wedgewood Pharm-PM-Yr2-2025'!$E$42:$L$68, 0, 0),
        0, 0)
)</f>
        <v>16.260000000000002</v>
      </c>
      <c r="K844" t="s">
        <v>46</v>
      </c>
      <c r="L844" t="s">
        <v>13</v>
      </c>
      <c r="M844">
        <v>2</v>
      </c>
      <c r="N844" t="str">
        <f t="shared" si="13"/>
        <v>INSERT INTO TNL_RATING.dbo.usps_rate_master VALUES ('USPS', '2/13/2025', '2/13/2026', 12659, 'US', 'Priority Mail', 4, 19, 'L', 16.26, 'Wedgewood_USPS_2025', 'NonCubic','2');</v>
      </c>
    </row>
    <row r="845" spans="1:14" x14ac:dyDescent="0.3">
      <c r="A845" t="s">
        <v>11</v>
      </c>
      <c r="B845" s="1" t="s">
        <v>43</v>
      </c>
      <c r="C845" s="1" t="s">
        <v>44</v>
      </c>
      <c r="D845">
        <v>12659</v>
      </c>
      <c r="E845" t="s">
        <v>12</v>
      </c>
      <c r="F845" t="s">
        <v>47</v>
      </c>
      <c r="G845">
        <v>4</v>
      </c>
      <c r="H845">
        <v>20</v>
      </c>
      <c r="I845" t="s">
        <v>45</v>
      </c>
      <c r="J845" cm="1">
        <f t="array" ref="J845">IFERROR(
    _xlfn.XLOOKUP(G845, 'Wedgewood Pharm-PM-Yr2-2025'!$E$41:$L$41,
        _xlfn.XLOOKUP('Rate Load'!H845, 'Wedgewood Pharm-PM-Yr2-2025'!$D$42:$D$68,
            'Wedgewood Pharm-PM-Yr2-2025'!$E$42:$L$68, 0, 0),
        0, 0),
    _xlfn.XLOOKUP(G845, 'Wedgewood Pharm-PM-Yr2-2025'!$E$41:$L$41,
        _xlfn.XLOOKUP('Rate Load'!L845, 'Wedgewood Pharm-PM-Yr2-2025'!$D$42:$D$68,
            'Wedgewood Pharm-PM-Yr2-2025'!$E$42:$L$68, 0, 0),
        0, 0)
)</f>
        <v>16.650000000000002</v>
      </c>
      <c r="K845" t="s">
        <v>46</v>
      </c>
      <c r="L845" t="s">
        <v>13</v>
      </c>
      <c r="M845">
        <v>2</v>
      </c>
      <c r="N845" t="str">
        <f t="shared" si="13"/>
        <v>INSERT INTO TNL_RATING.dbo.usps_rate_master VALUES ('USPS', '2/13/2025', '2/13/2026', 12659, 'US', 'Priority Mail', 4, 20, 'L', 16.65, 'Wedgewood_USPS_2025', 'NonCubic','2');</v>
      </c>
    </row>
    <row r="846" spans="1:14" x14ac:dyDescent="0.3">
      <c r="A846" t="s">
        <v>11</v>
      </c>
      <c r="B846" s="1" t="s">
        <v>43</v>
      </c>
      <c r="C846" s="1" t="s">
        <v>44</v>
      </c>
      <c r="D846">
        <v>12659</v>
      </c>
      <c r="E846" t="s">
        <v>12</v>
      </c>
      <c r="F846" t="s">
        <v>47</v>
      </c>
      <c r="G846">
        <v>5</v>
      </c>
      <c r="H846">
        <v>0.5</v>
      </c>
      <c r="I846" t="s">
        <v>45</v>
      </c>
      <c r="J846" cm="1">
        <f t="array" ref="J846">IFERROR(
    _xlfn.XLOOKUP(G846, 'Wedgewood Pharm-PM-Yr2-2025'!$E$41:$L$41,
        _xlfn.XLOOKUP('Rate Load'!H846, 'Wedgewood Pharm-PM-Yr2-2025'!$D$42:$D$68,
            'Wedgewood Pharm-PM-Yr2-2025'!$E$42:$L$68, 0, 0),
        0, 0),
    _xlfn.XLOOKUP(G846, 'Wedgewood Pharm-PM-Yr2-2025'!$E$41:$L$41,
        _xlfn.XLOOKUP('Rate Load'!L846, 'Wedgewood Pharm-PM-Yr2-2025'!$D$42:$D$68,
            'Wedgewood Pharm-PM-Yr2-2025'!$E$42:$L$68, 0, 0),
        0, 0)
)</f>
        <v>6.96</v>
      </c>
      <c r="K846" t="s">
        <v>46</v>
      </c>
      <c r="L846" t="s">
        <v>13</v>
      </c>
      <c r="M846">
        <v>2</v>
      </c>
      <c r="N846" t="str">
        <f t="shared" si="13"/>
        <v>INSERT INTO TNL_RATING.dbo.usps_rate_master VALUES ('USPS', '2/13/2025', '2/13/2026', 12659, 'US', 'Priority Mail', 5, 0.5, 'L', 6.96, 'Wedgewood_USPS_2025', 'NonCubic','2');</v>
      </c>
    </row>
    <row r="847" spans="1:14" x14ac:dyDescent="0.3">
      <c r="A847" t="s">
        <v>11</v>
      </c>
      <c r="B847" s="1" t="s">
        <v>43</v>
      </c>
      <c r="C847" s="1" t="s">
        <v>44</v>
      </c>
      <c r="D847">
        <v>12659</v>
      </c>
      <c r="E847" t="s">
        <v>12</v>
      </c>
      <c r="F847" t="s">
        <v>47</v>
      </c>
      <c r="G847">
        <v>5</v>
      </c>
      <c r="H847">
        <v>1</v>
      </c>
      <c r="I847" t="s">
        <v>45</v>
      </c>
      <c r="J847" cm="1">
        <f t="array" ref="J847">IFERROR(
    _xlfn.XLOOKUP(G847, 'Wedgewood Pharm-PM-Yr2-2025'!$E$41:$L$41,
        _xlfn.XLOOKUP('Rate Load'!H847, 'Wedgewood Pharm-PM-Yr2-2025'!$D$42:$D$68,
            'Wedgewood Pharm-PM-Yr2-2025'!$E$42:$L$68, 0, 0),
        0, 0),
    _xlfn.XLOOKUP(G847, 'Wedgewood Pharm-PM-Yr2-2025'!$E$41:$L$41,
        _xlfn.XLOOKUP('Rate Load'!L847, 'Wedgewood Pharm-PM-Yr2-2025'!$D$42:$D$68,
            'Wedgewood Pharm-PM-Yr2-2025'!$E$42:$L$68, 0, 0),
        0, 0)
)</f>
        <v>7.09</v>
      </c>
      <c r="K847" t="s">
        <v>46</v>
      </c>
      <c r="L847" t="s">
        <v>13</v>
      </c>
      <c r="M847">
        <v>2</v>
      </c>
      <c r="N847" t="str">
        <f t="shared" si="13"/>
        <v>INSERT INTO TNL_RATING.dbo.usps_rate_master VALUES ('USPS', '2/13/2025', '2/13/2026', 12659, 'US', 'Priority Mail', 5, 1, 'L', 7.09, 'Wedgewood_USPS_2025', 'NonCubic','2');</v>
      </c>
    </row>
    <row r="848" spans="1:14" x14ac:dyDescent="0.3">
      <c r="A848" t="s">
        <v>11</v>
      </c>
      <c r="B848" s="1" t="s">
        <v>43</v>
      </c>
      <c r="C848" s="1" t="s">
        <v>44</v>
      </c>
      <c r="D848">
        <v>12659</v>
      </c>
      <c r="E848" t="s">
        <v>12</v>
      </c>
      <c r="F848" t="s">
        <v>47</v>
      </c>
      <c r="G848">
        <v>5</v>
      </c>
      <c r="H848">
        <v>2</v>
      </c>
      <c r="I848" t="s">
        <v>45</v>
      </c>
      <c r="J848" cm="1">
        <f t="array" ref="J848">IFERROR(
    _xlfn.XLOOKUP(G848, 'Wedgewood Pharm-PM-Yr2-2025'!$E$41:$L$41,
        _xlfn.XLOOKUP('Rate Load'!H848, 'Wedgewood Pharm-PM-Yr2-2025'!$D$42:$D$68,
            'Wedgewood Pharm-PM-Yr2-2025'!$E$42:$L$68, 0, 0),
        0, 0),
    _xlfn.XLOOKUP(G848, 'Wedgewood Pharm-PM-Yr2-2025'!$E$41:$L$41,
        _xlfn.XLOOKUP('Rate Load'!L848, 'Wedgewood Pharm-PM-Yr2-2025'!$D$42:$D$68,
            'Wedgewood Pharm-PM-Yr2-2025'!$E$42:$L$68, 0, 0),
        0, 0)
)</f>
        <v>8.11</v>
      </c>
      <c r="K848" t="s">
        <v>46</v>
      </c>
      <c r="L848" t="s">
        <v>13</v>
      </c>
      <c r="M848">
        <v>2</v>
      </c>
      <c r="N848" t="str">
        <f t="shared" si="13"/>
        <v>INSERT INTO TNL_RATING.dbo.usps_rate_master VALUES ('USPS', '2/13/2025', '2/13/2026', 12659, 'US', 'Priority Mail', 5, 2, 'L', 8.11, 'Wedgewood_USPS_2025', 'NonCubic','2');</v>
      </c>
    </row>
    <row r="849" spans="1:14" x14ac:dyDescent="0.3">
      <c r="A849" t="s">
        <v>11</v>
      </c>
      <c r="B849" s="1" t="s">
        <v>43</v>
      </c>
      <c r="C849" s="1" t="s">
        <v>44</v>
      </c>
      <c r="D849">
        <v>12659</v>
      </c>
      <c r="E849" t="s">
        <v>12</v>
      </c>
      <c r="F849" t="s">
        <v>47</v>
      </c>
      <c r="G849">
        <v>5</v>
      </c>
      <c r="H849">
        <v>3</v>
      </c>
      <c r="I849" t="s">
        <v>45</v>
      </c>
      <c r="J849" cm="1">
        <f t="array" ref="J849">IFERROR(
    _xlfn.XLOOKUP(G849, 'Wedgewood Pharm-PM-Yr2-2025'!$E$41:$L$41,
        _xlfn.XLOOKUP('Rate Load'!H849, 'Wedgewood Pharm-PM-Yr2-2025'!$D$42:$D$68,
            'Wedgewood Pharm-PM-Yr2-2025'!$E$42:$L$68, 0, 0),
        0, 0),
    _xlfn.XLOOKUP(G849, 'Wedgewood Pharm-PM-Yr2-2025'!$E$41:$L$41,
        _xlfn.XLOOKUP('Rate Load'!L849, 'Wedgewood Pharm-PM-Yr2-2025'!$D$42:$D$68,
            'Wedgewood Pharm-PM-Yr2-2025'!$E$42:$L$68, 0, 0),
        0, 0)
)</f>
        <v>9.7999999999999989</v>
      </c>
      <c r="K849" t="s">
        <v>46</v>
      </c>
      <c r="L849" t="s">
        <v>13</v>
      </c>
      <c r="M849">
        <v>2</v>
      </c>
      <c r="N849" t="str">
        <f t="shared" si="13"/>
        <v>INSERT INTO TNL_RATING.dbo.usps_rate_master VALUES ('USPS', '2/13/2025', '2/13/2026', 12659, 'US', 'Priority Mail', 5, 3, 'L', 9.8, 'Wedgewood_USPS_2025', 'NonCubic','2');</v>
      </c>
    </row>
    <row r="850" spans="1:14" x14ac:dyDescent="0.3">
      <c r="A850" t="s">
        <v>11</v>
      </c>
      <c r="B850" s="1" t="s">
        <v>43</v>
      </c>
      <c r="C850" s="1" t="s">
        <v>44</v>
      </c>
      <c r="D850">
        <v>12659</v>
      </c>
      <c r="E850" t="s">
        <v>12</v>
      </c>
      <c r="F850" t="s">
        <v>47</v>
      </c>
      <c r="G850">
        <v>5</v>
      </c>
      <c r="H850">
        <v>4</v>
      </c>
      <c r="I850" t="s">
        <v>45</v>
      </c>
      <c r="J850" cm="1">
        <f t="array" ref="J850">IFERROR(
    _xlfn.XLOOKUP(G850, 'Wedgewood Pharm-PM-Yr2-2025'!$E$41:$L$41,
        _xlfn.XLOOKUP('Rate Load'!H850, 'Wedgewood Pharm-PM-Yr2-2025'!$D$42:$D$68,
            'Wedgewood Pharm-PM-Yr2-2025'!$E$42:$L$68, 0, 0),
        0, 0),
    _xlfn.XLOOKUP(G850, 'Wedgewood Pharm-PM-Yr2-2025'!$E$41:$L$41,
        _xlfn.XLOOKUP('Rate Load'!L850, 'Wedgewood Pharm-PM-Yr2-2025'!$D$42:$D$68,
            'Wedgewood Pharm-PM-Yr2-2025'!$E$42:$L$68, 0, 0),
        0, 0)
)</f>
        <v>11.39</v>
      </c>
      <c r="K850" t="s">
        <v>46</v>
      </c>
      <c r="L850" t="s">
        <v>13</v>
      </c>
      <c r="M850">
        <v>2</v>
      </c>
      <c r="N850" t="str">
        <f t="shared" si="13"/>
        <v>INSERT INTO TNL_RATING.dbo.usps_rate_master VALUES ('USPS', '2/13/2025', '2/13/2026', 12659, 'US', 'Priority Mail', 5, 4, 'L', 11.39, 'Wedgewood_USPS_2025', 'NonCubic','2');</v>
      </c>
    </row>
    <row r="851" spans="1:14" x14ac:dyDescent="0.3">
      <c r="A851" t="s">
        <v>11</v>
      </c>
      <c r="B851" s="1" t="s">
        <v>43</v>
      </c>
      <c r="C851" s="1" t="s">
        <v>44</v>
      </c>
      <c r="D851">
        <v>12659</v>
      </c>
      <c r="E851" t="s">
        <v>12</v>
      </c>
      <c r="F851" t="s">
        <v>47</v>
      </c>
      <c r="G851">
        <v>5</v>
      </c>
      <c r="H851">
        <v>5</v>
      </c>
      <c r="I851" t="s">
        <v>45</v>
      </c>
      <c r="J851" cm="1">
        <f t="array" ref="J851">IFERROR(
    _xlfn.XLOOKUP(G851, 'Wedgewood Pharm-PM-Yr2-2025'!$E$41:$L$41,
        _xlfn.XLOOKUP('Rate Load'!H851, 'Wedgewood Pharm-PM-Yr2-2025'!$D$42:$D$68,
            'Wedgewood Pharm-PM-Yr2-2025'!$E$42:$L$68, 0, 0),
        0, 0),
    _xlfn.XLOOKUP(G851, 'Wedgewood Pharm-PM-Yr2-2025'!$E$41:$L$41,
        _xlfn.XLOOKUP('Rate Load'!L851, 'Wedgewood Pharm-PM-Yr2-2025'!$D$42:$D$68,
            'Wedgewood Pharm-PM-Yr2-2025'!$E$42:$L$68, 0, 0),
        0, 0)
)</f>
        <v>12.57</v>
      </c>
      <c r="K851" t="s">
        <v>46</v>
      </c>
      <c r="L851" t="s">
        <v>13</v>
      </c>
      <c r="M851">
        <v>2</v>
      </c>
      <c r="N851" t="str">
        <f t="shared" si="13"/>
        <v>INSERT INTO TNL_RATING.dbo.usps_rate_master VALUES ('USPS', '2/13/2025', '2/13/2026', 12659, 'US', 'Priority Mail', 5, 5, 'L', 12.57, 'Wedgewood_USPS_2025', 'NonCubic','2');</v>
      </c>
    </row>
    <row r="852" spans="1:14" x14ac:dyDescent="0.3">
      <c r="A852" t="s">
        <v>11</v>
      </c>
      <c r="B852" s="1" t="s">
        <v>43</v>
      </c>
      <c r="C852" s="1" t="s">
        <v>44</v>
      </c>
      <c r="D852">
        <v>12659</v>
      </c>
      <c r="E852" t="s">
        <v>12</v>
      </c>
      <c r="F852" t="s">
        <v>47</v>
      </c>
      <c r="G852">
        <v>5</v>
      </c>
      <c r="H852">
        <v>6</v>
      </c>
      <c r="I852" t="s">
        <v>45</v>
      </c>
      <c r="J852" cm="1">
        <f t="array" ref="J852">IFERROR(
    _xlfn.XLOOKUP(G852, 'Wedgewood Pharm-PM-Yr2-2025'!$E$41:$L$41,
        _xlfn.XLOOKUP('Rate Load'!H852, 'Wedgewood Pharm-PM-Yr2-2025'!$D$42:$D$68,
            'Wedgewood Pharm-PM-Yr2-2025'!$E$42:$L$68, 0, 0),
        0, 0),
    _xlfn.XLOOKUP(G852, 'Wedgewood Pharm-PM-Yr2-2025'!$E$41:$L$41,
        _xlfn.XLOOKUP('Rate Load'!L852, 'Wedgewood Pharm-PM-Yr2-2025'!$D$42:$D$68,
            'Wedgewood Pharm-PM-Yr2-2025'!$E$42:$L$68, 0, 0),
        0, 0)
)</f>
        <v>14.04</v>
      </c>
      <c r="K852" t="s">
        <v>46</v>
      </c>
      <c r="L852" t="s">
        <v>13</v>
      </c>
      <c r="M852">
        <v>2</v>
      </c>
      <c r="N852" t="str">
        <f t="shared" si="13"/>
        <v>INSERT INTO TNL_RATING.dbo.usps_rate_master VALUES ('USPS', '2/13/2025', '2/13/2026', 12659, 'US', 'Priority Mail', 5, 6, 'L', 14.04, 'Wedgewood_USPS_2025', 'NonCubic','2');</v>
      </c>
    </row>
    <row r="853" spans="1:14" x14ac:dyDescent="0.3">
      <c r="A853" t="s">
        <v>11</v>
      </c>
      <c r="B853" s="1" t="s">
        <v>43</v>
      </c>
      <c r="C853" s="1" t="s">
        <v>44</v>
      </c>
      <c r="D853">
        <v>12659</v>
      </c>
      <c r="E853" t="s">
        <v>12</v>
      </c>
      <c r="F853" t="s">
        <v>47</v>
      </c>
      <c r="G853">
        <v>5</v>
      </c>
      <c r="H853">
        <v>7</v>
      </c>
      <c r="I853" t="s">
        <v>45</v>
      </c>
      <c r="J853" cm="1">
        <f t="array" ref="J853">IFERROR(
    _xlfn.XLOOKUP(G853, 'Wedgewood Pharm-PM-Yr2-2025'!$E$41:$L$41,
        _xlfn.XLOOKUP('Rate Load'!H853, 'Wedgewood Pharm-PM-Yr2-2025'!$D$42:$D$68,
            'Wedgewood Pharm-PM-Yr2-2025'!$E$42:$L$68, 0, 0),
        0, 0),
    _xlfn.XLOOKUP(G853, 'Wedgewood Pharm-PM-Yr2-2025'!$E$41:$L$41,
        _xlfn.XLOOKUP('Rate Load'!L853, 'Wedgewood Pharm-PM-Yr2-2025'!$D$42:$D$68,
            'Wedgewood Pharm-PM-Yr2-2025'!$E$42:$L$68, 0, 0),
        0, 0)
)</f>
        <v>14.98</v>
      </c>
      <c r="K853" t="s">
        <v>46</v>
      </c>
      <c r="L853" t="s">
        <v>13</v>
      </c>
      <c r="M853">
        <v>2</v>
      </c>
      <c r="N853" t="str">
        <f t="shared" si="13"/>
        <v>INSERT INTO TNL_RATING.dbo.usps_rate_master VALUES ('USPS', '2/13/2025', '2/13/2026', 12659, 'US', 'Priority Mail', 5, 7, 'L', 14.98, 'Wedgewood_USPS_2025', 'NonCubic','2');</v>
      </c>
    </row>
    <row r="854" spans="1:14" x14ac:dyDescent="0.3">
      <c r="A854" t="s">
        <v>11</v>
      </c>
      <c r="B854" s="1" t="s">
        <v>43</v>
      </c>
      <c r="C854" s="1" t="s">
        <v>44</v>
      </c>
      <c r="D854">
        <v>12659</v>
      </c>
      <c r="E854" t="s">
        <v>12</v>
      </c>
      <c r="F854" t="s">
        <v>47</v>
      </c>
      <c r="G854">
        <v>5</v>
      </c>
      <c r="H854">
        <v>8</v>
      </c>
      <c r="I854" t="s">
        <v>45</v>
      </c>
      <c r="J854" cm="1">
        <f t="array" ref="J854">IFERROR(
    _xlfn.XLOOKUP(G854, 'Wedgewood Pharm-PM-Yr2-2025'!$E$41:$L$41,
        _xlfn.XLOOKUP('Rate Load'!H854, 'Wedgewood Pharm-PM-Yr2-2025'!$D$42:$D$68,
            'Wedgewood Pharm-PM-Yr2-2025'!$E$42:$L$68, 0, 0),
        0, 0),
    _xlfn.XLOOKUP(G854, 'Wedgewood Pharm-PM-Yr2-2025'!$E$41:$L$41,
        _xlfn.XLOOKUP('Rate Load'!L854, 'Wedgewood Pharm-PM-Yr2-2025'!$D$42:$D$68,
            'Wedgewood Pharm-PM-Yr2-2025'!$E$42:$L$68, 0, 0),
        0, 0)
)</f>
        <v>15.89</v>
      </c>
      <c r="K854" t="s">
        <v>46</v>
      </c>
      <c r="L854" t="s">
        <v>13</v>
      </c>
      <c r="M854">
        <v>2</v>
      </c>
      <c r="N854" t="str">
        <f t="shared" si="13"/>
        <v>INSERT INTO TNL_RATING.dbo.usps_rate_master VALUES ('USPS', '2/13/2025', '2/13/2026', 12659, 'US', 'Priority Mail', 5, 8, 'L', 15.89, 'Wedgewood_USPS_2025', 'NonCubic','2');</v>
      </c>
    </row>
    <row r="855" spans="1:14" x14ac:dyDescent="0.3">
      <c r="A855" t="s">
        <v>11</v>
      </c>
      <c r="B855" s="1" t="s">
        <v>43</v>
      </c>
      <c r="C855" s="1" t="s">
        <v>44</v>
      </c>
      <c r="D855">
        <v>12659</v>
      </c>
      <c r="E855" t="s">
        <v>12</v>
      </c>
      <c r="F855" t="s">
        <v>47</v>
      </c>
      <c r="G855">
        <v>5</v>
      </c>
      <c r="H855">
        <v>9</v>
      </c>
      <c r="I855" t="s">
        <v>45</v>
      </c>
      <c r="J855" cm="1">
        <f t="array" ref="J855">IFERROR(
    _xlfn.XLOOKUP(G855, 'Wedgewood Pharm-PM-Yr2-2025'!$E$41:$L$41,
        _xlfn.XLOOKUP('Rate Load'!H855, 'Wedgewood Pharm-PM-Yr2-2025'!$D$42:$D$68,
            'Wedgewood Pharm-PM-Yr2-2025'!$E$42:$L$68, 0, 0),
        0, 0),
    _xlfn.XLOOKUP(G855, 'Wedgewood Pharm-PM-Yr2-2025'!$E$41:$L$41,
        _xlfn.XLOOKUP('Rate Load'!L855, 'Wedgewood Pharm-PM-Yr2-2025'!$D$42:$D$68,
            'Wedgewood Pharm-PM-Yr2-2025'!$E$42:$L$68, 0, 0),
        0, 0)
)</f>
        <v>16.790000000000003</v>
      </c>
      <c r="K855" t="s">
        <v>46</v>
      </c>
      <c r="L855" t="s">
        <v>13</v>
      </c>
      <c r="M855">
        <v>2</v>
      </c>
      <c r="N855" t="str">
        <f t="shared" si="13"/>
        <v>INSERT INTO TNL_RATING.dbo.usps_rate_master VALUES ('USPS', '2/13/2025', '2/13/2026', 12659, 'US', 'Priority Mail', 5, 9, 'L', 16.79, 'Wedgewood_USPS_2025', 'NonCubic','2');</v>
      </c>
    </row>
    <row r="856" spans="1:14" x14ac:dyDescent="0.3">
      <c r="A856" t="s">
        <v>11</v>
      </c>
      <c r="B856" s="1" t="s">
        <v>43</v>
      </c>
      <c r="C856" s="1" t="s">
        <v>44</v>
      </c>
      <c r="D856">
        <v>12659</v>
      </c>
      <c r="E856" t="s">
        <v>12</v>
      </c>
      <c r="F856" t="s">
        <v>47</v>
      </c>
      <c r="G856">
        <v>5</v>
      </c>
      <c r="H856">
        <v>10</v>
      </c>
      <c r="I856" t="s">
        <v>45</v>
      </c>
      <c r="J856" cm="1">
        <f t="array" ref="J856">IFERROR(
    _xlfn.XLOOKUP(G856, 'Wedgewood Pharm-PM-Yr2-2025'!$E$41:$L$41,
        _xlfn.XLOOKUP('Rate Load'!H856, 'Wedgewood Pharm-PM-Yr2-2025'!$D$42:$D$68,
            'Wedgewood Pharm-PM-Yr2-2025'!$E$42:$L$68, 0, 0),
        0, 0),
    _xlfn.XLOOKUP(G856, 'Wedgewood Pharm-PM-Yr2-2025'!$E$41:$L$41,
        _xlfn.XLOOKUP('Rate Load'!L856, 'Wedgewood Pharm-PM-Yr2-2025'!$D$42:$D$68,
            'Wedgewood Pharm-PM-Yr2-2025'!$E$42:$L$68, 0, 0),
        0, 0)
)</f>
        <v>17.650000000000002</v>
      </c>
      <c r="K856" t="s">
        <v>46</v>
      </c>
      <c r="L856" t="s">
        <v>13</v>
      </c>
      <c r="M856">
        <v>2</v>
      </c>
      <c r="N856" t="str">
        <f t="shared" si="13"/>
        <v>INSERT INTO TNL_RATING.dbo.usps_rate_master VALUES ('USPS', '2/13/2025', '2/13/2026', 12659, 'US', 'Priority Mail', 5, 10, 'L', 17.65, 'Wedgewood_USPS_2025', 'NonCubic','2');</v>
      </c>
    </row>
    <row r="857" spans="1:14" x14ac:dyDescent="0.3">
      <c r="A857" t="s">
        <v>11</v>
      </c>
      <c r="B857" s="1" t="s">
        <v>43</v>
      </c>
      <c r="C857" s="1" t="s">
        <v>44</v>
      </c>
      <c r="D857">
        <v>12659</v>
      </c>
      <c r="E857" t="s">
        <v>12</v>
      </c>
      <c r="F857" t="s">
        <v>47</v>
      </c>
      <c r="G857">
        <v>5</v>
      </c>
      <c r="H857">
        <v>11</v>
      </c>
      <c r="I857" t="s">
        <v>45</v>
      </c>
      <c r="J857" cm="1">
        <f t="array" ref="J857">IFERROR(
    _xlfn.XLOOKUP(G857, 'Wedgewood Pharm-PM-Yr2-2025'!$E$41:$L$41,
        _xlfn.XLOOKUP('Rate Load'!H857, 'Wedgewood Pharm-PM-Yr2-2025'!$D$42:$D$68,
            'Wedgewood Pharm-PM-Yr2-2025'!$E$42:$L$68, 0, 0),
        0, 0),
    _xlfn.XLOOKUP(G857, 'Wedgewood Pharm-PM-Yr2-2025'!$E$41:$L$41,
        _xlfn.XLOOKUP('Rate Load'!L857, 'Wedgewood Pharm-PM-Yr2-2025'!$D$42:$D$68,
            'Wedgewood Pharm-PM-Yr2-2025'!$E$42:$L$68, 0, 0),
        0, 0)
)</f>
        <v>18.8</v>
      </c>
      <c r="K857" t="s">
        <v>46</v>
      </c>
      <c r="L857" t="s">
        <v>13</v>
      </c>
      <c r="M857">
        <v>2</v>
      </c>
      <c r="N857" t="str">
        <f t="shared" si="13"/>
        <v>INSERT INTO TNL_RATING.dbo.usps_rate_master VALUES ('USPS', '2/13/2025', '2/13/2026', 12659, 'US', 'Priority Mail', 5, 11, 'L', 18.8, 'Wedgewood_USPS_2025', 'NonCubic','2');</v>
      </c>
    </row>
    <row r="858" spans="1:14" x14ac:dyDescent="0.3">
      <c r="A858" t="s">
        <v>11</v>
      </c>
      <c r="B858" s="1" t="s">
        <v>43</v>
      </c>
      <c r="C858" s="1" t="s">
        <v>44</v>
      </c>
      <c r="D858">
        <v>12659</v>
      </c>
      <c r="E858" t="s">
        <v>12</v>
      </c>
      <c r="F858" t="s">
        <v>47</v>
      </c>
      <c r="G858">
        <v>5</v>
      </c>
      <c r="H858">
        <v>12</v>
      </c>
      <c r="I858" t="s">
        <v>45</v>
      </c>
      <c r="J858" cm="1">
        <f t="array" ref="J858">IFERROR(
    _xlfn.XLOOKUP(G858, 'Wedgewood Pharm-PM-Yr2-2025'!$E$41:$L$41,
        _xlfn.XLOOKUP('Rate Load'!H858, 'Wedgewood Pharm-PM-Yr2-2025'!$D$42:$D$68,
            'Wedgewood Pharm-PM-Yr2-2025'!$E$42:$L$68, 0, 0),
        0, 0),
    _xlfn.XLOOKUP(G858, 'Wedgewood Pharm-PM-Yr2-2025'!$E$41:$L$41,
        _xlfn.XLOOKUP('Rate Load'!L858, 'Wedgewood Pharm-PM-Yr2-2025'!$D$42:$D$68,
            'Wedgewood Pharm-PM-Yr2-2025'!$E$42:$L$68, 0, 0),
        0, 0)
)</f>
        <v>19.880000000000003</v>
      </c>
      <c r="K858" t="s">
        <v>46</v>
      </c>
      <c r="L858" t="s">
        <v>13</v>
      </c>
      <c r="M858">
        <v>2</v>
      </c>
      <c r="N858" t="str">
        <f t="shared" si="13"/>
        <v>INSERT INTO TNL_RATING.dbo.usps_rate_master VALUES ('USPS', '2/13/2025', '2/13/2026', 12659, 'US', 'Priority Mail', 5, 12, 'L', 19.88, 'Wedgewood_USPS_2025', 'NonCubic','2');</v>
      </c>
    </row>
    <row r="859" spans="1:14" x14ac:dyDescent="0.3">
      <c r="A859" t="s">
        <v>11</v>
      </c>
      <c r="B859" s="1" t="s">
        <v>43</v>
      </c>
      <c r="C859" s="1" t="s">
        <v>44</v>
      </c>
      <c r="D859">
        <v>12659</v>
      </c>
      <c r="E859" t="s">
        <v>12</v>
      </c>
      <c r="F859" t="s">
        <v>47</v>
      </c>
      <c r="G859">
        <v>5</v>
      </c>
      <c r="H859">
        <v>13</v>
      </c>
      <c r="I859" t="s">
        <v>45</v>
      </c>
      <c r="J859" cm="1">
        <f t="array" ref="J859">IFERROR(
    _xlfn.XLOOKUP(G859, 'Wedgewood Pharm-PM-Yr2-2025'!$E$41:$L$41,
        _xlfn.XLOOKUP('Rate Load'!H859, 'Wedgewood Pharm-PM-Yr2-2025'!$D$42:$D$68,
            'Wedgewood Pharm-PM-Yr2-2025'!$E$42:$L$68, 0, 0),
        0, 0),
    _xlfn.XLOOKUP(G859, 'Wedgewood Pharm-PM-Yr2-2025'!$E$41:$L$41,
        _xlfn.XLOOKUP('Rate Load'!L859, 'Wedgewood Pharm-PM-Yr2-2025'!$D$42:$D$68,
            'Wedgewood Pharm-PM-Yr2-2025'!$E$42:$L$68, 0, 0),
        0, 0)
)</f>
        <v>20.98</v>
      </c>
      <c r="K859" t="s">
        <v>46</v>
      </c>
      <c r="L859" t="s">
        <v>13</v>
      </c>
      <c r="M859">
        <v>2</v>
      </c>
      <c r="N859" t="str">
        <f t="shared" si="13"/>
        <v>INSERT INTO TNL_RATING.dbo.usps_rate_master VALUES ('USPS', '2/13/2025', '2/13/2026', 12659, 'US', 'Priority Mail', 5, 13, 'L', 20.98, 'Wedgewood_USPS_2025', 'NonCubic','2');</v>
      </c>
    </row>
    <row r="860" spans="1:14" x14ac:dyDescent="0.3">
      <c r="A860" t="s">
        <v>11</v>
      </c>
      <c r="B860" s="1" t="s">
        <v>43</v>
      </c>
      <c r="C860" s="1" t="s">
        <v>44</v>
      </c>
      <c r="D860">
        <v>12659</v>
      </c>
      <c r="E860" t="s">
        <v>12</v>
      </c>
      <c r="F860" t="s">
        <v>47</v>
      </c>
      <c r="G860">
        <v>5</v>
      </c>
      <c r="H860">
        <v>14</v>
      </c>
      <c r="I860" t="s">
        <v>45</v>
      </c>
      <c r="J860" cm="1">
        <f t="array" ref="J860">IFERROR(
    _xlfn.XLOOKUP(G860, 'Wedgewood Pharm-PM-Yr2-2025'!$E$41:$L$41,
        _xlfn.XLOOKUP('Rate Load'!H860, 'Wedgewood Pharm-PM-Yr2-2025'!$D$42:$D$68,
            'Wedgewood Pharm-PM-Yr2-2025'!$E$42:$L$68, 0, 0),
        0, 0),
    _xlfn.XLOOKUP(G860, 'Wedgewood Pharm-PM-Yr2-2025'!$E$41:$L$41,
        _xlfn.XLOOKUP('Rate Load'!L860, 'Wedgewood Pharm-PM-Yr2-2025'!$D$42:$D$68,
            'Wedgewood Pharm-PM-Yr2-2025'!$E$42:$L$68, 0, 0),
        0, 0)
)</f>
        <v>22.07</v>
      </c>
      <c r="K860" t="s">
        <v>46</v>
      </c>
      <c r="L860" t="s">
        <v>13</v>
      </c>
      <c r="M860">
        <v>2</v>
      </c>
      <c r="N860" t="str">
        <f t="shared" si="13"/>
        <v>INSERT INTO TNL_RATING.dbo.usps_rate_master VALUES ('USPS', '2/13/2025', '2/13/2026', 12659, 'US', 'Priority Mail', 5, 14, 'L', 22.07, 'Wedgewood_USPS_2025', 'NonCubic','2');</v>
      </c>
    </row>
    <row r="861" spans="1:14" x14ac:dyDescent="0.3">
      <c r="A861" t="s">
        <v>11</v>
      </c>
      <c r="B861" s="1" t="s">
        <v>43</v>
      </c>
      <c r="C861" s="1" t="s">
        <v>44</v>
      </c>
      <c r="D861">
        <v>12659</v>
      </c>
      <c r="E861" t="s">
        <v>12</v>
      </c>
      <c r="F861" t="s">
        <v>47</v>
      </c>
      <c r="G861">
        <v>5</v>
      </c>
      <c r="H861">
        <v>15</v>
      </c>
      <c r="I861" t="s">
        <v>45</v>
      </c>
      <c r="J861" cm="1">
        <f t="array" ref="J861">IFERROR(
    _xlfn.XLOOKUP(G861, 'Wedgewood Pharm-PM-Yr2-2025'!$E$41:$L$41,
        _xlfn.XLOOKUP('Rate Load'!H861, 'Wedgewood Pharm-PM-Yr2-2025'!$D$42:$D$68,
            'Wedgewood Pharm-PM-Yr2-2025'!$E$42:$L$68, 0, 0),
        0, 0),
    _xlfn.XLOOKUP(G861, 'Wedgewood Pharm-PM-Yr2-2025'!$E$41:$L$41,
        _xlfn.XLOOKUP('Rate Load'!L861, 'Wedgewood Pharm-PM-Yr2-2025'!$D$42:$D$68,
            'Wedgewood Pharm-PM-Yr2-2025'!$E$42:$L$68, 0, 0),
        0, 0)
)</f>
        <v>23.16</v>
      </c>
      <c r="K861" t="s">
        <v>46</v>
      </c>
      <c r="L861" t="s">
        <v>13</v>
      </c>
      <c r="M861">
        <v>2</v>
      </c>
      <c r="N861" t="str">
        <f t="shared" si="13"/>
        <v>INSERT INTO TNL_RATING.dbo.usps_rate_master VALUES ('USPS', '2/13/2025', '2/13/2026', 12659, 'US', 'Priority Mail', 5, 15, 'L', 23.16, 'Wedgewood_USPS_2025', 'NonCubic','2');</v>
      </c>
    </row>
    <row r="862" spans="1:14" x14ac:dyDescent="0.3">
      <c r="A862" t="s">
        <v>11</v>
      </c>
      <c r="B862" s="1" t="s">
        <v>43</v>
      </c>
      <c r="C862" s="1" t="s">
        <v>44</v>
      </c>
      <c r="D862">
        <v>12659</v>
      </c>
      <c r="E862" t="s">
        <v>12</v>
      </c>
      <c r="F862" t="s">
        <v>47</v>
      </c>
      <c r="G862">
        <v>5</v>
      </c>
      <c r="H862">
        <v>16</v>
      </c>
      <c r="I862" t="s">
        <v>45</v>
      </c>
      <c r="J862" cm="1">
        <f t="array" ref="J862">IFERROR(
    _xlfn.XLOOKUP(G862, 'Wedgewood Pharm-PM-Yr2-2025'!$E$41:$L$41,
        _xlfn.XLOOKUP('Rate Load'!H862, 'Wedgewood Pharm-PM-Yr2-2025'!$D$42:$D$68,
            'Wedgewood Pharm-PM-Yr2-2025'!$E$42:$L$68, 0, 0),
        0, 0),
    _xlfn.XLOOKUP(G862, 'Wedgewood Pharm-PM-Yr2-2025'!$E$41:$L$41,
        _xlfn.XLOOKUP('Rate Load'!L862, 'Wedgewood Pharm-PM-Yr2-2025'!$D$42:$D$68,
            'Wedgewood Pharm-PM-Yr2-2025'!$E$42:$L$68, 0, 0),
        0, 0)
)</f>
        <v>24.25</v>
      </c>
      <c r="K862" t="s">
        <v>46</v>
      </c>
      <c r="L862" t="s">
        <v>13</v>
      </c>
      <c r="M862">
        <v>2</v>
      </c>
      <c r="N862" t="str">
        <f t="shared" si="13"/>
        <v>INSERT INTO TNL_RATING.dbo.usps_rate_master VALUES ('USPS', '2/13/2025', '2/13/2026', 12659, 'US', 'Priority Mail', 5, 16, 'L', 24.25, 'Wedgewood_USPS_2025', 'NonCubic','2');</v>
      </c>
    </row>
    <row r="863" spans="1:14" x14ac:dyDescent="0.3">
      <c r="A863" t="s">
        <v>11</v>
      </c>
      <c r="B863" s="1" t="s">
        <v>43</v>
      </c>
      <c r="C863" s="1" t="s">
        <v>44</v>
      </c>
      <c r="D863">
        <v>12659</v>
      </c>
      <c r="E863" t="s">
        <v>12</v>
      </c>
      <c r="F863" t="s">
        <v>47</v>
      </c>
      <c r="G863">
        <v>5</v>
      </c>
      <c r="H863">
        <v>17</v>
      </c>
      <c r="I863" t="s">
        <v>45</v>
      </c>
      <c r="J863" cm="1">
        <f t="array" ref="J863">IFERROR(
    _xlfn.XLOOKUP(G863, 'Wedgewood Pharm-PM-Yr2-2025'!$E$41:$L$41,
        _xlfn.XLOOKUP('Rate Load'!H863, 'Wedgewood Pharm-PM-Yr2-2025'!$D$42:$D$68,
            'Wedgewood Pharm-PM-Yr2-2025'!$E$42:$L$68, 0, 0),
        0, 0),
    _xlfn.XLOOKUP(G863, 'Wedgewood Pharm-PM-Yr2-2025'!$E$41:$L$41,
        _xlfn.XLOOKUP('Rate Load'!L863, 'Wedgewood Pharm-PM-Yr2-2025'!$D$42:$D$68,
            'Wedgewood Pharm-PM-Yr2-2025'!$E$42:$L$68, 0, 0),
        0, 0)
)</f>
        <v>25.330000000000002</v>
      </c>
      <c r="K863" t="s">
        <v>46</v>
      </c>
      <c r="L863" t="s">
        <v>13</v>
      </c>
      <c r="M863">
        <v>2</v>
      </c>
      <c r="N863" t="str">
        <f t="shared" si="13"/>
        <v>INSERT INTO TNL_RATING.dbo.usps_rate_master VALUES ('USPS', '2/13/2025', '2/13/2026', 12659, 'US', 'Priority Mail', 5, 17, 'L', 25.33, 'Wedgewood_USPS_2025', 'NonCubic','2');</v>
      </c>
    </row>
    <row r="864" spans="1:14" x14ac:dyDescent="0.3">
      <c r="A864" t="s">
        <v>11</v>
      </c>
      <c r="B864" s="1" t="s">
        <v>43</v>
      </c>
      <c r="C864" s="1" t="s">
        <v>44</v>
      </c>
      <c r="D864">
        <v>12659</v>
      </c>
      <c r="E864" t="s">
        <v>12</v>
      </c>
      <c r="F864" t="s">
        <v>47</v>
      </c>
      <c r="G864">
        <v>5</v>
      </c>
      <c r="H864">
        <v>18</v>
      </c>
      <c r="I864" t="s">
        <v>45</v>
      </c>
      <c r="J864" cm="1">
        <f t="array" ref="J864">IFERROR(
    _xlfn.XLOOKUP(G864, 'Wedgewood Pharm-PM-Yr2-2025'!$E$41:$L$41,
        _xlfn.XLOOKUP('Rate Load'!H864, 'Wedgewood Pharm-PM-Yr2-2025'!$D$42:$D$68,
            'Wedgewood Pharm-PM-Yr2-2025'!$E$42:$L$68, 0, 0),
        0, 0),
    _xlfn.XLOOKUP(G864, 'Wedgewood Pharm-PM-Yr2-2025'!$E$41:$L$41,
        _xlfn.XLOOKUP('Rate Load'!L864, 'Wedgewood Pharm-PM-Yr2-2025'!$D$42:$D$68,
            'Wedgewood Pharm-PM-Yr2-2025'!$E$42:$L$68, 0, 0),
        0, 0)
)</f>
        <v>26.41</v>
      </c>
      <c r="K864" t="s">
        <v>46</v>
      </c>
      <c r="L864" t="s">
        <v>13</v>
      </c>
      <c r="M864">
        <v>2</v>
      </c>
      <c r="N864" t="str">
        <f t="shared" si="13"/>
        <v>INSERT INTO TNL_RATING.dbo.usps_rate_master VALUES ('USPS', '2/13/2025', '2/13/2026', 12659, 'US', 'Priority Mail', 5, 18, 'L', 26.41, 'Wedgewood_USPS_2025', 'NonCubic','2');</v>
      </c>
    </row>
    <row r="865" spans="1:14" x14ac:dyDescent="0.3">
      <c r="A865" t="s">
        <v>11</v>
      </c>
      <c r="B865" s="1" t="s">
        <v>43</v>
      </c>
      <c r="C865" s="1" t="s">
        <v>44</v>
      </c>
      <c r="D865">
        <v>12659</v>
      </c>
      <c r="E865" t="s">
        <v>12</v>
      </c>
      <c r="F865" t="s">
        <v>47</v>
      </c>
      <c r="G865">
        <v>5</v>
      </c>
      <c r="H865">
        <v>19</v>
      </c>
      <c r="I865" t="s">
        <v>45</v>
      </c>
      <c r="J865" cm="1">
        <f t="array" ref="J865">IFERROR(
    _xlfn.XLOOKUP(G865, 'Wedgewood Pharm-PM-Yr2-2025'!$E$41:$L$41,
        _xlfn.XLOOKUP('Rate Load'!H865, 'Wedgewood Pharm-PM-Yr2-2025'!$D$42:$D$68,
            'Wedgewood Pharm-PM-Yr2-2025'!$E$42:$L$68, 0, 0),
        0, 0),
    _xlfn.XLOOKUP(G865, 'Wedgewood Pharm-PM-Yr2-2025'!$E$41:$L$41,
        _xlfn.XLOOKUP('Rate Load'!L865, 'Wedgewood Pharm-PM-Yr2-2025'!$D$42:$D$68,
            'Wedgewood Pharm-PM-Yr2-2025'!$E$42:$L$68, 0, 0),
        0, 0)
)</f>
        <v>27.51</v>
      </c>
      <c r="K865" t="s">
        <v>46</v>
      </c>
      <c r="L865" t="s">
        <v>13</v>
      </c>
      <c r="M865">
        <v>2</v>
      </c>
      <c r="N865" t="str">
        <f t="shared" si="13"/>
        <v>INSERT INTO TNL_RATING.dbo.usps_rate_master VALUES ('USPS', '2/13/2025', '2/13/2026', 12659, 'US', 'Priority Mail', 5, 19, 'L', 27.51, 'Wedgewood_USPS_2025', 'NonCubic','2');</v>
      </c>
    </row>
    <row r="866" spans="1:14" x14ac:dyDescent="0.3">
      <c r="A866" t="s">
        <v>11</v>
      </c>
      <c r="B866" s="1" t="s">
        <v>43</v>
      </c>
      <c r="C866" s="1" t="s">
        <v>44</v>
      </c>
      <c r="D866">
        <v>12659</v>
      </c>
      <c r="E866" t="s">
        <v>12</v>
      </c>
      <c r="F866" t="s">
        <v>47</v>
      </c>
      <c r="G866">
        <v>5</v>
      </c>
      <c r="H866">
        <v>20</v>
      </c>
      <c r="I866" t="s">
        <v>45</v>
      </c>
      <c r="J866" cm="1">
        <f t="array" ref="J866">IFERROR(
    _xlfn.XLOOKUP(G866, 'Wedgewood Pharm-PM-Yr2-2025'!$E$41:$L$41,
        _xlfn.XLOOKUP('Rate Load'!H866, 'Wedgewood Pharm-PM-Yr2-2025'!$D$42:$D$68,
            'Wedgewood Pharm-PM-Yr2-2025'!$E$42:$L$68, 0, 0),
        0, 0),
    _xlfn.XLOOKUP(G866, 'Wedgewood Pharm-PM-Yr2-2025'!$E$41:$L$41,
        _xlfn.XLOOKUP('Rate Load'!L866, 'Wedgewood Pharm-PM-Yr2-2025'!$D$42:$D$68,
            'Wedgewood Pharm-PM-Yr2-2025'!$E$42:$L$68, 0, 0),
        0, 0)
)</f>
        <v>28.580000000000002</v>
      </c>
      <c r="K866" t="s">
        <v>46</v>
      </c>
      <c r="L866" t="s">
        <v>13</v>
      </c>
      <c r="M866">
        <v>2</v>
      </c>
      <c r="N866" t="str">
        <f t="shared" si="13"/>
        <v>INSERT INTO TNL_RATING.dbo.usps_rate_master VALUES ('USPS', '2/13/2025', '2/13/2026', 12659, 'US', 'Priority Mail', 5, 20, 'L', 28.58, 'Wedgewood_USPS_2025', 'NonCubic','2');</v>
      </c>
    </row>
    <row r="867" spans="1:14" x14ac:dyDescent="0.3">
      <c r="A867" t="s">
        <v>11</v>
      </c>
      <c r="B867" s="1" t="s">
        <v>43</v>
      </c>
      <c r="C867" s="1" t="s">
        <v>44</v>
      </c>
      <c r="D867">
        <v>12659</v>
      </c>
      <c r="E867" t="s">
        <v>12</v>
      </c>
      <c r="F867" t="s">
        <v>47</v>
      </c>
      <c r="G867">
        <v>6</v>
      </c>
      <c r="H867">
        <v>0.5</v>
      </c>
      <c r="I867" t="s">
        <v>45</v>
      </c>
      <c r="J867" cm="1">
        <f t="array" ref="J867">IFERROR(
    _xlfn.XLOOKUP(G867, 'Wedgewood Pharm-PM-Yr2-2025'!$E$41:$L$41,
        _xlfn.XLOOKUP('Rate Load'!H867, 'Wedgewood Pharm-PM-Yr2-2025'!$D$42:$D$68,
            'Wedgewood Pharm-PM-Yr2-2025'!$E$42:$L$68, 0, 0),
        0, 0),
    _xlfn.XLOOKUP(G867, 'Wedgewood Pharm-PM-Yr2-2025'!$E$41:$L$41,
        _xlfn.XLOOKUP('Rate Load'!L867, 'Wedgewood Pharm-PM-Yr2-2025'!$D$42:$D$68,
            'Wedgewood Pharm-PM-Yr2-2025'!$E$42:$L$68, 0, 0),
        0, 0)
)</f>
        <v>6.96</v>
      </c>
      <c r="K867" t="s">
        <v>46</v>
      </c>
      <c r="L867" t="s">
        <v>13</v>
      </c>
      <c r="M867">
        <v>2</v>
      </c>
      <c r="N867" t="str">
        <f t="shared" si="13"/>
        <v>INSERT INTO TNL_RATING.dbo.usps_rate_master VALUES ('USPS', '2/13/2025', '2/13/2026', 12659, 'US', 'Priority Mail', 6, 0.5, 'L', 6.96, 'Wedgewood_USPS_2025', 'NonCubic','2');</v>
      </c>
    </row>
    <row r="868" spans="1:14" x14ac:dyDescent="0.3">
      <c r="A868" t="s">
        <v>11</v>
      </c>
      <c r="B868" s="1" t="s">
        <v>43</v>
      </c>
      <c r="C868" s="1" t="s">
        <v>44</v>
      </c>
      <c r="D868">
        <v>12659</v>
      </c>
      <c r="E868" t="s">
        <v>12</v>
      </c>
      <c r="F868" t="s">
        <v>47</v>
      </c>
      <c r="G868">
        <v>6</v>
      </c>
      <c r="H868">
        <v>1</v>
      </c>
      <c r="I868" t="s">
        <v>45</v>
      </c>
      <c r="J868" cm="1">
        <f t="array" ref="J868">IFERROR(
    _xlfn.XLOOKUP(G868, 'Wedgewood Pharm-PM-Yr2-2025'!$E$41:$L$41,
        _xlfn.XLOOKUP('Rate Load'!H868, 'Wedgewood Pharm-PM-Yr2-2025'!$D$42:$D$68,
            'Wedgewood Pharm-PM-Yr2-2025'!$E$42:$L$68, 0, 0),
        0, 0),
    _xlfn.XLOOKUP(G868, 'Wedgewood Pharm-PM-Yr2-2025'!$E$41:$L$41,
        _xlfn.XLOOKUP('Rate Load'!L868, 'Wedgewood Pharm-PM-Yr2-2025'!$D$42:$D$68,
            'Wedgewood Pharm-PM-Yr2-2025'!$E$42:$L$68, 0, 0),
        0, 0)
)</f>
        <v>7.35</v>
      </c>
      <c r="K868" t="s">
        <v>46</v>
      </c>
      <c r="L868" t="s">
        <v>13</v>
      </c>
      <c r="M868">
        <v>2</v>
      </c>
      <c r="N868" t="str">
        <f t="shared" si="13"/>
        <v>INSERT INTO TNL_RATING.dbo.usps_rate_master VALUES ('USPS', '2/13/2025', '2/13/2026', 12659, 'US', 'Priority Mail', 6, 1, 'L', 7.35, 'Wedgewood_USPS_2025', 'NonCubic','2');</v>
      </c>
    </row>
    <row r="869" spans="1:14" x14ac:dyDescent="0.3">
      <c r="A869" t="s">
        <v>11</v>
      </c>
      <c r="B869" s="1" t="s">
        <v>43</v>
      </c>
      <c r="C869" s="1" t="s">
        <v>44</v>
      </c>
      <c r="D869">
        <v>12659</v>
      </c>
      <c r="E869" t="s">
        <v>12</v>
      </c>
      <c r="F869" t="s">
        <v>47</v>
      </c>
      <c r="G869">
        <v>6</v>
      </c>
      <c r="H869">
        <v>2</v>
      </c>
      <c r="I869" t="s">
        <v>45</v>
      </c>
      <c r="J869" cm="1">
        <f t="array" ref="J869">IFERROR(
    _xlfn.XLOOKUP(G869, 'Wedgewood Pharm-PM-Yr2-2025'!$E$41:$L$41,
        _xlfn.XLOOKUP('Rate Load'!H869, 'Wedgewood Pharm-PM-Yr2-2025'!$D$42:$D$68,
            'Wedgewood Pharm-PM-Yr2-2025'!$E$42:$L$68, 0, 0),
        0, 0),
    _xlfn.XLOOKUP(G869, 'Wedgewood Pharm-PM-Yr2-2025'!$E$41:$L$41,
        _xlfn.XLOOKUP('Rate Load'!L869, 'Wedgewood Pharm-PM-Yr2-2025'!$D$42:$D$68,
            'Wedgewood Pharm-PM-Yr2-2025'!$E$42:$L$68, 0, 0),
        0, 0)
)</f>
        <v>9.15</v>
      </c>
      <c r="K869" t="s">
        <v>46</v>
      </c>
      <c r="L869" t="s">
        <v>13</v>
      </c>
      <c r="M869">
        <v>2</v>
      </c>
      <c r="N869" t="str">
        <f t="shared" si="13"/>
        <v>INSERT INTO TNL_RATING.dbo.usps_rate_master VALUES ('USPS', '2/13/2025', '2/13/2026', 12659, 'US', 'Priority Mail', 6, 2, 'L', 9.15, 'Wedgewood_USPS_2025', 'NonCubic','2');</v>
      </c>
    </row>
    <row r="870" spans="1:14" x14ac:dyDescent="0.3">
      <c r="A870" t="s">
        <v>11</v>
      </c>
      <c r="B870" s="1" t="s">
        <v>43</v>
      </c>
      <c r="C870" s="1" t="s">
        <v>44</v>
      </c>
      <c r="D870">
        <v>12659</v>
      </c>
      <c r="E870" t="s">
        <v>12</v>
      </c>
      <c r="F870" t="s">
        <v>47</v>
      </c>
      <c r="G870">
        <v>6</v>
      </c>
      <c r="H870">
        <v>3</v>
      </c>
      <c r="I870" t="s">
        <v>45</v>
      </c>
      <c r="J870" cm="1">
        <f t="array" ref="J870">IFERROR(
    _xlfn.XLOOKUP(G870, 'Wedgewood Pharm-PM-Yr2-2025'!$E$41:$L$41,
        _xlfn.XLOOKUP('Rate Load'!H870, 'Wedgewood Pharm-PM-Yr2-2025'!$D$42:$D$68,
            'Wedgewood Pharm-PM-Yr2-2025'!$E$42:$L$68, 0, 0),
        0, 0),
    _xlfn.XLOOKUP(G870, 'Wedgewood Pharm-PM-Yr2-2025'!$E$41:$L$41,
        _xlfn.XLOOKUP('Rate Load'!L870, 'Wedgewood Pharm-PM-Yr2-2025'!$D$42:$D$68,
            'Wedgewood Pharm-PM-Yr2-2025'!$E$42:$L$68, 0, 0),
        0, 0)
)</f>
        <v>12.07</v>
      </c>
      <c r="K870" t="s">
        <v>46</v>
      </c>
      <c r="L870" t="s">
        <v>13</v>
      </c>
      <c r="M870">
        <v>2</v>
      </c>
      <c r="N870" t="str">
        <f t="shared" si="13"/>
        <v>INSERT INTO TNL_RATING.dbo.usps_rate_master VALUES ('USPS', '2/13/2025', '2/13/2026', 12659, 'US', 'Priority Mail', 6, 3, 'L', 12.07, 'Wedgewood_USPS_2025', 'NonCubic','2');</v>
      </c>
    </row>
    <row r="871" spans="1:14" x14ac:dyDescent="0.3">
      <c r="A871" t="s">
        <v>11</v>
      </c>
      <c r="B871" s="1" t="s">
        <v>43</v>
      </c>
      <c r="C871" s="1" t="s">
        <v>44</v>
      </c>
      <c r="D871">
        <v>12659</v>
      </c>
      <c r="E871" t="s">
        <v>12</v>
      </c>
      <c r="F871" t="s">
        <v>47</v>
      </c>
      <c r="G871">
        <v>6</v>
      </c>
      <c r="H871">
        <v>4</v>
      </c>
      <c r="I871" t="s">
        <v>45</v>
      </c>
      <c r="J871" cm="1">
        <f t="array" ref="J871">IFERROR(
    _xlfn.XLOOKUP(G871, 'Wedgewood Pharm-PM-Yr2-2025'!$E$41:$L$41,
        _xlfn.XLOOKUP('Rate Load'!H871, 'Wedgewood Pharm-PM-Yr2-2025'!$D$42:$D$68,
            'Wedgewood Pharm-PM-Yr2-2025'!$E$42:$L$68, 0, 0),
        0, 0),
    _xlfn.XLOOKUP(G871, 'Wedgewood Pharm-PM-Yr2-2025'!$E$41:$L$41,
        _xlfn.XLOOKUP('Rate Load'!L871, 'Wedgewood Pharm-PM-Yr2-2025'!$D$42:$D$68,
            'Wedgewood Pharm-PM-Yr2-2025'!$E$42:$L$68, 0, 0),
        0, 0)
)</f>
        <v>13.97</v>
      </c>
      <c r="K871" t="s">
        <v>46</v>
      </c>
      <c r="L871" t="s">
        <v>13</v>
      </c>
      <c r="M871">
        <v>2</v>
      </c>
      <c r="N871" t="str">
        <f t="shared" si="13"/>
        <v>INSERT INTO TNL_RATING.dbo.usps_rate_master VALUES ('USPS', '2/13/2025', '2/13/2026', 12659, 'US', 'Priority Mail', 6, 4, 'L', 13.97, 'Wedgewood_USPS_2025', 'NonCubic','2');</v>
      </c>
    </row>
    <row r="872" spans="1:14" x14ac:dyDescent="0.3">
      <c r="A872" t="s">
        <v>11</v>
      </c>
      <c r="B872" s="1" t="s">
        <v>43</v>
      </c>
      <c r="C872" s="1" t="s">
        <v>44</v>
      </c>
      <c r="D872">
        <v>12659</v>
      </c>
      <c r="E872" t="s">
        <v>12</v>
      </c>
      <c r="F872" t="s">
        <v>47</v>
      </c>
      <c r="G872">
        <v>6</v>
      </c>
      <c r="H872">
        <v>5</v>
      </c>
      <c r="I872" t="s">
        <v>45</v>
      </c>
      <c r="J872" cm="1">
        <f t="array" ref="J872">IFERROR(
    _xlfn.XLOOKUP(G872, 'Wedgewood Pharm-PM-Yr2-2025'!$E$41:$L$41,
        _xlfn.XLOOKUP('Rate Load'!H872, 'Wedgewood Pharm-PM-Yr2-2025'!$D$42:$D$68,
            'Wedgewood Pharm-PM-Yr2-2025'!$E$42:$L$68, 0, 0),
        0, 0),
    _xlfn.XLOOKUP(G872, 'Wedgewood Pharm-PM-Yr2-2025'!$E$41:$L$41,
        _xlfn.XLOOKUP('Rate Load'!L872, 'Wedgewood Pharm-PM-Yr2-2025'!$D$42:$D$68,
            'Wedgewood Pharm-PM-Yr2-2025'!$E$42:$L$68, 0, 0),
        0, 0)
)</f>
        <v>15.31</v>
      </c>
      <c r="K872" t="s">
        <v>46</v>
      </c>
      <c r="L872" t="s">
        <v>13</v>
      </c>
      <c r="M872">
        <v>2</v>
      </c>
      <c r="N872" t="str">
        <f t="shared" si="13"/>
        <v>INSERT INTO TNL_RATING.dbo.usps_rate_master VALUES ('USPS', '2/13/2025', '2/13/2026', 12659, 'US', 'Priority Mail', 6, 5, 'L', 15.31, 'Wedgewood_USPS_2025', 'NonCubic','2');</v>
      </c>
    </row>
    <row r="873" spans="1:14" x14ac:dyDescent="0.3">
      <c r="A873" t="s">
        <v>11</v>
      </c>
      <c r="B873" s="1" t="s">
        <v>43</v>
      </c>
      <c r="C873" s="1" t="s">
        <v>44</v>
      </c>
      <c r="D873">
        <v>12659</v>
      </c>
      <c r="E873" t="s">
        <v>12</v>
      </c>
      <c r="F873" t="s">
        <v>47</v>
      </c>
      <c r="G873">
        <v>6</v>
      </c>
      <c r="H873">
        <v>6</v>
      </c>
      <c r="I873" t="s">
        <v>45</v>
      </c>
      <c r="J873" cm="1">
        <f t="array" ref="J873">IFERROR(
    _xlfn.XLOOKUP(G873, 'Wedgewood Pharm-PM-Yr2-2025'!$E$41:$L$41,
        _xlfn.XLOOKUP('Rate Load'!H873, 'Wedgewood Pharm-PM-Yr2-2025'!$D$42:$D$68,
            'Wedgewood Pharm-PM-Yr2-2025'!$E$42:$L$68, 0, 0),
        0, 0),
    _xlfn.XLOOKUP(G873, 'Wedgewood Pharm-PM-Yr2-2025'!$E$41:$L$41,
        _xlfn.XLOOKUP('Rate Load'!L873, 'Wedgewood Pharm-PM-Yr2-2025'!$D$42:$D$68,
            'Wedgewood Pharm-PM-Yr2-2025'!$E$42:$L$68, 0, 0),
        0, 0)
)</f>
        <v>17.21</v>
      </c>
      <c r="K873" t="s">
        <v>46</v>
      </c>
      <c r="L873" t="s">
        <v>13</v>
      </c>
      <c r="M873">
        <v>2</v>
      </c>
      <c r="N873" t="str">
        <f t="shared" si="13"/>
        <v>INSERT INTO TNL_RATING.dbo.usps_rate_master VALUES ('USPS', '2/13/2025', '2/13/2026', 12659, 'US', 'Priority Mail', 6, 6, 'L', 17.21, 'Wedgewood_USPS_2025', 'NonCubic','2');</v>
      </c>
    </row>
    <row r="874" spans="1:14" x14ac:dyDescent="0.3">
      <c r="A874" t="s">
        <v>11</v>
      </c>
      <c r="B874" s="1" t="s">
        <v>43</v>
      </c>
      <c r="C874" s="1" t="s">
        <v>44</v>
      </c>
      <c r="D874">
        <v>12659</v>
      </c>
      <c r="E874" t="s">
        <v>12</v>
      </c>
      <c r="F874" t="s">
        <v>47</v>
      </c>
      <c r="G874">
        <v>6</v>
      </c>
      <c r="H874">
        <v>7</v>
      </c>
      <c r="I874" t="s">
        <v>45</v>
      </c>
      <c r="J874" cm="1">
        <f t="array" ref="J874">IFERROR(
    _xlfn.XLOOKUP(G874, 'Wedgewood Pharm-PM-Yr2-2025'!$E$41:$L$41,
        _xlfn.XLOOKUP('Rate Load'!H874, 'Wedgewood Pharm-PM-Yr2-2025'!$D$42:$D$68,
            'Wedgewood Pharm-PM-Yr2-2025'!$E$42:$L$68, 0, 0),
        0, 0),
    _xlfn.XLOOKUP(G874, 'Wedgewood Pharm-PM-Yr2-2025'!$E$41:$L$41,
        _xlfn.XLOOKUP('Rate Load'!L874, 'Wedgewood Pharm-PM-Yr2-2025'!$D$42:$D$68,
            'Wedgewood Pharm-PM-Yr2-2025'!$E$42:$L$68, 0, 0),
        0, 0)
)</f>
        <v>18.520000000000003</v>
      </c>
      <c r="K874" t="s">
        <v>46</v>
      </c>
      <c r="L874" t="s">
        <v>13</v>
      </c>
      <c r="M874">
        <v>2</v>
      </c>
      <c r="N874" t="str">
        <f t="shared" si="13"/>
        <v>INSERT INTO TNL_RATING.dbo.usps_rate_master VALUES ('USPS', '2/13/2025', '2/13/2026', 12659, 'US', 'Priority Mail', 6, 7, 'L', 18.52, 'Wedgewood_USPS_2025', 'NonCubic','2');</v>
      </c>
    </row>
    <row r="875" spans="1:14" x14ac:dyDescent="0.3">
      <c r="A875" t="s">
        <v>11</v>
      </c>
      <c r="B875" s="1" t="s">
        <v>43</v>
      </c>
      <c r="C875" s="1" t="s">
        <v>44</v>
      </c>
      <c r="D875">
        <v>12659</v>
      </c>
      <c r="E875" t="s">
        <v>12</v>
      </c>
      <c r="F875" t="s">
        <v>47</v>
      </c>
      <c r="G875">
        <v>6</v>
      </c>
      <c r="H875">
        <v>8</v>
      </c>
      <c r="I875" t="s">
        <v>45</v>
      </c>
      <c r="J875" cm="1">
        <f t="array" ref="J875">IFERROR(
    _xlfn.XLOOKUP(G875, 'Wedgewood Pharm-PM-Yr2-2025'!$E$41:$L$41,
        _xlfn.XLOOKUP('Rate Load'!H875, 'Wedgewood Pharm-PM-Yr2-2025'!$D$42:$D$68,
            'Wedgewood Pharm-PM-Yr2-2025'!$E$42:$L$68, 0, 0),
        0, 0),
    _xlfn.XLOOKUP(G875, 'Wedgewood Pharm-PM-Yr2-2025'!$E$41:$L$41,
        _xlfn.XLOOKUP('Rate Load'!L875, 'Wedgewood Pharm-PM-Yr2-2025'!$D$42:$D$68,
            'Wedgewood Pharm-PM-Yr2-2025'!$E$42:$L$68, 0, 0),
        0, 0)
)</f>
        <v>19.790000000000003</v>
      </c>
      <c r="K875" t="s">
        <v>46</v>
      </c>
      <c r="L875" t="s">
        <v>13</v>
      </c>
      <c r="M875">
        <v>2</v>
      </c>
      <c r="N875" t="str">
        <f t="shared" si="13"/>
        <v>INSERT INTO TNL_RATING.dbo.usps_rate_master VALUES ('USPS', '2/13/2025', '2/13/2026', 12659, 'US', 'Priority Mail', 6, 8, 'L', 19.79, 'Wedgewood_USPS_2025', 'NonCubic','2');</v>
      </c>
    </row>
    <row r="876" spans="1:14" x14ac:dyDescent="0.3">
      <c r="A876" t="s">
        <v>11</v>
      </c>
      <c r="B876" s="1" t="s">
        <v>43</v>
      </c>
      <c r="C876" s="1" t="s">
        <v>44</v>
      </c>
      <c r="D876">
        <v>12659</v>
      </c>
      <c r="E876" t="s">
        <v>12</v>
      </c>
      <c r="F876" t="s">
        <v>47</v>
      </c>
      <c r="G876">
        <v>6</v>
      </c>
      <c r="H876">
        <v>9</v>
      </c>
      <c r="I876" t="s">
        <v>45</v>
      </c>
      <c r="J876" cm="1">
        <f t="array" ref="J876">IFERROR(
    _xlfn.XLOOKUP(G876, 'Wedgewood Pharm-PM-Yr2-2025'!$E$41:$L$41,
        _xlfn.XLOOKUP('Rate Load'!H876, 'Wedgewood Pharm-PM-Yr2-2025'!$D$42:$D$68,
            'Wedgewood Pharm-PM-Yr2-2025'!$E$42:$L$68, 0, 0),
        0, 0),
    _xlfn.XLOOKUP(G876, 'Wedgewood Pharm-PM-Yr2-2025'!$E$41:$L$41,
        _xlfn.XLOOKUP('Rate Load'!L876, 'Wedgewood Pharm-PM-Yr2-2025'!$D$42:$D$68,
            'Wedgewood Pharm-PM-Yr2-2025'!$E$42:$L$68, 0, 0),
        0, 0)
)</f>
        <v>21.01</v>
      </c>
      <c r="K876" t="s">
        <v>46</v>
      </c>
      <c r="L876" t="s">
        <v>13</v>
      </c>
      <c r="M876">
        <v>2</v>
      </c>
      <c r="N876" t="str">
        <f t="shared" si="13"/>
        <v>INSERT INTO TNL_RATING.dbo.usps_rate_master VALUES ('USPS', '2/13/2025', '2/13/2026', 12659, 'US', 'Priority Mail', 6, 9, 'L', 21.01, 'Wedgewood_USPS_2025', 'NonCubic','2');</v>
      </c>
    </row>
    <row r="877" spans="1:14" x14ac:dyDescent="0.3">
      <c r="A877" t="s">
        <v>11</v>
      </c>
      <c r="B877" s="1" t="s">
        <v>43</v>
      </c>
      <c r="C877" s="1" t="s">
        <v>44</v>
      </c>
      <c r="D877">
        <v>12659</v>
      </c>
      <c r="E877" t="s">
        <v>12</v>
      </c>
      <c r="F877" t="s">
        <v>47</v>
      </c>
      <c r="G877">
        <v>6</v>
      </c>
      <c r="H877">
        <v>10</v>
      </c>
      <c r="I877" t="s">
        <v>45</v>
      </c>
      <c r="J877" cm="1">
        <f t="array" ref="J877">IFERROR(
    _xlfn.XLOOKUP(G877, 'Wedgewood Pharm-PM-Yr2-2025'!$E$41:$L$41,
        _xlfn.XLOOKUP('Rate Load'!H877, 'Wedgewood Pharm-PM-Yr2-2025'!$D$42:$D$68,
            'Wedgewood Pharm-PM-Yr2-2025'!$E$42:$L$68, 0, 0),
        0, 0),
    _xlfn.XLOOKUP(G877, 'Wedgewood Pharm-PM-Yr2-2025'!$E$41:$L$41,
        _xlfn.XLOOKUP('Rate Load'!L877, 'Wedgewood Pharm-PM-Yr2-2025'!$D$42:$D$68,
            'Wedgewood Pharm-PM-Yr2-2025'!$E$42:$L$68, 0, 0),
        0, 0)
)</f>
        <v>22.21</v>
      </c>
      <c r="K877" t="s">
        <v>46</v>
      </c>
      <c r="L877" t="s">
        <v>13</v>
      </c>
      <c r="M877">
        <v>2</v>
      </c>
      <c r="N877" t="str">
        <f t="shared" si="13"/>
        <v>INSERT INTO TNL_RATING.dbo.usps_rate_master VALUES ('USPS', '2/13/2025', '2/13/2026', 12659, 'US', 'Priority Mail', 6, 10, 'L', 22.21, 'Wedgewood_USPS_2025', 'NonCubic','2');</v>
      </c>
    </row>
    <row r="878" spans="1:14" x14ac:dyDescent="0.3">
      <c r="A878" t="s">
        <v>11</v>
      </c>
      <c r="B878" s="1" t="s">
        <v>43</v>
      </c>
      <c r="C878" s="1" t="s">
        <v>44</v>
      </c>
      <c r="D878">
        <v>12659</v>
      </c>
      <c r="E878" t="s">
        <v>12</v>
      </c>
      <c r="F878" t="s">
        <v>47</v>
      </c>
      <c r="G878">
        <v>6</v>
      </c>
      <c r="H878">
        <v>11</v>
      </c>
      <c r="I878" t="s">
        <v>45</v>
      </c>
      <c r="J878" cm="1">
        <f t="array" ref="J878">IFERROR(
    _xlfn.XLOOKUP(G878, 'Wedgewood Pharm-PM-Yr2-2025'!$E$41:$L$41,
        _xlfn.XLOOKUP('Rate Load'!H878, 'Wedgewood Pharm-PM-Yr2-2025'!$D$42:$D$68,
            'Wedgewood Pharm-PM-Yr2-2025'!$E$42:$L$68, 0, 0),
        0, 0),
    _xlfn.XLOOKUP(G878, 'Wedgewood Pharm-PM-Yr2-2025'!$E$41:$L$41,
        _xlfn.XLOOKUP('Rate Load'!L878, 'Wedgewood Pharm-PM-Yr2-2025'!$D$42:$D$68,
            'Wedgewood Pharm-PM-Yr2-2025'!$E$42:$L$68, 0, 0),
        0, 0)
)</f>
        <v>23.110000000000003</v>
      </c>
      <c r="K878" t="s">
        <v>46</v>
      </c>
      <c r="L878" t="s">
        <v>13</v>
      </c>
      <c r="M878">
        <v>2</v>
      </c>
      <c r="N878" t="str">
        <f t="shared" si="13"/>
        <v>INSERT INTO TNL_RATING.dbo.usps_rate_master VALUES ('USPS', '2/13/2025', '2/13/2026', 12659, 'US', 'Priority Mail', 6, 11, 'L', 23.11, 'Wedgewood_USPS_2025', 'NonCubic','2');</v>
      </c>
    </row>
    <row r="879" spans="1:14" x14ac:dyDescent="0.3">
      <c r="A879" t="s">
        <v>11</v>
      </c>
      <c r="B879" s="1" t="s">
        <v>43</v>
      </c>
      <c r="C879" s="1" t="s">
        <v>44</v>
      </c>
      <c r="D879">
        <v>12659</v>
      </c>
      <c r="E879" t="s">
        <v>12</v>
      </c>
      <c r="F879" t="s">
        <v>47</v>
      </c>
      <c r="G879">
        <v>6</v>
      </c>
      <c r="H879">
        <v>12</v>
      </c>
      <c r="I879" t="s">
        <v>45</v>
      </c>
      <c r="J879" cm="1">
        <f t="array" ref="J879">IFERROR(
    _xlfn.XLOOKUP(G879, 'Wedgewood Pharm-PM-Yr2-2025'!$E$41:$L$41,
        _xlfn.XLOOKUP('Rate Load'!H879, 'Wedgewood Pharm-PM-Yr2-2025'!$D$42:$D$68,
            'Wedgewood Pharm-PM-Yr2-2025'!$E$42:$L$68, 0, 0),
        0, 0),
    _xlfn.XLOOKUP(G879, 'Wedgewood Pharm-PM-Yr2-2025'!$E$41:$L$41,
        _xlfn.XLOOKUP('Rate Load'!L879, 'Wedgewood Pharm-PM-Yr2-2025'!$D$42:$D$68,
            'Wedgewood Pharm-PM-Yr2-2025'!$E$42:$L$68, 0, 0),
        0, 0)
)</f>
        <v>24.450000000000003</v>
      </c>
      <c r="K879" t="s">
        <v>46</v>
      </c>
      <c r="L879" t="s">
        <v>13</v>
      </c>
      <c r="M879">
        <v>2</v>
      </c>
      <c r="N879" t="str">
        <f t="shared" si="13"/>
        <v>INSERT INTO TNL_RATING.dbo.usps_rate_master VALUES ('USPS', '2/13/2025', '2/13/2026', 12659, 'US', 'Priority Mail', 6, 12, 'L', 24.45, 'Wedgewood_USPS_2025', 'NonCubic','2');</v>
      </c>
    </row>
    <row r="880" spans="1:14" x14ac:dyDescent="0.3">
      <c r="A880" t="s">
        <v>11</v>
      </c>
      <c r="B880" s="1" t="s">
        <v>43</v>
      </c>
      <c r="C880" s="1" t="s">
        <v>44</v>
      </c>
      <c r="D880">
        <v>12659</v>
      </c>
      <c r="E880" t="s">
        <v>12</v>
      </c>
      <c r="F880" t="s">
        <v>47</v>
      </c>
      <c r="G880">
        <v>6</v>
      </c>
      <c r="H880">
        <v>13</v>
      </c>
      <c r="I880" t="s">
        <v>45</v>
      </c>
      <c r="J880" cm="1">
        <f t="array" ref="J880">IFERROR(
    _xlfn.XLOOKUP(G880, 'Wedgewood Pharm-PM-Yr2-2025'!$E$41:$L$41,
        _xlfn.XLOOKUP('Rate Load'!H880, 'Wedgewood Pharm-PM-Yr2-2025'!$D$42:$D$68,
            'Wedgewood Pharm-PM-Yr2-2025'!$E$42:$L$68, 0, 0),
        0, 0),
    _xlfn.XLOOKUP(G880, 'Wedgewood Pharm-PM-Yr2-2025'!$E$41:$L$41,
        _xlfn.XLOOKUP('Rate Load'!L880, 'Wedgewood Pharm-PM-Yr2-2025'!$D$42:$D$68,
            'Wedgewood Pharm-PM-Yr2-2025'!$E$42:$L$68, 0, 0),
        0, 0)
)</f>
        <v>25.790000000000003</v>
      </c>
      <c r="K880" t="s">
        <v>46</v>
      </c>
      <c r="L880" t="s">
        <v>13</v>
      </c>
      <c r="M880">
        <v>2</v>
      </c>
      <c r="N880" t="str">
        <f t="shared" si="13"/>
        <v>INSERT INTO TNL_RATING.dbo.usps_rate_master VALUES ('USPS', '2/13/2025', '2/13/2026', 12659, 'US', 'Priority Mail', 6, 13, 'L', 25.79, 'Wedgewood_USPS_2025', 'NonCubic','2');</v>
      </c>
    </row>
    <row r="881" spans="1:14" x14ac:dyDescent="0.3">
      <c r="A881" t="s">
        <v>11</v>
      </c>
      <c r="B881" s="1" t="s">
        <v>43</v>
      </c>
      <c r="C881" s="1" t="s">
        <v>44</v>
      </c>
      <c r="D881">
        <v>12659</v>
      </c>
      <c r="E881" t="s">
        <v>12</v>
      </c>
      <c r="F881" t="s">
        <v>47</v>
      </c>
      <c r="G881">
        <v>6</v>
      </c>
      <c r="H881">
        <v>14</v>
      </c>
      <c r="I881" t="s">
        <v>45</v>
      </c>
      <c r="J881" cm="1">
        <f t="array" ref="J881">IFERROR(
    _xlfn.XLOOKUP(G881, 'Wedgewood Pharm-PM-Yr2-2025'!$E$41:$L$41,
        _xlfn.XLOOKUP('Rate Load'!H881, 'Wedgewood Pharm-PM-Yr2-2025'!$D$42:$D$68,
            'Wedgewood Pharm-PM-Yr2-2025'!$E$42:$L$68, 0, 0),
        0, 0),
    _xlfn.XLOOKUP(G881, 'Wedgewood Pharm-PM-Yr2-2025'!$E$41:$L$41,
        _xlfn.XLOOKUP('Rate Load'!L881, 'Wedgewood Pharm-PM-Yr2-2025'!$D$42:$D$68,
            'Wedgewood Pharm-PM-Yr2-2025'!$E$42:$L$68, 0, 0),
        0, 0)
)</f>
        <v>27.080000000000002</v>
      </c>
      <c r="K881" t="s">
        <v>46</v>
      </c>
      <c r="L881" t="s">
        <v>13</v>
      </c>
      <c r="M881">
        <v>2</v>
      </c>
      <c r="N881" t="str">
        <f t="shared" si="13"/>
        <v>INSERT INTO TNL_RATING.dbo.usps_rate_master VALUES ('USPS', '2/13/2025', '2/13/2026', 12659, 'US', 'Priority Mail', 6, 14, 'L', 27.08, 'Wedgewood_USPS_2025', 'NonCubic','2');</v>
      </c>
    </row>
    <row r="882" spans="1:14" x14ac:dyDescent="0.3">
      <c r="A882" t="s">
        <v>11</v>
      </c>
      <c r="B882" s="1" t="s">
        <v>43</v>
      </c>
      <c r="C882" s="1" t="s">
        <v>44</v>
      </c>
      <c r="D882">
        <v>12659</v>
      </c>
      <c r="E882" t="s">
        <v>12</v>
      </c>
      <c r="F882" t="s">
        <v>47</v>
      </c>
      <c r="G882">
        <v>6</v>
      </c>
      <c r="H882">
        <v>15</v>
      </c>
      <c r="I882" t="s">
        <v>45</v>
      </c>
      <c r="J882" cm="1">
        <f t="array" ref="J882">IFERROR(
    _xlfn.XLOOKUP(G882, 'Wedgewood Pharm-PM-Yr2-2025'!$E$41:$L$41,
        _xlfn.XLOOKUP('Rate Load'!H882, 'Wedgewood Pharm-PM-Yr2-2025'!$D$42:$D$68,
            'Wedgewood Pharm-PM-Yr2-2025'!$E$42:$L$68, 0, 0),
        0, 0),
    _xlfn.XLOOKUP(G882, 'Wedgewood Pharm-PM-Yr2-2025'!$E$41:$L$41,
        _xlfn.XLOOKUP('Rate Load'!L882, 'Wedgewood Pharm-PM-Yr2-2025'!$D$42:$D$68,
            'Wedgewood Pharm-PM-Yr2-2025'!$E$42:$L$68, 0, 0),
        0, 0)
)</f>
        <v>28.35</v>
      </c>
      <c r="K882" t="s">
        <v>46</v>
      </c>
      <c r="L882" t="s">
        <v>13</v>
      </c>
      <c r="M882">
        <v>2</v>
      </c>
      <c r="N882" t="str">
        <f t="shared" si="13"/>
        <v>INSERT INTO TNL_RATING.dbo.usps_rate_master VALUES ('USPS', '2/13/2025', '2/13/2026', 12659, 'US', 'Priority Mail', 6, 15, 'L', 28.35, 'Wedgewood_USPS_2025', 'NonCubic','2');</v>
      </c>
    </row>
    <row r="883" spans="1:14" x14ac:dyDescent="0.3">
      <c r="A883" t="s">
        <v>11</v>
      </c>
      <c r="B883" s="1" t="s">
        <v>43</v>
      </c>
      <c r="C883" s="1" t="s">
        <v>44</v>
      </c>
      <c r="D883">
        <v>12659</v>
      </c>
      <c r="E883" t="s">
        <v>12</v>
      </c>
      <c r="F883" t="s">
        <v>47</v>
      </c>
      <c r="G883">
        <v>6</v>
      </c>
      <c r="H883">
        <v>16</v>
      </c>
      <c r="I883" t="s">
        <v>45</v>
      </c>
      <c r="J883" cm="1">
        <f t="array" ref="J883">IFERROR(
    _xlfn.XLOOKUP(G883, 'Wedgewood Pharm-PM-Yr2-2025'!$E$41:$L$41,
        _xlfn.XLOOKUP('Rate Load'!H883, 'Wedgewood Pharm-PM-Yr2-2025'!$D$42:$D$68,
            'Wedgewood Pharm-PM-Yr2-2025'!$E$42:$L$68, 0, 0),
        0, 0),
    _xlfn.XLOOKUP(G883, 'Wedgewood Pharm-PM-Yr2-2025'!$E$41:$L$41,
        _xlfn.XLOOKUP('Rate Load'!L883, 'Wedgewood Pharm-PM-Yr2-2025'!$D$42:$D$68,
            'Wedgewood Pharm-PM-Yr2-2025'!$E$42:$L$68, 0, 0),
        0, 0)
)</f>
        <v>29.64</v>
      </c>
      <c r="K883" t="s">
        <v>46</v>
      </c>
      <c r="L883" t="s">
        <v>13</v>
      </c>
      <c r="M883">
        <v>2</v>
      </c>
      <c r="N883" t="str">
        <f t="shared" si="13"/>
        <v>INSERT INTO TNL_RATING.dbo.usps_rate_master VALUES ('USPS', '2/13/2025', '2/13/2026', 12659, 'US', 'Priority Mail', 6, 16, 'L', 29.64, 'Wedgewood_USPS_2025', 'NonCubic','2');</v>
      </c>
    </row>
    <row r="884" spans="1:14" x14ac:dyDescent="0.3">
      <c r="A884" t="s">
        <v>11</v>
      </c>
      <c r="B884" s="1" t="s">
        <v>43</v>
      </c>
      <c r="C884" s="1" t="s">
        <v>44</v>
      </c>
      <c r="D884">
        <v>12659</v>
      </c>
      <c r="E884" t="s">
        <v>12</v>
      </c>
      <c r="F884" t="s">
        <v>47</v>
      </c>
      <c r="G884">
        <v>6</v>
      </c>
      <c r="H884">
        <v>17</v>
      </c>
      <c r="I884" t="s">
        <v>45</v>
      </c>
      <c r="J884" cm="1">
        <f t="array" ref="J884">IFERROR(
    _xlfn.XLOOKUP(G884, 'Wedgewood Pharm-PM-Yr2-2025'!$E$41:$L$41,
        _xlfn.XLOOKUP('Rate Load'!H884, 'Wedgewood Pharm-PM-Yr2-2025'!$D$42:$D$68,
            'Wedgewood Pharm-PM-Yr2-2025'!$E$42:$L$68, 0, 0),
        0, 0),
    _xlfn.XLOOKUP(G884, 'Wedgewood Pharm-PM-Yr2-2025'!$E$41:$L$41,
        _xlfn.XLOOKUP('Rate Load'!L884, 'Wedgewood Pharm-PM-Yr2-2025'!$D$42:$D$68,
            'Wedgewood Pharm-PM-Yr2-2025'!$E$42:$L$68, 0, 0),
        0, 0)
)</f>
        <v>30.91</v>
      </c>
      <c r="K884" t="s">
        <v>46</v>
      </c>
      <c r="L884" t="s">
        <v>13</v>
      </c>
      <c r="M884">
        <v>2</v>
      </c>
      <c r="N884" t="str">
        <f t="shared" si="13"/>
        <v>INSERT INTO TNL_RATING.dbo.usps_rate_master VALUES ('USPS', '2/13/2025', '2/13/2026', 12659, 'US', 'Priority Mail', 6, 17, 'L', 30.91, 'Wedgewood_USPS_2025', 'NonCubic','2');</v>
      </c>
    </row>
    <row r="885" spans="1:14" x14ac:dyDescent="0.3">
      <c r="A885" t="s">
        <v>11</v>
      </c>
      <c r="B885" s="1" t="s">
        <v>43</v>
      </c>
      <c r="C885" s="1" t="s">
        <v>44</v>
      </c>
      <c r="D885">
        <v>12659</v>
      </c>
      <c r="E885" t="s">
        <v>12</v>
      </c>
      <c r="F885" t="s">
        <v>47</v>
      </c>
      <c r="G885">
        <v>6</v>
      </c>
      <c r="H885">
        <v>18</v>
      </c>
      <c r="I885" t="s">
        <v>45</v>
      </c>
      <c r="J885" cm="1">
        <f t="array" ref="J885">IFERROR(
    _xlfn.XLOOKUP(G885, 'Wedgewood Pharm-PM-Yr2-2025'!$E$41:$L$41,
        _xlfn.XLOOKUP('Rate Load'!H885, 'Wedgewood Pharm-PM-Yr2-2025'!$D$42:$D$68,
            'Wedgewood Pharm-PM-Yr2-2025'!$E$42:$L$68, 0, 0),
        0, 0),
    _xlfn.XLOOKUP(G885, 'Wedgewood Pharm-PM-Yr2-2025'!$E$41:$L$41,
        _xlfn.XLOOKUP('Rate Load'!L885, 'Wedgewood Pharm-PM-Yr2-2025'!$D$42:$D$68,
            'Wedgewood Pharm-PM-Yr2-2025'!$E$42:$L$68, 0, 0),
        0, 0)
)</f>
        <v>32.19</v>
      </c>
      <c r="K885" t="s">
        <v>46</v>
      </c>
      <c r="L885" t="s">
        <v>13</v>
      </c>
      <c r="M885">
        <v>2</v>
      </c>
      <c r="N885" t="str">
        <f t="shared" si="13"/>
        <v>INSERT INTO TNL_RATING.dbo.usps_rate_master VALUES ('USPS', '2/13/2025', '2/13/2026', 12659, 'US', 'Priority Mail', 6, 18, 'L', 32.19, 'Wedgewood_USPS_2025', 'NonCubic','2');</v>
      </c>
    </row>
    <row r="886" spans="1:14" x14ac:dyDescent="0.3">
      <c r="A886" t="s">
        <v>11</v>
      </c>
      <c r="B886" s="1" t="s">
        <v>43</v>
      </c>
      <c r="C886" s="1" t="s">
        <v>44</v>
      </c>
      <c r="D886">
        <v>12659</v>
      </c>
      <c r="E886" t="s">
        <v>12</v>
      </c>
      <c r="F886" t="s">
        <v>47</v>
      </c>
      <c r="G886">
        <v>6</v>
      </c>
      <c r="H886">
        <v>19</v>
      </c>
      <c r="I886" t="s">
        <v>45</v>
      </c>
      <c r="J886" cm="1">
        <f t="array" ref="J886">IFERROR(
    _xlfn.XLOOKUP(G886, 'Wedgewood Pharm-PM-Yr2-2025'!$E$41:$L$41,
        _xlfn.XLOOKUP('Rate Load'!H886, 'Wedgewood Pharm-PM-Yr2-2025'!$D$42:$D$68,
            'Wedgewood Pharm-PM-Yr2-2025'!$E$42:$L$68, 0, 0),
        0, 0),
    _xlfn.XLOOKUP(G886, 'Wedgewood Pharm-PM-Yr2-2025'!$E$41:$L$41,
        _xlfn.XLOOKUP('Rate Load'!L886, 'Wedgewood Pharm-PM-Yr2-2025'!$D$42:$D$68,
            'Wedgewood Pharm-PM-Yr2-2025'!$E$42:$L$68, 0, 0),
        0, 0)
)</f>
        <v>33.479999999999997</v>
      </c>
      <c r="K886" t="s">
        <v>46</v>
      </c>
      <c r="L886" t="s">
        <v>13</v>
      </c>
      <c r="M886">
        <v>2</v>
      </c>
      <c r="N886" t="str">
        <f t="shared" si="13"/>
        <v>INSERT INTO TNL_RATING.dbo.usps_rate_master VALUES ('USPS', '2/13/2025', '2/13/2026', 12659, 'US', 'Priority Mail', 6, 19, 'L', 33.48, 'Wedgewood_USPS_2025', 'NonCubic','2');</v>
      </c>
    </row>
    <row r="887" spans="1:14" x14ac:dyDescent="0.3">
      <c r="A887" t="s">
        <v>11</v>
      </c>
      <c r="B887" s="1" t="s">
        <v>43</v>
      </c>
      <c r="C887" s="1" t="s">
        <v>44</v>
      </c>
      <c r="D887">
        <v>12659</v>
      </c>
      <c r="E887" t="s">
        <v>12</v>
      </c>
      <c r="F887" t="s">
        <v>47</v>
      </c>
      <c r="G887">
        <v>6</v>
      </c>
      <c r="H887">
        <v>20</v>
      </c>
      <c r="I887" t="s">
        <v>45</v>
      </c>
      <c r="J887" cm="1">
        <f t="array" ref="J887">IFERROR(
    _xlfn.XLOOKUP(G887, 'Wedgewood Pharm-PM-Yr2-2025'!$E$41:$L$41,
        _xlfn.XLOOKUP('Rate Load'!H887, 'Wedgewood Pharm-PM-Yr2-2025'!$D$42:$D$68,
            'Wedgewood Pharm-PM-Yr2-2025'!$E$42:$L$68, 0, 0),
        0, 0),
    _xlfn.XLOOKUP(G887, 'Wedgewood Pharm-PM-Yr2-2025'!$E$41:$L$41,
        _xlfn.XLOOKUP('Rate Load'!L887, 'Wedgewood Pharm-PM-Yr2-2025'!$D$42:$D$68,
            'Wedgewood Pharm-PM-Yr2-2025'!$E$42:$L$68, 0, 0),
        0, 0)
)</f>
        <v>34.76</v>
      </c>
      <c r="K887" t="s">
        <v>46</v>
      </c>
      <c r="L887" t="s">
        <v>13</v>
      </c>
      <c r="M887">
        <v>2</v>
      </c>
      <c r="N887" t="str">
        <f t="shared" si="13"/>
        <v>INSERT INTO TNL_RATING.dbo.usps_rate_master VALUES ('USPS', '2/13/2025', '2/13/2026', 12659, 'US', 'Priority Mail', 6, 20, 'L', 34.76, 'Wedgewood_USPS_2025', 'NonCubic','2');</v>
      </c>
    </row>
    <row r="888" spans="1:14" x14ac:dyDescent="0.3">
      <c r="A888" t="s">
        <v>11</v>
      </c>
      <c r="B888" s="1" t="s">
        <v>43</v>
      </c>
      <c r="C888" s="1" t="s">
        <v>44</v>
      </c>
      <c r="D888">
        <v>12659</v>
      </c>
      <c r="E888" t="s">
        <v>12</v>
      </c>
      <c r="F888" t="s">
        <v>47</v>
      </c>
      <c r="G888">
        <v>7</v>
      </c>
      <c r="H888">
        <v>0.5</v>
      </c>
      <c r="I888" t="s">
        <v>45</v>
      </c>
      <c r="J888" cm="1">
        <f t="array" ref="J888">IFERROR(
    _xlfn.XLOOKUP(G888, 'Wedgewood Pharm-PM-Yr2-2025'!$E$41:$L$41,
        _xlfn.XLOOKUP('Rate Load'!H888, 'Wedgewood Pharm-PM-Yr2-2025'!$D$42:$D$68,
            'Wedgewood Pharm-PM-Yr2-2025'!$E$42:$L$68, 0, 0),
        0, 0),
    _xlfn.XLOOKUP(G888, 'Wedgewood Pharm-PM-Yr2-2025'!$E$41:$L$41,
        _xlfn.XLOOKUP('Rate Load'!L888, 'Wedgewood Pharm-PM-Yr2-2025'!$D$42:$D$68,
            'Wedgewood Pharm-PM-Yr2-2025'!$E$42:$L$68, 0, 0),
        0, 0)
)</f>
        <v>7.5299999999999994</v>
      </c>
      <c r="K888" t="s">
        <v>46</v>
      </c>
      <c r="L888" t="s">
        <v>13</v>
      </c>
      <c r="M888">
        <v>2</v>
      </c>
      <c r="N888" t="str">
        <f t="shared" si="13"/>
        <v>INSERT INTO TNL_RATING.dbo.usps_rate_master VALUES ('USPS', '2/13/2025', '2/13/2026', 12659, 'US', 'Priority Mail', 7, 0.5, 'L', 7.53, 'Wedgewood_USPS_2025', 'NonCubic','2');</v>
      </c>
    </row>
    <row r="889" spans="1:14" x14ac:dyDescent="0.3">
      <c r="A889" t="s">
        <v>11</v>
      </c>
      <c r="B889" s="1" t="s">
        <v>43</v>
      </c>
      <c r="C889" s="1" t="s">
        <v>44</v>
      </c>
      <c r="D889">
        <v>12659</v>
      </c>
      <c r="E889" t="s">
        <v>12</v>
      </c>
      <c r="F889" t="s">
        <v>47</v>
      </c>
      <c r="G889">
        <v>7</v>
      </c>
      <c r="H889">
        <v>1</v>
      </c>
      <c r="I889" t="s">
        <v>45</v>
      </c>
      <c r="J889" cm="1">
        <f t="array" ref="J889">IFERROR(
    _xlfn.XLOOKUP(G889, 'Wedgewood Pharm-PM-Yr2-2025'!$E$41:$L$41,
        _xlfn.XLOOKUP('Rate Load'!H889, 'Wedgewood Pharm-PM-Yr2-2025'!$D$42:$D$68,
            'Wedgewood Pharm-PM-Yr2-2025'!$E$42:$L$68, 0, 0),
        0, 0),
    _xlfn.XLOOKUP(G889, 'Wedgewood Pharm-PM-Yr2-2025'!$E$41:$L$41,
        _xlfn.XLOOKUP('Rate Load'!L889, 'Wedgewood Pharm-PM-Yr2-2025'!$D$42:$D$68,
            'Wedgewood Pharm-PM-Yr2-2025'!$E$42:$L$68, 0, 0),
        0, 0)
)</f>
        <v>8.1199999999999992</v>
      </c>
      <c r="K889" t="s">
        <v>46</v>
      </c>
      <c r="L889" t="s">
        <v>13</v>
      </c>
      <c r="M889">
        <v>2</v>
      </c>
      <c r="N889" t="str">
        <f t="shared" si="13"/>
        <v>INSERT INTO TNL_RATING.dbo.usps_rate_master VALUES ('USPS', '2/13/2025', '2/13/2026', 12659, 'US', 'Priority Mail', 7, 1, 'L', 8.12, 'Wedgewood_USPS_2025', 'NonCubic','2');</v>
      </c>
    </row>
    <row r="890" spans="1:14" x14ac:dyDescent="0.3">
      <c r="A890" t="s">
        <v>11</v>
      </c>
      <c r="B890" s="1" t="s">
        <v>43</v>
      </c>
      <c r="C890" s="1" t="s">
        <v>44</v>
      </c>
      <c r="D890">
        <v>12659</v>
      </c>
      <c r="E890" t="s">
        <v>12</v>
      </c>
      <c r="F890" t="s">
        <v>47</v>
      </c>
      <c r="G890">
        <v>7</v>
      </c>
      <c r="H890">
        <v>2</v>
      </c>
      <c r="I890" t="s">
        <v>45</v>
      </c>
      <c r="J890" cm="1">
        <f t="array" ref="J890">IFERROR(
    _xlfn.XLOOKUP(G890, 'Wedgewood Pharm-PM-Yr2-2025'!$E$41:$L$41,
        _xlfn.XLOOKUP('Rate Load'!H890, 'Wedgewood Pharm-PM-Yr2-2025'!$D$42:$D$68,
            'Wedgewood Pharm-PM-Yr2-2025'!$E$42:$L$68, 0, 0),
        0, 0),
    _xlfn.XLOOKUP(G890, 'Wedgewood Pharm-PM-Yr2-2025'!$E$41:$L$41,
        _xlfn.XLOOKUP('Rate Load'!L890, 'Wedgewood Pharm-PM-Yr2-2025'!$D$42:$D$68,
            'Wedgewood Pharm-PM-Yr2-2025'!$E$42:$L$68, 0, 0),
        0, 0)
)</f>
        <v>10.26</v>
      </c>
      <c r="K890" t="s">
        <v>46</v>
      </c>
      <c r="L890" t="s">
        <v>13</v>
      </c>
      <c r="M890">
        <v>2</v>
      </c>
      <c r="N890" t="str">
        <f t="shared" si="13"/>
        <v>INSERT INTO TNL_RATING.dbo.usps_rate_master VALUES ('USPS', '2/13/2025', '2/13/2026', 12659, 'US', 'Priority Mail', 7, 2, 'L', 10.26, 'Wedgewood_USPS_2025', 'NonCubic','2');</v>
      </c>
    </row>
    <row r="891" spans="1:14" x14ac:dyDescent="0.3">
      <c r="A891" t="s">
        <v>11</v>
      </c>
      <c r="B891" s="1" t="s">
        <v>43</v>
      </c>
      <c r="C891" s="1" t="s">
        <v>44</v>
      </c>
      <c r="D891">
        <v>12659</v>
      </c>
      <c r="E891" t="s">
        <v>12</v>
      </c>
      <c r="F891" t="s">
        <v>47</v>
      </c>
      <c r="G891">
        <v>7</v>
      </c>
      <c r="H891">
        <v>3</v>
      </c>
      <c r="I891" t="s">
        <v>45</v>
      </c>
      <c r="J891" cm="1">
        <f t="array" ref="J891">IFERROR(
    _xlfn.XLOOKUP(G891, 'Wedgewood Pharm-PM-Yr2-2025'!$E$41:$L$41,
        _xlfn.XLOOKUP('Rate Load'!H891, 'Wedgewood Pharm-PM-Yr2-2025'!$D$42:$D$68,
            'Wedgewood Pharm-PM-Yr2-2025'!$E$42:$L$68, 0, 0),
        0, 0),
    _xlfn.XLOOKUP(G891, 'Wedgewood Pharm-PM-Yr2-2025'!$E$41:$L$41,
        _xlfn.XLOOKUP('Rate Load'!L891, 'Wedgewood Pharm-PM-Yr2-2025'!$D$42:$D$68,
            'Wedgewood Pharm-PM-Yr2-2025'!$E$42:$L$68, 0, 0),
        0, 0)
)</f>
        <v>13.799999999999999</v>
      </c>
      <c r="K891" t="s">
        <v>46</v>
      </c>
      <c r="L891" t="s">
        <v>13</v>
      </c>
      <c r="M891">
        <v>2</v>
      </c>
      <c r="N891" t="str">
        <f t="shared" si="13"/>
        <v>INSERT INTO TNL_RATING.dbo.usps_rate_master VALUES ('USPS', '2/13/2025', '2/13/2026', 12659, 'US', 'Priority Mail', 7, 3, 'L', 13.8, 'Wedgewood_USPS_2025', 'NonCubic','2');</v>
      </c>
    </row>
    <row r="892" spans="1:14" x14ac:dyDescent="0.3">
      <c r="A892" t="s">
        <v>11</v>
      </c>
      <c r="B892" s="1" t="s">
        <v>43</v>
      </c>
      <c r="C892" s="1" t="s">
        <v>44</v>
      </c>
      <c r="D892">
        <v>12659</v>
      </c>
      <c r="E892" t="s">
        <v>12</v>
      </c>
      <c r="F892" t="s">
        <v>47</v>
      </c>
      <c r="G892">
        <v>7</v>
      </c>
      <c r="H892">
        <v>4</v>
      </c>
      <c r="I892" t="s">
        <v>45</v>
      </c>
      <c r="J892" cm="1">
        <f t="array" ref="J892">IFERROR(
    _xlfn.XLOOKUP(G892, 'Wedgewood Pharm-PM-Yr2-2025'!$E$41:$L$41,
        _xlfn.XLOOKUP('Rate Load'!H892, 'Wedgewood Pharm-PM-Yr2-2025'!$D$42:$D$68,
            'Wedgewood Pharm-PM-Yr2-2025'!$E$42:$L$68, 0, 0),
        0, 0),
    _xlfn.XLOOKUP(G892, 'Wedgewood Pharm-PM-Yr2-2025'!$E$41:$L$41,
        _xlfn.XLOOKUP('Rate Load'!L892, 'Wedgewood Pharm-PM-Yr2-2025'!$D$42:$D$68,
            'Wedgewood Pharm-PM-Yr2-2025'!$E$42:$L$68, 0, 0),
        0, 0)
)</f>
        <v>16.37</v>
      </c>
      <c r="K892" t="s">
        <v>46</v>
      </c>
      <c r="L892" t="s">
        <v>13</v>
      </c>
      <c r="M892">
        <v>2</v>
      </c>
      <c r="N892" t="str">
        <f t="shared" si="13"/>
        <v>INSERT INTO TNL_RATING.dbo.usps_rate_master VALUES ('USPS', '2/13/2025', '2/13/2026', 12659, 'US', 'Priority Mail', 7, 4, 'L', 16.37, 'Wedgewood_USPS_2025', 'NonCubic','2');</v>
      </c>
    </row>
    <row r="893" spans="1:14" x14ac:dyDescent="0.3">
      <c r="A893" t="s">
        <v>11</v>
      </c>
      <c r="B893" s="1" t="s">
        <v>43</v>
      </c>
      <c r="C893" s="1" t="s">
        <v>44</v>
      </c>
      <c r="D893">
        <v>12659</v>
      </c>
      <c r="E893" t="s">
        <v>12</v>
      </c>
      <c r="F893" t="s">
        <v>47</v>
      </c>
      <c r="G893">
        <v>7</v>
      </c>
      <c r="H893">
        <v>5</v>
      </c>
      <c r="I893" t="s">
        <v>45</v>
      </c>
      <c r="J893" cm="1">
        <f t="array" ref="J893">IFERROR(
    _xlfn.XLOOKUP(G893, 'Wedgewood Pharm-PM-Yr2-2025'!$E$41:$L$41,
        _xlfn.XLOOKUP('Rate Load'!H893, 'Wedgewood Pharm-PM-Yr2-2025'!$D$42:$D$68,
            'Wedgewood Pharm-PM-Yr2-2025'!$E$42:$L$68, 0, 0),
        0, 0),
    _xlfn.XLOOKUP(G893, 'Wedgewood Pharm-PM-Yr2-2025'!$E$41:$L$41,
        _xlfn.XLOOKUP('Rate Load'!L893, 'Wedgewood Pharm-PM-Yr2-2025'!$D$42:$D$68,
            'Wedgewood Pharm-PM-Yr2-2025'!$E$42:$L$68, 0, 0),
        0, 0)
)</f>
        <v>18.62</v>
      </c>
      <c r="K893" t="s">
        <v>46</v>
      </c>
      <c r="L893" t="s">
        <v>13</v>
      </c>
      <c r="M893">
        <v>2</v>
      </c>
      <c r="N893" t="str">
        <f t="shared" si="13"/>
        <v>INSERT INTO TNL_RATING.dbo.usps_rate_master VALUES ('USPS', '2/13/2025', '2/13/2026', 12659, 'US', 'Priority Mail', 7, 5, 'L', 18.62, 'Wedgewood_USPS_2025', 'NonCubic','2');</v>
      </c>
    </row>
    <row r="894" spans="1:14" x14ac:dyDescent="0.3">
      <c r="A894" t="s">
        <v>11</v>
      </c>
      <c r="B894" s="1" t="s">
        <v>43</v>
      </c>
      <c r="C894" s="1" t="s">
        <v>44</v>
      </c>
      <c r="D894">
        <v>12659</v>
      </c>
      <c r="E894" t="s">
        <v>12</v>
      </c>
      <c r="F894" t="s">
        <v>47</v>
      </c>
      <c r="G894">
        <v>7</v>
      </c>
      <c r="H894">
        <v>6</v>
      </c>
      <c r="I894" t="s">
        <v>45</v>
      </c>
      <c r="J894" cm="1">
        <f t="array" ref="J894">IFERROR(
    _xlfn.XLOOKUP(G894, 'Wedgewood Pharm-PM-Yr2-2025'!$E$41:$L$41,
        _xlfn.XLOOKUP('Rate Load'!H894, 'Wedgewood Pharm-PM-Yr2-2025'!$D$42:$D$68,
            'Wedgewood Pharm-PM-Yr2-2025'!$E$42:$L$68, 0, 0),
        0, 0),
    _xlfn.XLOOKUP(G894, 'Wedgewood Pharm-PM-Yr2-2025'!$E$41:$L$41,
        _xlfn.XLOOKUP('Rate Load'!L894, 'Wedgewood Pharm-PM-Yr2-2025'!$D$42:$D$68,
            'Wedgewood Pharm-PM-Yr2-2025'!$E$42:$L$68, 0, 0),
        0, 0)
)</f>
        <v>21.51</v>
      </c>
      <c r="K894" t="s">
        <v>46</v>
      </c>
      <c r="L894" t="s">
        <v>13</v>
      </c>
      <c r="M894">
        <v>2</v>
      </c>
      <c r="N894" t="str">
        <f t="shared" si="13"/>
        <v>INSERT INTO TNL_RATING.dbo.usps_rate_master VALUES ('USPS', '2/13/2025', '2/13/2026', 12659, 'US', 'Priority Mail', 7, 6, 'L', 21.51, 'Wedgewood_USPS_2025', 'NonCubic','2');</v>
      </c>
    </row>
    <row r="895" spans="1:14" x14ac:dyDescent="0.3">
      <c r="A895" t="s">
        <v>11</v>
      </c>
      <c r="B895" s="1" t="s">
        <v>43</v>
      </c>
      <c r="C895" s="1" t="s">
        <v>44</v>
      </c>
      <c r="D895">
        <v>12659</v>
      </c>
      <c r="E895" t="s">
        <v>12</v>
      </c>
      <c r="F895" t="s">
        <v>47</v>
      </c>
      <c r="G895">
        <v>7</v>
      </c>
      <c r="H895">
        <v>7</v>
      </c>
      <c r="I895" t="s">
        <v>45</v>
      </c>
      <c r="J895" cm="1">
        <f t="array" ref="J895">IFERROR(
    _xlfn.XLOOKUP(G895, 'Wedgewood Pharm-PM-Yr2-2025'!$E$41:$L$41,
        _xlfn.XLOOKUP('Rate Load'!H895, 'Wedgewood Pharm-PM-Yr2-2025'!$D$42:$D$68,
            'Wedgewood Pharm-PM-Yr2-2025'!$E$42:$L$68, 0, 0),
        0, 0),
    _xlfn.XLOOKUP(G895, 'Wedgewood Pharm-PM-Yr2-2025'!$E$41:$L$41,
        _xlfn.XLOOKUP('Rate Load'!L895, 'Wedgewood Pharm-PM-Yr2-2025'!$D$42:$D$68,
            'Wedgewood Pharm-PM-Yr2-2025'!$E$42:$L$68, 0, 0),
        0, 0)
)</f>
        <v>23.3</v>
      </c>
      <c r="K895" t="s">
        <v>46</v>
      </c>
      <c r="L895" t="s">
        <v>13</v>
      </c>
      <c r="M895">
        <v>2</v>
      </c>
      <c r="N895" t="str">
        <f t="shared" si="13"/>
        <v>INSERT INTO TNL_RATING.dbo.usps_rate_master VALUES ('USPS', '2/13/2025', '2/13/2026', 12659, 'US', 'Priority Mail', 7, 7, 'L', 23.3, 'Wedgewood_USPS_2025', 'NonCubic','2');</v>
      </c>
    </row>
    <row r="896" spans="1:14" x14ac:dyDescent="0.3">
      <c r="A896" t="s">
        <v>11</v>
      </c>
      <c r="B896" s="1" t="s">
        <v>43</v>
      </c>
      <c r="C896" s="1" t="s">
        <v>44</v>
      </c>
      <c r="D896">
        <v>12659</v>
      </c>
      <c r="E896" t="s">
        <v>12</v>
      </c>
      <c r="F896" t="s">
        <v>47</v>
      </c>
      <c r="G896">
        <v>7</v>
      </c>
      <c r="H896">
        <v>8</v>
      </c>
      <c r="I896" t="s">
        <v>45</v>
      </c>
      <c r="J896" cm="1">
        <f t="array" ref="J896">IFERROR(
    _xlfn.XLOOKUP(G896, 'Wedgewood Pharm-PM-Yr2-2025'!$E$41:$L$41,
        _xlfn.XLOOKUP('Rate Load'!H896, 'Wedgewood Pharm-PM-Yr2-2025'!$D$42:$D$68,
            'Wedgewood Pharm-PM-Yr2-2025'!$E$42:$L$68, 0, 0),
        0, 0),
    _xlfn.XLOOKUP(G896, 'Wedgewood Pharm-PM-Yr2-2025'!$E$41:$L$41,
        _xlfn.XLOOKUP('Rate Load'!L896, 'Wedgewood Pharm-PM-Yr2-2025'!$D$42:$D$68,
            'Wedgewood Pharm-PM-Yr2-2025'!$E$42:$L$68, 0, 0),
        0, 0)
)</f>
        <v>24.990000000000002</v>
      </c>
      <c r="K896" t="s">
        <v>46</v>
      </c>
      <c r="L896" t="s">
        <v>13</v>
      </c>
      <c r="M896">
        <v>2</v>
      </c>
      <c r="N896" t="str">
        <f t="shared" si="13"/>
        <v>INSERT INTO TNL_RATING.dbo.usps_rate_master VALUES ('USPS', '2/13/2025', '2/13/2026', 12659, 'US', 'Priority Mail', 7, 8, 'L', 24.99, 'Wedgewood_USPS_2025', 'NonCubic','2');</v>
      </c>
    </row>
    <row r="897" spans="1:14" x14ac:dyDescent="0.3">
      <c r="A897" t="s">
        <v>11</v>
      </c>
      <c r="B897" s="1" t="s">
        <v>43</v>
      </c>
      <c r="C897" s="1" t="s">
        <v>44</v>
      </c>
      <c r="D897">
        <v>12659</v>
      </c>
      <c r="E897" t="s">
        <v>12</v>
      </c>
      <c r="F897" t="s">
        <v>47</v>
      </c>
      <c r="G897">
        <v>7</v>
      </c>
      <c r="H897">
        <v>9</v>
      </c>
      <c r="I897" t="s">
        <v>45</v>
      </c>
      <c r="J897" cm="1">
        <f t="array" ref="J897">IFERROR(
    _xlfn.XLOOKUP(G897, 'Wedgewood Pharm-PM-Yr2-2025'!$E$41:$L$41,
        _xlfn.XLOOKUP('Rate Load'!H897, 'Wedgewood Pharm-PM-Yr2-2025'!$D$42:$D$68,
            'Wedgewood Pharm-PM-Yr2-2025'!$E$42:$L$68, 0, 0),
        0, 0),
    _xlfn.XLOOKUP(G897, 'Wedgewood Pharm-PM-Yr2-2025'!$E$41:$L$41,
        _xlfn.XLOOKUP('Rate Load'!L897, 'Wedgewood Pharm-PM-Yr2-2025'!$D$42:$D$68,
            'Wedgewood Pharm-PM-Yr2-2025'!$E$42:$L$68, 0, 0),
        0, 0)
)</f>
        <v>26.630000000000003</v>
      </c>
      <c r="K897" t="s">
        <v>46</v>
      </c>
      <c r="L897" t="s">
        <v>13</v>
      </c>
      <c r="M897">
        <v>2</v>
      </c>
      <c r="N897" t="str">
        <f t="shared" si="13"/>
        <v>INSERT INTO TNL_RATING.dbo.usps_rate_master VALUES ('USPS', '2/13/2025', '2/13/2026', 12659, 'US', 'Priority Mail', 7, 9, 'L', 26.63, 'Wedgewood_USPS_2025', 'NonCubic','2');</v>
      </c>
    </row>
    <row r="898" spans="1:14" x14ac:dyDescent="0.3">
      <c r="A898" t="s">
        <v>11</v>
      </c>
      <c r="B898" s="1" t="s">
        <v>43</v>
      </c>
      <c r="C898" s="1" t="s">
        <v>44</v>
      </c>
      <c r="D898">
        <v>12659</v>
      </c>
      <c r="E898" t="s">
        <v>12</v>
      </c>
      <c r="F898" t="s">
        <v>47</v>
      </c>
      <c r="G898">
        <v>7</v>
      </c>
      <c r="H898">
        <v>10</v>
      </c>
      <c r="I898" t="s">
        <v>45</v>
      </c>
      <c r="J898" cm="1">
        <f t="array" ref="J898">IFERROR(
    _xlfn.XLOOKUP(G898, 'Wedgewood Pharm-PM-Yr2-2025'!$E$41:$L$41,
        _xlfn.XLOOKUP('Rate Load'!H898, 'Wedgewood Pharm-PM-Yr2-2025'!$D$42:$D$68,
            'Wedgewood Pharm-PM-Yr2-2025'!$E$42:$L$68, 0, 0),
        0, 0),
    _xlfn.XLOOKUP(G898, 'Wedgewood Pharm-PM-Yr2-2025'!$E$41:$L$41,
        _xlfn.XLOOKUP('Rate Load'!L898, 'Wedgewood Pharm-PM-Yr2-2025'!$D$42:$D$68,
            'Wedgewood Pharm-PM-Yr2-2025'!$E$42:$L$68, 0, 0),
        0, 0)
)</f>
        <v>28.25</v>
      </c>
      <c r="K898" t="s">
        <v>46</v>
      </c>
      <c r="L898" t="s">
        <v>13</v>
      </c>
      <c r="M898">
        <v>2</v>
      </c>
      <c r="N898" t="str">
        <f t="shared" si="13"/>
        <v>INSERT INTO TNL_RATING.dbo.usps_rate_master VALUES ('USPS', '2/13/2025', '2/13/2026', 12659, 'US', 'Priority Mail', 7, 10, 'L', 28.25, 'Wedgewood_USPS_2025', 'NonCubic','2');</v>
      </c>
    </row>
    <row r="899" spans="1:14" x14ac:dyDescent="0.3">
      <c r="A899" t="s">
        <v>11</v>
      </c>
      <c r="B899" s="1" t="s">
        <v>43</v>
      </c>
      <c r="C899" s="1" t="s">
        <v>44</v>
      </c>
      <c r="D899">
        <v>12659</v>
      </c>
      <c r="E899" t="s">
        <v>12</v>
      </c>
      <c r="F899" t="s">
        <v>47</v>
      </c>
      <c r="G899">
        <v>7</v>
      </c>
      <c r="H899">
        <v>11</v>
      </c>
      <c r="I899" t="s">
        <v>45</v>
      </c>
      <c r="J899" cm="1">
        <f t="array" ref="J899">IFERROR(
    _xlfn.XLOOKUP(G899, 'Wedgewood Pharm-PM-Yr2-2025'!$E$41:$L$41,
        _xlfn.XLOOKUP('Rate Load'!H899, 'Wedgewood Pharm-PM-Yr2-2025'!$D$42:$D$68,
            'Wedgewood Pharm-PM-Yr2-2025'!$E$42:$L$68, 0, 0),
        0, 0),
    _xlfn.XLOOKUP(G899, 'Wedgewood Pharm-PM-Yr2-2025'!$E$41:$L$41,
        _xlfn.XLOOKUP('Rate Load'!L899, 'Wedgewood Pharm-PM-Yr2-2025'!$D$42:$D$68,
            'Wedgewood Pharm-PM-Yr2-2025'!$E$42:$L$68, 0, 0),
        0, 0)
)</f>
        <v>29.39</v>
      </c>
      <c r="K899" t="s">
        <v>46</v>
      </c>
      <c r="L899" t="s">
        <v>13</v>
      </c>
      <c r="M899">
        <v>2</v>
      </c>
      <c r="N899" t="str">
        <f t="shared" ref="N899:N962" si="14">"INSERT INTO TNL_RATING.dbo.usps_rate_master VALUES ('" &amp; A899 &amp; "', '" &amp; B899 &amp; "', '" &amp; C899 &amp; "', " &amp; D899 &amp; ", '" &amp; E899 &amp; "', '" &amp; F899 &amp; "', " &amp; G899 &amp; ", " &amp; H899 &amp; ", '" &amp; I899 &amp; "', " &amp; J899 &amp; ", '" &amp; K899 &amp; "', '" &amp; L899 &amp; "','" &amp; M899 &amp; "');"</f>
        <v>INSERT INTO TNL_RATING.dbo.usps_rate_master VALUES ('USPS', '2/13/2025', '2/13/2026', 12659, 'US', 'Priority Mail', 7, 11, 'L', 29.39, 'Wedgewood_USPS_2025', 'NonCubic','2');</v>
      </c>
    </row>
    <row r="900" spans="1:14" x14ac:dyDescent="0.3">
      <c r="A900" t="s">
        <v>11</v>
      </c>
      <c r="B900" s="1" t="s">
        <v>43</v>
      </c>
      <c r="C900" s="1" t="s">
        <v>44</v>
      </c>
      <c r="D900">
        <v>12659</v>
      </c>
      <c r="E900" t="s">
        <v>12</v>
      </c>
      <c r="F900" t="s">
        <v>47</v>
      </c>
      <c r="G900">
        <v>7</v>
      </c>
      <c r="H900">
        <v>12</v>
      </c>
      <c r="I900" t="s">
        <v>45</v>
      </c>
      <c r="J900" cm="1">
        <f t="array" ref="J900">IFERROR(
    _xlfn.XLOOKUP(G900, 'Wedgewood Pharm-PM-Yr2-2025'!$E$41:$L$41,
        _xlfn.XLOOKUP('Rate Load'!H900, 'Wedgewood Pharm-PM-Yr2-2025'!$D$42:$D$68,
            'Wedgewood Pharm-PM-Yr2-2025'!$E$42:$L$68, 0, 0),
        0, 0),
    _xlfn.XLOOKUP(G900, 'Wedgewood Pharm-PM-Yr2-2025'!$E$41:$L$41,
        _xlfn.XLOOKUP('Rate Load'!L900, 'Wedgewood Pharm-PM-Yr2-2025'!$D$42:$D$68,
            'Wedgewood Pharm-PM-Yr2-2025'!$E$42:$L$68, 0, 0),
        0, 0)
)</f>
        <v>31.080000000000002</v>
      </c>
      <c r="K900" t="s">
        <v>46</v>
      </c>
      <c r="L900" t="s">
        <v>13</v>
      </c>
      <c r="M900">
        <v>2</v>
      </c>
      <c r="N900" t="str">
        <f t="shared" si="14"/>
        <v>INSERT INTO TNL_RATING.dbo.usps_rate_master VALUES ('USPS', '2/13/2025', '2/13/2026', 12659, 'US', 'Priority Mail', 7, 12, 'L', 31.08, 'Wedgewood_USPS_2025', 'NonCubic','2');</v>
      </c>
    </row>
    <row r="901" spans="1:14" x14ac:dyDescent="0.3">
      <c r="A901" t="s">
        <v>11</v>
      </c>
      <c r="B901" s="1" t="s">
        <v>43</v>
      </c>
      <c r="C901" s="1" t="s">
        <v>44</v>
      </c>
      <c r="D901">
        <v>12659</v>
      </c>
      <c r="E901" t="s">
        <v>12</v>
      </c>
      <c r="F901" t="s">
        <v>47</v>
      </c>
      <c r="G901">
        <v>7</v>
      </c>
      <c r="H901">
        <v>13</v>
      </c>
      <c r="I901" t="s">
        <v>45</v>
      </c>
      <c r="J901" cm="1">
        <f t="array" ref="J901">IFERROR(
    _xlfn.XLOOKUP(G901, 'Wedgewood Pharm-PM-Yr2-2025'!$E$41:$L$41,
        _xlfn.XLOOKUP('Rate Load'!H901, 'Wedgewood Pharm-PM-Yr2-2025'!$D$42:$D$68,
            'Wedgewood Pharm-PM-Yr2-2025'!$E$42:$L$68, 0, 0),
        0, 0),
    _xlfn.XLOOKUP(G901, 'Wedgewood Pharm-PM-Yr2-2025'!$E$41:$L$41,
        _xlfn.XLOOKUP('Rate Load'!L901, 'Wedgewood Pharm-PM-Yr2-2025'!$D$42:$D$68,
            'Wedgewood Pharm-PM-Yr2-2025'!$E$42:$L$68, 0, 0),
        0, 0)
)</f>
        <v>32.799999999999997</v>
      </c>
      <c r="K901" t="s">
        <v>46</v>
      </c>
      <c r="L901" t="s">
        <v>13</v>
      </c>
      <c r="M901">
        <v>2</v>
      </c>
      <c r="N901" t="str">
        <f t="shared" si="14"/>
        <v>INSERT INTO TNL_RATING.dbo.usps_rate_master VALUES ('USPS', '2/13/2025', '2/13/2026', 12659, 'US', 'Priority Mail', 7, 13, 'L', 32.8, 'Wedgewood_USPS_2025', 'NonCubic','2');</v>
      </c>
    </row>
    <row r="902" spans="1:14" x14ac:dyDescent="0.3">
      <c r="A902" t="s">
        <v>11</v>
      </c>
      <c r="B902" s="1" t="s">
        <v>43</v>
      </c>
      <c r="C902" s="1" t="s">
        <v>44</v>
      </c>
      <c r="D902">
        <v>12659</v>
      </c>
      <c r="E902" t="s">
        <v>12</v>
      </c>
      <c r="F902" t="s">
        <v>47</v>
      </c>
      <c r="G902">
        <v>7</v>
      </c>
      <c r="H902">
        <v>14</v>
      </c>
      <c r="I902" t="s">
        <v>45</v>
      </c>
      <c r="J902" cm="1">
        <f t="array" ref="J902">IFERROR(
    _xlfn.XLOOKUP(G902, 'Wedgewood Pharm-PM-Yr2-2025'!$E$41:$L$41,
        _xlfn.XLOOKUP('Rate Load'!H902, 'Wedgewood Pharm-PM-Yr2-2025'!$D$42:$D$68,
            'Wedgewood Pharm-PM-Yr2-2025'!$E$42:$L$68, 0, 0),
        0, 0),
    _xlfn.XLOOKUP(G902, 'Wedgewood Pharm-PM-Yr2-2025'!$E$41:$L$41,
        _xlfn.XLOOKUP('Rate Load'!L902, 'Wedgewood Pharm-PM-Yr2-2025'!$D$42:$D$68,
            'Wedgewood Pharm-PM-Yr2-2025'!$E$42:$L$68, 0, 0),
        0, 0)
)</f>
        <v>34.53</v>
      </c>
      <c r="K902" t="s">
        <v>46</v>
      </c>
      <c r="L902" t="s">
        <v>13</v>
      </c>
      <c r="M902">
        <v>2</v>
      </c>
      <c r="N902" t="str">
        <f t="shared" si="14"/>
        <v>INSERT INTO TNL_RATING.dbo.usps_rate_master VALUES ('USPS', '2/13/2025', '2/13/2026', 12659, 'US', 'Priority Mail', 7, 14, 'L', 34.53, 'Wedgewood_USPS_2025', 'NonCubic','2');</v>
      </c>
    </row>
    <row r="903" spans="1:14" x14ac:dyDescent="0.3">
      <c r="A903" t="s">
        <v>11</v>
      </c>
      <c r="B903" s="1" t="s">
        <v>43</v>
      </c>
      <c r="C903" s="1" t="s">
        <v>44</v>
      </c>
      <c r="D903">
        <v>12659</v>
      </c>
      <c r="E903" t="s">
        <v>12</v>
      </c>
      <c r="F903" t="s">
        <v>47</v>
      </c>
      <c r="G903">
        <v>7</v>
      </c>
      <c r="H903">
        <v>15</v>
      </c>
      <c r="I903" t="s">
        <v>45</v>
      </c>
      <c r="J903" cm="1">
        <f t="array" ref="J903">IFERROR(
    _xlfn.XLOOKUP(G903, 'Wedgewood Pharm-PM-Yr2-2025'!$E$41:$L$41,
        _xlfn.XLOOKUP('Rate Load'!H903, 'Wedgewood Pharm-PM-Yr2-2025'!$D$42:$D$68,
            'Wedgewood Pharm-PM-Yr2-2025'!$E$42:$L$68, 0, 0),
        0, 0),
    _xlfn.XLOOKUP(G903, 'Wedgewood Pharm-PM-Yr2-2025'!$E$41:$L$41,
        _xlfn.XLOOKUP('Rate Load'!L903, 'Wedgewood Pharm-PM-Yr2-2025'!$D$42:$D$68,
            'Wedgewood Pharm-PM-Yr2-2025'!$E$42:$L$68, 0, 0),
        0, 0)
)</f>
        <v>36.25</v>
      </c>
      <c r="K903" t="s">
        <v>46</v>
      </c>
      <c r="L903" t="s">
        <v>13</v>
      </c>
      <c r="M903">
        <v>2</v>
      </c>
      <c r="N903" t="str">
        <f t="shared" si="14"/>
        <v>INSERT INTO TNL_RATING.dbo.usps_rate_master VALUES ('USPS', '2/13/2025', '2/13/2026', 12659, 'US', 'Priority Mail', 7, 15, 'L', 36.25, 'Wedgewood_USPS_2025', 'NonCubic','2');</v>
      </c>
    </row>
    <row r="904" spans="1:14" x14ac:dyDescent="0.3">
      <c r="A904" t="s">
        <v>11</v>
      </c>
      <c r="B904" s="1" t="s">
        <v>43</v>
      </c>
      <c r="C904" s="1" t="s">
        <v>44</v>
      </c>
      <c r="D904">
        <v>12659</v>
      </c>
      <c r="E904" t="s">
        <v>12</v>
      </c>
      <c r="F904" t="s">
        <v>47</v>
      </c>
      <c r="G904">
        <v>7</v>
      </c>
      <c r="H904">
        <v>16</v>
      </c>
      <c r="I904" t="s">
        <v>45</v>
      </c>
      <c r="J904" cm="1">
        <f t="array" ref="J904">IFERROR(
    _xlfn.XLOOKUP(G904, 'Wedgewood Pharm-PM-Yr2-2025'!$E$41:$L$41,
        _xlfn.XLOOKUP('Rate Load'!H904, 'Wedgewood Pharm-PM-Yr2-2025'!$D$42:$D$68,
            'Wedgewood Pharm-PM-Yr2-2025'!$E$42:$L$68, 0, 0),
        0, 0),
    _xlfn.XLOOKUP(G904, 'Wedgewood Pharm-PM-Yr2-2025'!$E$41:$L$41,
        _xlfn.XLOOKUP('Rate Load'!L904, 'Wedgewood Pharm-PM-Yr2-2025'!$D$42:$D$68,
            'Wedgewood Pharm-PM-Yr2-2025'!$E$42:$L$68, 0, 0),
        0, 0)
)</f>
        <v>37.97</v>
      </c>
      <c r="K904" t="s">
        <v>46</v>
      </c>
      <c r="L904" t="s">
        <v>13</v>
      </c>
      <c r="M904">
        <v>2</v>
      </c>
      <c r="N904" t="str">
        <f t="shared" si="14"/>
        <v>INSERT INTO TNL_RATING.dbo.usps_rate_master VALUES ('USPS', '2/13/2025', '2/13/2026', 12659, 'US', 'Priority Mail', 7, 16, 'L', 37.97, 'Wedgewood_USPS_2025', 'NonCubic','2');</v>
      </c>
    </row>
    <row r="905" spans="1:14" x14ac:dyDescent="0.3">
      <c r="A905" t="s">
        <v>11</v>
      </c>
      <c r="B905" s="1" t="s">
        <v>43</v>
      </c>
      <c r="C905" s="1" t="s">
        <v>44</v>
      </c>
      <c r="D905">
        <v>12659</v>
      </c>
      <c r="E905" t="s">
        <v>12</v>
      </c>
      <c r="F905" t="s">
        <v>47</v>
      </c>
      <c r="G905">
        <v>7</v>
      </c>
      <c r="H905">
        <v>17</v>
      </c>
      <c r="I905" t="s">
        <v>45</v>
      </c>
      <c r="J905" cm="1">
        <f t="array" ref="J905">IFERROR(
    _xlfn.XLOOKUP(G905, 'Wedgewood Pharm-PM-Yr2-2025'!$E$41:$L$41,
        _xlfn.XLOOKUP('Rate Load'!H905, 'Wedgewood Pharm-PM-Yr2-2025'!$D$42:$D$68,
            'Wedgewood Pharm-PM-Yr2-2025'!$E$42:$L$68, 0, 0),
        0, 0),
    _xlfn.XLOOKUP(G905, 'Wedgewood Pharm-PM-Yr2-2025'!$E$41:$L$41,
        _xlfn.XLOOKUP('Rate Load'!L905, 'Wedgewood Pharm-PM-Yr2-2025'!$D$42:$D$68,
            'Wedgewood Pharm-PM-Yr2-2025'!$E$42:$L$68, 0, 0),
        0, 0)
)</f>
        <v>39.699999999999996</v>
      </c>
      <c r="K905" t="s">
        <v>46</v>
      </c>
      <c r="L905" t="s">
        <v>13</v>
      </c>
      <c r="M905">
        <v>2</v>
      </c>
      <c r="N905" t="str">
        <f t="shared" si="14"/>
        <v>INSERT INTO TNL_RATING.dbo.usps_rate_master VALUES ('USPS', '2/13/2025', '2/13/2026', 12659, 'US', 'Priority Mail', 7, 17, 'L', 39.7, 'Wedgewood_USPS_2025', 'NonCubic','2');</v>
      </c>
    </row>
    <row r="906" spans="1:14" x14ac:dyDescent="0.3">
      <c r="A906" t="s">
        <v>11</v>
      </c>
      <c r="B906" s="1" t="s">
        <v>43</v>
      </c>
      <c r="C906" s="1" t="s">
        <v>44</v>
      </c>
      <c r="D906">
        <v>12659</v>
      </c>
      <c r="E906" t="s">
        <v>12</v>
      </c>
      <c r="F906" t="s">
        <v>47</v>
      </c>
      <c r="G906">
        <v>7</v>
      </c>
      <c r="H906">
        <v>18</v>
      </c>
      <c r="I906" t="s">
        <v>45</v>
      </c>
      <c r="J906" cm="1">
        <f t="array" ref="J906">IFERROR(
    _xlfn.XLOOKUP(G906, 'Wedgewood Pharm-PM-Yr2-2025'!$E$41:$L$41,
        _xlfn.XLOOKUP('Rate Load'!H906, 'Wedgewood Pharm-PM-Yr2-2025'!$D$42:$D$68,
            'Wedgewood Pharm-PM-Yr2-2025'!$E$42:$L$68, 0, 0),
        0, 0),
    _xlfn.XLOOKUP(G906, 'Wedgewood Pharm-PM-Yr2-2025'!$E$41:$L$41,
        _xlfn.XLOOKUP('Rate Load'!L906, 'Wedgewood Pharm-PM-Yr2-2025'!$D$42:$D$68,
            'Wedgewood Pharm-PM-Yr2-2025'!$E$42:$L$68, 0, 0),
        0, 0)
)</f>
        <v>41.419999999999995</v>
      </c>
      <c r="K906" t="s">
        <v>46</v>
      </c>
      <c r="L906" t="s">
        <v>13</v>
      </c>
      <c r="M906">
        <v>2</v>
      </c>
      <c r="N906" t="str">
        <f t="shared" si="14"/>
        <v>INSERT INTO TNL_RATING.dbo.usps_rate_master VALUES ('USPS', '2/13/2025', '2/13/2026', 12659, 'US', 'Priority Mail', 7, 18, 'L', 41.42, 'Wedgewood_USPS_2025', 'NonCubic','2');</v>
      </c>
    </row>
    <row r="907" spans="1:14" x14ac:dyDescent="0.3">
      <c r="A907" t="s">
        <v>11</v>
      </c>
      <c r="B907" s="1" t="s">
        <v>43</v>
      </c>
      <c r="C907" s="1" t="s">
        <v>44</v>
      </c>
      <c r="D907">
        <v>12659</v>
      </c>
      <c r="E907" t="s">
        <v>12</v>
      </c>
      <c r="F907" t="s">
        <v>47</v>
      </c>
      <c r="G907">
        <v>7</v>
      </c>
      <c r="H907">
        <v>19</v>
      </c>
      <c r="I907" t="s">
        <v>45</v>
      </c>
      <c r="J907" cm="1">
        <f t="array" ref="J907">IFERROR(
    _xlfn.XLOOKUP(G907, 'Wedgewood Pharm-PM-Yr2-2025'!$E$41:$L$41,
        _xlfn.XLOOKUP('Rate Load'!H907, 'Wedgewood Pharm-PM-Yr2-2025'!$D$42:$D$68,
            'Wedgewood Pharm-PM-Yr2-2025'!$E$42:$L$68, 0, 0),
        0, 0),
    _xlfn.XLOOKUP(G907, 'Wedgewood Pharm-PM-Yr2-2025'!$E$41:$L$41,
        _xlfn.XLOOKUP('Rate Load'!L907, 'Wedgewood Pharm-PM-Yr2-2025'!$D$42:$D$68,
            'Wedgewood Pharm-PM-Yr2-2025'!$E$42:$L$68, 0, 0),
        0, 0)
)</f>
        <v>43.14</v>
      </c>
      <c r="K907" t="s">
        <v>46</v>
      </c>
      <c r="L907" t="s">
        <v>13</v>
      </c>
      <c r="M907">
        <v>2</v>
      </c>
      <c r="N907" t="str">
        <f t="shared" si="14"/>
        <v>INSERT INTO TNL_RATING.dbo.usps_rate_master VALUES ('USPS', '2/13/2025', '2/13/2026', 12659, 'US', 'Priority Mail', 7, 19, 'L', 43.14, 'Wedgewood_USPS_2025', 'NonCubic','2');</v>
      </c>
    </row>
    <row r="908" spans="1:14" x14ac:dyDescent="0.3">
      <c r="A908" t="s">
        <v>11</v>
      </c>
      <c r="B908" s="1" t="s">
        <v>43</v>
      </c>
      <c r="C908" s="1" t="s">
        <v>44</v>
      </c>
      <c r="D908">
        <v>12659</v>
      </c>
      <c r="E908" t="s">
        <v>12</v>
      </c>
      <c r="F908" t="s">
        <v>47</v>
      </c>
      <c r="G908">
        <v>7</v>
      </c>
      <c r="H908">
        <v>20</v>
      </c>
      <c r="I908" t="s">
        <v>45</v>
      </c>
      <c r="J908" cm="1">
        <f t="array" ref="J908">IFERROR(
    _xlfn.XLOOKUP(G908, 'Wedgewood Pharm-PM-Yr2-2025'!$E$41:$L$41,
        _xlfn.XLOOKUP('Rate Load'!H908, 'Wedgewood Pharm-PM-Yr2-2025'!$D$42:$D$68,
            'Wedgewood Pharm-PM-Yr2-2025'!$E$42:$L$68, 0, 0),
        0, 0),
    _xlfn.XLOOKUP(G908, 'Wedgewood Pharm-PM-Yr2-2025'!$E$41:$L$41,
        _xlfn.XLOOKUP('Rate Load'!L908, 'Wedgewood Pharm-PM-Yr2-2025'!$D$42:$D$68,
            'Wedgewood Pharm-PM-Yr2-2025'!$E$42:$L$68, 0, 0),
        0, 0)
)</f>
        <v>44.87</v>
      </c>
      <c r="K908" t="s">
        <v>46</v>
      </c>
      <c r="L908" t="s">
        <v>13</v>
      </c>
      <c r="M908">
        <v>2</v>
      </c>
      <c r="N908" t="str">
        <f t="shared" si="14"/>
        <v>INSERT INTO TNL_RATING.dbo.usps_rate_master VALUES ('USPS', '2/13/2025', '2/13/2026', 12659, 'US', 'Priority Mail', 7, 20, 'L', 44.87, 'Wedgewood_USPS_2025', 'NonCubic','2');</v>
      </c>
    </row>
    <row r="909" spans="1:14" x14ac:dyDescent="0.3">
      <c r="A909" t="s">
        <v>11</v>
      </c>
      <c r="B909" s="1" t="s">
        <v>43</v>
      </c>
      <c r="C909" s="1" t="s">
        <v>44</v>
      </c>
      <c r="D909">
        <v>12659</v>
      </c>
      <c r="E909" t="s">
        <v>12</v>
      </c>
      <c r="F909" t="s">
        <v>47</v>
      </c>
      <c r="G909">
        <v>8</v>
      </c>
      <c r="H909">
        <v>0.5</v>
      </c>
      <c r="I909" t="s">
        <v>45</v>
      </c>
      <c r="J909" cm="1">
        <f t="array" ref="J909">IFERROR(
    _xlfn.XLOOKUP(G909, 'Wedgewood Pharm-PM-Yr2-2025'!$E$41:$L$41,
        _xlfn.XLOOKUP('Rate Load'!H909, 'Wedgewood Pharm-PM-Yr2-2025'!$D$42:$D$68,
            'Wedgewood Pharm-PM-Yr2-2025'!$E$42:$L$68, 0, 0),
        0, 0),
    _xlfn.XLOOKUP(G909, 'Wedgewood Pharm-PM-Yr2-2025'!$E$41:$L$41,
        _xlfn.XLOOKUP('Rate Load'!L909, 'Wedgewood Pharm-PM-Yr2-2025'!$D$42:$D$68,
            'Wedgewood Pharm-PM-Yr2-2025'!$E$42:$L$68, 0, 0),
        0, 0)
)</f>
        <v>7.93</v>
      </c>
      <c r="K909" t="s">
        <v>46</v>
      </c>
      <c r="L909" t="s">
        <v>13</v>
      </c>
      <c r="M909">
        <v>2</v>
      </c>
      <c r="N909" t="str">
        <f t="shared" si="14"/>
        <v>INSERT INTO TNL_RATING.dbo.usps_rate_master VALUES ('USPS', '2/13/2025', '2/13/2026', 12659, 'US', 'Priority Mail', 8, 0.5, 'L', 7.93, 'Wedgewood_USPS_2025', 'NonCubic','2');</v>
      </c>
    </row>
    <row r="910" spans="1:14" x14ac:dyDescent="0.3">
      <c r="A910" t="s">
        <v>11</v>
      </c>
      <c r="B910" s="1" t="s">
        <v>43</v>
      </c>
      <c r="C910" s="1" t="s">
        <v>44</v>
      </c>
      <c r="D910">
        <v>12659</v>
      </c>
      <c r="E910" t="s">
        <v>12</v>
      </c>
      <c r="F910" t="s">
        <v>47</v>
      </c>
      <c r="G910">
        <v>8</v>
      </c>
      <c r="H910">
        <v>1</v>
      </c>
      <c r="I910" t="s">
        <v>45</v>
      </c>
      <c r="J910" cm="1">
        <f t="array" ref="J910">IFERROR(
    _xlfn.XLOOKUP(G910, 'Wedgewood Pharm-PM-Yr2-2025'!$E$41:$L$41,
        _xlfn.XLOOKUP('Rate Load'!H910, 'Wedgewood Pharm-PM-Yr2-2025'!$D$42:$D$68,
            'Wedgewood Pharm-PM-Yr2-2025'!$E$42:$L$68, 0, 0),
        0, 0),
    _xlfn.XLOOKUP(G910, 'Wedgewood Pharm-PM-Yr2-2025'!$E$41:$L$41,
        _xlfn.XLOOKUP('Rate Load'!L910, 'Wedgewood Pharm-PM-Yr2-2025'!$D$42:$D$68,
            'Wedgewood Pharm-PM-Yr2-2025'!$E$42:$L$68, 0, 0),
        0, 0)
)</f>
        <v>8.56</v>
      </c>
      <c r="K910" t="s">
        <v>46</v>
      </c>
      <c r="L910" t="s">
        <v>13</v>
      </c>
      <c r="M910">
        <v>2</v>
      </c>
      <c r="N910" t="str">
        <f t="shared" si="14"/>
        <v>INSERT INTO TNL_RATING.dbo.usps_rate_master VALUES ('USPS', '2/13/2025', '2/13/2026', 12659, 'US', 'Priority Mail', 8, 1, 'L', 8.56, 'Wedgewood_USPS_2025', 'NonCubic','2');</v>
      </c>
    </row>
    <row r="911" spans="1:14" x14ac:dyDescent="0.3">
      <c r="A911" t="s">
        <v>11</v>
      </c>
      <c r="B911" s="1" t="s">
        <v>43</v>
      </c>
      <c r="C911" s="1" t="s">
        <v>44</v>
      </c>
      <c r="D911">
        <v>12659</v>
      </c>
      <c r="E911" t="s">
        <v>12</v>
      </c>
      <c r="F911" t="s">
        <v>47</v>
      </c>
      <c r="G911">
        <v>8</v>
      </c>
      <c r="H911">
        <v>2</v>
      </c>
      <c r="I911" t="s">
        <v>45</v>
      </c>
      <c r="J911" cm="1">
        <f t="array" ref="J911">IFERROR(
    _xlfn.XLOOKUP(G911, 'Wedgewood Pharm-PM-Yr2-2025'!$E$41:$L$41,
        _xlfn.XLOOKUP('Rate Load'!H911, 'Wedgewood Pharm-PM-Yr2-2025'!$D$42:$D$68,
            'Wedgewood Pharm-PM-Yr2-2025'!$E$42:$L$68, 0, 0),
        0, 0),
    _xlfn.XLOOKUP(G911, 'Wedgewood Pharm-PM-Yr2-2025'!$E$41:$L$41,
        _xlfn.XLOOKUP('Rate Load'!L911, 'Wedgewood Pharm-PM-Yr2-2025'!$D$42:$D$68,
            'Wedgewood Pharm-PM-Yr2-2025'!$E$42:$L$68, 0, 0),
        0, 0)
)</f>
        <v>11.08</v>
      </c>
      <c r="K911" t="s">
        <v>46</v>
      </c>
      <c r="L911" t="s">
        <v>13</v>
      </c>
      <c r="M911">
        <v>2</v>
      </c>
      <c r="N911" t="str">
        <f t="shared" si="14"/>
        <v>INSERT INTO TNL_RATING.dbo.usps_rate_master VALUES ('USPS', '2/13/2025', '2/13/2026', 12659, 'US', 'Priority Mail', 8, 2, 'L', 11.08, 'Wedgewood_USPS_2025', 'NonCubic','2');</v>
      </c>
    </row>
    <row r="912" spans="1:14" x14ac:dyDescent="0.3">
      <c r="A912" t="s">
        <v>11</v>
      </c>
      <c r="B912" s="1" t="s">
        <v>43</v>
      </c>
      <c r="C912" s="1" t="s">
        <v>44</v>
      </c>
      <c r="D912">
        <v>12659</v>
      </c>
      <c r="E912" t="s">
        <v>12</v>
      </c>
      <c r="F912" t="s">
        <v>47</v>
      </c>
      <c r="G912">
        <v>8</v>
      </c>
      <c r="H912">
        <v>3</v>
      </c>
      <c r="I912" t="s">
        <v>45</v>
      </c>
      <c r="J912" cm="1">
        <f t="array" ref="J912">IFERROR(
    _xlfn.XLOOKUP(G912, 'Wedgewood Pharm-PM-Yr2-2025'!$E$41:$L$41,
        _xlfn.XLOOKUP('Rate Load'!H912, 'Wedgewood Pharm-PM-Yr2-2025'!$D$42:$D$68,
            'Wedgewood Pharm-PM-Yr2-2025'!$E$42:$L$68, 0, 0),
        0, 0),
    _xlfn.XLOOKUP(G912, 'Wedgewood Pharm-PM-Yr2-2025'!$E$41:$L$41,
        _xlfn.XLOOKUP('Rate Load'!L912, 'Wedgewood Pharm-PM-Yr2-2025'!$D$42:$D$68,
            'Wedgewood Pharm-PM-Yr2-2025'!$E$42:$L$68, 0, 0),
        0, 0)
)</f>
        <v>15.69</v>
      </c>
      <c r="K912" t="s">
        <v>46</v>
      </c>
      <c r="L912" t="s">
        <v>13</v>
      </c>
      <c r="M912">
        <v>2</v>
      </c>
      <c r="N912" t="str">
        <f t="shared" si="14"/>
        <v>INSERT INTO TNL_RATING.dbo.usps_rate_master VALUES ('USPS', '2/13/2025', '2/13/2026', 12659, 'US', 'Priority Mail', 8, 3, 'L', 15.69, 'Wedgewood_USPS_2025', 'NonCubic','2');</v>
      </c>
    </row>
    <row r="913" spans="1:14" x14ac:dyDescent="0.3">
      <c r="A913" t="s">
        <v>11</v>
      </c>
      <c r="B913" s="1" t="s">
        <v>43</v>
      </c>
      <c r="C913" s="1" t="s">
        <v>44</v>
      </c>
      <c r="D913">
        <v>12659</v>
      </c>
      <c r="E913" t="s">
        <v>12</v>
      </c>
      <c r="F913" t="s">
        <v>47</v>
      </c>
      <c r="G913">
        <v>8</v>
      </c>
      <c r="H913">
        <v>4</v>
      </c>
      <c r="I913" t="s">
        <v>45</v>
      </c>
      <c r="J913" cm="1">
        <f t="array" ref="J913">IFERROR(
    _xlfn.XLOOKUP(G913, 'Wedgewood Pharm-PM-Yr2-2025'!$E$41:$L$41,
        _xlfn.XLOOKUP('Rate Load'!H913, 'Wedgewood Pharm-PM-Yr2-2025'!$D$42:$D$68,
            'Wedgewood Pharm-PM-Yr2-2025'!$E$42:$L$68, 0, 0),
        0, 0),
    _xlfn.XLOOKUP(G913, 'Wedgewood Pharm-PM-Yr2-2025'!$E$41:$L$41,
        _xlfn.XLOOKUP('Rate Load'!L913, 'Wedgewood Pharm-PM-Yr2-2025'!$D$42:$D$68,
            'Wedgewood Pharm-PM-Yr2-2025'!$E$42:$L$68, 0, 0),
        0, 0)
)</f>
        <v>18.360000000000003</v>
      </c>
      <c r="K913" t="s">
        <v>46</v>
      </c>
      <c r="L913" t="s">
        <v>13</v>
      </c>
      <c r="M913">
        <v>2</v>
      </c>
      <c r="N913" t="str">
        <f t="shared" si="14"/>
        <v>INSERT INTO TNL_RATING.dbo.usps_rate_master VALUES ('USPS', '2/13/2025', '2/13/2026', 12659, 'US', 'Priority Mail', 8, 4, 'L', 18.36, 'Wedgewood_USPS_2025', 'NonCubic','2');</v>
      </c>
    </row>
    <row r="914" spans="1:14" x14ac:dyDescent="0.3">
      <c r="A914" t="s">
        <v>11</v>
      </c>
      <c r="B914" s="1" t="s">
        <v>43</v>
      </c>
      <c r="C914" s="1" t="s">
        <v>44</v>
      </c>
      <c r="D914">
        <v>12659</v>
      </c>
      <c r="E914" t="s">
        <v>12</v>
      </c>
      <c r="F914" t="s">
        <v>47</v>
      </c>
      <c r="G914">
        <v>8</v>
      </c>
      <c r="H914">
        <v>5</v>
      </c>
      <c r="I914" t="s">
        <v>45</v>
      </c>
      <c r="J914" cm="1">
        <f t="array" ref="J914">IFERROR(
    _xlfn.XLOOKUP(G914, 'Wedgewood Pharm-PM-Yr2-2025'!$E$41:$L$41,
        _xlfn.XLOOKUP('Rate Load'!H914, 'Wedgewood Pharm-PM-Yr2-2025'!$D$42:$D$68,
            'Wedgewood Pharm-PM-Yr2-2025'!$E$42:$L$68, 0, 0),
        0, 0),
    _xlfn.XLOOKUP(G914, 'Wedgewood Pharm-PM-Yr2-2025'!$E$41:$L$41,
        _xlfn.XLOOKUP('Rate Load'!L914, 'Wedgewood Pharm-PM-Yr2-2025'!$D$42:$D$68,
            'Wedgewood Pharm-PM-Yr2-2025'!$E$42:$L$68, 0, 0),
        0, 0)
)</f>
        <v>20.94</v>
      </c>
      <c r="K914" t="s">
        <v>46</v>
      </c>
      <c r="L914" t="s">
        <v>13</v>
      </c>
      <c r="M914">
        <v>2</v>
      </c>
      <c r="N914" t="str">
        <f t="shared" si="14"/>
        <v>INSERT INTO TNL_RATING.dbo.usps_rate_master VALUES ('USPS', '2/13/2025', '2/13/2026', 12659, 'US', 'Priority Mail', 8, 5, 'L', 20.94, 'Wedgewood_USPS_2025', 'NonCubic','2');</v>
      </c>
    </row>
    <row r="915" spans="1:14" x14ac:dyDescent="0.3">
      <c r="A915" t="s">
        <v>11</v>
      </c>
      <c r="B915" s="1" t="s">
        <v>43</v>
      </c>
      <c r="C915" s="1" t="s">
        <v>44</v>
      </c>
      <c r="D915">
        <v>12659</v>
      </c>
      <c r="E915" t="s">
        <v>12</v>
      </c>
      <c r="F915" t="s">
        <v>47</v>
      </c>
      <c r="G915">
        <v>8</v>
      </c>
      <c r="H915">
        <v>6</v>
      </c>
      <c r="I915" t="s">
        <v>45</v>
      </c>
      <c r="J915" cm="1">
        <f t="array" ref="J915">IFERROR(
    _xlfn.XLOOKUP(G915, 'Wedgewood Pharm-PM-Yr2-2025'!$E$41:$L$41,
        _xlfn.XLOOKUP('Rate Load'!H915, 'Wedgewood Pharm-PM-Yr2-2025'!$D$42:$D$68,
            'Wedgewood Pharm-PM-Yr2-2025'!$E$42:$L$68, 0, 0),
        0, 0),
    _xlfn.XLOOKUP(G915, 'Wedgewood Pharm-PM-Yr2-2025'!$E$41:$L$41,
        _xlfn.XLOOKUP('Rate Load'!L915, 'Wedgewood Pharm-PM-Yr2-2025'!$D$42:$D$68,
            'Wedgewood Pharm-PM-Yr2-2025'!$E$42:$L$68, 0, 0),
        0, 0)
)</f>
        <v>24.150000000000002</v>
      </c>
      <c r="K915" t="s">
        <v>46</v>
      </c>
      <c r="L915" t="s">
        <v>13</v>
      </c>
      <c r="M915">
        <v>2</v>
      </c>
      <c r="N915" t="str">
        <f t="shared" si="14"/>
        <v>INSERT INTO TNL_RATING.dbo.usps_rate_master VALUES ('USPS', '2/13/2025', '2/13/2026', 12659, 'US', 'Priority Mail', 8, 6, 'L', 24.15, 'Wedgewood_USPS_2025', 'NonCubic','2');</v>
      </c>
    </row>
    <row r="916" spans="1:14" x14ac:dyDescent="0.3">
      <c r="A916" t="s">
        <v>11</v>
      </c>
      <c r="B916" s="1" t="s">
        <v>43</v>
      </c>
      <c r="C916" s="1" t="s">
        <v>44</v>
      </c>
      <c r="D916">
        <v>12659</v>
      </c>
      <c r="E916" t="s">
        <v>12</v>
      </c>
      <c r="F916" t="s">
        <v>47</v>
      </c>
      <c r="G916">
        <v>8</v>
      </c>
      <c r="H916">
        <v>7</v>
      </c>
      <c r="I916" t="s">
        <v>45</v>
      </c>
      <c r="J916" cm="1">
        <f t="array" ref="J916">IFERROR(
    _xlfn.XLOOKUP(G916, 'Wedgewood Pharm-PM-Yr2-2025'!$E$41:$L$41,
        _xlfn.XLOOKUP('Rate Load'!H916, 'Wedgewood Pharm-PM-Yr2-2025'!$D$42:$D$68,
            'Wedgewood Pharm-PM-Yr2-2025'!$E$42:$L$68, 0, 0),
        0, 0),
    _xlfn.XLOOKUP(G916, 'Wedgewood Pharm-PM-Yr2-2025'!$E$41:$L$41,
        _xlfn.XLOOKUP('Rate Load'!L916, 'Wedgewood Pharm-PM-Yr2-2025'!$D$42:$D$68,
            'Wedgewood Pharm-PM-Yr2-2025'!$E$42:$L$68, 0, 0),
        0, 0)
)</f>
        <v>26.200000000000003</v>
      </c>
      <c r="K916" t="s">
        <v>46</v>
      </c>
      <c r="L916" t="s">
        <v>13</v>
      </c>
      <c r="M916">
        <v>2</v>
      </c>
      <c r="N916" t="str">
        <f t="shared" si="14"/>
        <v>INSERT INTO TNL_RATING.dbo.usps_rate_master VALUES ('USPS', '2/13/2025', '2/13/2026', 12659, 'US', 'Priority Mail', 8, 7, 'L', 26.2, 'Wedgewood_USPS_2025', 'NonCubic','2');</v>
      </c>
    </row>
    <row r="917" spans="1:14" x14ac:dyDescent="0.3">
      <c r="A917" t="s">
        <v>11</v>
      </c>
      <c r="B917" s="1" t="s">
        <v>43</v>
      </c>
      <c r="C917" s="1" t="s">
        <v>44</v>
      </c>
      <c r="D917">
        <v>12659</v>
      </c>
      <c r="E917" t="s">
        <v>12</v>
      </c>
      <c r="F917" t="s">
        <v>47</v>
      </c>
      <c r="G917">
        <v>8</v>
      </c>
      <c r="H917">
        <v>8</v>
      </c>
      <c r="I917" t="s">
        <v>45</v>
      </c>
      <c r="J917" cm="1">
        <f t="array" ref="J917">IFERROR(
    _xlfn.XLOOKUP(G917, 'Wedgewood Pharm-PM-Yr2-2025'!$E$41:$L$41,
        _xlfn.XLOOKUP('Rate Load'!H917, 'Wedgewood Pharm-PM-Yr2-2025'!$D$42:$D$68,
            'Wedgewood Pharm-PM-Yr2-2025'!$E$42:$L$68, 0, 0),
        0, 0),
    _xlfn.XLOOKUP(G917, 'Wedgewood Pharm-PM-Yr2-2025'!$E$41:$L$41,
        _xlfn.XLOOKUP('Rate Load'!L917, 'Wedgewood Pharm-PM-Yr2-2025'!$D$42:$D$68,
            'Wedgewood Pharm-PM-Yr2-2025'!$E$42:$L$68, 0, 0),
        0, 0)
)</f>
        <v>28.16</v>
      </c>
      <c r="K917" t="s">
        <v>46</v>
      </c>
      <c r="L917" t="s">
        <v>13</v>
      </c>
      <c r="M917">
        <v>2</v>
      </c>
      <c r="N917" t="str">
        <f t="shared" si="14"/>
        <v>INSERT INTO TNL_RATING.dbo.usps_rate_master VALUES ('USPS', '2/13/2025', '2/13/2026', 12659, 'US', 'Priority Mail', 8, 8, 'L', 28.16, 'Wedgewood_USPS_2025', 'NonCubic','2');</v>
      </c>
    </row>
    <row r="918" spans="1:14" x14ac:dyDescent="0.3">
      <c r="A918" t="s">
        <v>11</v>
      </c>
      <c r="B918" s="1" t="s">
        <v>43</v>
      </c>
      <c r="C918" s="1" t="s">
        <v>44</v>
      </c>
      <c r="D918">
        <v>12659</v>
      </c>
      <c r="E918" t="s">
        <v>12</v>
      </c>
      <c r="F918" t="s">
        <v>47</v>
      </c>
      <c r="G918">
        <v>8</v>
      </c>
      <c r="H918">
        <v>9</v>
      </c>
      <c r="I918" t="s">
        <v>45</v>
      </c>
      <c r="J918" cm="1">
        <f t="array" ref="J918">IFERROR(
    _xlfn.XLOOKUP(G918, 'Wedgewood Pharm-PM-Yr2-2025'!$E$41:$L$41,
        _xlfn.XLOOKUP('Rate Load'!H918, 'Wedgewood Pharm-PM-Yr2-2025'!$D$42:$D$68,
            'Wedgewood Pharm-PM-Yr2-2025'!$E$42:$L$68, 0, 0),
        0, 0),
    _xlfn.XLOOKUP(G918, 'Wedgewood Pharm-PM-Yr2-2025'!$E$41:$L$41,
        _xlfn.XLOOKUP('Rate Load'!L918, 'Wedgewood Pharm-PM-Yr2-2025'!$D$42:$D$68,
            'Wedgewood Pharm-PM-Yr2-2025'!$E$42:$L$68, 0, 0),
        0, 0)
)</f>
        <v>30.080000000000002</v>
      </c>
      <c r="K918" t="s">
        <v>46</v>
      </c>
      <c r="L918" t="s">
        <v>13</v>
      </c>
      <c r="M918">
        <v>2</v>
      </c>
      <c r="N918" t="str">
        <f t="shared" si="14"/>
        <v>INSERT INTO TNL_RATING.dbo.usps_rate_master VALUES ('USPS', '2/13/2025', '2/13/2026', 12659, 'US', 'Priority Mail', 8, 9, 'L', 30.08, 'Wedgewood_USPS_2025', 'NonCubic','2');</v>
      </c>
    </row>
    <row r="919" spans="1:14" x14ac:dyDescent="0.3">
      <c r="A919" t="s">
        <v>11</v>
      </c>
      <c r="B919" s="1" t="s">
        <v>43</v>
      </c>
      <c r="C919" s="1" t="s">
        <v>44</v>
      </c>
      <c r="D919">
        <v>12659</v>
      </c>
      <c r="E919" t="s">
        <v>12</v>
      </c>
      <c r="F919" t="s">
        <v>47</v>
      </c>
      <c r="G919">
        <v>8</v>
      </c>
      <c r="H919">
        <v>10</v>
      </c>
      <c r="I919" t="s">
        <v>45</v>
      </c>
      <c r="J919" cm="1">
        <f t="array" ref="J919">IFERROR(
    _xlfn.XLOOKUP(G919, 'Wedgewood Pharm-PM-Yr2-2025'!$E$41:$L$41,
        _xlfn.XLOOKUP('Rate Load'!H919, 'Wedgewood Pharm-PM-Yr2-2025'!$D$42:$D$68,
            'Wedgewood Pharm-PM-Yr2-2025'!$E$42:$L$68, 0, 0),
        0, 0),
    _xlfn.XLOOKUP(G919, 'Wedgewood Pharm-PM-Yr2-2025'!$E$41:$L$41,
        _xlfn.XLOOKUP('Rate Load'!L919, 'Wedgewood Pharm-PM-Yr2-2025'!$D$42:$D$68,
            'Wedgewood Pharm-PM-Yr2-2025'!$E$42:$L$68, 0, 0),
        0, 0)
)</f>
        <v>31.830000000000002</v>
      </c>
      <c r="K919" t="s">
        <v>46</v>
      </c>
      <c r="L919" t="s">
        <v>13</v>
      </c>
      <c r="M919">
        <v>2</v>
      </c>
      <c r="N919" t="str">
        <f t="shared" si="14"/>
        <v>INSERT INTO TNL_RATING.dbo.usps_rate_master VALUES ('USPS', '2/13/2025', '2/13/2026', 12659, 'US', 'Priority Mail', 8, 10, 'L', 31.83, 'Wedgewood_USPS_2025', 'NonCubic','2');</v>
      </c>
    </row>
    <row r="920" spans="1:14" x14ac:dyDescent="0.3">
      <c r="A920" t="s">
        <v>11</v>
      </c>
      <c r="B920" s="1" t="s">
        <v>43</v>
      </c>
      <c r="C920" s="1" t="s">
        <v>44</v>
      </c>
      <c r="D920">
        <v>12659</v>
      </c>
      <c r="E920" t="s">
        <v>12</v>
      </c>
      <c r="F920" t="s">
        <v>47</v>
      </c>
      <c r="G920">
        <v>8</v>
      </c>
      <c r="H920">
        <v>11</v>
      </c>
      <c r="I920" t="s">
        <v>45</v>
      </c>
      <c r="J920" cm="1">
        <f t="array" ref="J920">IFERROR(
    _xlfn.XLOOKUP(G920, 'Wedgewood Pharm-PM-Yr2-2025'!$E$41:$L$41,
        _xlfn.XLOOKUP('Rate Load'!H920, 'Wedgewood Pharm-PM-Yr2-2025'!$D$42:$D$68,
            'Wedgewood Pharm-PM-Yr2-2025'!$E$42:$L$68, 0, 0),
        0, 0),
    _xlfn.XLOOKUP(G920, 'Wedgewood Pharm-PM-Yr2-2025'!$E$41:$L$41,
        _xlfn.XLOOKUP('Rate Load'!L920, 'Wedgewood Pharm-PM-Yr2-2025'!$D$42:$D$68,
            'Wedgewood Pharm-PM-Yr2-2025'!$E$42:$L$68, 0, 0),
        0, 0)
)</f>
        <v>33.04</v>
      </c>
      <c r="K920" t="s">
        <v>46</v>
      </c>
      <c r="L920" t="s">
        <v>13</v>
      </c>
      <c r="M920">
        <v>2</v>
      </c>
      <c r="N920" t="str">
        <f t="shared" si="14"/>
        <v>INSERT INTO TNL_RATING.dbo.usps_rate_master VALUES ('USPS', '2/13/2025', '2/13/2026', 12659, 'US', 'Priority Mail', 8, 11, 'L', 33.04, 'Wedgewood_USPS_2025', 'NonCubic','2');</v>
      </c>
    </row>
    <row r="921" spans="1:14" x14ac:dyDescent="0.3">
      <c r="A921" t="s">
        <v>11</v>
      </c>
      <c r="B921" s="1" t="s">
        <v>43</v>
      </c>
      <c r="C921" s="1" t="s">
        <v>44</v>
      </c>
      <c r="D921">
        <v>12659</v>
      </c>
      <c r="E921" t="s">
        <v>12</v>
      </c>
      <c r="F921" t="s">
        <v>47</v>
      </c>
      <c r="G921">
        <v>8</v>
      </c>
      <c r="H921">
        <v>12</v>
      </c>
      <c r="I921" t="s">
        <v>45</v>
      </c>
      <c r="J921" cm="1">
        <f t="array" ref="J921">IFERROR(
    _xlfn.XLOOKUP(G921, 'Wedgewood Pharm-PM-Yr2-2025'!$E$41:$L$41,
        _xlfn.XLOOKUP('Rate Load'!H921, 'Wedgewood Pharm-PM-Yr2-2025'!$D$42:$D$68,
            'Wedgewood Pharm-PM-Yr2-2025'!$E$42:$L$68, 0, 0),
        0, 0),
    _xlfn.XLOOKUP(G921, 'Wedgewood Pharm-PM-Yr2-2025'!$E$41:$L$41,
        _xlfn.XLOOKUP('Rate Load'!L921, 'Wedgewood Pharm-PM-Yr2-2025'!$D$42:$D$68,
            'Wedgewood Pharm-PM-Yr2-2025'!$E$42:$L$68, 0, 0),
        0, 0)
)</f>
        <v>34.979999999999997</v>
      </c>
      <c r="K921" t="s">
        <v>46</v>
      </c>
      <c r="L921" t="s">
        <v>13</v>
      </c>
      <c r="M921">
        <v>2</v>
      </c>
      <c r="N921" t="str">
        <f t="shared" si="14"/>
        <v>INSERT INTO TNL_RATING.dbo.usps_rate_master VALUES ('USPS', '2/13/2025', '2/13/2026', 12659, 'US', 'Priority Mail', 8, 12, 'L', 34.98, 'Wedgewood_USPS_2025', 'NonCubic','2');</v>
      </c>
    </row>
    <row r="922" spans="1:14" x14ac:dyDescent="0.3">
      <c r="A922" t="s">
        <v>11</v>
      </c>
      <c r="B922" s="1" t="s">
        <v>43</v>
      </c>
      <c r="C922" s="1" t="s">
        <v>44</v>
      </c>
      <c r="D922">
        <v>12659</v>
      </c>
      <c r="E922" t="s">
        <v>12</v>
      </c>
      <c r="F922" t="s">
        <v>47</v>
      </c>
      <c r="G922">
        <v>8</v>
      </c>
      <c r="H922">
        <v>13</v>
      </c>
      <c r="I922" t="s">
        <v>45</v>
      </c>
      <c r="J922" cm="1">
        <f t="array" ref="J922">IFERROR(
    _xlfn.XLOOKUP(G922, 'Wedgewood Pharm-PM-Yr2-2025'!$E$41:$L$41,
        _xlfn.XLOOKUP('Rate Load'!H922, 'Wedgewood Pharm-PM-Yr2-2025'!$D$42:$D$68,
            'Wedgewood Pharm-PM-Yr2-2025'!$E$42:$L$68, 0, 0),
        0, 0),
    _xlfn.XLOOKUP(G922, 'Wedgewood Pharm-PM-Yr2-2025'!$E$41:$L$41,
        _xlfn.XLOOKUP('Rate Load'!L922, 'Wedgewood Pharm-PM-Yr2-2025'!$D$42:$D$68,
            'Wedgewood Pharm-PM-Yr2-2025'!$E$42:$L$68, 0, 0),
        0, 0)
)</f>
        <v>36.949999999999996</v>
      </c>
      <c r="K922" t="s">
        <v>46</v>
      </c>
      <c r="L922" t="s">
        <v>13</v>
      </c>
      <c r="M922">
        <v>2</v>
      </c>
      <c r="N922" t="str">
        <f t="shared" si="14"/>
        <v>INSERT INTO TNL_RATING.dbo.usps_rate_master VALUES ('USPS', '2/13/2025', '2/13/2026', 12659, 'US', 'Priority Mail', 8, 13, 'L', 36.95, 'Wedgewood_USPS_2025', 'NonCubic','2');</v>
      </c>
    </row>
    <row r="923" spans="1:14" x14ac:dyDescent="0.3">
      <c r="A923" t="s">
        <v>11</v>
      </c>
      <c r="B923" s="1" t="s">
        <v>43</v>
      </c>
      <c r="C923" s="1" t="s">
        <v>44</v>
      </c>
      <c r="D923">
        <v>12659</v>
      </c>
      <c r="E923" t="s">
        <v>12</v>
      </c>
      <c r="F923" t="s">
        <v>47</v>
      </c>
      <c r="G923">
        <v>8</v>
      </c>
      <c r="H923">
        <v>14</v>
      </c>
      <c r="I923" t="s">
        <v>45</v>
      </c>
      <c r="J923" cm="1">
        <f t="array" ref="J923">IFERROR(
    _xlfn.XLOOKUP(G923, 'Wedgewood Pharm-PM-Yr2-2025'!$E$41:$L$41,
        _xlfn.XLOOKUP('Rate Load'!H923, 'Wedgewood Pharm-PM-Yr2-2025'!$D$42:$D$68,
            'Wedgewood Pharm-PM-Yr2-2025'!$E$42:$L$68, 0, 0),
        0, 0),
    _xlfn.XLOOKUP(G923, 'Wedgewood Pharm-PM-Yr2-2025'!$E$41:$L$41,
        _xlfn.XLOOKUP('Rate Load'!L923, 'Wedgewood Pharm-PM-Yr2-2025'!$D$42:$D$68,
            'Wedgewood Pharm-PM-Yr2-2025'!$E$42:$L$68, 0, 0),
        0, 0)
)</f>
        <v>38.93</v>
      </c>
      <c r="K923" t="s">
        <v>46</v>
      </c>
      <c r="L923" t="s">
        <v>13</v>
      </c>
      <c r="M923">
        <v>2</v>
      </c>
      <c r="N923" t="str">
        <f t="shared" si="14"/>
        <v>INSERT INTO TNL_RATING.dbo.usps_rate_master VALUES ('USPS', '2/13/2025', '2/13/2026', 12659, 'US', 'Priority Mail', 8, 14, 'L', 38.93, 'Wedgewood_USPS_2025', 'NonCubic','2');</v>
      </c>
    </row>
    <row r="924" spans="1:14" x14ac:dyDescent="0.3">
      <c r="A924" t="s">
        <v>11</v>
      </c>
      <c r="B924" s="1" t="s">
        <v>43</v>
      </c>
      <c r="C924" s="1" t="s">
        <v>44</v>
      </c>
      <c r="D924">
        <v>12659</v>
      </c>
      <c r="E924" t="s">
        <v>12</v>
      </c>
      <c r="F924" t="s">
        <v>47</v>
      </c>
      <c r="G924">
        <v>8</v>
      </c>
      <c r="H924">
        <v>15</v>
      </c>
      <c r="I924" t="s">
        <v>45</v>
      </c>
      <c r="J924" cm="1">
        <f t="array" ref="J924">IFERROR(
    _xlfn.XLOOKUP(G924, 'Wedgewood Pharm-PM-Yr2-2025'!$E$41:$L$41,
        _xlfn.XLOOKUP('Rate Load'!H924, 'Wedgewood Pharm-PM-Yr2-2025'!$D$42:$D$68,
            'Wedgewood Pharm-PM-Yr2-2025'!$E$42:$L$68, 0, 0),
        0, 0),
    _xlfn.XLOOKUP(G924, 'Wedgewood Pharm-PM-Yr2-2025'!$E$41:$L$41,
        _xlfn.XLOOKUP('Rate Load'!L924, 'Wedgewood Pharm-PM-Yr2-2025'!$D$42:$D$68,
            'Wedgewood Pharm-PM-Yr2-2025'!$E$42:$L$68, 0, 0),
        0, 0)
)</f>
        <v>40.909999999999997</v>
      </c>
      <c r="K924" t="s">
        <v>46</v>
      </c>
      <c r="L924" t="s">
        <v>13</v>
      </c>
      <c r="M924">
        <v>2</v>
      </c>
      <c r="N924" t="str">
        <f t="shared" si="14"/>
        <v>INSERT INTO TNL_RATING.dbo.usps_rate_master VALUES ('USPS', '2/13/2025', '2/13/2026', 12659, 'US', 'Priority Mail', 8, 15, 'L', 40.91, 'Wedgewood_USPS_2025', 'NonCubic','2');</v>
      </c>
    </row>
    <row r="925" spans="1:14" x14ac:dyDescent="0.3">
      <c r="A925" t="s">
        <v>11</v>
      </c>
      <c r="B925" s="1" t="s">
        <v>43</v>
      </c>
      <c r="C925" s="1" t="s">
        <v>44</v>
      </c>
      <c r="D925">
        <v>12659</v>
      </c>
      <c r="E925" t="s">
        <v>12</v>
      </c>
      <c r="F925" t="s">
        <v>47</v>
      </c>
      <c r="G925">
        <v>8</v>
      </c>
      <c r="H925">
        <v>16</v>
      </c>
      <c r="I925" t="s">
        <v>45</v>
      </c>
      <c r="J925" cm="1">
        <f t="array" ref="J925">IFERROR(
    _xlfn.XLOOKUP(G925, 'Wedgewood Pharm-PM-Yr2-2025'!$E$41:$L$41,
        _xlfn.XLOOKUP('Rate Load'!H925, 'Wedgewood Pharm-PM-Yr2-2025'!$D$42:$D$68,
            'Wedgewood Pharm-PM-Yr2-2025'!$E$42:$L$68, 0, 0),
        0, 0),
    _xlfn.XLOOKUP(G925, 'Wedgewood Pharm-PM-Yr2-2025'!$E$41:$L$41,
        _xlfn.XLOOKUP('Rate Load'!L925, 'Wedgewood Pharm-PM-Yr2-2025'!$D$42:$D$68,
            'Wedgewood Pharm-PM-Yr2-2025'!$E$42:$L$68, 0, 0),
        0, 0)
)</f>
        <v>42.879999999999995</v>
      </c>
      <c r="K925" t="s">
        <v>46</v>
      </c>
      <c r="L925" t="s">
        <v>13</v>
      </c>
      <c r="M925">
        <v>2</v>
      </c>
      <c r="N925" t="str">
        <f t="shared" si="14"/>
        <v>INSERT INTO TNL_RATING.dbo.usps_rate_master VALUES ('USPS', '2/13/2025', '2/13/2026', 12659, 'US', 'Priority Mail', 8, 16, 'L', 42.88, 'Wedgewood_USPS_2025', 'NonCubic','2');</v>
      </c>
    </row>
    <row r="926" spans="1:14" x14ac:dyDescent="0.3">
      <c r="A926" t="s">
        <v>11</v>
      </c>
      <c r="B926" s="1" t="s">
        <v>43</v>
      </c>
      <c r="C926" s="1" t="s">
        <v>44</v>
      </c>
      <c r="D926">
        <v>12659</v>
      </c>
      <c r="E926" t="s">
        <v>12</v>
      </c>
      <c r="F926" t="s">
        <v>47</v>
      </c>
      <c r="G926">
        <v>8</v>
      </c>
      <c r="H926">
        <v>17</v>
      </c>
      <c r="I926" t="s">
        <v>45</v>
      </c>
      <c r="J926" cm="1">
        <f t="array" ref="J926">IFERROR(
    _xlfn.XLOOKUP(G926, 'Wedgewood Pharm-PM-Yr2-2025'!$E$41:$L$41,
        _xlfn.XLOOKUP('Rate Load'!H926, 'Wedgewood Pharm-PM-Yr2-2025'!$D$42:$D$68,
            'Wedgewood Pharm-PM-Yr2-2025'!$E$42:$L$68, 0, 0),
        0, 0),
    _xlfn.XLOOKUP(G926, 'Wedgewood Pharm-PM-Yr2-2025'!$E$41:$L$41,
        _xlfn.XLOOKUP('Rate Load'!L926, 'Wedgewood Pharm-PM-Yr2-2025'!$D$42:$D$68,
            'Wedgewood Pharm-PM-Yr2-2025'!$E$42:$L$68, 0, 0),
        0, 0)
)</f>
        <v>44.86</v>
      </c>
      <c r="K926" t="s">
        <v>46</v>
      </c>
      <c r="L926" t="s">
        <v>13</v>
      </c>
      <c r="M926">
        <v>2</v>
      </c>
      <c r="N926" t="str">
        <f t="shared" si="14"/>
        <v>INSERT INTO TNL_RATING.dbo.usps_rate_master VALUES ('USPS', '2/13/2025', '2/13/2026', 12659, 'US', 'Priority Mail', 8, 17, 'L', 44.86, 'Wedgewood_USPS_2025', 'NonCubic','2');</v>
      </c>
    </row>
    <row r="927" spans="1:14" x14ac:dyDescent="0.3">
      <c r="A927" t="s">
        <v>11</v>
      </c>
      <c r="B927" s="1" t="s">
        <v>43</v>
      </c>
      <c r="C927" s="1" t="s">
        <v>44</v>
      </c>
      <c r="D927">
        <v>12659</v>
      </c>
      <c r="E927" t="s">
        <v>12</v>
      </c>
      <c r="F927" t="s">
        <v>47</v>
      </c>
      <c r="G927">
        <v>8</v>
      </c>
      <c r="H927">
        <v>18</v>
      </c>
      <c r="I927" t="s">
        <v>45</v>
      </c>
      <c r="J927" cm="1">
        <f t="array" ref="J927">IFERROR(
    _xlfn.XLOOKUP(G927, 'Wedgewood Pharm-PM-Yr2-2025'!$E$41:$L$41,
        _xlfn.XLOOKUP('Rate Load'!H927, 'Wedgewood Pharm-PM-Yr2-2025'!$D$42:$D$68,
            'Wedgewood Pharm-PM-Yr2-2025'!$E$42:$L$68, 0, 0),
        0, 0),
    _xlfn.XLOOKUP(G927, 'Wedgewood Pharm-PM-Yr2-2025'!$E$41:$L$41,
        _xlfn.XLOOKUP('Rate Load'!L927, 'Wedgewood Pharm-PM-Yr2-2025'!$D$42:$D$68,
            'Wedgewood Pharm-PM-Yr2-2025'!$E$42:$L$68, 0, 0),
        0, 0)
)</f>
        <v>46.83</v>
      </c>
      <c r="K927" t="s">
        <v>46</v>
      </c>
      <c r="L927" t="s">
        <v>13</v>
      </c>
      <c r="M927">
        <v>2</v>
      </c>
      <c r="N927" t="str">
        <f t="shared" si="14"/>
        <v>INSERT INTO TNL_RATING.dbo.usps_rate_master VALUES ('USPS', '2/13/2025', '2/13/2026', 12659, 'US', 'Priority Mail', 8, 18, 'L', 46.83, 'Wedgewood_USPS_2025', 'NonCubic','2');</v>
      </c>
    </row>
    <row r="928" spans="1:14" x14ac:dyDescent="0.3">
      <c r="A928" t="s">
        <v>11</v>
      </c>
      <c r="B928" s="1" t="s">
        <v>43</v>
      </c>
      <c r="C928" s="1" t="s">
        <v>44</v>
      </c>
      <c r="D928">
        <v>12659</v>
      </c>
      <c r="E928" t="s">
        <v>12</v>
      </c>
      <c r="F928" t="s">
        <v>47</v>
      </c>
      <c r="G928">
        <v>8</v>
      </c>
      <c r="H928">
        <v>19</v>
      </c>
      <c r="I928" t="s">
        <v>45</v>
      </c>
      <c r="J928" cm="1">
        <f t="array" ref="J928">IFERROR(
    _xlfn.XLOOKUP(G928, 'Wedgewood Pharm-PM-Yr2-2025'!$E$41:$L$41,
        _xlfn.XLOOKUP('Rate Load'!H928, 'Wedgewood Pharm-PM-Yr2-2025'!$D$42:$D$68,
            'Wedgewood Pharm-PM-Yr2-2025'!$E$42:$L$68, 0, 0),
        0, 0),
    _xlfn.XLOOKUP(G928, 'Wedgewood Pharm-PM-Yr2-2025'!$E$41:$L$41,
        _xlfn.XLOOKUP('Rate Load'!L928, 'Wedgewood Pharm-PM-Yr2-2025'!$D$42:$D$68,
            'Wedgewood Pharm-PM-Yr2-2025'!$E$42:$L$68, 0, 0),
        0, 0)
)</f>
        <v>48.8</v>
      </c>
      <c r="K928" t="s">
        <v>46</v>
      </c>
      <c r="L928" t="s">
        <v>13</v>
      </c>
      <c r="M928">
        <v>2</v>
      </c>
      <c r="N928" t="str">
        <f t="shared" si="14"/>
        <v>INSERT INTO TNL_RATING.dbo.usps_rate_master VALUES ('USPS', '2/13/2025', '2/13/2026', 12659, 'US', 'Priority Mail', 8, 19, 'L', 48.8, 'Wedgewood_USPS_2025', 'NonCubic','2');</v>
      </c>
    </row>
    <row r="929" spans="1:14" x14ac:dyDescent="0.3">
      <c r="A929" t="s">
        <v>11</v>
      </c>
      <c r="B929" s="1" t="s">
        <v>43</v>
      </c>
      <c r="C929" s="1" t="s">
        <v>44</v>
      </c>
      <c r="D929">
        <v>12659</v>
      </c>
      <c r="E929" t="s">
        <v>12</v>
      </c>
      <c r="F929" t="s">
        <v>47</v>
      </c>
      <c r="G929">
        <v>8</v>
      </c>
      <c r="H929">
        <v>20</v>
      </c>
      <c r="I929" t="s">
        <v>45</v>
      </c>
      <c r="J929" cm="1">
        <f t="array" ref="J929">IFERROR(
    _xlfn.XLOOKUP(G929, 'Wedgewood Pharm-PM-Yr2-2025'!$E$41:$L$41,
        _xlfn.XLOOKUP('Rate Load'!H929, 'Wedgewood Pharm-PM-Yr2-2025'!$D$42:$D$68,
            'Wedgewood Pharm-PM-Yr2-2025'!$E$42:$L$68, 0, 0),
        0, 0),
    _xlfn.XLOOKUP(G929, 'Wedgewood Pharm-PM-Yr2-2025'!$E$41:$L$41,
        _xlfn.XLOOKUP('Rate Load'!L929, 'Wedgewood Pharm-PM-Yr2-2025'!$D$42:$D$68,
            'Wedgewood Pharm-PM-Yr2-2025'!$E$42:$L$68, 0, 0),
        0, 0)
)</f>
        <v>50.78</v>
      </c>
      <c r="K929" t="s">
        <v>46</v>
      </c>
      <c r="L929" t="s">
        <v>13</v>
      </c>
      <c r="M929">
        <v>2</v>
      </c>
      <c r="N929" t="str">
        <f t="shared" si="14"/>
        <v>INSERT INTO TNL_RATING.dbo.usps_rate_master VALUES ('USPS', '2/13/2025', '2/13/2026', 12659, 'US', 'Priority Mail', 8, 20, 'L', 50.78, 'Wedgewood_USPS_2025', 'NonCubic','2');</v>
      </c>
    </row>
    <row r="930" spans="1:14" x14ac:dyDescent="0.3">
      <c r="A930" t="s">
        <v>11</v>
      </c>
      <c r="B930" s="1" t="s">
        <v>43</v>
      </c>
      <c r="C930" s="1" t="s">
        <v>44</v>
      </c>
      <c r="D930">
        <v>12659</v>
      </c>
      <c r="E930" t="s">
        <v>12</v>
      </c>
      <c r="F930" t="s">
        <v>47</v>
      </c>
      <c r="G930">
        <v>1</v>
      </c>
      <c r="H930">
        <v>0</v>
      </c>
      <c r="I930" t="s">
        <v>45</v>
      </c>
      <c r="J930" cm="1">
        <f t="array" ref="J930">IFERROR(
    _xlfn.XLOOKUP(G930, 'Wedgewood Pharm-PM-Yr2-2025'!$E$41:$L$41,
        _xlfn.XLOOKUP('Rate Load'!H930, 'Wedgewood Pharm-PM-Yr2-2025'!$D$42:$D$68,
            'Wedgewood Pharm-PM-Yr2-2025'!$E$42:$L$68, 0, 0),
        0, 0),
    _xlfn.XLOOKUP(G930, 'Wedgewood Pharm-PM-Yr2-2025'!$E$41:$L$41,
        _xlfn.XLOOKUP('Rate Load'!L930, 'Wedgewood Pharm-PM-Yr2-2025'!$D$42:$D$68,
            'Wedgewood Pharm-PM-Yr2-2025'!$E$42:$L$68, 0, 0),
        0, 0)
)</f>
        <v>7.5</v>
      </c>
      <c r="K930" t="s">
        <v>46</v>
      </c>
      <c r="L930" t="s">
        <v>22</v>
      </c>
      <c r="M930">
        <v>2</v>
      </c>
      <c r="N930" t="str">
        <f t="shared" si="14"/>
        <v>INSERT INTO TNL_RATING.dbo.usps_rate_master VALUES ('USPS', '2/13/2025', '2/13/2026', 12659, 'US', 'Priority Mail', 1, 0, 'L', 7.5, 'Wedgewood_USPS_2025', 'Flat-Rate Envelope','2');</v>
      </c>
    </row>
    <row r="931" spans="1:14" x14ac:dyDescent="0.3">
      <c r="A931" t="s">
        <v>11</v>
      </c>
      <c r="B931" s="1" t="s">
        <v>43</v>
      </c>
      <c r="C931" s="1" t="s">
        <v>44</v>
      </c>
      <c r="D931">
        <v>12659</v>
      </c>
      <c r="E931" t="s">
        <v>12</v>
      </c>
      <c r="F931" t="s">
        <v>47</v>
      </c>
      <c r="G931">
        <v>2</v>
      </c>
      <c r="H931">
        <v>0</v>
      </c>
      <c r="I931" t="s">
        <v>45</v>
      </c>
      <c r="J931" cm="1">
        <f t="array" ref="J931">IFERROR(
    _xlfn.XLOOKUP(G931, 'Wedgewood Pharm-PM-Yr2-2025'!$E$41:$L$41,
        _xlfn.XLOOKUP('Rate Load'!H931, 'Wedgewood Pharm-PM-Yr2-2025'!$D$42:$D$68,
            'Wedgewood Pharm-PM-Yr2-2025'!$E$42:$L$68, 0, 0),
        0, 0),
    _xlfn.XLOOKUP(G931, 'Wedgewood Pharm-PM-Yr2-2025'!$E$41:$L$41,
        _xlfn.XLOOKUP('Rate Load'!L931, 'Wedgewood Pharm-PM-Yr2-2025'!$D$42:$D$68,
            'Wedgewood Pharm-PM-Yr2-2025'!$E$42:$L$68, 0, 0),
        0, 0)
)</f>
        <v>7.5</v>
      </c>
      <c r="K931" t="s">
        <v>46</v>
      </c>
      <c r="L931" t="s">
        <v>22</v>
      </c>
      <c r="M931">
        <v>2</v>
      </c>
      <c r="N931" t="str">
        <f t="shared" si="14"/>
        <v>INSERT INTO TNL_RATING.dbo.usps_rate_master VALUES ('USPS', '2/13/2025', '2/13/2026', 12659, 'US', 'Priority Mail', 2, 0, 'L', 7.5, 'Wedgewood_USPS_2025', 'Flat-Rate Envelope','2');</v>
      </c>
    </row>
    <row r="932" spans="1:14" x14ac:dyDescent="0.3">
      <c r="A932" t="s">
        <v>11</v>
      </c>
      <c r="B932" s="1" t="s">
        <v>43</v>
      </c>
      <c r="C932" s="1" t="s">
        <v>44</v>
      </c>
      <c r="D932">
        <v>12659</v>
      </c>
      <c r="E932" t="s">
        <v>12</v>
      </c>
      <c r="F932" t="s">
        <v>47</v>
      </c>
      <c r="G932">
        <v>3</v>
      </c>
      <c r="H932">
        <v>0</v>
      </c>
      <c r="I932" t="s">
        <v>45</v>
      </c>
      <c r="J932" cm="1">
        <f t="array" ref="J932">IFERROR(
    _xlfn.XLOOKUP(G932, 'Wedgewood Pharm-PM-Yr2-2025'!$E$41:$L$41,
        _xlfn.XLOOKUP('Rate Load'!H932, 'Wedgewood Pharm-PM-Yr2-2025'!$D$42:$D$68,
            'Wedgewood Pharm-PM-Yr2-2025'!$E$42:$L$68, 0, 0),
        0, 0),
    _xlfn.XLOOKUP(G932, 'Wedgewood Pharm-PM-Yr2-2025'!$E$41:$L$41,
        _xlfn.XLOOKUP('Rate Load'!L932, 'Wedgewood Pharm-PM-Yr2-2025'!$D$42:$D$68,
            'Wedgewood Pharm-PM-Yr2-2025'!$E$42:$L$68, 0, 0),
        0, 0)
)</f>
        <v>7.5</v>
      </c>
      <c r="K932" t="s">
        <v>46</v>
      </c>
      <c r="L932" t="s">
        <v>22</v>
      </c>
      <c r="M932">
        <v>2</v>
      </c>
      <c r="N932" t="str">
        <f t="shared" si="14"/>
        <v>INSERT INTO TNL_RATING.dbo.usps_rate_master VALUES ('USPS', '2/13/2025', '2/13/2026', 12659, 'US', 'Priority Mail', 3, 0, 'L', 7.5, 'Wedgewood_USPS_2025', 'Flat-Rate Envelope','2');</v>
      </c>
    </row>
    <row r="933" spans="1:14" x14ac:dyDescent="0.3">
      <c r="A933" t="s">
        <v>11</v>
      </c>
      <c r="B933" s="1" t="s">
        <v>43</v>
      </c>
      <c r="C933" s="1" t="s">
        <v>44</v>
      </c>
      <c r="D933">
        <v>12659</v>
      </c>
      <c r="E933" t="s">
        <v>12</v>
      </c>
      <c r="F933" t="s">
        <v>47</v>
      </c>
      <c r="G933">
        <v>4</v>
      </c>
      <c r="H933">
        <v>0</v>
      </c>
      <c r="I933" t="s">
        <v>45</v>
      </c>
      <c r="J933" cm="1">
        <f t="array" ref="J933">IFERROR(
    _xlfn.XLOOKUP(G933, 'Wedgewood Pharm-PM-Yr2-2025'!$E$41:$L$41,
        _xlfn.XLOOKUP('Rate Load'!H933, 'Wedgewood Pharm-PM-Yr2-2025'!$D$42:$D$68,
            'Wedgewood Pharm-PM-Yr2-2025'!$E$42:$L$68, 0, 0),
        0, 0),
    _xlfn.XLOOKUP(G933, 'Wedgewood Pharm-PM-Yr2-2025'!$E$41:$L$41,
        _xlfn.XLOOKUP('Rate Load'!L933, 'Wedgewood Pharm-PM-Yr2-2025'!$D$42:$D$68,
            'Wedgewood Pharm-PM-Yr2-2025'!$E$42:$L$68, 0, 0),
        0, 0)
)</f>
        <v>7.5</v>
      </c>
      <c r="K933" t="s">
        <v>46</v>
      </c>
      <c r="L933" t="s">
        <v>22</v>
      </c>
      <c r="M933">
        <v>2</v>
      </c>
      <c r="N933" t="str">
        <f t="shared" si="14"/>
        <v>INSERT INTO TNL_RATING.dbo.usps_rate_master VALUES ('USPS', '2/13/2025', '2/13/2026', 12659, 'US', 'Priority Mail', 4, 0, 'L', 7.5, 'Wedgewood_USPS_2025', 'Flat-Rate Envelope','2');</v>
      </c>
    </row>
    <row r="934" spans="1:14" x14ac:dyDescent="0.3">
      <c r="A934" t="s">
        <v>11</v>
      </c>
      <c r="B934" s="1" t="s">
        <v>43</v>
      </c>
      <c r="C934" s="1" t="s">
        <v>44</v>
      </c>
      <c r="D934">
        <v>12659</v>
      </c>
      <c r="E934" t="s">
        <v>12</v>
      </c>
      <c r="F934" t="s">
        <v>47</v>
      </c>
      <c r="G934">
        <v>5</v>
      </c>
      <c r="H934">
        <v>0</v>
      </c>
      <c r="I934" t="s">
        <v>45</v>
      </c>
      <c r="J934" cm="1">
        <f t="array" ref="J934">IFERROR(
    _xlfn.XLOOKUP(G934, 'Wedgewood Pharm-PM-Yr2-2025'!$E$41:$L$41,
        _xlfn.XLOOKUP('Rate Load'!H934, 'Wedgewood Pharm-PM-Yr2-2025'!$D$42:$D$68,
            'Wedgewood Pharm-PM-Yr2-2025'!$E$42:$L$68, 0, 0),
        0, 0),
    _xlfn.XLOOKUP(G934, 'Wedgewood Pharm-PM-Yr2-2025'!$E$41:$L$41,
        _xlfn.XLOOKUP('Rate Load'!L934, 'Wedgewood Pharm-PM-Yr2-2025'!$D$42:$D$68,
            'Wedgewood Pharm-PM-Yr2-2025'!$E$42:$L$68, 0, 0),
        0, 0)
)</f>
        <v>7.5</v>
      </c>
      <c r="K934" t="s">
        <v>46</v>
      </c>
      <c r="L934" t="s">
        <v>22</v>
      </c>
      <c r="M934">
        <v>2</v>
      </c>
      <c r="N934" t="str">
        <f t="shared" si="14"/>
        <v>INSERT INTO TNL_RATING.dbo.usps_rate_master VALUES ('USPS', '2/13/2025', '2/13/2026', 12659, 'US', 'Priority Mail', 5, 0, 'L', 7.5, 'Wedgewood_USPS_2025', 'Flat-Rate Envelope','2');</v>
      </c>
    </row>
    <row r="935" spans="1:14" x14ac:dyDescent="0.3">
      <c r="A935" t="s">
        <v>11</v>
      </c>
      <c r="B935" s="1" t="s">
        <v>43</v>
      </c>
      <c r="C935" s="1" t="s">
        <v>44</v>
      </c>
      <c r="D935">
        <v>12659</v>
      </c>
      <c r="E935" t="s">
        <v>12</v>
      </c>
      <c r="F935" t="s">
        <v>47</v>
      </c>
      <c r="G935">
        <v>6</v>
      </c>
      <c r="H935">
        <v>0</v>
      </c>
      <c r="I935" t="s">
        <v>45</v>
      </c>
      <c r="J935" cm="1">
        <f t="array" ref="J935">IFERROR(
    _xlfn.XLOOKUP(G935, 'Wedgewood Pharm-PM-Yr2-2025'!$E$41:$L$41,
        _xlfn.XLOOKUP('Rate Load'!H935, 'Wedgewood Pharm-PM-Yr2-2025'!$D$42:$D$68,
            'Wedgewood Pharm-PM-Yr2-2025'!$E$42:$L$68, 0, 0),
        0, 0),
    _xlfn.XLOOKUP(G935, 'Wedgewood Pharm-PM-Yr2-2025'!$E$41:$L$41,
        _xlfn.XLOOKUP('Rate Load'!L935, 'Wedgewood Pharm-PM-Yr2-2025'!$D$42:$D$68,
            'Wedgewood Pharm-PM-Yr2-2025'!$E$42:$L$68, 0, 0),
        0, 0)
)</f>
        <v>7.5</v>
      </c>
      <c r="K935" t="s">
        <v>46</v>
      </c>
      <c r="L935" t="s">
        <v>22</v>
      </c>
      <c r="M935">
        <v>2</v>
      </c>
      <c r="N935" t="str">
        <f t="shared" si="14"/>
        <v>INSERT INTO TNL_RATING.dbo.usps_rate_master VALUES ('USPS', '2/13/2025', '2/13/2026', 12659, 'US', 'Priority Mail', 6, 0, 'L', 7.5, 'Wedgewood_USPS_2025', 'Flat-Rate Envelope','2');</v>
      </c>
    </row>
    <row r="936" spans="1:14" x14ac:dyDescent="0.3">
      <c r="A936" t="s">
        <v>11</v>
      </c>
      <c r="B936" s="1" t="s">
        <v>43</v>
      </c>
      <c r="C936" s="1" t="s">
        <v>44</v>
      </c>
      <c r="D936">
        <v>12659</v>
      </c>
      <c r="E936" t="s">
        <v>12</v>
      </c>
      <c r="F936" t="s">
        <v>47</v>
      </c>
      <c r="G936">
        <v>7</v>
      </c>
      <c r="H936">
        <v>0</v>
      </c>
      <c r="I936" t="s">
        <v>45</v>
      </c>
      <c r="J936" cm="1">
        <f t="array" ref="J936">IFERROR(
    _xlfn.XLOOKUP(G936, 'Wedgewood Pharm-PM-Yr2-2025'!$E$41:$L$41,
        _xlfn.XLOOKUP('Rate Load'!H936, 'Wedgewood Pharm-PM-Yr2-2025'!$D$42:$D$68,
            'Wedgewood Pharm-PM-Yr2-2025'!$E$42:$L$68, 0, 0),
        0, 0),
    _xlfn.XLOOKUP(G936, 'Wedgewood Pharm-PM-Yr2-2025'!$E$41:$L$41,
        _xlfn.XLOOKUP('Rate Load'!L936, 'Wedgewood Pharm-PM-Yr2-2025'!$D$42:$D$68,
            'Wedgewood Pharm-PM-Yr2-2025'!$E$42:$L$68, 0, 0),
        0, 0)
)</f>
        <v>7.5</v>
      </c>
      <c r="K936" t="s">
        <v>46</v>
      </c>
      <c r="L936" t="s">
        <v>22</v>
      </c>
      <c r="M936">
        <v>2</v>
      </c>
      <c r="N936" t="str">
        <f t="shared" si="14"/>
        <v>INSERT INTO TNL_RATING.dbo.usps_rate_master VALUES ('USPS', '2/13/2025', '2/13/2026', 12659, 'US', 'Priority Mail', 7, 0, 'L', 7.5, 'Wedgewood_USPS_2025', 'Flat-Rate Envelope','2');</v>
      </c>
    </row>
    <row r="937" spans="1:14" x14ac:dyDescent="0.3">
      <c r="A937" t="s">
        <v>11</v>
      </c>
      <c r="B937" s="1" t="s">
        <v>43</v>
      </c>
      <c r="C937" s="1" t="s">
        <v>44</v>
      </c>
      <c r="D937">
        <v>12659</v>
      </c>
      <c r="E937" t="s">
        <v>12</v>
      </c>
      <c r="F937" t="s">
        <v>47</v>
      </c>
      <c r="G937">
        <v>8</v>
      </c>
      <c r="H937">
        <v>0</v>
      </c>
      <c r="I937" t="s">
        <v>45</v>
      </c>
      <c r="J937" cm="1">
        <f t="array" ref="J937">IFERROR(
    _xlfn.XLOOKUP(G937, 'Wedgewood Pharm-PM-Yr2-2025'!$E$41:$L$41,
        _xlfn.XLOOKUP('Rate Load'!H937, 'Wedgewood Pharm-PM-Yr2-2025'!$D$42:$D$68,
            'Wedgewood Pharm-PM-Yr2-2025'!$E$42:$L$68, 0, 0),
        0, 0),
    _xlfn.XLOOKUP(G937, 'Wedgewood Pharm-PM-Yr2-2025'!$E$41:$L$41,
        _xlfn.XLOOKUP('Rate Load'!L937, 'Wedgewood Pharm-PM-Yr2-2025'!$D$42:$D$68,
            'Wedgewood Pharm-PM-Yr2-2025'!$E$42:$L$68, 0, 0),
        0, 0)
)</f>
        <v>7.5</v>
      </c>
      <c r="K937" t="s">
        <v>46</v>
      </c>
      <c r="L937" t="s">
        <v>22</v>
      </c>
      <c r="M937">
        <v>2</v>
      </c>
      <c r="N937" t="str">
        <f t="shared" si="14"/>
        <v>INSERT INTO TNL_RATING.dbo.usps_rate_master VALUES ('USPS', '2/13/2025', '2/13/2026', 12659, 'US', 'Priority Mail', 8, 0, 'L', 7.5, 'Wedgewood_USPS_2025', 'Flat-Rate Envelope','2');</v>
      </c>
    </row>
    <row r="938" spans="1:14" x14ac:dyDescent="0.3">
      <c r="A938" t="s">
        <v>11</v>
      </c>
      <c r="B938" s="1" t="s">
        <v>43</v>
      </c>
      <c r="C938" s="1" t="s">
        <v>44</v>
      </c>
      <c r="D938">
        <v>12659</v>
      </c>
      <c r="E938" t="s">
        <v>12</v>
      </c>
      <c r="F938" t="s">
        <v>47</v>
      </c>
      <c r="G938">
        <v>1</v>
      </c>
      <c r="H938">
        <v>0</v>
      </c>
      <c r="I938" t="s">
        <v>45</v>
      </c>
      <c r="J938" cm="1">
        <f t="array" ref="J938">IFERROR(
    _xlfn.XLOOKUP(G938, 'Wedgewood Pharm-PM-Yr2-2025'!$E$41:$L$41,
        _xlfn.XLOOKUP('Rate Load'!H938, 'Wedgewood Pharm-PM-Yr2-2025'!$D$42:$D$68,
            'Wedgewood Pharm-PM-Yr2-2025'!$E$42:$L$68, 0, 0),
        0, 0),
    _xlfn.XLOOKUP(G938, 'Wedgewood Pharm-PM-Yr2-2025'!$E$41:$L$41,
        _xlfn.XLOOKUP('Rate Load'!L938, 'Wedgewood Pharm-PM-Yr2-2025'!$D$42:$D$68,
            'Wedgewood Pharm-PM-Yr2-2025'!$E$42:$L$68, 0, 0),
        0, 0)
)</f>
        <v>7.79</v>
      </c>
      <c r="K938" t="s">
        <v>46</v>
      </c>
      <c r="L938" t="s">
        <v>23</v>
      </c>
      <c r="M938">
        <v>2</v>
      </c>
      <c r="N938" t="str">
        <f t="shared" si="14"/>
        <v>INSERT INTO TNL_RATING.dbo.usps_rate_master VALUES ('USPS', '2/13/2025', '2/13/2026', 12659, 'US', 'Priority Mail', 1, 0, 'L', 7.79, 'Wedgewood_USPS_2025', 'Legal Flat-Rate Envelope','2');</v>
      </c>
    </row>
    <row r="939" spans="1:14" x14ac:dyDescent="0.3">
      <c r="A939" t="s">
        <v>11</v>
      </c>
      <c r="B939" s="1" t="s">
        <v>43</v>
      </c>
      <c r="C939" s="1" t="s">
        <v>44</v>
      </c>
      <c r="D939">
        <v>12659</v>
      </c>
      <c r="E939" t="s">
        <v>12</v>
      </c>
      <c r="F939" t="s">
        <v>47</v>
      </c>
      <c r="G939">
        <v>2</v>
      </c>
      <c r="H939">
        <v>0</v>
      </c>
      <c r="I939" t="s">
        <v>45</v>
      </c>
      <c r="J939" cm="1">
        <f t="array" ref="J939">IFERROR(
    _xlfn.XLOOKUP(G939, 'Wedgewood Pharm-PM-Yr2-2025'!$E$41:$L$41,
        _xlfn.XLOOKUP('Rate Load'!H939, 'Wedgewood Pharm-PM-Yr2-2025'!$D$42:$D$68,
            'Wedgewood Pharm-PM-Yr2-2025'!$E$42:$L$68, 0, 0),
        0, 0),
    _xlfn.XLOOKUP(G939, 'Wedgewood Pharm-PM-Yr2-2025'!$E$41:$L$41,
        _xlfn.XLOOKUP('Rate Load'!L939, 'Wedgewood Pharm-PM-Yr2-2025'!$D$42:$D$68,
            'Wedgewood Pharm-PM-Yr2-2025'!$E$42:$L$68, 0, 0),
        0, 0)
)</f>
        <v>7.79</v>
      </c>
      <c r="K939" t="s">
        <v>46</v>
      </c>
      <c r="L939" t="s">
        <v>23</v>
      </c>
      <c r="M939">
        <v>2</v>
      </c>
      <c r="N939" t="str">
        <f t="shared" si="14"/>
        <v>INSERT INTO TNL_RATING.dbo.usps_rate_master VALUES ('USPS', '2/13/2025', '2/13/2026', 12659, 'US', 'Priority Mail', 2, 0, 'L', 7.79, 'Wedgewood_USPS_2025', 'Legal Flat-Rate Envelope','2');</v>
      </c>
    </row>
    <row r="940" spans="1:14" x14ac:dyDescent="0.3">
      <c r="A940" t="s">
        <v>11</v>
      </c>
      <c r="B940" s="1" t="s">
        <v>43</v>
      </c>
      <c r="C940" s="1" t="s">
        <v>44</v>
      </c>
      <c r="D940">
        <v>12659</v>
      </c>
      <c r="E940" t="s">
        <v>12</v>
      </c>
      <c r="F940" t="s">
        <v>47</v>
      </c>
      <c r="G940">
        <v>3</v>
      </c>
      <c r="H940">
        <v>0</v>
      </c>
      <c r="I940" t="s">
        <v>45</v>
      </c>
      <c r="J940" cm="1">
        <f t="array" ref="J940">IFERROR(
    _xlfn.XLOOKUP(G940, 'Wedgewood Pharm-PM-Yr2-2025'!$E$41:$L$41,
        _xlfn.XLOOKUP('Rate Load'!H940, 'Wedgewood Pharm-PM-Yr2-2025'!$D$42:$D$68,
            'Wedgewood Pharm-PM-Yr2-2025'!$E$42:$L$68, 0, 0),
        0, 0),
    _xlfn.XLOOKUP(G940, 'Wedgewood Pharm-PM-Yr2-2025'!$E$41:$L$41,
        _xlfn.XLOOKUP('Rate Load'!L940, 'Wedgewood Pharm-PM-Yr2-2025'!$D$42:$D$68,
            'Wedgewood Pharm-PM-Yr2-2025'!$E$42:$L$68, 0, 0),
        0, 0)
)</f>
        <v>7.79</v>
      </c>
      <c r="K940" t="s">
        <v>46</v>
      </c>
      <c r="L940" t="s">
        <v>23</v>
      </c>
      <c r="M940">
        <v>2</v>
      </c>
      <c r="N940" t="str">
        <f t="shared" si="14"/>
        <v>INSERT INTO TNL_RATING.dbo.usps_rate_master VALUES ('USPS', '2/13/2025', '2/13/2026', 12659, 'US', 'Priority Mail', 3, 0, 'L', 7.79, 'Wedgewood_USPS_2025', 'Legal Flat-Rate Envelope','2');</v>
      </c>
    </row>
    <row r="941" spans="1:14" x14ac:dyDescent="0.3">
      <c r="A941" t="s">
        <v>11</v>
      </c>
      <c r="B941" s="1" t="s">
        <v>43</v>
      </c>
      <c r="C941" s="1" t="s">
        <v>44</v>
      </c>
      <c r="D941">
        <v>12659</v>
      </c>
      <c r="E941" t="s">
        <v>12</v>
      </c>
      <c r="F941" t="s">
        <v>47</v>
      </c>
      <c r="G941">
        <v>4</v>
      </c>
      <c r="H941">
        <v>0</v>
      </c>
      <c r="I941" t="s">
        <v>45</v>
      </c>
      <c r="J941" cm="1">
        <f t="array" ref="J941">IFERROR(
    _xlfn.XLOOKUP(G941, 'Wedgewood Pharm-PM-Yr2-2025'!$E$41:$L$41,
        _xlfn.XLOOKUP('Rate Load'!H941, 'Wedgewood Pharm-PM-Yr2-2025'!$D$42:$D$68,
            'Wedgewood Pharm-PM-Yr2-2025'!$E$42:$L$68, 0, 0),
        0, 0),
    _xlfn.XLOOKUP(G941, 'Wedgewood Pharm-PM-Yr2-2025'!$E$41:$L$41,
        _xlfn.XLOOKUP('Rate Load'!L941, 'Wedgewood Pharm-PM-Yr2-2025'!$D$42:$D$68,
            'Wedgewood Pharm-PM-Yr2-2025'!$E$42:$L$68, 0, 0),
        0, 0)
)</f>
        <v>7.79</v>
      </c>
      <c r="K941" t="s">
        <v>46</v>
      </c>
      <c r="L941" t="s">
        <v>23</v>
      </c>
      <c r="M941">
        <v>2</v>
      </c>
      <c r="N941" t="str">
        <f t="shared" si="14"/>
        <v>INSERT INTO TNL_RATING.dbo.usps_rate_master VALUES ('USPS', '2/13/2025', '2/13/2026', 12659, 'US', 'Priority Mail', 4, 0, 'L', 7.79, 'Wedgewood_USPS_2025', 'Legal Flat-Rate Envelope','2');</v>
      </c>
    </row>
    <row r="942" spans="1:14" x14ac:dyDescent="0.3">
      <c r="A942" t="s">
        <v>11</v>
      </c>
      <c r="B942" s="1" t="s">
        <v>43</v>
      </c>
      <c r="C942" s="1" t="s">
        <v>44</v>
      </c>
      <c r="D942">
        <v>12659</v>
      </c>
      <c r="E942" t="s">
        <v>12</v>
      </c>
      <c r="F942" t="s">
        <v>47</v>
      </c>
      <c r="G942">
        <v>5</v>
      </c>
      <c r="H942">
        <v>0</v>
      </c>
      <c r="I942" t="s">
        <v>45</v>
      </c>
      <c r="J942" cm="1">
        <f t="array" ref="J942">IFERROR(
    _xlfn.XLOOKUP(G942, 'Wedgewood Pharm-PM-Yr2-2025'!$E$41:$L$41,
        _xlfn.XLOOKUP('Rate Load'!H942, 'Wedgewood Pharm-PM-Yr2-2025'!$D$42:$D$68,
            'Wedgewood Pharm-PM-Yr2-2025'!$E$42:$L$68, 0, 0),
        0, 0),
    _xlfn.XLOOKUP(G942, 'Wedgewood Pharm-PM-Yr2-2025'!$E$41:$L$41,
        _xlfn.XLOOKUP('Rate Load'!L942, 'Wedgewood Pharm-PM-Yr2-2025'!$D$42:$D$68,
            'Wedgewood Pharm-PM-Yr2-2025'!$E$42:$L$68, 0, 0),
        0, 0)
)</f>
        <v>7.79</v>
      </c>
      <c r="K942" t="s">
        <v>46</v>
      </c>
      <c r="L942" t="s">
        <v>23</v>
      </c>
      <c r="M942">
        <v>2</v>
      </c>
      <c r="N942" t="str">
        <f t="shared" si="14"/>
        <v>INSERT INTO TNL_RATING.dbo.usps_rate_master VALUES ('USPS', '2/13/2025', '2/13/2026', 12659, 'US', 'Priority Mail', 5, 0, 'L', 7.79, 'Wedgewood_USPS_2025', 'Legal Flat-Rate Envelope','2');</v>
      </c>
    </row>
    <row r="943" spans="1:14" x14ac:dyDescent="0.3">
      <c r="A943" t="s">
        <v>11</v>
      </c>
      <c r="B943" s="1" t="s">
        <v>43</v>
      </c>
      <c r="C943" s="1" t="s">
        <v>44</v>
      </c>
      <c r="D943">
        <v>12659</v>
      </c>
      <c r="E943" t="s">
        <v>12</v>
      </c>
      <c r="F943" t="s">
        <v>47</v>
      </c>
      <c r="G943">
        <v>6</v>
      </c>
      <c r="H943">
        <v>0</v>
      </c>
      <c r="I943" t="s">
        <v>45</v>
      </c>
      <c r="J943" cm="1">
        <f t="array" ref="J943">IFERROR(
    _xlfn.XLOOKUP(G943, 'Wedgewood Pharm-PM-Yr2-2025'!$E$41:$L$41,
        _xlfn.XLOOKUP('Rate Load'!H943, 'Wedgewood Pharm-PM-Yr2-2025'!$D$42:$D$68,
            'Wedgewood Pharm-PM-Yr2-2025'!$E$42:$L$68, 0, 0),
        0, 0),
    _xlfn.XLOOKUP(G943, 'Wedgewood Pharm-PM-Yr2-2025'!$E$41:$L$41,
        _xlfn.XLOOKUP('Rate Load'!L943, 'Wedgewood Pharm-PM-Yr2-2025'!$D$42:$D$68,
            'Wedgewood Pharm-PM-Yr2-2025'!$E$42:$L$68, 0, 0),
        0, 0)
)</f>
        <v>7.79</v>
      </c>
      <c r="K943" t="s">
        <v>46</v>
      </c>
      <c r="L943" t="s">
        <v>23</v>
      </c>
      <c r="M943">
        <v>2</v>
      </c>
      <c r="N943" t="str">
        <f t="shared" si="14"/>
        <v>INSERT INTO TNL_RATING.dbo.usps_rate_master VALUES ('USPS', '2/13/2025', '2/13/2026', 12659, 'US', 'Priority Mail', 6, 0, 'L', 7.79, 'Wedgewood_USPS_2025', 'Legal Flat-Rate Envelope','2');</v>
      </c>
    </row>
    <row r="944" spans="1:14" x14ac:dyDescent="0.3">
      <c r="A944" t="s">
        <v>11</v>
      </c>
      <c r="B944" s="1" t="s">
        <v>43</v>
      </c>
      <c r="C944" s="1" t="s">
        <v>44</v>
      </c>
      <c r="D944">
        <v>12659</v>
      </c>
      <c r="E944" t="s">
        <v>12</v>
      </c>
      <c r="F944" t="s">
        <v>47</v>
      </c>
      <c r="G944">
        <v>7</v>
      </c>
      <c r="H944">
        <v>0</v>
      </c>
      <c r="I944" t="s">
        <v>45</v>
      </c>
      <c r="J944" cm="1">
        <f t="array" ref="J944">IFERROR(
    _xlfn.XLOOKUP(G944, 'Wedgewood Pharm-PM-Yr2-2025'!$E$41:$L$41,
        _xlfn.XLOOKUP('Rate Load'!H944, 'Wedgewood Pharm-PM-Yr2-2025'!$D$42:$D$68,
            'Wedgewood Pharm-PM-Yr2-2025'!$E$42:$L$68, 0, 0),
        0, 0),
    _xlfn.XLOOKUP(G944, 'Wedgewood Pharm-PM-Yr2-2025'!$E$41:$L$41,
        _xlfn.XLOOKUP('Rate Load'!L944, 'Wedgewood Pharm-PM-Yr2-2025'!$D$42:$D$68,
            'Wedgewood Pharm-PM-Yr2-2025'!$E$42:$L$68, 0, 0),
        0, 0)
)</f>
        <v>7.79</v>
      </c>
      <c r="K944" t="s">
        <v>46</v>
      </c>
      <c r="L944" t="s">
        <v>23</v>
      </c>
      <c r="M944">
        <v>2</v>
      </c>
      <c r="N944" t="str">
        <f t="shared" si="14"/>
        <v>INSERT INTO TNL_RATING.dbo.usps_rate_master VALUES ('USPS', '2/13/2025', '2/13/2026', 12659, 'US', 'Priority Mail', 7, 0, 'L', 7.79, 'Wedgewood_USPS_2025', 'Legal Flat-Rate Envelope','2');</v>
      </c>
    </row>
    <row r="945" spans="1:14" x14ac:dyDescent="0.3">
      <c r="A945" t="s">
        <v>11</v>
      </c>
      <c r="B945" s="1" t="s">
        <v>43</v>
      </c>
      <c r="C945" s="1" t="s">
        <v>44</v>
      </c>
      <c r="D945">
        <v>12659</v>
      </c>
      <c r="E945" t="s">
        <v>12</v>
      </c>
      <c r="F945" t="s">
        <v>47</v>
      </c>
      <c r="G945">
        <v>8</v>
      </c>
      <c r="H945">
        <v>0</v>
      </c>
      <c r="I945" t="s">
        <v>45</v>
      </c>
      <c r="J945" cm="1">
        <f t="array" ref="J945">IFERROR(
    _xlfn.XLOOKUP(G945, 'Wedgewood Pharm-PM-Yr2-2025'!$E$41:$L$41,
        _xlfn.XLOOKUP('Rate Load'!H945, 'Wedgewood Pharm-PM-Yr2-2025'!$D$42:$D$68,
            'Wedgewood Pharm-PM-Yr2-2025'!$E$42:$L$68, 0, 0),
        0, 0),
    _xlfn.XLOOKUP(G945, 'Wedgewood Pharm-PM-Yr2-2025'!$E$41:$L$41,
        _xlfn.XLOOKUP('Rate Load'!L945, 'Wedgewood Pharm-PM-Yr2-2025'!$D$42:$D$68,
            'Wedgewood Pharm-PM-Yr2-2025'!$E$42:$L$68, 0, 0),
        0, 0)
)</f>
        <v>7.79</v>
      </c>
      <c r="K945" t="s">
        <v>46</v>
      </c>
      <c r="L945" t="s">
        <v>23</v>
      </c>
      <c r="M945">
        <v>2</v>
      </c>
      <c r="N945" t="str">
        <f t="shared" si="14"/>
        <v>INSERT INTO TNL_RATING.dbo.usps_rate_master VALUES ('USPS', '2/13/2025', '2/13/2026', 12659, 'US', 'Priority Mail', 8, 0, 'L', 7.79, 'Wedgewood_USPS_2025', 'Legal Flat-Rate Envelope','2');</v>
      </c>
    </row>
    <row r="946" spans="1:14" x14ac:dyDescent="0.3">
      <c r="A946" t="s">
        <v>11</v>
      </c>
      <c r="B946" s="1" t="s">
        <v>43</v>
      </c>
      <c r="C946" s="1" t="s">
        <v>44</v>
      </c>
      <c r="D946">
        <v>12659</v>
      </c>
      <c r="E946" t="s">
        <v>12</v>
      </c>
      <c r="F946" t="s">
        <v>47</v>
      </c>
      <c r="G946">
        <v>1</v>
      </c>
      <c r="H946">
        <v>0</v>
      </c>
      <c r="I946" t="s">
        <v>45</v>
      </c>
      <c r="J946" cm="1">
        <f t="array" ref="J946">IFERROR(
    _xlfn.XLOOKUP(G946, 'Wedgewood Pharm-PM-Yr2-2025'!$E$41:$L$41,
        _xlfn.XLOOKUP('Rate Load'!H946, 'Wedgewood Pharm-PM-Yr2-2025'!$D$42:$D$68,
            'Wedgewood Pharm-PM-Yr2-2025'!$E$42:$L$68, 0, 0),
        0, 0),
    _xlfn.XLOOKUP(G946, 'Wedgewood Pharm-PM-Yr2-2025'!$E$41:$L$41,
        _xlfn.XLOOKUP('Rate Load'!L946, 'Wedgewood Pharm-PM-Yr2-2025'!$D$42:$D$68,
            'Wedgewood Pharm-PM-Yr2-2025'!$E$42:$L$68, 0, 0),
        0, 0)
)</f>
        <v>8.19</v>
      </c>
      <c r="K946" t="s">
        <v>46</v>
      </c>
      <c r="L946" t="s">
        <v>24</v>
      </c>
      <c r="M946">
        <v>2</v>
      </c>
      <c r="N946" t="str">
        <f t="shared" si="14"/>
        <v>INSERT INTO TNL_RATING.dbo.usps_rate_master VALUES ('USPS', '2/13/2025', '2/13/2026', 12659, 'US', 'Priority Mail', 1, 0, 'L', 8.19, 'Wedgewood_USPS_2025', 'Padded Flat-Rate Envelope','2');</v>
      </c>
    </row>
    <row r="947" spans="1:14" x14ac:dyDescent="0.3">
      <c r="A947" t="s">
        <v>11</v>
      </c>
      <c r="B947" s="1" t="s">
        <v>43</v>
      </c>
      <c r="C947" s="1" t="s">
        <v>44</v>
      </c>
      <c r="D947">
        <v>12659</v>
      </c>
      <c r="E947" t="s">
        <v>12</v>
      </c>
      <c r="F947" t="s">
        <v>47</v>
      </c>
      <c r="G947">
        <v>2</v>
      </c>
      <c r="H947">
        <v>0</v>
      </c>
      <c r="I947" t="s">
        <v>45</v>
      </c>
      <c r="J947" cm="1">
        <f t="array" ref="J947">IFERROR(
    _xlfn.XLOOKUP(G947, 'Wedgewood Pharm-PM-Yr2-2025'!$E$41:$L$41,
        _xlfn.XLOOKUP('Rate Load'!H947, 'Wedgewood Pharm-PM-Yr2-2025'!$D$42:$D$68,
            'Wedgewood Pharm-PM-Yr2-2025'!$E$42:$L$68, 0, 0),
        0, 0),
    _xlfn.XLOOKUP(G947, 'Wedgewood Pharm-PM-Yr2-2025'!$E$41:$L$41,
        _xlfn.XLOOKUP('Rate Load'!L947, 'Wedgewood Pharm-PM-Yr2-2025'!$D$42:$D$68,
            'Wedgewood Pharm-PM-Yr2-2025'!$E$42:$L$68, 0, 0),
        0, 0)
)</f>
        <v>8.19</v>
      </c>
      <c r="K947" t="s">
        <v>46</v>
      </c>
      <c r="L947" t="s">
        <v>24</v>
      </c>
      <c r="M947">
        <v>2</v>
      </c>
      <c r="N947" t="str">
        <f t="shared" si="14"/>
        <v>INSERT INTO TNL_RATING.dbo.usps_rate_master VALUES ('USPS', '2/13/2025', '2/13/2026', 12659, 'US', 'Priority Mail', 2, 0, 'L', 8.19, 'Wedgewood_USPS_2025', 'Padded Flat-Rate Envelope','2');</v>
      </c>
    </row>
    <row r="948" spans="1:14" x14ac:dyDescent="0.3">
      <c r="A948" t="s">
        <v>11</v>
      </c>
      <c r="B948" s="1" t="s">
        <v>43</v>
      </c>
      <c r="C948" s="1" t="s">
        <v>44</v>
      </c>
      <c r="D948">
        <v>12659</v>
      </c>
      <c r="E948" t="s">
        <v>12</v>
      </c>
      <c r="F948" t="s">
        <v>47</v>
      </c>
      <c r="G948">
        <v>3</v>
      </c>
      <c r="H948">
        <v>0</v>
      </c>
      <c r="I948" t="s">
        <v>45</v>
      </c>
      <c r="J948" cm="1">
        <f t="array" ref="J948">IFERROR(
    _xlfn.XLOOKUP(G948, 'Wedgewood Pharm-PM-Yr2-2025'!$E$41:$L$41,
        _xlfn.XLOOKUP('Rate Load'!H948, 'Wedgewood Pharm-PM-Yr2-2025'!$D$42:$D$68,
            'Wedgewood Pharm-PM-Yr2-2025'!$E$42:$L$68, 0, 0),
        0, 0),
    _xlfn.XLOOKUP(G948, 'Wedgewood Pharm-PM-Yr2-2025'!$E$41:$L$41,
        _xlfn.XLOOKUP('Rate Load'!L948, 'Wedgewood Pharm-PM-Yr2-2025'!$D$42:$D$68,
            'Wedgewood Pharm-PM-Yr2-2025'!$E$42:$L$68, 0, 0),
        0, 0)
)</f>
        <v>8.19</v>
      </c>
      <c r="K948" t="s">
        <v>46</v>
      </c>
      <c r="L948" t="s">
        <v>24</v>
      </c>
      <c r="M948">
        <v>2</v>
      </c>
      <c r="N948" t="str">
        <f t="shared" si="14"/>
        <v>INSERT INTO TNL_RATING.dbo.usps_rate_master VALUES ('USPS', '2/13/2025', '2/13/2026', 12659, 'US', 'Priority Mail', 3, 0, 'L', 8.19, 'Wedgewood_USPS_2025', 'Padded Flat-Rate Envelope','2');</v>
      </c>
    </row>
    <row r="949" spans="1:14" x14ac:dyDescent="0.3">
      <c r="A949" t="s">
        <v>11</v>
      </c>
      <c r="B949" s="1" t="s">
        <v>43</v>
      </c>
      <c r="C949" s="1" t="s">
        <v>44</v>
      </c>
      <c r="D949">
        <v>12659</v>
      </c>
      <c r="E949" t="s">
        <v>12</v>
      </c>
      <c r="F949" t="s">
        <v>47</v>
      </c>
      <c r="G949">
        <v>4</v>
      </c>
      <c r="H949">
        <v>0</v>
      </c>
      <c r="I949" t="s">
        <v>45</v>
      </c>
      <c r="J949" cm="1">
        <f t="array" ref="J949">IFERROR(
    _xlfn.XLOOKUP(G949, 'Wedgewood Pharm-PM-Yr2-2025'!$E$41:$L$41,
        _xlfn.XLOOKUP('Rate Load'!H949, 'Wedgewood Pharm-PM-Yr2-2025'!$D$42:$D$68,
            'Wedgewood Pharm-PM-Yr2-2025'!$E$42:$L$68, 0, 0),
        0, 0),
    _xlfn.XLOOKUP(G949, 'Wedgewood Pharm-PM-Yr2-2025'!$E$41:$L$41,
        _xlfn.XLOOKUP('Rate Load'!L949, 'Wedgewood Pharm-PM-Yr2-2025'!$D$42:$D$68,
            'Wedgewood Pharm-PM-Yr2-2025'!$E$42:$L$68, 0, 0),
        0, 0)
)</f>
        <v>8.19</v>
      </c>
      <c r="K949" t="s">
        <v>46</v>
      </c>
      <c r="L949" t="s">
        <v>24</v>
      </c>
      <c r="M949">
        <v>2</v>
      </c>
      <c r="N949" t="str">
        <f t="shared" si="14"/>
        <v>INSERT INTO TNL_RATING.dbo.usps_rate_master VALUES ('USPS', '2/13/2025', '2/13/2026', 12659, 'US', 'Priority Mail', 4, 0, 'L', 8.19, 'Wedgewood_USPS_2025', 'Padded Flat-Rate Envelope','2');</v>
      </c>
    </row>
    <row r="950" spans="1:14" x14ac:dyDescent="0.3">
      <c r="A950" t="s">
        <v>11</v>
      </c>
      <c r="B950" s="1" t="s">
        <v>43</v>
      </c>
      <c r="C950" s="1" t="s">
        <v>44</v>
      </c>
      <c r="D950">
        <v>12659</v>
      </c>
      <c r="E950" t="s">
        <v>12</v>
      </c>
      <c r="F950" t="s">
        <v>47</v>
      </c>
      <c r="G950">
        <v>5</v>
      </c>
      <c r="H950">
        <v>0</v>
      </c>
      <c r="I950" t="s">
        <v>45</v>
      </c>
      <c r="J950" cm="1">
        <f t="array" ref="J950">IFERROR(
    _xlfn.XLOOKUP(G950, 'Wedgewood Pharm-PM-Yr2-2025'!$E$41:$L$41,
        _xlfn.XLOOKUP('Rate Load'!H950, 'Wedgewood Pharm-PM-Yr2-2025'!$D$42:$D$68,
            'Wedgewood Pharm-PM-Yr2-2025'!$E$42:$L$68, 0, 0),
        0, 0),
    _xlfn.XLOOKUP(G950, 'Wedgewood Pharm-PM-Yr2-2025'!$E$41:$L$41,
        _xlfn.XLOOKUP('Rate Load'!L950, 'Wedgewood Pharm-PM-Yr2-2025'!$D$42:$D$68,
            'Wedgewood Pharm-PM-Yr2-2025'!$E$42:$L$68, 0, 0),
        0, 0)
)</f>
        <v>8.19</v>
      </c>
      <c r="K950" t="s">
        <v>46</v>
      </c>
      <c r="L950" t="s">
        <v>24</v>
      </c>
      <c r="M950">
        <v>2</v>
      </c>
      <c r="N950" t="str">
        <f t="shared" si="14"/>
        <v>INSERT INTO TNL_RATING.dbo.usps_rate_master VALUES ('USPS', '2/13/2025', '2/13/2026', 12659, 'US', 'Priority Mail', 5, 0, 'L', 8.19, 'Wedgewood_USPS_2025', 'Padded Flat-Rate Envelope','2');</v>
      </c>
    </row>
    <row r="951" spans="1:14" x14ac:dyDescent="0.3">
      <c r="A951" t="s">
        <v>11</v>
      </c>
      <c r="B951" s="1" t="s">
        <v>43</v>
      </c>
      <c r="C951" s="1" t="s">
        <v>44</v>
      </c>
      <c r="D951">
        <v>12659</v>
      </c>
      <c r="E951" t="s">
        <v>12</v>
      </c>
      <c r="F951" t="s">
        <v>47</v>
      </c>
      <c r="G951">
        <v>6</v>
      </c>
      <c r="H951">
        <v>0</v>
      </c>
      <c r="I951" t="s">
        <v>45</v>
      </c>
      <c r="J951" cm="1">
        <f t="array" ref="J951">IFERROR(
    _xlfn.XLOOKUP(G951, 'Wedgewood Pharm-PM-Yr2-2025'!$E$41:$L$41,
        _xlfn.XLOOKUP('Rate Load'!H951, 'Wedgewood Pharm-PM-Yr2-2025'!$D$42:$D$68,
            'Wedgewood Pharm-PM-Yr2-2025'!$E$42:$L$68, 0, 0),
        0, 0),
    _xlfn.XLOOKUP(G951, 'Wedgewood Pharm-PM-Yr2-2025'!$E$41:$L$41,
        _xlfn.XLOOKUP('Rate Load'!L951, 'Wedgewood Pharm-PM-Yr2-2025'!$D$42:$D$68,
            'Wedgewood Pharm-PM-Yr2-2025'!$E$42:$L$68, 0, 0),
        0, 0)
)</f>
        <v>8.19</v>
      </c>
      <c r="K951" t="s">
        <v>46</v>
      </c>
      <c r="L951" t="s">
        <v>24</v>
      </c>
      <c r="M951">
        <v>2</v>
      </c>
      <c r="N951" t="str">
        <f t="shared" si="14"/>
        <v>INSERT INTO TNL_RATING.dbo.usps_rate_master VALUES ('USPS', '2/13/2025', '2/13/2026', 12659, 'US', 'Priority Mail', 6, 0, 'L', 8.19, 'Wedgewood_USPS_2025', 'Padded Flat-Rate Envelope','2');</v>
      </c>
    </row>
    <row r="952" spans="1:14" x14ac:dyDescent="0.3">
      <c r="A952" t="s">
        <v>11</v>
      </c>
      <c r="B952" s="1" t="s">
        <v>43</v>
      </c>
      <c r="C952" s="1" t="s">
        <v>44</v>
      </c>
      <c r="D952">
        <v>12659</v>
      </c>
      <c r="E952" t="s">
        <v>12</v>
      </c>
      <c r="F952" t="s">
        <v>47</v>
      </c>
      <c r="G952">
        <v>7</v>
      </c>
      <c r="H952">
        <v>0</v>
      </c>
      <c r="I952" t="s">
        <v>45</v>
      </c>
      <c r="J952" cm="1">
        <f t="array" ref="J952">IFERROR(
    _xlfn.XLOOKUP(G952, 'Wedgewood Pharm-PM-Yr2-2025'!$E$41:$L$41,
        _xlfn.XLOOKUP('Rate Load'!H952, 'Wedgewood Pharm-PM-Yr2-2025'!$D$42:$D$68,
            'Wedgewood Pharm-PM-Yr2-2025'!$E$42:$L$68, 0, 0),
        0, 0),
    _xlfn.XLOOKUP(G952, 'Wedgewood Pharm-PM-Yr2-2025'!$E$41:$L$41,
        _xlfn.XLOOKUP('Rate Load'!L952, 'Wedgewood Pharm-PM-Yr2-2025'!$D$42:$D$68,
            'Wedgewood Pharm-PM-Yr2-2025'!$E$42:$L$68, 0, 0),
        0, 0)
)</f>
        <v>8.19</v>
      </c>
      <c r="K952" t="s">
        <v>46</v>
      </c>
      <c r="L952" t="s">
        <v>24</v>
      </c>
      <c r="M952">
        <v>2</v>
      </c>
      <c r="N952" t="str">
        <f t="shared" si="14"/>
        <v>INSERT INTO TNL_RATING.dbo.usps_rate_master VALUES ('USPS', '2/13/2025', '2/13/2026', 12659, 'US', 'Priority Mail', 7, 0, 'L', 8.19, 'Wedgewood_USPS_2025', 'Padded Flat-Rate Envelope','2');</v>
      </c>
    </row>
    <row r="953" spans="1:14" x14ac:dyDescent="0.3">
      <c r="A953" t="s">
        <v>11</v>
      </c>
      <c r="B953" s="1" t="s">
        <v>43</v>
      </c>
      <c r="C953" s="1" t="s">
        <v>44</v>
      </c>
      <c r="D953">
        <v>12659</v>
      </c>
      <c r="E953" t="s">
        <v>12</v>
      </c>
      <c r="F953" t="s">
        <v>47</v>
      </c>
      <c r="G953">
        <v>8</v>
      </c>
      <c r="H953">
        <v>0</v>
      </c>
      <c r="I953" t="s">
        <v>45</v>
      </c>
      <c r="J953" cm="1">
        <f t="array" ref="J953">IFERROR(
    _xlfn.XLOOKUP(G953, 'Wedgewood Pharm-PM-Yr2-2025'!$E$41:$L$41,
        _xlfn.XLOOKUP('Rate Load'!H953, 'Wedgewood Pharm-PM-Yr2-2025'!$D$42:$D$68,
            'Wedgewood Pharm-PM-Yr2-2025'!$E$42:$L$68, 0, 0),
        0, 0),
    _xlfn.XLOOKUP(G953, 'Wedgewood Pharm-PM-Yr2-2025'!$E$41:$L$41,
        _xlfn.XLOOKUP('Rate Load'!L953, 'Wedgewood Pharm-PM-Yr2-2025'!$D$42:$D$68,
            'Wedgewood Pharm-PM-Yr2-2025'!$E$42:$L$68, 0, 0),
        0, 0)
)</f>
        <v>8.19</v>
      </c>
      <c r="K953" t="s">
        <v>46</v>
      </c>
      <c r="L953" t="s">
        <v>24</v>
      </c>
      <c r="M953">
        <v>2</v>
      </c>
      <c r="N953" t="str">
        <f t="shared" si="14"/>
        <v>INSERT INTO TNL_RATING.dbo.usps_rate_master VALUES ('USPS', '2/13/2025', '2/13/2026', 12659, 'US', 'Priority Mail', 8, 0, 'L', 8.19, 'Wedgewood_USPS_2025', 'Padded Flat-Rate Envelope','2');</v>
      </c>
    </row>
    <row r="954" spans="1:14" x14ac:dyDescent="0.3">
      <c r="A954" t="s">
        <v>11</v>
      </c>
      <c r="B954" s="1" t="s">
        <v>43</v>
      </c>
      <c r="C954" s="1" t="s">
        <v>44</v>
      </c>
      <c r="D954">
        <v>12659</v>
      </c>
      <c r="E954" t="s">
        <v>12</v>
      </c>
      <c r="F954" t="s">
        <v>47</v>
      </c>
      <c r="G954">
        <v>1</v>
      </c>
      <c r="H954">
        <v>0</v>
      </c>
      <c r="I954" t="s">
        <v>45</v>
      </c>
      <c r="J954" cm="1">
        <f t="array" ref="J954">IFERROR(
    _xlfn.XLOOKUP(G954, 'Wedgewood Pharm-PM-Yr2-2025'!$E$41:$L$41,
        _xlfn.XLOOKUP('Rate Load'!H954, 'Wedgewood Pharm-PM-Yr2-2025'!$D$42:$D$68,
            'Wedgewood Pharm-PM-Yr2-2025'!$E$42:$L$68, 0, 0),
        0, 0),
    _xlfn.XLOOKUP(G954, 'Wedgewood Pharm-PM-Yr2-2025'!$E$41:$L$41,
        _xlfn.XLOOKUP('Rate Load'!L954, 'Wedgewood Pharm-PM-Yr2-2025'!$D$42:$D$68,
            'Wedgewood Pharm-PM-Yr2-2025'!$E$42:$L$68, 0, 0),
        0, 0)
)</f>
        <v>7.99</v>
      </c>
      <c r="K954" t="s">
        <v>46</v>
      </c>
      <c r="L954" t="s">
        <v>28</v>
      </c>
      <c r="M954">
        <v>2</v>
      </c>
      <c r="N954" t="str">
        <f t="shared" si="14"/>
        <v>INSERT INTO TNL_RATING.dbo.usps_rate_master VALUES ('USPS', '2/13/2025', '2/13/2026', 12659, 'US', 'Priority Mail', 1, 0, 'L', 7.99, 'Wedgewood_USPS_2025', 'Small Flat-Rate Box','2');</v>
      </c>
    </row>
    <row r="955" spans="1:14" x14ac:dyDescent="0.3">
      <c r="A955" t="s">
        <v>11</v>
      </c>
      <c r="B955" s="1" t="s">
        <v>43</v>
      </c>
      <c r="C955" s="1" t="s">
        <v>44</v>
      </c>
      <c r="D955">
        <v>12659</v>
      </c>
      <c r="E955" t="s">
        <v>12</v>
      </c>
      <c r="F955" t="s">
        <v>47</v>
      </c>
      <c r="G955">
        <v>2</v>
      </c>
      <c r="H955">
        <v>0</v>
      </c>
      <c r="I955" t="s">
        <v>45</v>
      </c>
      <c r="J955" cm="1">
        <f t="array" ref="J955">IFERROR(
    _xlfn.XLOOKUP(G955, 'Wedgewood Pharm-PM-Yr2-2025'!$E$41:$L$41,
        _xlfn.XLOOKUP('Rate Load'!H955, 'Wedgewood Pharm-PM-Yr2-2025'!$D$42:$D$68,
            'Wedgewood Pharm-PM-Yr2-2025'!$E$42:$L$68, 0, 0),
        0, 0),
    _xlfn.XLOOKUP(G955, 'Wedgewood Pharm-PM-Yr2-2025'!$E$41:$L$41,
        _xlfn.XLOOKUP('Rate Load'!L955, 'Wedgewood Pharm-PM-Yr2-2025'!$D$42:$D$68,
            'Wedgewood Pharm-PM-Yr2-2025'!$E$42:$L$68, 0, 0),
        0, 0)
)</f>
        <v>7.99</v>
      </c>
      <c r="K955" t="s">
        <v>46</v>
      </c>
      <c r="L955" t="s">
        <v>28</v>
      </c>
      <c r="M955">
        <v>2</v>
      </c>
      <c r="N955" t="str">
        <f t="shared" si="14"/>
        <v>INSERT INTO TNL_RATING.dbo.usps_rate_master VALUES ('USPS', '2/13/2025', '2/13/2026', 12659, 'US', 'Priority Mail', 2, 0, 'L', 7.99, 'Wedgewood_USPS_2025', 'Small Flat-Rate Box','2');</v>
      </c>
    </row>
    <row r="956" spans="1:14" x14ac:dyDescent="0.3">
      <c r="A956" t="s">
        <v>11</v>
      </c>
      <c r="B956" s="1" t="s">
        <v>43</v>
      </c>
      <c r="C956" s="1" t="s">
        <v>44</v>
      </c>
      <c r="D956">
        <v>12659</v>
      </c>
      <c r="E956" t="s">
        <v>12</v>
      </c>
      <c r="F956" t="s">
        <v>47</v>
      </c>
      <c r="G956">
        <v>3</v>
      </c>
      <c r="H956">
        <v>0</v>
      </c>
      <c r="I956" t="s">
        <v>45</v>
      </c>
      <c r="J956" cm="1">
        <f t="array" ref="J956">IFERROR(
    _xlfn.XLOOKUP(G956, 'Wedgewood Pharm-PM-Yr2-2025'!$E$41:$L$41,
        _xlfn.XLOOKUP('Rate Load'!H956, 'Wedgewood Pharm-PM-Yr2-2025'!$D$42:$D$68,
            'Wedgewood Pharm-PM-Yr2-2025'!$E$42:$L$68, 0, 0),
        0, 0),
    _xlfn.XLOOKUP(G956, 'Wedgewood Pharm-PM-Yr2-2025'!$E$41:$L$41,
        _xlfn.XLOOKUP('Rate Load'!L956, 'Wedgewood Pharm-PM-Yr2-2025'!$D$42:$D$68,
            'Wedgewood Pharm-PM-Yr2-2025'!$E$42:$L$68, 0, 0),
        0, 0)
)</f>
        <v>7.99</v>
      </c>
      <c r="K956" t="s">
        <v>46</v>
      </c>
      <c r="L956" t="s">
        <v>28</v>
      </c>
      <c r="M956">
        <v>2</v>
      </c>
      <c r="N956" t="str">
        <f t="shared" si="14"/>
        <v>INSERT INTO TNL_RATING.dbo.usps_rate_master VALUES ('USPS', '2/13/2025', '2/13/2026', 12659, 'US', 'Priority Mail', 3, 0, 'L', 7.99, 'Wedgewood_USPS_2025', 'Small Flat-Rate Box','2');</v>
      </c>
    </row>
    <row r="957" spans="1:14" x14ac:dyDescent="0.3">
      <c r="A957" t="s">
        <v>11</v>
      </c>
      <c r="B957" s="1" t="s">
        <v>43</v>
      </c>
      <c r="C957" s="1" t="s">
        <v>44</v>
      </c>
      <c r="D957">
        <v>12659</v>
      </c>
      <c r="E957" t="s">
        <v>12</v>
      </c>
      <c r="F957" t="s">
        <v>47</v>
      </c>
      <c r="G957">
        <v>4</v>
      </c>
      <c r="H957">
        <v>0</v>
      </c>
      <c r="I957" t="s">
        <v>45</v>
      </c>
      <c r="J957" cm="1">
        <f t="array" ref="J957">IFERROR(
    _xlfn.XLOOKUP(G957, 'Wedgewood Pharm-PM-Yr2-2025'!$E$41:$L$41,
        _xlfn.XLOOKUP('Rate Load'!H957, 'Wedgewood Pharm-PM-Yr2-2025'!$D$42:$D$68,
            'Wedgewood Pharm-PM-Yr2-2025'!$E$42:$L$68, 0, 0),
        0, 0),
    _xlfn.XLOOKUP(G957, 'Wedgewood Pharm-PM-Yr2-2025'!$E$41:$L$41,
        _xlfn.XLOOKUP('Rate Load'!L957, 'Wedgewood Pharm-PM-Yr2-2025'!$D$42:$D$68,
            'Wedgewood Pharm-PM-Yr2-2025'!$E$42:$L$68, 0, 0),
        0, 0)
)</f>
        <v>7.99</v>
      </c>
      <c r="K957" t="s">
        <v>46</v>
      </c>
      <c r="L957" t="s">
        <v>28</v>
      </c>
      <c r="M957">
        <v>2</v>
      </c>
      <c r="N957" t="str">
        <f t="shared" si="14"/>
        <v>INSERT INTO TNL_RATING.dbo.usps_rate_master VALUES ('USPS', '2/13/2025', '2/13/2026', 12659, 'US', 'Priority Mail', 4, 0, 'L', 7.99, 'Wedgewood_USPS_2025', 'Small Flat-Rate Box','2');</v>
      </c>
    </row>
    <row r="958" spans="1:14" x14ac:dyDescent="0.3">
      <c r="A958" t="s">
        <v>11</v>
      </c>
      <c r="B958" s="1" t="s">
        <v>43</v>
      </c>
      <c r="C958" s="1" t="s">
        <v>44</v>
      </c>
      <c r="D958">
        <v>12659</v>
      </c>
      <c r="E958" t="s">
        <v>12</v>
      </c>
      <c r="F958" t="s">
        <v>47</v>
      </c>
      <c r="G958">
        <v>5</v>
      </c>
      <c r="H958">
        <v>0</v>
      </c>
      <c r="I958" t="s">
        <v>45</v>
      </c>
      <c r="J958" cm="1">
        <f t="array" ref="J958">IFERROR(
    _xlfn.XLOOKUP(G958, 'Wedgewood Pharm-PM-Yr2-2025'!$E$41:$L$41,
        _xlfn.XLOOKUP('Rate Load'!H958, 'Wedgewood Pharm-PM-Yr2-2025'!$D$42:$D$68,
            'Wedgewood Pharm-PM-Yr2-2025'!$E$42:$L$68, 0, 0),
        0, 0),
    _xlfn.XLOOKUP(G958, 'Wedgewood Pharm-PM-Yr2-2025'!$E$41:$L$41,
        _xlfn.XLOOKUP('Rate Load'!L958, 'Wedgewood Pharm-PM-Yr2-2025'!$D$42:$D$68,
            'Wedgewood Pharm-PM-Yr2-2025'!$E$42:$L$68, 0, 0),
        0, 0)
)</f>
        <v>7.99</v>
      </c>
      <c r="K958" t="s">
        <v>46</v>
      </c>
      <c r="L958" t="s">
        <v>28</v>
      </c>
      <c r="M958">
        <v>2</v>
      </c>
      <c r="N958" t="str">
        <f t="shared" si="14"/>
        <v>INSERT INTO TNL_RATING.dbo.usps_rate_master VALUES ('USPS', '2/13/2025', '2/13/2026', 12659, 'US', 'Priority Mail', 5, 0, 'L', 7.99, 'Wedgewood_USPS_2025', 'Small Flat-Rate Box','2');</v>
      </c>
    </row>
    <row r="959" spans="1:14" x14ac:dyDescent="0.3">
      <c r="A959" t="s">
        <v>11</v>
      </c>
      <c r="B959" s="1" t="s">
        <v>43</v>
      </c>
      <c r="C959" s="1" t="s">
        <v>44</v>
      </c>
      <c r="D959">
        <v>12659</v>
      </c>
      <c r="E959" t="s">
        <v>12</v>
      </c>
      <c r="F959" t="s">
        <v>47</v>
      </c>
      <c r="G959">
        <v>6</v>
      </c>
      <c r="H959">
        <v>0</v>
      </c>
      <c r="I959" t="s">
        <v>45</v>
      </c>
      <c r="J959" cm="1">
        <f t="array" ref="J959">IFERROR(
    _xlfn.XLOOKUP(G959, 'Wedgewood Pharm-PM-Yr2-2025'!$E$41:$L$41,
        _xlfn.XLOOKUP('Rate Load'!H959, 'Wedgewood Pharm-PM-Yr2-2025'!$D$42:$D$68,
            'Wedgewood Pharm-PM-Yr2-2025'!$E$42:$L$68, 0, 0),
        0, 0),
    _xlfn.XLOOKUP(G959, 'Wedgewood Pharm-PM-Yr2-2025'!$E$41:$L$41,
        _xlfn.XLOOKUP('Rate Load'!L959, 'Wedgewood Pharm-PM-Yr2-2025'!$D$42:$D$68,
            'Wedgewood Pharm-PM-Yr2-2025'!$E$42:$L$68, 0, 0),
        0, 0)
)</f>
        <v>7.99</v>
      </c>
      <c r="K959" t="s">
        <v>46</v>
      </c>
      <c r="L959" t="s">
        <v>28</v>
      </c>
      <c r="M959">
        <v>2</v>
      </c>
      <c r="N959" t="str">
        <f t="shared" si="14"/>
        <v>INSERT INTO TNL_RATING.dbo.usps_rate_master VALUES ('USPS', '2/13/2025', '2/13/2026', 12659, 'US', 'Priority Mail', 6, 0, 'L', 7.99, 'Wedgewood_USPS_2025', 'Small Flat-Rate Box','2');</v>
      </c>
    </row>
    <row r="960" spans="1:14" x14ac:dyDescent="0.3">
      <c r="A960" t="s">
        <v>11</v>
      </c>
      <c r="B960" s="1" t="s">
        <v>43</v>
      </c>
      <c r="C960" s="1" t="s">
        <v>44</v>
      </c>
      <c r="D960">
        <v>12659</v>
      </c>
      <c r="E960" t="s">
        <v>12</v>
      </c>
      <c r="F960" t="s">
        <v>47</v>
      </c>
      <c r="G960">
        <v>7</v>
      </c>
      <c r="H960">
        <v>0</v>
      </c>
      <c r="I960" t="s">
        <v>45</v>
      </c>
      <c r="J960" cm="1">
        <f t="array" ref="J960">IFERROR(
    _xlfn.XLOOKUP(G960, 'Wedgewood Pharm-PM-Yr2-2025'!$E$41:$L$41,
        _xlfn.XLOOKUP('Rate Load'!H960, 'Wedgewood Pharm-PM-Yr2-2025'!$D$42:$D$68,
            'Wedgewood Pharm-PM-Yr2-2025'!$E$42:$L$68, 0, 0),
        0, 0),
    _xlfn.XLOOKUP(G960, 'Wedgewood Pharm-PM-Yr2-2025'!$E$41:$L$41,
        _xlfn.XLOOKUP('Rate Load'!L960, 'Wedgewood Pharm-PM-Yr2-2025'!$D$42:$D$68,
            'Wedgewood Pharm-PM-Yr2-2025'!$E$42:$L$68, 0, 0),
        0, 0)
)</f>
        <v>7.99</v>
      </c>
      <c r="K960" t="s">
        <v>46</v>
      </c>
      <c r="L960" t="s">
        <v>28</v>
      </c>
      <c r="M960">
        <v>2</v>
      </c>
      <c r="N960" t="str">
        <f t="shared" si="14"/>
        <v>INSERT INTO TNL_RATING.dbo.usps_rate_master VALUES ('USPS', '2/13/2025', '2/13/2026', 12659, 'US', 'Priority Mail', 7, 0, 'L', 7.99, 'Wedgewood_USPS_2025', 'Small Flat-Rate Box','2');</v>
      </c>
    </row>
    <row r="961" spans="1:14" x14ac:dyDescent="0.3">
      <c r="A961" t="s">
        <v>11</v>
      </c>
      <c r="B961" s="1" t="s">
        <v>43</v>
      </c>
      <c r="C961" s="1" t="s">
        <v>44</v>
      </c>
      <c r="D961">
        <v>12659</v>
      </c>
      <c r="E961" t="s">
        <v>12</v>
      </c>
      <c r="F961" t="s">
        <v>47</v>
      </c>
      <c r="G961">
        <v>8</v>
      </c>
      <c r="H961">
        <v>0</v>
      </c>
      <c r="I961" t="s">
        <v>45</v>
      </c>
      <c r="J961" cm="1">
        <f t="array" ref="J961">IFERROR(
    _xlfn.XLOOKUP(G961, 'Wedgewood Pharm-PM-Yr2-2025'!$E$41:$L$41,
        _xlfn.XLOOKUP('Rate Load'!H961, 'Wedgewood Pharm-PM-Yr2-2025'!$D$42:$D$68,
            'Wedgewood Pharm-PM-Yr2-2025'!$E$42:$L$68, 0, 0),
        0, 0),
    _xlfn.XLOOKUP(G961, 'Wedgewood Pharm-PM-Yr2-2025'!$E$41:$L$41,
        _xlfn.XLOOKUP('Rate Load'!L961, 'Wedgewood Pharm-PM-Yr2-2025'!$D$42:$D$68,
            'Wedgewood Pharm-PM-Yr2-2025'!$E$42:$L$68, 0, 0),
        0, 0)
)</f>
        <v>7.99</v>
      </c>
      <c r="K961" t="s">
        <v>46</v>
      </c>
      <c r="L961" t="s">
        <v>28</v>
      </c>
      <c r="M961">
        <v>2</v>
      </c>
      <c r="N961" t="str">
        <f t="shared" si="14"/>
        <v>INSERT INTO TNL_RATING.dbo.usps_rate_master VALUES ('USPS', '2/13/2025', '2/13/2026', 12659, 'US', 'Priority Mail', 8, 0, 'L', 7.99, 'Wedgewood_USPS_2025', 'Small Flat-Rate Box','2');</v>
      </c>
    </row>
    <row r="962" spans="1:14" x14ac:dyDescent="0.3">
      <c r="A962" t="s">
        <v>11</v>
      </c>
      <c r="B962" s="1" t="s">
        <v>43</v>
      </c>
      <c r="C962" s="1" t="s">
        <v>44</v>
      </c>
      <c r="D962">
        <v>12659</v>
      </c>
      <c r="E962" t="s">
        <v>12</v>
      </c>
      <c r="F962" t="s">
        <v>47</v>
      </c>
      <c r="G962">
        <v>1</v>
      </c>
      <c r="H962">
        <v>0</v>
      </c>
      <c r="I962" t="s">
        <v>45</v>
      </c>
      <c r="J962" cm="1">
        <f t="array" ref="J962">IFERROR(
    _xlfn.XLOOKUP(G962, 'Wedgewood Pharm-PM-Yr2-2025'!$E$41:$L$41,
        _xlfn.XLOOKUP('Rate Load'!H962, 'Wedgewood Pharm-PM-Yr2-2025'!$D$42:$D$68,
            'Wedgewood Pharm-PM-Yr2-2025'!$E$42:$L$68, 0, 0),
        0, 0),
    _xlfn.XLOOKUP(G962, 'Wedgewood Pharm-PM-Yr2-2025'!$E$41:$L$41,
        _xlfn.XLOOKUP('Rate Load'!L962, 'Wedgewood Pharm-PM-Yr2-2025'!$D$42:$D$68,
            'Wedgewood Pharm-PM-Yr2-2025'!$E$42:$L$68, 0, 0),
        0, 0)
)</f>
        <v>13.799999999999999</v>
      </c>
      <c r="K962" t="s">
        <v>46</v>
      </c>
      <c r="L962" t="s">
        <v>29</v>
      </c>
      <c r="M962">
        <v>2</v>
      </c>
      <c r="N962" t="str">
        <f t="shared" si="14"/>
        <v>INSERT INTO TNL_RATING.dbo.usps_rate_master VALUES ('USPS', '2/13/2025', '2/13/2026', 12659, 'US', 'Priority Mail', 1, 0, 'L', 13.8, 'Wedgewood_USPS_2025', 'Medium Flat-Rate Box','2');</v>
      </c>
    </row>
    <row r="963" spans="1:14" x14ac:dyDescent="0.3">
      <c r="A963" t="s">
        <v>11</v>
      </c>
      <c r="B963" s="1" t="s">
        <v>43</v>
      </c>
      <c r="C963" s="1" t="s">
        <v>44</v>
      </c>
      <c r="D963">
        <v>12659</v>
      </c>
      <c r="E963" t="s">
        <v>12</v>
      </c>
      <c r="F963" t="s">
        <v>47</v>
      </c>
      <c r="G963">
        <v>2</v>
      </c>
      <c r="H963">
        <v>0</v>
      </c>
      <c r="I963" t="s">
        <v>45</v>
      </c>
      <c r="J963" cm="1">
        <f t="array" ref="J963">IFERROR(
    _xlfn.XLOOKUP(G963, 'Wedgewood Pharm-PM-Yr2-2025'!$E$41:$L$41,
        _xlfn.XLOOKUP('Rate Load'!H963, 'Wedgewood Pharm-PM-Yr2-2025'!$D$42:$D$68,
            'Wedgewood Pharm-PM-Yr2-2025'!$E$42:$L$68, 0, 0),
        0, 0),
    _xlfn.XLOOKUP(G963, 'Wedgewood Pharm-PM-Yr2-2025'!$E$41:$L$41,
        _xlfn.XLOOKUP('Rate Load'!L963, 'Wedgewood Pharm-PM-Yr2-2025'!$D$42:$D$68,
            'Wedgewood Pharm-PM-Yr2-2025'!$E$42:$L$68, 0, 0),
        0, 0)
)</f>
        <v>13.799999999999999</v>
      </c>
      <c r="K963" t="s">
        <v>46</v>
      </c>
      <c r="L963" t="s">
        <v>29</v>
      </c>
      <c r="M963">
        <v>2</v>
      </c>
      <c r="N963" t="str">
        <f t="shared" ref="N963:N1026" si="15">"INSERT INTO TNL_RATING.dbo.usps_rate_master VALUES ('" &amp; A963 &amp; "', '" &amp; B963 &amp; "', '" &amp; C963 &amp; "', " &amp; D963 &amp; ", '" &amp; E963 &amp; "', '" &amp; F963 &amp; "', " &amp; G963 &amp; ", " &amp; H963 &amp; ", '" &amp; I963 &amp; "', " &amp; J963 &amp; ", '" &amp; K963 &amp; "', '" &amp; L963 &amp; "','" &amp; M963 &amp; "');"</f>
        <v>INSERT INTO TNL_RATING.dbo.usps_rate_master VALUES ('USPS', '2/13/2025', '2/13/2026', 12659, 'US', 'Priority Mail', 2, 0, 'L', 13.8, 'Wedgewood_USPS_2025', 'Medium Flat-Rate Box','2');</v>
      </c>
    </row>
    <row r="964" spans="1:14" x14ac:dyDescent="0.3">
      <c r="A964" t="s">
        <v>11</v>
      </c>
      <c r="B964" s="1" t="s">
        <v>43</v>
      </c>
      <c r="C964" s="1" t="s">
        <v>44</v>
      </c>
      <c r="D964">
        <v>12659</v>
      </c>
      <c r="E964" t="s">
        <v>12</v>
      </c>
      <c r="F964" t="s">
        <v>47</v>
      </c>
      <c r="G964">
        <v>3</v>
      </c>
      <c r="H964">
        <v>0</v>
      </c>
      <c r="I964" t="s">
        <v>45</v>
      </c>
      <c r="J964" cm="1">
        <f t="array" ref="J964">IFERROR(
    _xlfn.XLOOKUP(G964, 'Wedgewood Pharm-PM-Yr2-2025'!$E$41:$L$41,
        _xlfn.XLOOKUP('Rate Load'!H964, 'Wedgewood Pharm-PM-Yr2-2025'!$D$42:$D$68,
            'Wedgewood Pharm-PM-Yr2-2025'!$E$42:$L$68, 0, 0),
        0, 0),
    _xlfn.XLOOKUP(G964, 'Wedgewood Pharm-PM-Yr2-2025'!$E$41:$L$41,
        _xlfn.XLOOKUP('Rate Load'!L964, 'Wedgewood Pharm-PM-Yr2-2025'!$D$42:$D$68,
            'Wedgewood Pharm-PM-Yr2-2025'!$E$42:$L$68, 0, 0),
        0, 0)
)</f>
        <v>13.799999999999999</v>
      </c>
      <c r="K964" t="s">
        <v>46</v>
      </c>
      <c r="L964" t="s">
        <v>29</v>
      </c>
      <c r="M964">
        <v>2</v>
      </c>
      <c r="N964" t="str">
        <f t="shared" si="15"/>
        <v>INSERT INTO TNL_RATING.dbo.usps_rate_master VALUES ('USPS', '2/13/2025', '2/13/2026', 12659, 'US', 'Priority Mail', 3, 0, 'L', 13.8, 'Wedgewood_USPS_2025', 'Medium Flat-Rate Box','2');</v>
      </c>
    </row>
    <row r="965" spans="1:14" x14ac:dyDescent="0.3">
      <c r="A965" t="s">
        <v>11</v>
      </c>
      <c r="B965" s="1" t="s">
        <v>43</v>
      </c>
      <c r="C965" s="1" t="s">
        <v>44</v>
      </c>
      <c r="D965">
        <v>12659</v>
      </c>
      <c r="E965" t="s">
        <v>12</v>
      </c>
      <c r="F965" t="s">
        <v>47</v>
      </c>
      <c r="G965">
        <v>4</v>
      </c>
      <c r="H965">
        <v>0</v>
      </c>
      <c r="I965" t="s">
        <v>45</v>
      </c>
      <c r="J965" cm="1">
        <f t="array" ref="J965">IFERROR(
    _xlfn.XLOOKUP(G965, 'Wedgewood Pharm-PM-Yr2-2025'!$E$41:$L$41,
        _xlfn.XLOOKUP('Rate Load'!H965, 'Wedgewood Pharm-PM-Yr2-2025'!$D$42:$D$68,
            'Wedgewood Pharm-PM-Yr2-2025'!$E$42:$L$68, 0, 0),
        0, 0),
    _xlfn.XLOOKUP(G965, 'Wedgewood Pharm-PM-Yr2-2025'!$E$41:$L$41,
        _xlfn.XLOOKUP('Rate Load'!L965, 'Wedgewood Pharm-PM-Yr2-2025'!$D$42:$D$68,
            'Wedgewood Pharm-PM-Yr2-2025'!$E$42:$L$68, 0, 0),
        0, 0)
)</f>
        <v>13.799999999999999</v>
      </c>
      <c r="K965" t="s">
        <v>46</v>
      </c>
      <c r="L965" t="s">
        <v>29</v>
      </c>
      <c r="M965">
        <v>2</v>
      </c>
      <c r="N965" t="str">
        <f t="shared" si="15"/>
        <v>INSERT INTO TNL_RATING.dbo.usps_rate_master VALUES ('USPS', '2/13/2025', '2/13/2026', 12659, 'US', 'Priority Mail', 4, 0, 'L', 13.8, 'Wedgewood_USPS_2025', 'Medium Flat-Rate Box','2');</v>
      </c>
    </row>
    <row r="966" spans="1:14" x14ac:dyDescent="0.3">
      <c r="A966" t="s">
        <v>11</v>
      </c>
      <c r="B966" s="1" t="s">
        <v>43</v>
      </c>
      <c r="C966" s="1" t="s">
        <v>44</v>
      </c>
      <c r="D966">
        <v>12659</v>
      </c>
      <c r="E966" t="s">
        <v>12</v>
      </c>
      <c r="F966" t="s">
        <v>47</v>
      </c>
      <c r="G966">
        <v>5</v>
      </c>
      <c r="H966">
        <v>0</v>
      </c>
      <c r="I966" t="s">
        <v>45</v>
      </c>
      <c r="J966" cm="1">
        <f t="array" ref="J966">IFERROR(
    _xlfn.XLOOKUP(G966, 'Wedgewood Pharm-PM-Yr2-2025'!$E$41:$L$41,
        _xlfn.XLOOKUP('Rate Load'!H966, 'Wedgewood Pharm-PM-Yr2-2025'!$D$42:$D$68,
            'Wedgewood Pharm-PM-Yr2-2025'!$E$42:$L$68, 0, 0),
        0, 0),
    _xlfn.XLOOKUP(G966, 'Wedgewood Pharm-PM-Yr2-2025'!$E$41:$L$41,
        _xlfn.XLOOKUP('Rate Load'!L966, 'Wedgewood Pharm-PM-Yr2-2025'!$D$42:$D$68,
            'Wedgewood Pharm-PM-Yr2-2025'!$E$42:$L$68, 0, 0),
        0, 0)
)</f>
        <v>13.799999999999999</v>
      </c>
      <c r="K966" t="s">
        <v>46</v>
      </c>
      <c r="L966" t="s">
        <v>29</v>
      </c>
      <c r="M966">
        <v>2</v>
      </c>
      <c r="N966" t="str">
        <f t="shared" si="15"/>
        <v>INSERT INTO TNL_RATING.dbo.usps_rate_master VALUES ('USPS', '2/13/2025', '2/13/2026', 12659, 'US', 'Priority Mail', 5, 0, 'L', 13.8, 'Wedgewood_USPS_2025', 'Medium Flat-Rate Box','2');</v>
      </c>
    </row>
    <row r="967" spans="1:14" x14ac:dyDescent="0.3">
      <c r="A967" t="s">
        <v>11</v>
      </c>
      <c r="B967" s="1" t="s">
        <v>43</v>
      </c>
      <c r="C967" s="1" t="s">
        <v>44</v>
      </c>
      <c r="D967">
        <v>12659</v>
      </c>
      <c r="E967" t="s">
        <v>12</v>
      </c>
      <c r="F967" t="s">
        <v>47</v>
      </c>
      <c r="G967">
        <v>6</v>
      </c>
      <c r="H967">
        <v>0</v>
      </c>
      <c r="I967" t="s">
        <v>45</v>
      </c>
      <c r="J967" cm="1">
        <f t="array" ref="J967">IFERROR(
    _xlfn.XLOOKUP(G967, 'Wedgewood Pharm-PM-Yr2-2025'!$E$41:$L$41,
        _xlfn.XLOOKUP('Rate Load'!H967, 'Wedgewood Pharm-PM-Yr2-2025'!$D$42:$D$68,
            'Wedgewood Pharm-PM-Yr2-2025'!$E$42:$L$68, 0, 0),
        0, 0),
    _xlfn.XLOOKUP(G967, 'Wedgewood Pharm-PM-Yr2-2025'!$E$41:$L$41,
        _xlfn.XLOOKUP('Rate Load'!L967, 'Wedgewood Pharm-PM-Yr2-2025'!$D$42:$D$68,
            'Wedgewood Pharm-PM-Yr2-2025'!$E$42:$L$68, 0, 0),
        0, 0)
)</f>
        <v>13.799999999999999</v>
      </c>
      <c r="K967" t="s">
        <v>46</v>
      </c>
      <c r="L967" t="s">
        <v>29</v>
      </c>
      <c r="M967">
        <v>2</v>
      </c>
      <c r="N967" t="str">
        <f t="shared" si="15"/>
        <v>INSERT INTO TNL_RATING.dbo.usps_rate_master VALUES ('USPS', '2/13/2025', '2/13/2026', 12659, 'US', 'Priority Mail', 6, 0, 'L', 13.8, 'Wedgewood_USPS_2025', 'Medium Flat-Rate Box','2');</v>
      </c>
    </row>
    <row r="968" spans="1:14" x14ac:dyDescent="0.3">
      <c r="A968" t="s">
        <v>11</v>
      </c>
      <c r="B968" s="1" t="s">
        <v>43</v>
      </c>
      <c r="C968" s="1" t="s">
        <v>44</v>
      </c>
      <c r="D968">
        <v>12659</v>
      </c>
      <c r="E968" t="s">
        <v>12</v>
      </c>
      <c r="F968" t="s">
        <v>47</v>
      </c>
      <c r="G968">
        <v>7</v>
      </c>
      <c r="H968">
        <v>0</v>
      </c>
      <c r="I968" t="s">
        <v>45</v>
      </c>
      <c r="J968" cm="1">
        <f t="array" ref="J968">IFERROR(
    _xlfn.XLOOKUP(G968, 'Wedgewood Pharm-PM-Yr2-2025'!$E$41:$L$41,
        _xlfn.XLOOKUP('Rate Load'!H968, 'Wedgewood Pharm-PM-Yr2-2025'!$D$42:$D$68,
            'Wedgewood Pharm-PM-Yr2-2025'!$E$42:$L$68, 0, 0),
        0, 0),
    _xlfn.XLOOKUP(G968, 'Wedgewood Pharm-PM-Yr2-2025'!$E$41:$L$41,
        _xlfn.XLOOKUP('Rate Load'!L968, 'Wedgewood Pharm-PM-Yr2-2025'!$D$42:$D$68,
            'Wedgewood Pharm-PM-Yr2-2025'!$E$42:$L$68, 0, 0),
        0, 0)
)</f>
        <v>13.799999999999999</v>
      </c>
      <c r="K968" t="s">
        <v>46</v>
      </c>
      <c r="L968" t="s">
        <v>29</v>
      </c>
      <c r="M968">
        <v>2</v>
      </c>
      <c r="N968" t="str">
        <f t="shared" si="15"/>
        <v>INSERT INTO TNL_RATING.dbo.usps_rate_master VALUES ('USPS', '2/13/2025', '2/13/2026', 12659, 'US', 'Priority Mail', 7, 0, 'L', 13.8, 'Wedgewood_USPS_2025', 'Medium Flat-Rate Box','2');</v>
      </c>
    </row>
    <row r="969" spans="1:14" x14ac:dyDescent="0.3">
      <c r="A969" t="s">
        <v>11</v>
      </c>
      <c r="B969" s="1" t="s">
        <v>43</v>
      </c>
      <c r="C969" s="1" t="s">
        <v>44</v>
      </c>
      <c r="D969">
        <v>12659</v>
      </c>
      <c r="E969" t="s">
        <v>12</v>
      </c>
      <c r="F969" t="s">
        <v>47</v>
      </c>
      <c r="G969">
        <v>8</v>
      </c>
      <c r="H969">
        <v>0</v>
      </c>
      <c r="I969" t="s">
        <v>45</v>
      </c>
      <c r="J969" cm="1">
        <f t="array" ref="J969">IFERROR(
    _xlfn.XLOOKUP(G969, 'Wedgewood Pharm-PM-Yr2-2025'!$E$41:$L$41,
        _xlfn.XLOOKUP('Rate Load'!H969, 'Wedgewood Pharm-PM-Yr2-2025'!$D$42:$D$68,
            'Wedgewood Pharm-PM-Yr2-2025'!$E$42:$L$68, 0, 0),
        0, 0),
    _xlfn.XLOOKUP(G969, 'Wedgewood Pharm-PM-Yr2-2025'!$E$41:$L$41,
        _xlfn.XLOOKUP('Rate Load'!L969, 'Wedgewood Pharm-PM-Yr2-2025'!$D$42:$D$68,
            'Wedgewood Pharm-PM-Yr2-2025'!$E$42:$L$68, 0, 0),
        0, 0)
)</f>
        <v>13.799999999999999</v>
      </c>
      <c r="K969" t="s">
        <v>46</v>
      </c>
      <c r="L969" t="s">
        <v>29</v>
      </c>
      <c r="M969">
        <v>2</v>
      </c>
      <c r="N969" t="str">
        <f t="shared" si="15"/>
        <v>INSERT INTO TNL_RATING.dbo.usps_rate_master VALUES ('USPS', '2/13/2025', '2/13/2026', 12659, 'US', 'Priority Mail', 8, 0, 'L', 13.8, 'Wedgewood_USPS_2025', 'Medium Flat-Rate Box','2');</v>
      </c>
    </row>
    <row r="970" spans="1:14" x14ac:dyDescent="0.3">
      <c r="A970" t="s">
        <v>11</v>
      </c>
      <c r="B970" s="1" t="s">
        <v>43</v>
      </c>
      <c r="C970" s="1" t="s">
        <v>44</v>
      </c>
      <c r="D970">
        <v>12659</v>
      </c>
      <c r="E970" t="s">
        <v>12</v>
      </c>
      <c r="F970" t="s">
        <v>47</v>
      </c>
      <c r="G970">
        <v>1</v>
      </c>
      <c r="H970">
        <v>0</v>
      </c>
      <c r="I970" t="s">
        <v>45</v>
      </c>
      <c r="J970" cm="1">
        <f t="array" ref="J970">IFERROR(
    _xlfn.XLOOKUP(G970, 'Wedgewood Pharm-PM-Yr2-2025'!$E$41:$L$41,
        _xlfn.XLOOKUP('Rate Load'!H970, 'Wedgewood Pharm-PM-Yr2-2025'!$D$42:$D$68,
            'Wedgewood Pharm-PM-Yr2-2025'!$E$42:$L$68, 0, 0),
        0, 0),
    _xlfn.XLOOKUP(G970, 'Wedgewood Pharm-PM-Yr2-2025'!$E$41:$L$41,
        _xlfn.XLOOKUP('Rate Load'!L970, 'Wedgewood Pharm-PM-Yr2-2025'!$D$42:$D$68,
            'Wedgewood Pharm-PM-Yr2-2025'!$E$42:$L$68, 0, 0),
        0, 0)
)</f>
        <v>18.680000000000003</v>
      </c>
      <c r="K970" t="s">
        <v>46</v>
      </c>
      <c r="L970" t="s">
        <v>30</v>
      </c>
      <c r="M970">
        <v>2</v>
      </c>
      <c r="N970" t="str">
        <f t="shared" si="15"/>
        <v>INSERT INTO TNL_RATING.dbo.usps_rate_master VALUES ('USPS', '2/13/2025', '2/13/2026', 12659, 'US', 'Priority Mail', 1, 0, 'L', 18.68, 'Wedgewood_USPS_2025', 'Large Flat-Rate Box','2');</v>
      </c>
    </row>
    <row r="971" spans="1:14" x14ac:dyDescent="0.3">
      <c r="A971" t="s">
        <v>11</v>
      </c>
      <c r="B971" s="1" t="s">
        <v>43</v>
      </c>
      <c r="C971" s="1" t="s">
        <v>44</v>
      </c>
      <c r="D971">
        <v>12659</v>
      </c>
      <c r="E971" t="s">
        <v>12</v>
      </c>
      <c r="F971" t="s">
        <v>47</v>
      </c>
      <c r="G971">
        <v>2</v>
      </c>
      <c r="H971">
        <v>0</v>
      </c>
      <c r="I971" t="s">
        <v>45</v>
      </c>
      <c r="J971" cm="1">
        <f t="array" ref="J971">IFERROR(
    _xlfn.XLOOKUP(G971, 'Wedgewood Pharm-PM-Yr2-2025'!$E$41:$L$41,
        _xlfn.XLOOKUP('Rate Load'!H971, 'Wedgewood Pharm-PM-Yr2-2025'!$D$42:$D$68,
            'Wedgewood Pharm-PM-Yr2-2025'!$E$42:$L$68, 0, 0),
        0, 0),
    _xlfn.XLOOKUP(G971, 'Wedgewood Pharm-PM-Yr2-2025'!$E$41:$L$41,
        _xlfn.XLOOKUP('Rate Load'!L971, 'Wedgewood Pharm-PM-Yr2-2025'!$D$42:$D$68,
            'Wedgewood Pharm-PM-Yr2-2025'!$E$42:$L$68, 0, 0),
        0, 0)
)</f>
        <v>18.680000000000003</v>
      </c>
      <c r="K971" t="s">
        <v>46</v>
      </c>
      <c r="L971" t="s">
        <v>30</v>
      </c>
      <c r="M971">
        <v>2</v>
      </c>
      <c r="N971" t="str">
        <f t="shared" si="15"/>
        <v>INSERT INTO TNL_RATING.dbo.usps_rate_master VALUES ('USPS', '2/13/2025', '2/13/2026', 12659, 'US', 'Priority Mail', 2, 0, 'L', 18.68, 'Wedgewood_USPS_2025', 'Large Flat-Rate Box','2');</v>
      </c>
    </row>
    <row r="972" spans="1:14" x14ac:dyDescent="0.3">
      <c r="A972" t="s">
        <v>11</v>
      </c>
      <c r="B972" s="1" t="s">
        <v>43</v>
      </c>
      <c r="C972" s="1" t="s">
        <v>44</v>
      </c>
      <c r="D972">
        <v>12659</v>
      </c>
      <c r="E972" t="s">
        <v>12</v>
      </c>
      <c r="F972" t="s">
        <v>47</v>
      </c>
      <c r="G972">
        <v>3</v>
      </c>
      <c r="H972">
        <v>0</v>
      </c>
      <c r="I972" t="s">
        <v>45</v>
      </c>
      <c r="J972" cm="1">
        <f t="array" ref="J972">IFERROR(
    _xlfn.XLOOKUP(G972, 'Wedgewood Pharm-PM-Yr2-2025'!$E$41:$L$41,
        _xlfn.XLOOKUP('Rate Load'!H972, 'Wedgewood Pharm-PM-Yr2-2025'!$D$42:$D$68,
            'Wedgewood Pharm-PM-Yr2-2025'!$E$42:$L$68, 0, 0),
        0, 0),
    _xlfn.XLOOKUP(G972, 'Wedgewood Pharm-PM-Yr2-2025'!$E$41:$L$41,
        _xlfn.XLOOKUP('Rate Load'!L972, 'Wedgewood Pharm-PM-Yr2-2025'!$D$42:$D$68,
            'Wedgewood Pharm-PM-Yr2-2025'!$E$42:$L$68, 0, 0),
        0, 0)
)</f>
        <v>18.680000000000003</v>
      </c>
      <c r="K972" t="s">
        <v>46</v>
      </c>
      <c r="L972" t="s">
        <v>30</v>
      </c>
      <c r="M972">
        <v>2</v>
      </c>
      <c r="N972" t="str">
        <f t="shared" si="15"/>
        <v>INSERT INTO TNL_RATING.dbo.usps_rate_master VALUES ('USPS', '2/13/2025', '2/13/2026', 12659, 'US', 'Priority Mail', 3, 0, 'L', 18.68, 'Wedgewood_USPS_2025', 'Large Flat-Rate Box','2');</v>
      </c>
    </row>
    <row r="973" spans="1:14" x14ac:dyDescent="0.3">
      <c r="A973" t="s">
        <v>11</v>
      </c>
      <c r="B973" s="1" t="s">
        <v>43</v>
      </c>
      <c r="C973" s="1" t="s">
        <v>44</v>
      </c>
      <c r="D973">
        <v>12659</v>
      </c>
      <c r="E973" t="s">
        <v>12</v>
      </c>
      <c r="F973" t="s">
        <v>47</v>
      </c>
      <c r="G973">
        <v>4</v>
      </c>
      <c r="H973">
        <v>0</v>
      </c>
      <c r="I973" t="s">
        <v>45</v>
      </c>
      <c r="J973" cm="1">
        <f t="array" ref="J973">IFERROR(
    _xlfn.XLOOKUP(G973, 'Wedgewood Pharm-PM-Yr2-2025'!$E$41:$L$41,
        _xlfn.XLOOKUP('Rate Load'!H973, 'Wedgewood Pharm-PM-Yr2-2025'!$D$42:$D$68,
            'Wedgewood Pharm-PM-Yr2-2025'!$E$42:$L$68, 0, 0),
        0, 0),
    _xlfn.XLOOKUP(G973, 'Wedgewood Pharm-PM-Yr2-2025'!$E$41:$L$41,
        _xlfn.XLOOKUP('Rate Load'!L973, 'Wedgewood Pharm-PM-Yr2-2025'!$D$42:$D$68,
            'Wedgewood Pharm-PM-Yr2-2025'!$E$42:$L$68, 0, 0),
        0, 0)
)</f>
        <v>18.680000000000003</v>
      </c>
      <c r="K973" t="s">
        <v>46</v>
      </c>
      <c r="L973" t="s">
        <v>30</v>
      </c>
      <c r="M973">
        <v>2</v>
      </c>
      <c r="N973" t="str">
        <f t="shared" si="15"/>
        <v>INSERT INTO TNL_RATING.dbo.usps_rate_master VALUES ('USPS', '2/13/2025', '2/13/2026', 12659, 'US', 'Priority Mail', 4, 0, 'L', 18.68, 'Wedgewood_USPS_2025', 'Large Flat-Rate Box','2');</v>
      </c>
    </row>
    <row r="974" spans="1:14" x14ac:dyDescent="0.3">
      <c r="A974" t="s">
        <v>11</v>
      </c>
      <c r="B974" s="1" t="s">
        <v>43</v>
      </c>
      <c r="C974" s="1" t="s">
        <v>44</v>
      </c>
      <c r="D974">
        <v>12659</v>
      </c>
      <c r="E974" t="s">
        <v>12</v>
      </c>
      <c r="F974" t="s">
        <v>47</v>
      </c>
      <c r="G974">
        <v>5</v>
      </c>
      <c r="H974">
        <v>0</v>
      </c>
      <c r="I974" t="s">
        <v>45</v>
      </c>
      <c r="J974" cm="1">
        <f t="array" ref="J974">IFERROR(
    _xlfn.XLOOKUP(G974, 'Wedgewood Pharm-PM-Yr2-2025'!$E$41:$L$41,
        _xlfn.XLOOKUP('Rate Load'!H974, 'Wedgewood Pharm-PM-Yr2-2025'!$D$42:$D$68,
            'Wedgewood Pharm-PM-Yr2-2025'!$E$42:$L$68, 0, 0),
        0, 0),
    _xlfn.XLOOKUP(G974, 'Wedgewood Pharm-PM-Yr2-2025'!$E$41:$L$41,
        _xlfn.XLOOKUP('Rate Load'!L974, 'Wedgewood Pharm-PM-Yr2-2025'!$D$42:$D$68,
            'Wedgewood Pharm-PM-Yr2-2025'!$E$42:$L$68, 0, 0),
        0, 0)
)</f>
        <v>18.680000000000003</v>
      </c>
      <c r="K974" t="s">
        <v>46</v>
      </c>
      <c r="L974" t="s">
        <v>30</v>
      </c>
      <c r="M974">
        <v>2</v>
      </c>
      <c r="N974" t="str">
        <f t="shared" si="15"/>
        <v>INSERT INTO TNL_RATING.dbo.usps_rate_master VALUES ('USPS', '2/13/2025', '2/13/2026', 12659, 'US', 'Priority Mail', 5, 0, 'L', 18.68, 'Wedgewood_USPS_2025', 'Large Flat-Rate Box','2');</v>
      </c>
    </row>
    <row r="975" spans="1:14" x14ac:dyDescent="0.3">
      <c r="A975" t="s">
        <v>11</v>
      </c>
      <c r="B975" s="1" t="s">
        <v>43</v>
      </c>
      <c r="C975" s="1" t="s">
        <v>44</v>
      </c>
      <c r="D975">
        <v>12659</v>
      </c>
      <c r="E975" t="s">
        <v>12</v>
      </c>
      <c r="F975" t="s">
        <v>47</v>
      </c>
      <c r="G975">
        <v>6</v>
      </c>
      <c r="H975">
        <v>0</v>
      </c>
      <c r="I975" t="s">
        <v>45</v>
      </c>
      <c r="J975" cm="1">
        <f t="array" ref="J975">IFERROR(
    _xlfn.XLOOKUP(G975, 'Wedgewood Pharm-PM-Yr2-2025'!$E$41:$L$41,
        _xlfn.XLOOKUP('Rate Load'!H975, 'Wedgewood Pharm-PM-Yr2-2025'!$D$42:$D$68,
            'Wedgewood Pharm-PM-Yr2-2025'!$E$42:$L$68, 0, 0),
        0, 0),
    _xlfn.XLOOKUP(G975, 'Wedgewood Pharm-PM-Yr2-2025'!$E$41:$L$41,
        _xlfn.XLOOKUP('Rate Load'!L975, 'Wedgewood Pharm-PM-Yr2-2025'!$D$42:$D$68,
            'Wedgewood Pharm-PM-Yr2-2025'!$E$42:$L$68, 0, 0),
        0, 0)
)</f>
        <v>18.680000000000003</v>
      </c>
      <c r="K975" t="s">
        <v>46</v>
      </c>
      <c r="L975" t="s">
        <v>30</v>
      </c>
      <c r="M975">
        <v>2</v>
      </c>
      <c r="N975" t="str">
        <f t="shared" si="15"/>
        <v>INSERT INTO TNL_RATING.dbo.usps_rate_master VALUES ('USPS', '2/13/2025', '2/13/2026', 12659, 'US', 'Priority Mail', 6, 0, 'L', 18.68, 'Wedgewood_USPS_2025', 'Large Flat-Rate Box','2');</v>
      </c>
    </row>
    <row r="976" spans="1:14" x14ac:dyDescent="0.3">
      <c r="A976" t="s">
        <v>11</v>
      </c>
      <c r="B976" s="1" t="s">
        <v>43</v>
      </c>
      <c r="C976" s="1" t="s">
        <v>44</v>
      </c>
      <c r="D976">
        <v>12659</v>
      </c>
      <c r="E976" t="s">
        <v>12</v>
      </c>
      <c r="F976" t="s">
        <v>47</v>
      </c>
      <c r="G976">
        <v>7</v>
      </c>
      <c r="H976">
        <v>0</v>
      </c>
      <c r="I976" t="s">
        <v>45</v>
      </c>
      <c r="J976" cm="1">
        <f t="array" ref="J976">IFERROR(
    _xlfn.XLOOKUP(G976, 'Wedgewood Pharm-PM-Yr2-2025'!$E$41:$L$41,
        _xlfn.XLOOKUP('Rate Load'!H976, 'Wedgewood Pharm-PM-Yr2-2025'!$D$42:$D$68,
            'Wedgewood Pharm-PM-Yr2-2025'!$E$42:$L$68, 0, 0),
        0, 0),
    _xlfn.XLOOKUP(G976, 'Wedgewood Pharm-PM-Yr2-2025'!$E$41:$L$41,
        _xlfn.XLOOKUP('Rate Load'!L976, 'Wedgewood Pharm-PM-Yr2-2025'!$D$42:$D$68,
            'Wedgewood Pharm-PM-Yr2-2025'!$E$42:$L$68, 0, 0),
        0, 0)
)</f>
        <v>18.680000000000003</v>
      </c>
      <c r="K976" t="s">
        <v>46</v>
      </c>
      <c r="L976" t="s">
        <v>30</v>
      </c>
      <c r="M976">
        <v>2</v>
      </c>
      <c r="N976" t="str">
        <f t="shared" si="15"/>
        <v>INSERT INTO TNL_RATING.dbo.usps_rate_master VALUES ('USPS', '2/13/2025', '2/13/2026', 12659, 'US', 'Priority Mail', 7, 0, 'L', 18.68, 'Wedgewood_USPS_2025', 'Large Flat-Rate Box','2');</v>
      </c>
    </row>
    <row r="977" spans="1:14" x14ac:dyDescent="0.3">
      <c r="A977" t="s">
        <v>11</v>
      </c>
      <c r="B977" s="1" t="s">
        <v>43</v>
      </c>
      <c r="C977" s="1" t="s">
        <v>44</v>
      </c>
      <c r="D977">
        <v>12659</v>
      </c>
      <c r="E977" t="s">
        <v>12</v>
      </c>
      <c r="F977" t="s">
        <v>47</v>
      </c>
      <c r="G977">
        <v>8</v>
      </c>
      <c r="H977">
        <v>0</v>
      </c>
      <c r="I977" t="s">
        <v>45</v>
      </c>
      <c r="J977" cm="1">
        <f t="array" ref="J977">IFERROR(
    _xlfn.XLOOKUP(G977, 'Wedgewood Pharm-PM-Yr2-2025'!$E$41:$L$41,
        _xlfn.XLOOKUP('Rate Load'!H977, 'Wedgewood Pharm-PM-Yr2-2025'!$D$42:$D$68,
            'Wedgewood Pharm-PM-Yr2-2025'!$E$42:$L$68, 0, 0),
        0, 0),
    _xlfn.XLOOKUP(G977, 'Wedgewood Pharm-PM-Yr2-2025'!$E$41:$L$41,
        _xlfn.XLOOKUP('Rate Load'!L977, 'Wedgewood Pharm-PM-Yr2-2025'!$D$42:$D$68,
            'Wedgewood Pharm-PM-Yr2-2025'!$E$42:$L$68, 0, 0),
        0, 0)
)</f>
        <v>18.680000000000003</v>
      </c>
      <c r="K977" t="s">
        <v>46</v>
      </c>
      <c r="L977" t="s">
        <v>30</v>
      </c>
      <c r="M977">
        <v>2</v>
      </c>
      <c r="N977" t="str">
        <f t="shared" si="15"/>
        <v>INSERT INTO TNL_RATING.dbo.usps_rate_master VALUES ('USPS', '2/13/2025', '2/13/2026', 12659, 'US', 'Priority Mail', 8, 0, 'L', 18.68, 'Wedgewood_USPS_2025', 'Large Flat-Rate Box','2');</v>
      </c>
    </row>
    <row r="978" spans="1:14" x14ac:dyDescent="0.3">
      <c r="A978" t="s">
        <v>11</v>
      </c>
      <c r="B978" s="1" t="s">
        <v>43</v>
      </c>
      <c r="C978" s="1" t="s">
        <v>44</v>
      </c>
      <c r="D978">
        <v>12659</v>
      </c>
      <c r="E978" t="s">
        <v>12</v>
      </c>
      <c r="F978" t="s">
        <v>51</v>
      </c>
      <c r="G978">
        <v>1</v>
      </c>
      <c r="H978">
        <v>1</v>
      </c>
      <c r="I978" t="s">
        <v>45</v>
      </c>
      <c r="J978" cm="1">
        <f t="array" ref="J978">IFERROR(
    _xlfn.XLOOKUP(G978, 'Wedgewood Pharm-GA-Yr2-2025'!$E$55:$L$55,
        _xlfn.XLOOKUP('Rate Load'!H978, 'Wedgewood Pharm-GA-Yr2-2025'!$D$72:$D$101,
            'Wedgewood Pharm-GA-Yr2-2025'!$E$72:$L$101, 0, 0),
        0, 0),
    _xlfn.XLOOKUP(G978, 'Wedgewood Pharm-GA-Yr2-2025'!$E$55:$L$55,
        _xlfn.XLOOKUP('Rate Load'!L978, 'Wedgewood Pharm-GA-Yr2-2025'!$D$72:$D$101,
            'Wedgewood Pharm-GA-Yr2-2025'!$E$72:$L$101, 0, 0),
        0, 0)
)</f>
        <v>6.02</v>
      </c>
      <c r="K978" t="s">
        <v>46</v>
      </c>
      <c r="L978" t="s">
        <v>13</v>
      </c>
      <c r="M978">
        <v>2</v>
      </c>
      <c r="N978" t="str">
        <f t="shared" si="15"/>
        <v>INSERT INTO TNL_RATING.dbo.usps_rate_master VALUES ('USPS', '2/13/2025', '2/13/2026', 12659, 'US', 'USPS Ground Advantage', 1, 1, 'L', 6.02, 'Wedgewood_USPS_2025', 'NonCubic','2');</v>
      </c>
    </row>
    <row r="979" spans="1:14" x14ac:dyDescent="0.3">
      <c r="A979" t="s">
        <v>11</v>
      </c>
      <c r="B979" s="1" t="s">
        <v>43</v>
      </c>
      <c r="C979" s="1" t="s">
        <v>44</v>
      </c>
      <c r="D979">
        <v>12659</v>
      </c>
      <c r="E979" t="s">
        <v>12</v>
      </c>
      <c r="F979" t="s">
        <v>51</v>
      </c>
      <c r="G979">
        <v>1</v>
      </c>
      <c r="H979">
        <v>2</v>
      </c>
      <c r="I979" t="s">
        <v>45</v>
      </c>
      <c r="J979" cm="1">
        <f t="array" ref="J979">IFERROR(
    _xlfn.XLOOKUP(G979, 'Wedgewood Pharm-GA-Yr2-2025'!$E$55:$L$55,
        _xlfn.XLOOKUP('Rate Load'!H979, 'Wedgewood Pharm-GA-Yr2-2025'!$D$72:$D$101,
            'Wedgewood Pharm-GA-Yr2-2025'!$E$72:$L$101, 0, 0),
        0, 0),
    _xlfn.XLOOKUP(G979, 'Wedgewood Pharm-GA-Yr2-2025'!$E$55:$L$55,
        _xlfn.XLOOKUP('Rate Load'!L979, 'Wedgewood Pharm-GA-Yr2-2025'!$D$72:$D$101,
            'Wedgewood Pharm-GA-Yr2-2025'!$E$72:$L$101, 0, 0),
        0, 0)
)</f>
        <v>6.02</v>
      </c>
      <c r="K979" t="s">
        <v>46</v>
      </c>
      <c r="L979" t="s">
        <v>13</v>
      </c>
      <c r="M979">
        <v>2</v>
      </c>
      <c r="N979" t="str">
        <f t="shared" si="15"/>
        <v>INSERT INTO TNL_RATING.dbo.usps_rate_master VALUES ('USPS', '2/13/2025', '2/13/2026', 12659, 'US', 'USPS Ground Advantage', 1, 2, 'L', 6.02, 'Wedgewood_USPS_2025', 'NonCubic','2');</v>
      </c>
    </row>
    <row r="980" spans="1:14" x14ac:dyDescent="0.3">
      <c r="A980" t="s">
        <v>11</v>
      </c>
      <c r="B980" s="1" t="s">
        <v>43</v>
      </c>
      <c r="C980" s="1" t="s">
        <v>44</v>
      </c>
      <c r="D980">
        <v>12659</v>
      </c>
      <c r="E980" t="s">
        <v>12</v>
      </c>
      <c r="F980" t="s">
        <v>51</v>
      </c>
      <c r="G980">
        <v>1</v>
      </c>
      <c r="H980">
        <v>3</v>
      </c>
      <c r="I980" t="s">
        <v>45</v>
      </c>
      <c r="J980" cm="1">
        <f t="array" ref="J980">IFERROR(
    _xlfn.XLOOKUP(G980, 'Wedgewood Pharm-GA-Yr2-2025'!$E$55:$L$55,
        _xlfn.XLOOKUP('Rate Load'!H980, 'Wedgewood Pharm-GA-Yr2-2025'!$D$72:$D$101,
            'Wedgewood Pharm-GA-Yr2-2025'!$E$72:$L$101, 0, 0),
        0, 0),
    _xlfn.XLOOKUP(G980, 'Wedgewood Pharm-GA-Yr2-2025'!$E$55:$L$55,
        _xlfn.XLOOKUP('Rate Load'!L980, 'Wedgewood Pharm-GA-Yr2-2025'!$D$72:$D$101,
            'Wedgewood Pharm-GA-Yr2-2025'!$E$72:$L$101, 0, 0),
        0, 0)
)</f>
        <v>6.3599999999999994</v>
      </c>
      <c r="K980" t="s">
        <v>46</v>
      </c>
      <c r="L980" t="s">
        <v>13</v>
      </c>
      <c r="M980">
        <v>2</v>
      </c>
      <c r="N980" t="str">
        <f t="shared" si="15"/>
        <v>INSERT INTO TNL_RATING.dbo.usps_rate_master VALUES ('USPS', '2/13/2025', '2/13/2026', 12659, 'US', 'USPS Ground Advantage', 1, 3, 'L', 6.36, 'Wedgewood_USPS_2025', 'NonCubic','2');</v>
      </c>
    </row>
    <row r="981" spans="1:14" x14ac:dyDescent="0.3">
      <c r="A981" t="s">
        <v>11</v>
      </c>
      <c r="B981" s="1" t="s">
        <v>43</v>
      </c>
      <c r="C981" s="1" t="s">
        <v>44</v>
      </c>
      <c r="D981">
        <v>12659</v>
      </c>
      <c r="E981" t="s">
        <v>12</v>
      </c>
      <c r="F981" t="s">
        <v>51</v>
      </c>
      <c r="G981">
        <v>1</v>
      </c>
      <c r="H981">
        <v>4</v>
      </c>
      <c r="I981" t="s">
        <v>45</v>
      </c>
      <c r="J981" cm="1">
        <f t="array" ref="J981">IFERROR(
    _xlfn.XLOOKUP(G981, 'Wedgewood Pharm-GA-Yr2-2025'!$E$55:$L$55,
        _xlfn.XLOOKUP('Rate Load'!H981, 'Wedgewood Pharm-GA-Yr2-2025'!$D$72:$D$101,
            'Wedgewood Pharm-GA-Yr2-2025'!$E$72:$L$101, 0, 0),
        0, 0),
    _xlfn.XLOOKUP(G981, 'Wedgewood Pharm-GA-Yr2-2025'!$E$55:$L$55,
        _xlfn.XLOOKUP('Rate Load'!L981, 'Wedgewood Pharm-GA-Yr2-2025'!$D$72:$D$101,
            'Wedgewood Pharm-GA-Yr2-2025'!$E$72:$L$101, 0, 0),
        0, 0)
)</f>
        <v>6.55</v>
      </c>
      <c r="K981" t="s">
        <v>46</v>
      </c>
      <c r="L981" t="s">
        <v>13</v>
      </c>
      <c r="M981">
        <v>2</v>
      </c>
      <c r="N981" t="str">
        <f t="shared" si="15"/>
        <v>INSERT INTO TNL_RATING.dbo.usps_rate_master VALUES ('USPS', '2/13/2025', '2/13/2026', 12659, 'US', 'USPS Ground Advantage', 1, 4, 'L', 6.55, 'Wedgewood_USPS_2025', 'NonCubic','2');</v>
      </c>
    </row>
    <row r="982" spans="1:14" x14ac:dyDescent="0.3">
      <c r="A982" t="s">
        <v>11</v>
      </c>
      <c r="B982" s="1" t="s">
        <v>43</v>
      </c>
      <c r="C982" s="1" t="s">
        <v>44</v>
      </c>
      <c r="D982">
        <v>12659</v>
      </c>
      <c r="E982" t="s">
        <v>12</v>
      </c>
      <c r="F982" t="s">
        <v>51</v>
      </c>
      <c r="G982">
        <v>1</v>
      </c>
      <c r="H982">
        <v>5</v>
      </c>
      <c r="I982" t="s">
        <v>45</v>
      </c>
      <c r="J982" cm="1">
        <f t="array" ref="J982">IFERROR(
    _xlfn.XLOOKUP(G982, 'Wedgewood Pharm-GA-Yr2-2025'!$E$55:$L$55,
        _xlfn.XLOOKUP('Rate Load'!H982, 'Wedgewood Pharm-GA-Yr2-2025'!$D$72:$D$101,
            'Wedgewood Pharm-GA-Yr2-2025'!$E$72:$L$101, 0, 0),
        0, 0),
    _xlfn.XLOOKUP(G982, 'Wedgewood Pharm-GA-Yr2-2025'!$E$55:$L$55,
        _xlfn.XLOOKUP('Rate Load'!L982, 'Wedgewood Pharm-GA-Yr2-2025'!$D$72:$D$101,
            'Wedgewood Pharm-GA-Yr2-2025'!$E$72:$L$101, 0, 0),
        0, 0)
)</f>
        <v>6.6899999999999995</v>
      </c>
      <c r="K982" t="s">
        <v>46</v>
      </c>
      <c r="L982" t="s">
        <v>13</v>
      </c>
      <c r="M982">
        <v>2</v>
      </c>
      <c r="N982" t="str">
        <f t="shared" si="15"/>
        <v>INSERT INTO TNL_RATING.dbo.usps_rate_master VALUES ('USPS', '2/13/2025', '2/13/2026', 12659, 'US', 'USPS Ground Advantage', 1, 5, 'L', 6.69, 'Wedgewood_USPS_2025', 'NonCubic','2');</v>
      </c>
    </row>
    <row r="983" spans="1:14" x14ac:dyDescent="0.3">
      <c r="A983" t="s">
        <v>11</v>
      </c>
      <c r="B983" s="1" t="s">
        <v>43</v>
      </c>
      <c r="C983" s="1" t="s">
        <v>44</v>
      </c>
      <c r="D983">
        <v>12659</v>
      </c>
      <c r="E983" t="s">
        <v>12</v>
      </c>
      <c r="F983" t="s">
        <v>51</v>
      </c>
      <c r="G983">
        <v>1</v>
      </c>
      <c r="H983">
        <v>6</v>
      </c>
      <c r="I983" t="s">
        <v>45</v>
      </c>
      <c r="J983" cm="1">
        <f t="array" ref="J983">IFERROR(
    _xlfn.XLOOKUP(G983, 'Wedgewood Pharm-GA-Yr2-2025'!$E$55:$L$55,
        _xlfn.XLOOKUP('Rate Load'!H983, 'Wedgewood Pharm-GA-Yr2-2025'!$D$72:$D$101,
            'Wedgewood Pharm-GA-Yr2-2025'!$E$72:$L$101, 0, 0),
        0, 0),
    _xlfn.XLOOKUP(G983, 'Wedgewood Pharm-GA-Yr2-2025'!$E$55:$L$55,
        _xlfn.XLOOKUP('Rate Load'!L983, 'Wedgewood Pharm-GA-Yr2-2025'!$D$72:$D$101,
            'Wedgewood Pharm-GA-Yr2-2025'!$E$72:$L$101, 0, 0),
        0, 0)
)</f>
        <v>6.84</v>
      </c>
      <c r="K983" t="s">
        <v>46</v>
      </c>
      <c r="L983" t="s">
        <v>13</v>
      </c>
      <c r="M983">
        <v>2</v>
      </c>
      <c r="N983" t="str">
        <f t="shared" si="15"/>
        <v>INSERT INTO TNL_RATING.dbo.usps_rate_master VALUES ('USPS', '2/13/2025', '2/13/2026', 12659, 'US', 'USPS Ground Advantage', 1, 6, 'L', 6.84, 'Wedgewood_USPS_2025', 'NonCubic','2');</v>
      </c>
    </row>
    <row r="984" spans="1:14" x14ac:dyDescent="0.3">
      <c r="A984" t="s">
        <v>11</v>
      </c>
      <c r="B984" s="1" t="s">
        <v>43</v>
      </c>
      <c r="C984" s="1" t="s">
        <v>44</v>
      </c>
      <c r="D984">
        <v>12659</v>
      </c>
      <c r="E984" t="s">
        <v>12</v>
      </c>
      <c r="F984" t="s">
        <v>51</v>
      </c>
      <c r="G984">
        <v>1</v>
      </c>
      <c r="H984">
        <v>7</v>
      </c>
      <c r="I984" t="s">
        <v>45</v>
      </c>
      <c r="J984" cm="1">
        <f t="array" ref="J984">IFERROR(
    _xlfn.XLOOKUP(G984, 'Wedgewood Pharm-GA-Yr2-2025'!$E$55:$L$55,
        _xlfn.XLOOKUP('Rate Load'!H984, 'Wedgewood Pharm-GA-Yr2-2025'!$D$72:$D$101,
            'Wedgewood Pharm-GA-Yr2-2025'!$E$72:$L$101, 0, 0),
        0, 0),
    _xlfn.XLOOKUP(G984, 'Wedgewood Pharm-GA-Yr2-2025'!$E$55:$L$55,
        _xlfn.XLOOKUP('Rate Load'!L984, 'Wedgewood Pharm-GA-Yr2-2025'!$D$72:$D$101,
            'Wedgewood Pharm-GA-Yr2-2025'!$E$72:$L$101, 0, 0),
        0, 0)
)</f>
        <v>7.1499999999999995</v>
      </c>
      <c r="K984" t="s">
        <v>46</v>
      </c>
      <c r="L984" t="s">
        <v>13</v>
      </c>
      <c r="M984">
        <v>2</v>
      </c>
      <c r="N984" t="str">
        <f t="shared" si="15"/>
        <v>INSERT INTO TNL_RATING.dbo.usps_rate_master VALUES ('USPS', '2/13/2025', '2/13/2026', 12659, 'US', 'USPS Ground Advantage', 1, 7, 'L', 7.15, 'Wedgewood_USPS_2025', 'NonCubic','2');</v>
      </c>
    </row>
    <row r="985" spans="1:14" x14ac:dyDescent="0.3">
      <c r="A985" t="s">
        <v>11</v>
      </c>
      <c r="B985" s="1" t="s">
        <v>43</v>
      </c>
      <c r="C985" s="1" t="s">
        <v>44</v>
      </c>
      <c r="D985">
        <v>12659</v>
      </c>
      <c r="E985" t="s">
        <v>12</v>
      </c>
      <c r="F985" t="s">
        <v>51</v>
      </c>
      <c r="G985">
        <v>1</v>
      </c>
      <c r="H985">
        <v>8</v>
      </c>
      <c r="I985" t="s">
        <v>45</v>
      </c>
      <c r="J985" cm="1">
        <f t="array" ref="J985">IFERROR(
    _xlfn.XLOOKUP(G985, 'Wedgewood Pharm-GA-Yr2-2025'!$E$55:$L$55,
        _xlfn.XLOOKUP('Rate Load'!H985, 'Wedgewood Pharm-GA-Yr2-2025'!$D$72:$D$101,
            'Wedgewood Pharm-GA-Yr2-2025'!$E$72:$L$101, 0, 0),
        0, 0),
    _xlfn.XLOOKUP(G985, 'Wedgewood Pharm-GA-Yr2-2025'!$E$55:$L$55,
        _xlfn.XLOOKUP('Rate Load'!L985, 'Wedgewood Pharm-GA-Yr2-2025'!$D$72:$D$101,
            'Wedgewood Pharm-GA-Yr2-2025'!$E$72:$L$101, 0, 0),
        0, 0)
)</f>
        <v>7.27</v>
      </c>
      <c r="K985" t="s">
        <v>46</v>
      </c>
      <c r="L985" t="s">
        <v>13</v>
      </c>
      <c r="M985">
        <v>2</v>
      </c>
      <c r="N985" t="str">
        <f t="shared" si="15"/>
        <v>INSERT INTO TNL_RATING.dbo.usps_rate_master VALUES ('USPS', '2/13/2025', '2/13/2026', 12659, 'US', 'USPS Ground Advantage', 1, 8, 'L', 7.27, 'Wedgewood_USPS_2025', 'NonCubic','2');</v>
      </c>
    </row>
    <row r="986" spans="1:14" x14ac:dyDescent="0.3">
      <c r="A986" t="s">
        <v>11</v>
      </c>
      <c r="B986" s="1" t="s">
        <v>43</v>
      </c>
      <c r="C986" s="1" t="s">
        <v>44</v>
      </c>
      <c r="D986">
        <v>12659</v>
      </c>
      <c r="E986" t="s">
        <v>12</v>
      </c>
      <c r="F986" t="s">
        <v>51</v>
      </c>
      <c r="G986">
        <v>1</v>
      </c>
      <c r="H986">
        <v>9</v>
      </c>
      <c r="I986" t="s">
        <v>45</v>
      </c>
      <c r="J986" cm="1">
        <f t="array" ref="J986">IFERROR(
    _xlfn.XLOOKUP(G986, 'Wedgewood Pharm-GA-Yr2-2025'!$E$55:$L$55,
        _xlfn.XLOOKUP('Rate Load'!H986, 'Wedgewood Pharm-GA-Yr2-2025'!$D$72:$D$101,
            'Wedgewood Pharm-GA-Yr2-2025'!$E$72:$L$101, 0, 0),
        0, 0),
    _xlfn.XLOOKUP(G986, 'Wedgewood Pharm-GA-Yr2-2025'!$E$55:$L$55,
        _xlfn.XLOOKUP('Rate Load'!L986, 'Wedgewood Pharm-GA-Yr2-2025'!$D$72:$D$101,
            'Wedgewood Pharm-GA-Yr2-2025'!$E$72:$L$101, 0, 0),
        0, 0)
)</f>
        <v>7.71</v>
      </c>
      <c r="K986" t="s">
        <v>46</v>
      </c>
      <c r="L986" t="s">
        <v>13</v>
      </c>
      <c r="M986">
        <v>2</v>
      </c>
      <c r="N986" t="str">
        <f t="shared" si="15"/>
        <v>INSERT INTO TNL_RATING.dbo.usps_rate_master VALUES ('USPS', '2/13/2025', '2/13/2026', 12659, 'US', 'USPS Ground Advantage', 1, 9, 'L', 7.71, 'Wedgewood_USPS_2025', 'NonCubic','2');</v>
      </c>
    </row>
    <row r="987" spans="1:14" x14ac:dyDescent="0.3">
      <c r="A987" t="s">
        <v>11</v>
      </c>
      <c r="B987" s="1" t="s">
        <v>43</v>
      </c>
      <c r="C987" s="1" t="s">
        <v>44</v>
      </c>
      <c r="D987">
        <v>12659</v>
      </c>
      <c r="E987" t="s">
        <v>12</v>
      </c>
      <c r="F987" t="s">
        <v>51</v>
      </c>
      <c r="G987">
        <v>1</v>
      </c>
      <c r="H987">
        <v>10</v>
      </c>
      <c r="I987" t="s">
        <v>45</v>
      </c>
      <c r="J987" cm="1">
        <f t="array" ref="J987">IFERROR(
    _xlfn.XLOOKUP(G987, 'Wedgewood Pharm-GA-Yr2-2025'!$E$55:$L$55,
        _xlfn.XLOOKUP('Rate Load'!H987, 'Wedgewood Pharm-GA-Yr2-2025'!$D$72:$D$101,
            'Wedgewood Pharm-GA-Yr2-2025'!$E$72:$L$101, 0, 0),
        0, 0),
    _xlfn.XLOOKUP(G987, 'Wedgewood Pharm-GA-Yr2-2025'!$E$55:$L$55,
        _xlfn.XLOOKUP('Rate Load'!L987, 'Wedgewood Pharm-GA-Yr2-2025'!$D$72:$D$101,
            'Wedgewood Pharm-GA-Yr2-2025'!$E$72:$L$101, 0, 0),
        0, 0)
)</f>
        <v>7.9799999999999995</v>
      </c>
      <c r="K987" t="s">
        <v>46</v>
      </c>
      <c r="L987" t="s">
        <v>13</v>
      </c>
      <c r="M987">
        <v>2</v>
      </c>
      <c r="N987" t="str">
        <f t="shared" si="15"/>
        <v>INSERT INTO TNL_RATING.dbo.usps_rate_master VALUES ('USPS', '2/13/2025', '2/13/2026', 12659, 'US', 'USPS Ground Advantage', 1, 10, 'L', 7.98, 'Wedgewood_USPS_2025', 'NonCubic','2');</v>
      </c>
    </row>
    <row r="988" spans="1:14" x14ac:dyDescent="0.3">
      <c r="A988" t="s">
        <v>11</v>
      </c>
      <c r="B988" s="1" t="s">
        <v>43</v>
      </c>
      <c r="C988" s="1" t="s">
        <v>44</v>
      </c>
      <c r="D988">
        <v>12659</v>
      </c>
      <c r="E988" t="s">
        <v>12</v>
      </c>
      <c r="F988" t="s">
        <v>51</v>
      </c>
      <c r="G988">
        <v>1</v>
      </c>
      <c r="H988">
        <v>11</v>
      </c>
      <c r="I988" t="s">
        <v>45</v>
      </c>
      <c r="J988" cm="1">
        <f t="array" ref="J988">IFERROR(
    _xlfn.XLOOKUP(G988, 'Wedgewood Pharm-GA-Yr2-2025'!$E$55:$L$55,
        _xlfn.XLOOKUP('Rate Load'!H988, 'Wedgewood Pharm-GA-Yr2-2025'!$D$72:$D$101,
            'Wedgewood Pharm-GA-Yr2-2025'!$E$72:$L$101, 0, 0),
        0, 0),
    _xlfn.XLOOKUP(G988, 'Wedgewood Pharm-GA-Yr2-2025'!$E$55:$L$55,
        _xlfn.XLOOKUP('Rate Load'!L988, 'Wedgewood Pharm-GA-Yr2-2025'!$D$72:$D$101,
            'Wedgewood Pharm-GA-Yr2-2025'!$E$72:$L$101, 0, 0),
        0, 0)
)</f>
        <v>8.9</v>
      </c>
      <c r="K988" t="s">
        <v>46</v>
      </c>
      <c r="L988" t="s">
        <v>13</v>
      </c>
      <c r="M988">
        <v>2</v>
      </c>
      <c r="N988" t="str">
        <f t="shared" si="15"/>
        <v>INSERT INTO TNL_RATING.dbo.usps_rate_master VALUES ('USPS', '2/13/2025', '2/13/2026', 12659, 'US', 'USPS Ground Advantage', 1, 11, 'L', 8.9, 'Wedgewood_USPS_2025', 'NonCubic','2');</v>
      </c>
    </row>
    <row r="989" spans="1:14" x14ac:dyDescent="0.3">
      <c r="A989" t="s">
        <v>11</v>
      </c>
      <c r="B989" s="1" t="s">
        <v>43</v>
      </c>
      <c r="C989" s="1" t="s">
        <v>44</v>
      </c>
      <c r="D989">
        <v>12659</v>
      </c>
      <c r="E989" t="s">
        <v>12</v>
      </c>
      <c r="F989" t="s">
        <v>51</v>
      </c>
      <c r="G989">
        <v>1</v>
      </c>
      <c r="H989">
        <v>12</v>
      </c>
      <c r="I989" t="s">
        <v>45</v>
      </c>
      <c r="J989" cm="1">
        <f t="array" ref="J989">IFERROR(
    _xlfn.XLOOKUP(G989, 'Wedgewood Pharm-GA-Yr2-2025'!$E$55:$L$55,
        _xlfn.XLOOKUP('Rate Load'!H989, 'Wedgewood Pharm-GA-Yr2-2025'!$D$72:$D$101,
            'Wedgewood Pharm-GA-Yr2-2025'!$E$72:$L$101, 0, 0),
        0, 0),
    _xlfn.XLOOKUP(G989, 'Wedgewood Pharm-GA-Yr2-2025'!$E$55:$L$55,
        _xlfn.XLOOKUP('Rate Load'!L989, 'Wedgewood Pharm-GA-Yr2-2025'!$D$72:$D$101,
            'Wedgewood Pharm-GA-Yr2-2025'!$E$72:$L$101, 0, 0),
        0, 0)
)</f>
        <v>9.2799999999999994</v>
      </c>
      <c r="K989" t="s">
        <v>46</v>
      </c>
      <c r="L989" t="s">
        <v>13</v>
      </c>
      <c r="M989">
        <v>2</v>
      </c>
      <c r="N989" t="str">
        <f t="shared" si="15"/>
        <v>INSERT INTO TNL_RATING.dbo.usps_rate_master VALUES ('USPS', '2/13/2025', '2/13/2026', 12659, 'US', 'USPS Ground Advantage', 1, 12, 'L', 9.28, 'Wedgewood_USPS_2025', 'NonCubic','2');</v>
      </c>
    </row>
    <row r="990" spans="1:14" x14ac:dyDescent="0.3">
      <c r="A990" t="s">
        <v>11</v>
      </c>
      <c r="B990" s="1" t="s">
        <v>43</v>
      </c>
      <c r="C990" s="1" t="s">
        <v>44</v>
      </c>
      <c r="D990">
        <v>12659</v>
      </c>
      <c r="E990" t="s">
        <v>12</v>
      </c>
      <c r="F990" t="s">
        <v>51</v>
      </c>
      <c r="G990">
        <v>1</v>
      </c>
      <c r="H990">
        <v>13</v>
      </c>
      <c r="I990" t="s">
        <v>45</v>
      </c>
      <c r="J990" cm="1">
        <f t="array" ref="J990">IFERROR(
    _xlfn.XLOOKUP(G990, 'Wedgewood Pharm-GA-Yr2-2025'!$E$55:$L$55,
        _xlfn.XLOOKUP('Rate Load'!H990, 'Wedgewood Pharm-GA-Yr2-2025'!$D$72:$D$101,
            'Wedgewood Pharm-GA-Yr2-2025'!$E$72:$L$101, 0, 0),
        0, 0),
    _xlfn.XLOOKUP(G990, 'Wedgewood Pharm-GA-Yr2-2025'!$E$55:$L$55,
        _xlfn.XLOOKUP('Rate Load'!L990, 'Wedgewood Pharm-GA-Yr2-2025'!$D$72:$D$101,
            'Wedgewood Pharm-GA-Yr2-2025'!$E$72:$L$101, 0, 0),
        0, 0)
)</f>
        <v>9.5499999999999989</v>
      </c>
      <c r="K990" t="s">
        <v>46</v>
      </c>
      <c r="L990" t="s">
        <v>13</v>
      </c>
      <c r="M990">
        <v>2</v>
      </c>
      <c r="N990" t="str">
        <f t="shared" si="15"/>
        <v>INSERT INTO TNL_RATING.dbo.usps_rate_master VALUES ('USPS', '2/13/2025', '2/13/2026', 12659, 'US', 'USPS Ground Advantage', 1, 13, 'L', 9.55, 'Wedgewood_USPS_2025', 'NonCubic','2');</v>
      </c>
    </row>
    <row r="991" spans="1:14" x14ac:dyDescent="0.3">
      <c r="A991" t="s">
        <v>11</v>
      </c>
      <c r="B991" s="1" t="s">
        <v>43</v>
      </c>
      <c r="C991" s="1" t="s">
        <v>44</v>
      </c>
      <c r="D991">
        <v>12659</v>
      </c>
      <c r="E991" t="s">
        <v>12</v>
      </c>
      <c r="F991" t="s">
        <v>51</v>
      </c>
      <c r="G991">
        <v>1</v>
      </c>
      <c r="H991">
        <v>14</v>
      </c>
      <c r="I991" t="s">
        <v>45</v>
      </c>
      <c r="J991" cm="1">
        <f t="array" ref="J991">IFERROR(
    _xlfn.XLOOKUP(G991, 'Wedgewood Pharm-GA-Yr2-2025'!$E$55:$L$55,
        _xlfn.XLOOKUP('Rate Load'!H991, 'Wedgewood Pharm-GA-Yr2-2025'!$D$72:$D$101,
            'Wedgewood Pharm-GA-Yr2-2025'!$E$72:$L$101, 0, 0),
        0, 0),
    _xlfn.XLOOKUP(G991, 'Wedgewood Pharm-GA-Yr2-2025'!$E$55:$L$55,
        _xlfn.XLOOKUP('Rate Load'!L991, 'Wedgewood Pharm-GA-Yr2-2025'!$D$72:$D$101,
            'Wedgewood Pharm-GA-Yr2-2025'!$E$72:$L$101, 0, 0),
        0, 0)
)</f>
        <v>9.85</v>
      </c>
      <c r="K991" t="s">
        <v>46</v>
      </c>
      <c r="L991" t="s">
        <v>13</v>
      </c>
      <c r="M991">
        <v>2</v>
      </c>
      <c r="N991" t="str">
        <f t="shared" si="15"/>
        <v>INSERT INTO TNL_RATING.dbo.usps_rate_master VALUES ('USPS', '2/13/2025', '2/13/2026', 12659, 'US', 'USPS Ground Advantage', 1, 14, 'L', 9.85, 'Wedgewood_USPS_2025', 'NonCubic','2');</v>
      </c>
    </row>
    <row r="992" spans="1:14" x14ac:dyDescent="0.3">
      <c r="A992" t="s">
        <v>11</v>
      </c>
      <c r="B992" s="1" t="s">
        <v>43</v>
      </c>
      <c r="C992" s="1" t="s">
        <v>44</v>
      </c>
      <c r="D992">
        <v>12659</v>
      </c>
      <c r="E992" t="s">
        <v>12</v>
      </c>
      <c r="F992" t="s">
        <v>51</v>
      </c>
      <c r="G992">
        <v>1</v>
      </c>
      <c r="H992">
        <v>15</v>
      </c>
      <c r="I992" t="s">
        <v>45</v>
      </c>
      <c r="J992" cm="1">
        <f t="array" ref="J992">IFERROR(
    _xlfn.XLOOKUP(G992, 'Wedgewood Pharm-GA-Yr2-2025'!$E$55:$L$55,
        _xlfn.XLOOKUP('Rate Load'!H992, 'Wedgewood Pharm-GA-Yr2-2025'!$D$72:$D$101,
            'Wedgewood Pharm-GA-Yr2-2025'!$E$72:$L$101, 0, 0),
        0, 0),
    _xlfn.XLOOKUP(G992, 'Wedgewood Pharm-GA-Yr2-2025'!$E$55:$L$55,
        _xlfn.XLOOKUP('Rate Load'!L992, 'Wedgewood Pharm-GA-Yr2-2025'!$D$72:$D$101,
            'Wedgewood Pharm-GA-Yr2-2025'!$E$72:$L$101, 0, 0),
        0, 0)
)</f>
        <v>10.06</v>
      </c>
      <c r="K992" t="s">
        <v>46</v>
      </c>
      <c r="L992" t="s">
        <v>13</v>
      </c>
      <c r="M992">
        <v>2</v>
      </c>
      <c r="N992" t="str">
        <f t="shared" si="15"/>
        <v>INSERT INTO TNL_RATING.dbo.usps_rate_master VALUES ('USPS', '2/13/2025', '2/13/2026', 12659, 'US', 'USPS Ground Advantage', 1, 15, 'L', 10.06, 'Wedgewood_USPS_2025', 'NonCubic','2');</v>
      </c>
    </row>
    <row r="993" spans="1:14" x14ac:dyDescent="0.3">
      <c r="A993" t="s">
        <v>11</v>
      </c>
      <c r="B993" s="1" t="s">
        <v>43</v>
      </c>
      <c r="C993" s="1" t="s">
        <v>44</v>
      </c>
      <c r="D993">
        <v>12659</v>
      </c>
      <c r="E993" t="s">
        <v>12</v>
      </c>
      <c r="F993" t="s">
        <v>51</v>
      </c>
      <c r="G993">
        <v>1</v>
      </c>
      <c r="H993">
        <v>16</v>
      </c>
      <c r="I993" t="s">
        <v>45</v>
      </c>
      <c r="J993" cm="1">
        <f t="array" ref="J993">IFERROR(
    _xlfn.XLOOKUP(G993, 'Wedgewood Pharm-GA-Yr2-2025'!$E$55:$L$55,
        _xlfn.XLOOKUP('Rate Load'!H993, 'Wedgewood Pharm-GA-Yr2-2025'!$D$72:$D$101,
            'Wedgewood Pharm-GA-Yr2-2025'!$E$72:$L$101, 0, 0),
        0, 0),
    _xlfn.XLOOKUP(G993, 'Wedgewood Pharm-GA-Yr2-2025'!$E$55:$L$55,
        _xlfn.XLOOKUP('Rate Load'!L993, 'Wedgewood Pharm-GA-Yr2-2025'!$D$72:$D$101,
            'Wedgewood Pharm-GA-Yr2-2025'!$E$72:$L$101, 0, 0),
        0, 0)
)</f>
        <v>10.32</v>
      </c>
      <c r="K993" t="s">
        <v>46</v>
      </c>
      <c r="L993" t="s">
        <v>13</v>
      </c>
      <c r="M993">
        <v>2</v>
      </c>
      <c r="N993" t="str">
        <f t="shared" si="15"/>
        <v>INSERT INTO TNL_RATING.dbo.usps_rate_master VALUES ('USPS', '2/13/2025', '2/13/2026', 12659, 'US', 'USPS Ground Advantage', 1, 16, 'L', 10.32, 'Wedgewood_USPS_2025', 'NonCubic','2');</v>
      </c>
    </row>
    <row r="994" spans="1:14" x14ac:dyDescent="0.3">
      <c r="A994" t="s">
        <v>11</v>
      </c>
      <c r="B994" s="1" t="s">
        <v>43</v>
      </c>
      <c r="C994" s="1" t="s">
        <v>44</v>
      </c>
      <c r="D994">
        <v>12659</v>
      </c>
      <c r="E994" t="s">
        <v>12</v>
      </c>
      <c r="F994" t="s">
        <v>51</v>
      </c>
      <c r="G994">
        <v>1</v>
      </c>
      <c r="H994">
        <v>17</v>
      </c>
      <c r="I994" t="s">
        <v>45</v>
      </c>
      <c r="J994" cm="1">
        <f t="array" ref="J994">IFERROR(
    _xlfn.XLOOKUP(G994, 'Wedgewood Pharm-GA-Yr2-2025'!$E$55:$L$55,
        _xlfn.XLOOKUP('Rate Load'!H994, 'Wedgewood Pharm-GA-Yr2-2025'!$D$72:$D$101,
            'Wedgewood Pharm-GA-Yr2-2025'!$E$72:$L$101, 0, 0),
        0, 0),
    _xlfn.XLOOKUP(G994, 'Wedgewood Pharm-GA-Yr2-2025'!$E$55:$L$55,
        _xlfn.XLOOKUP('Rate Load'!L994, 'Wedgewood Pharm-GA-Yr2-2025'!$D$72:$D$101,
            'Wedgewood Pharm-GA-Yr2-2025'!$E$72:$L$101, 0, 0),
        0, 0)
)</f>
        <v>10.58</v>
      </c>
      <c r="K994" t="s">
        <v>46</v>
      </c>
      <c r="L994" t="s">
        <v>13</v>
      </c>
      <c r="M994">
        <v>2</v>
      </c>
      <c r="N994" t="str">
        <f t="shared" si="15"/>
        <v>INSERT INTO TNL_RATING.dbo.usps_rate_master VALUES ('USPS', '2/13/2025', '2/13/2026', 12659, 'US', 'USPS Ground Advantage', 1, 17, 'L', 10.58, 'Wedgewood_USPS_2025', 'NonCubic','2');</v>
      </c>
    </row>
    <row r="995" spans="1:14" x14ac:dyDescent="0.3">
      <c r="A995" t="s">
        <v>11</v>
      </c>
      <c r="B995" s="1" t="s">
        <v>43</v>
      </c>
      <c r="C995" s="1" t="s">
        <v>44</v>
      </c>
      <c r="D995">
        <v>12659</v>
      </c>
      <c r="E995" t="s">
        <v>12</v>
      </c>
      <c r="F995" t="s">
        <v>51</v>
      </c>
      <c r="G995">
        <v>1</v>
      </c>
      <c r="H995">
        <v>18</v>
      </c>
      <c r="I995" t="s">
        <v>45</v>
      </c>
      <c r="J995" cm="1">
        <f t="array" ref="J995">IFERROR(
    _xlfn.XLOOKUP(G995, 'Wedgewood Pharm-GA-Yr2-2025'!$E$55:$L$55,
        _xlfn.XLOOKUP('Rate Load'!H995, 'Wedgewood Pharm-GA-Yr2-2025'!$D$72:$D$101,
            'Wedgewood Pharm-GA-Yr2-2025'!$E$72:$L$101, 0, 0),
        0, 0),
    _xlfn.XLOOKUP(G995, 'Wedgewood Pharm-GA-Yr2-2025'!$E$55:$L$55,
        _xlfn.XLOOKUP('Rate Load'!L995, 'Wedgewood Pharm-GA-Yr2-2025'!$D$72:$D$101,
            'Wedgewood Pharm-GA-Yr2-2025'!$E$72:$L$101, 0, 0),
        0, 0)
)</f>
        <v>10.72</v>
      </c>
      <c r="K995" t="s">
        <v>46</v>
      </c>
      <c r="L995" t="s">
        <v>13</v>
      </c>
      <c r="M995">
        <v>2</v>
      </c>
      <c r="N995" t="str">
        <f t="shared" si="15"/>
        <v>INSERT INTO TNL_RATING.dbo.usps_rate_master VALUES ('USPS', '2/13/2025', '2/13/2026', 12659, 'US', 'USPS Ground Advantage', 1, 18, 'L', 10.72, 'Wedgewood_USPS_2025', 'NonCubic','2');</v>
      </c>
    </row>
    <row r="996" spans="1:14" x14ac:dyDescent="0.3">
      <c r="A996" t="s">
        <v>11</v>
      </c>
      <c r="B996" s="1" t="s">
        <v>43</v>
      </c>
      <c r="C996" s="1" t="s">
        <v>44</v>
      </c>
      <c r="D996">
        <v>12659</v>
      </c>
      <c r="E996" t="s">
        <v>12</v>
      </c>
      <c r="F996" t="s">
        <v>51</v>
      </c>
      <c r="G996">
        <v>1</v>
      </c>
      <c r="H996">
        <v>19</v>
      </c>
      <c r="I996" t="s">
        <v>45</v>
      </c>
      <c r="J996" cm="1">
        <f t="array" ref="J996">IFERROR(
    _xlfn.XLOOKUP(G996, 'Wedgewood Pharm-GA-Yr2-2025'!$E$55:$L$55,
        _xlfn.XLOOKUP('Rate Load'!H996, 'Wedgewood Pharm-GA-Yr2-2025'!$D$72:$D$101,
            'Wedgewood Pharm-GA-Yr2-2025'!$E$72:$L$101, 0, 0),
        0, 0),
    _xlfn.XLOOKUP(G996, 'Wedgewood Pharm-GA-Yr2-2025'!$E$55:$L$55,
        _xlfn.XLOOKUP('Rate Load'!L996, 'Wedgewood Pharm-GA-Yr2-2025'!$D$72:$D$101,
            'Wedgewood Pharm-GA-Yr2-2025'!$E$72:$L$101, 0, 0),
        0, 0)
)</f>
        <v>11.01</v>
      </c>
      <c r="K996" t="s">
        <v>46</v>
      </c>
      <c r="L996" t="s">
        <v>13</v>
      </c>
      <c r="M996">
        <v>2</v>
      </c>
      <c r="N996" t="str">
        <f t="shared" si="15"/>
        <v>INSERT INTO TNL_RATING.dbo.usps_rate_master VALUES ('USPS', '2/13/2025', '2/13/2026', 12659, 'US', 'USPS Ground Advantage', 1, 19, 'L', 11.01, 'Wedgewood_USPS_2025', 'NonCubic','2');</v>
      </c>
    </row>
    <row r="997" spans="1:14" x14ac:dyDescent="0.3">
      <c r="A997" t="s">
        <v>11</v>
      </c>
      <c r="B997" s="1" t="s">
        <v>43</v>
      </c>
      <c r="C997" s="1" t="s">
        <v>44</v>
      </c>
      <c r="D997">
        <v>12659</v>
      </c>
      <c r="E997" t="s">
        <v>12</v>
      </c>
      <c r="F997" t="s">
        <v>51</v>
      </c>
      <c r="G997">
        <v>1</v>
      </c>
      <c r="H997">
        <v>20</v>
      </c>
      <c r="I997" t="s">
        <v>45</v>
      </c>
      <c r="J997" cm="1">
        <f t="array" ref="J997">IFERROR(
    _xlfn.XLOOKUP(G997, 'Wedgewood Pharm-GA-Yr2-2025'!$E$55:$L$55,
        _xlfn.XLOOKUP('Rate Load'!H997, 'Wedgewood Pharm-GA-Yr2-2025'!$D$72:$D$101,
            'Wedgewood Pharm-GA-Yr2-2025'!$E$72:$L$101, 0, 0),
        0, 0),
    _xlfn.XLOOKUP(G997, 'Wedgewood Pharm-GA-Yr2-2025'!$E$55:$L$55,
        _xlfn.XLOOKUP('Rate Load'!L997, 'Wedgewood Pharm-GA-Yr2-2025'!$D$72:$D$101,
            'Wedgewood Pharm-GA-Yr2-2025'!$E$72:$L$101, 0, 0),
        0, 0)
)</f>
        <v>11.23</v>
      </c>
      <c r="K997" t="s">
        <v>46</v>
      </c>
      <c r="L997" t="s">
        <v>13</v>
      </c>
      <c r="M997">
        <v>2</v>
      </c>
      <c r="N997" t="str">
        <f t="shared" si="15"/>
        <v>INSERT INTO TNL_RATING.dbo.usps_rate_master VALUES ('USPS', '2/13/2025', '2/13/2026', 12659, 'US', 'USPS Ground Advantage', 1, 20, 'L', 11.23, 'Wedgewood_USPS_2025', 'NonCubic','2');</v>
      </c>
    </row>
    <row r="998" spans="1:14" x14ac:dyDescent="0.3">
      <c r="A998" t="s">
        <v>11</v>
      </c>
      <c r="B998" s="1" t="s">
        <v>43</v>
      </c>
      <c r="C998" s="1" t="s">
        <v>44</v>
      </c>
      <c r="D998">
        <v>12659</v>
      </c>
      <c r="E998" t="s">
        <v>12</v>
      </c>
      <c r="F998" t="s">
        <v>51</v>
      </c>
      <c r="G998">
        <v>2</v>
      </c>
      <c r="H998">
        <v>1</v>
      </c>
      <c r="I998" t="s">
        <v>45</v>
      </c>
      <c r="J998" cm="1">
        <f t="array" ref="J998">IFERROR(
    _xlfn.XLOOKUP(G998, 'Wedgewood Pharm-GA-Yr2-2025'!$E$55:$L$55,
        _xlfn.XLOOKUP('Rate Load'!H998, 'Wedgewood Pharm-GA-Yr2-2025'!$D$72:$D$101,
            'Wedgewood Pharm-GA-Yr2-2025'!$E$72:$L$101, 0, 0),
        0, 0),
    _xlfn.XLOOKUP(G998, 'Wedgewood Pharm-GA-Yr2-2025'!$E$55:$L$55,
        _xlfn.XLOOKUP('Rate Load'!L998, 'Wedgewood Pharm-GA-Yr2-2025'!$D$72:$D$101,
            'Wedgewood Pharm-GA-Yr2-2025'!$E$72:$L$101, 0, 0),
        0, 0)
)</f>
        <v>6.02</v>
      </c>
      <c r="K998" t="s">
        <v>46</v>
      </c>
      <c r="L998" t="s">
        <v>13</v>
      </c>
      <c r="M998">
        <v>2</v>
      </c>
      <c r="N998" t="str">
        <f t="shared" si="15"/>
        <v>INSERT INTO TNL_RATING.dbo.usps_rate_master VALUES ('USPS', '2/13/2025', '2/13/2026', 12659, 'US', 'USPS Ground Advantage', 2, 1, 'L', 6.02, 'Wedgewood_USPS_2025', 'NonCubic','2');</v>
      </c>
    </row>
    <row r="999" spans="1:14" x14ac:dyDescent="0.3">
      <c r="A999" t="s">
        <v>11</v>
      </c>
      <c r="B999" s="1" t="s">
        <v>43</v>
      </c>
      <c r="C999" s="1" t="s">
        <v>44</v>
      </c>
      <c r="D999">
        <v>12659</v>
      </c>
      <c r="E999" t="s">
        <v>12</v>
      </c>
      <c r="F999" t="s">
        <v>51</v>
      </c>
      <c r="G999">
        <v>2</v>
      </c>
      <c r="H999">
        <v>2</v>
      </c>
      <c r="I999" t="s">
        <v>45</v>
      </c>
      <c r="J999" cm="1">
        <f t="array" ref="J999">IFERROR(
    _xlfn.XLOOKUP(G999, 'Wedgewood Pharm-GA-Yr2-2025'!$E$55:$L$55,
        _xlfn.XLOOKUP('Rate Load'!H999, 'Wedgewood Pharm-GA-Yr2-2025'!$D$72:$D$101,
            'Wedgewood Pharm-GA-Yr2-2025'!$E$72:$L$101, 0, 0),
        0, 0),
    _xlfn.XLOOKUP(G999, 'Wedgewood Pharm-GA-Yr2-2025'!$E$55:$L$55,
        _xlfn.XLOOKUP('Rate Load'!L999, 'Wedgewood Pharm-GA-Yr2-2025'!$D$72:$D$101,
            'Wedgewood Pharm-GA-Yr2-2025'!$E$72:$L$101, 0, 0),
        0, 0)
)</f>
        <v>6.18</v>
      </c>
      <c r="K999" t="s">
        <v>46</v>
      </c>
      <c r="L999" t="s">
        <v>13</v>
      </c>
      <c r="M999">
        <v>2</v>
      </c>
      <c r="N999" t="str">
        <f t="shared" si="15"/>
        <v>INSERT INTO TNL_RATING.dbo.usps_rate_master VALUES ('USPS', '2/13/2025', '2/13/2026', 12659, 'US', 'USPS Ground Advantage', 2, 2, 'L', 6.18, 'Wedgewood_USPS_2025', 'NonCubic','2');</v>
      </c>
    </row>
    <row r="1000" spans="1:14" x14ac:dyDescent="0.3">
      <c r="A1000" t="s">
        <v>11</v>
      </c>
      <c r="B1000" s="1" t="s">
        <v>43</v>
      </c>
      <c r="C1000" s="1" t="s">
        <v>44</v>
      </c>
      <c r="D1000">
        <v>12659</v>
      </c>
      <c r="E1000" t="s">
        <v>12</v>
      </c>
      <c r="F1000" t="s">
        <v>51</v>
      </c>
      <c r="G1000">
        <v>2</v>
      </c>
      <c r="H1000">
        <v>3</v>
      </c>
      <c r="I1000" t="s">
        <v>45</v>
      </c>
      <c r="J1000" cm="1">
        <f t="array" ref="J1000">IFERROR(
    _xlfn.XLOOKUP(G1000, 'Wedgewood Pharm-GA-Yr2-2025'!$E$55:$L$55,
        _xlfn.XLOOKUP('Rate Load'!H1000, 'Wedgewood Pharm-GA-Yr2-2025'!$D$72:$D$101,
            'Wedgewood Pharm-GA-Yr2-2025'!$E$72:$L$101, 0, 0),
        0, 0),
    _xlfn.XLOOKUP(G1000, 'Wedgewood Pharm-GA-Yr2-2025'!$E$55:$L$55,
        _xlfn.XLOOKUP('Rate Load'!L1000, 'Wedgewood Pharm-GA-Yr2-2025'!$D$72:$D$101,
            'Wedgewood Pharm-GA-Yr2-2025'!$E$72:$L$101, 0, 0),
        0, 0)
)</f>
        <v>6.6</v>
      </c>
      <c r="K1000" t="s">
        <v>46</v>
      </c>
      <c r="L1000" t="s">
        <v>13</v>
      </c>
      <c r="M1000">
        <v>2</v>
      </c>
      <c r="N1000" t="str">
        <f t="shared" si="15"/>
        <v>INSERT INTO TNL_RATING.dbo.usps_rate_master VALUES ('USPS', '2/13/2025', '2/13/2026', 12659, 'US', 'USPS Ground Advantage', 2, 3, 'L', 6.6, 'Wedgewood_USPS_2025', 'NonCubic','2');</v>
      </c>
    </row>
    <row r="1001" spans="1:14" x14ac:dyDescent="0.3">
      <c r="A1001" t="s">
        <v>11</v>
      </c>
      <c r="B1001" s="1" t="s">
        <v>43</v>
      </c>
      <c r="C1001" s="1" t="s">
        <v>44</v>
      </c>
      <c r="D1001">
        <v>12659</v>
      </c>
      <c r="E1001" t="s">
        <v>12</v>
      </c>
      <c r="F1001" t="s">
        <v>51</v>
      </c>
      <c r="G1001">
        <v>2</v>
      </c>
      <c r="H1001">
        <v>4</v>
      </c>
      <c r="I1001" t="s">
        <v>45</v>
      </c>
      <c r="J1001" cm="1">
        <f t="array" ref="J1001">IFERROR(
    _xlfn.XLOOKUP(G1001, 'Wedgewood Pharm-GA-Yr2-2025'!$E$55:$L$55,
        _xlfn.XLOOKUP('Rate Load'!H1001, 'Wedgewood Pharm-GA-Yr2-2025'!$D$72:$D$101,
            'Wedgewood Pharm-GA-Yr2-2025'!$E$72:$L$101, 0, 0),
        0, 0),
    _xlfn.XLOOKUP(G1001, 'Wedgewood Pharm-GA-Yr2-2025'!$E$55:$L$55,
        _xlfn.XLOOKUP('Rate Load'!L1001, 'Wedgewood Pharm-GA-Yr2-2025'!$D$72:$D$101,
            'Wedgewood Pharm-GA-Yr2-2025'!$E$72:$L$101, 0, 0),
        0, 0)
)</f>
        <v>6.8</v>
      </c>
      <c r="K1001" t="s">
        <v>46</v>
      </c>
      <c r="L1001" t="s">
        <v>13</v>
      </c>
      <c r="M1001">
        <v>2</v>
      </c>
      <c r="N1001" t="str">
        <f t="shared" si="15"/>
        <v>INSERT INTO TNL_RATING.dbo.usps_rate_master VALUES ('USPS', '2/13/2025', '2/13/2026', 12659, 'US', 'USPS Ground Advantage', 2, 4, 'L', 6.8, 'Wedgewood_USPS_2025', 'NonCubic','2');</v>
      </c>
    </row>
    <row r="1002" spans="1:14" x14ac:dyDescent="0.3">
      <c r="A1002" t="s">
        <v>11</v>
      </c>
      <c r="B1002" s="1" t="s">
        <v>43</v>
      </c>
      <c r="C1002" s="1" t="s">
        <v>44</v>
      </c>
      <c r="D1002">
        <v>12659</v>
      </c>
      <c r="E1002" t="s">
        <v>12</v>
      </c>
      <c r="F1002" t="s">
        <v>51</v>
      </c>
      <c r="G1002">
        <v>2</v>
      </c>
      <c r="H1002">
        <v>5</v>
      </c>
      <c r="I1002" t="s">
        <v>45</v>
      </c>
      <c r="J1002" cm="1">
        <f t="array" ref="J1002">IFERROR(
    _xlfn.XLOOKUP(G1002, 'Wedgewood Pharm-GA-Yr2-2025'!$E$55:$L$55,
        _xlfn.XLOOKUP('Rate Load'!H1002, 'Wedgewood Pharm-GA-Yr2-2025'!$D$72:$D$101,
            'Wedgewood Pharm-GA-Yr2-2025'!$E$72:$L$101, 0, 0),
        0, 0),
    _xlfn.XLOOKUP(G1002, 'Wedgewood Pharm-GA-Yr2-2025'!$E$55:$L$55,
        _xlfn.XLOOKUP('Rate Load'!L1002, 'Wedgewood Pharm-GA-Yr2-2025'!$D$72:$D$101,
            'Wedgewood Pharm-GA-Yr2-2025'!$E$72:$L$101, 0, 0),
        0, 0)
)</f>
        <v>6.95</v>
      </c>
      <c r="K1002" t="s">
        <v>46</v>
      </c>
      <c r="L1002" t="s">
        <v>13</v>
      </c>
      <c r="M1002">
        <v>2</v>
      </c>
      <c r="N1002" t="str">
        <f t="shared" si="15"/>
        <v>INSERT INTO TNL_RATING.dbo.usps_rate_master VALUES ('USPS', '2/13/2025', '2/13/2026', 12659, 'US', 'USPS Ground Advantage', 2, 5, 'L', 6.95, 'Wedgewood_USPS_2025', 'NonCubic','2');</v>
      </c>
    </row>
    <row r="1003" spans="1:14" x14ac:dyDescent="0.3">
      <c r="A1003" t="s">
        <v>11</v>
      </c>
      <c r="B1003" s="1" t="s">
        <v>43</v>
      </c>
      <c r="C1003" s="1" t="s">
        <v>44</v>
      </c>
      <c r="D1003">
        <v>12659</v>
      </c>
      <c r="E1003" t="s">
        <v>12</v>
      </c>
      <c r="F1003" t="s">
        <v>51</v>
      </c>
      <c r="G1003">
        <v>2</v>
      </c>
      <c r="H1003">
        <v>6</v>
      </c>
      <c r="I1003" t="s">
        <v>45</v>
      </c>
      <c r="J1003" cm="1">
        <f t="array" ref="J1003">IFERROR(
    _xlfn.XLOOKUP(G1003, 'Wedgewood Pharm-GA-Yr2-2025'!$E$55:$L$55,
        _xlfn.XLOOKUP('Rate Load'!H1003, 'Wedgewood Pharm-GA-Yr2-2025'!$D$72:$D$101,
            'Wedgewood Pharm-GA-Yr2-2025'!$E$72:$L$101, 0, 0),
        0, 0),
    _xlfn.XLOOKUP(G1003, 'Wedgewood Pharm-GA-Yr2-2025'!$E$55:$L$55,
        _xlfn.XLOOKUP('Rate Load'!L1003, 'Wedgewood Pharm-GA-Yr2-2025'!$D$72:$D$101,
            'Wedgewood Pharm-GA-Yr2-2025'!$E$72:$L$101, 0, 0),
        0, 0)
)</f>
        <v>7.05</v>
      </c>
      <c r="K1003" t="s">
        <v>46</v>
      </c>
      <c r="L1003" t="s">
        <v>13</v>
      </c>
      <c r="M1003">
        <v>2</v>
      </c>
      <c r="N1003" t="str">
        <f t="shared" si="15"/>
        <v>INSERT INTO TNL_RATING.dbo.usps_rate_master VALUES ('USPS', '2/13/2025', '2/13/2026', 12659, 'US', 'USPS Ground Advantage', 2, 6, 'L', 7.05, 'Wedgewood_USPS_2025', 'NonCubic','2');</v>
      </c>
    </row>
    <row r="1004" spans="1:14" x14ac:dyDescent="0.3">
      <c r="A1004" t="s">
        <v>11</v>
      </c>
      <c r="B1004" s="1" t="s">
        <v>43</v>
      </c>
      <c r="C1004" s="1" t="s">
        <v>44</v>
      </c>
      <c r="D1004">
        <v>12659</v>
      </c>
      <c r="E1004" t="s">
        <v>12</v>
      </c>
      <c r="F1004" t="s">
        <v>51</v>
      </c>
      <c r="G1004">
        <v>2</v>
      </c>
      <c r="H1004">
        <v>7</v>
      </c>
      <c r="I1004" t="s">
        <v>45</v>
      </c>
      <c r="J1004" cm="1">
        <f t="array" ref="J1004">IFERROR(
    _xlfn.XLOOKUP(G1004, 'Wedgewood Pharm-GA-Yr2-2025'!$E$55:$L$55,
        _xlfn.XLOOKUP('Rate Load'!H1004, 'Wedgewood Pharm-GA-Yr2-2025'!$D$72:$D$101,
            'Wedgewood Pharm-GA-Yr2-2025'!$E$72:$L$101, 0, 0),
        0, 0),
    _xlfn.XLOOKUP(G1004, 'Wedgewood Pharm-GA-Yr2-2025'!$E$55:$L$55,
        _xlfn.XLOOKUP('Rate Load'!L1004, 'Wedgewood Pharm-GA-Yr2-2025'!$D$72:$D$101,
            'Wedgewood Pharm-GA-Yr2-2025'!$E$72:$L$101, 0, 0),
        0, 0)
)</f>
        <v>7.37</v>
      </c>
      <c r="K1004" t="s">
        <v>46</v>
      </c>
      <c r="L1004" t="s">
        <v>13</v>
      </c>
      <c r="M1004">
        <v>2</v>
      </c>
      <c r="N1004" t="str">
        <f t="shared" si="15"/>
        <v>INSERT INTO TNL_RATING.dbo.usps_rate_master VALUES ('USPS', '2/13/2025', '2/13/2026', 12659, 'US', 'USPS Ground Advantage', 2, 7, 'L', 7.37, 'Wedgewood_USPS_2025', 'NonCubic','2');</v>
      </c>
    </row>
    <row r="1005" spans="1:14" x14ac:dyDescent="0.3">
      <c r="A1005" t="s">
        <v>11</v>
      </c>
      <c r="B1005" s="1" t="s">
        <v>43</v>
      </c>
      <c r="C1005" s="1" t="s">
        <v>44</v>
      </c>
      <c r="D1005">
        <v>12659</v>
      </c>
      <c r="E1005" t="s">
        <v>12</v>
      </c>
      <c r="F1005" t="s">
        <v>51</v>
      </c>
      <c r="G1005">
        <v>2</v>
      </c>
      <c r="H1005">
        <v>8</v>
      </c>
      <c r="I1005" t="s">
        <v>45</v>
      </c>
      <c r="J1005" cm="1">
        <f t="array" ref="J1005">IFERROR(
    _xlfn.XLOOKUP(G1005, 'Wedgewood Pharm-GA-Yr2-2025'!$E$55:$L$55,
        _xlfn.XLOOKUP('Rate Load'!H1005, 'Wedgewood Pharm-GA-Yr2-2025'!$D$72:$D$101,
            'Wedgewood Pharm-GA-Yr2-2025'!$E$72:$L$101, 0, 0),
        0, 0),
    _xlfn.XLOOKUP(G1005, 'Wedgewood Pharm-GA-Yr2-2025'!$E$55:$L$55,
        _xlfn.XLOOKUP('Rate Load'!L1005, 'Wedgewood Pharm-GA-Yr2-2025'!$D$72:$D$101,
            'Wedgewood Pharm-GA-Yr2-2025'!$E$72:$L$101, 0, 0),
        0, 0)
)</f>
        <v>7.51</v>
      </c>
      <c r="K1005" t="s">
        <v>46</v>
      </c>
      <c r="L1005" t="s">
        <v>13</v>
      </c>
      <c r="M1005">
        <v>2</v>
      </c>
      <c r="N1005" t="str">
        <f t="shared" si="15"/>
        <v>INSERT INTO TNL_RATING.dbo.usps_rate_master VALUES ('USPS', '2/13/2025', '2/13/2026', 12659, 'US', 'USPS Ground Advantage', 2, 8, 'L', 7.51, 'Wedgewood_USPS_2025', 'NonCubic','2');</v>
      </c>
    </row>
    <row r="1006" spans="1:14" x14ac:dyDescent="0.3">
      <c r="A1006" t="s">
        <v>11</v>
      </c>
      <c r="B1006" s="1" t="s">
        <v>43</v>
      </c>
      <c r="C1006" s="1" t="s">
        <v>44</v>
      </c>
      <c r="D1006">
        <v>12659</v>
      </c>
      <c r="E1006" t="s">
        <v>12</v>
      </c>
      <c r="F1006" t="s">
        <v>51</v>
      </c>
      <c r="G1006">
        <v>2</v>
      </c>
      <c r="H1006">
        <v>9</v>
      </c>
      <c r="I1006" t="s">
        <v>45</v>
      </c>
      <c r="J1006" cm="1">
        <f t="array" ref="J1006">IFERROR(
    _xlfn.XLOOKUP(G1006, 'Wedgewood Pharm-GA-Yr2-2025'!$E$55:$L$55,
        _xlfn.XLOOKUP('Rate Load'!H1006, 'Wedgewood Pharm-GA-Yr2-2025'!$D$72:$D$101,
            'Wedgewood Pharm-GA-Yr2-2025'!$E$72:$L$101, 0, 0),
        0, 0),
    _xlfn.XLOOKUP(G1006, 'Wedgewood Pharm-GA-Yr2-2025'!$E$55:$L$55,
        _xlfn.XLOOKUP('Rate Load'!L1006, 'Wedgewood Pharm-GA-Yr2-2025'!$D$72:$D$101,
            'Wedgewood Pharm-GA-Yr2-2025'!$E$72:$L$101, 0, 0),
        0, 0)
)</f>
        <v>7.97</v>
      </c>
      <c r="K1006" t="s">
        <v>46</v>
      </c>
      <c r="L1006" t="s">
        <v>13</v>
      </c>
      <c r="M1006">
        <v>2</v>
      </c>
      <c r="N1006" t="str">
        <f t="shared" si="15"/>
        <v>INSERT INTO TNL_RATING.dbo.usps_rate_master VALUES ('USPS', '2/13/2025', '2/13/2026', 12659, 'US', 'USPS Ground Advantage', 2, 9, 'L', 7.97, 'Wedgewood_USPS_2025', 'NonCubic','2');</v>
      </c>
    </row>
    <row r="1007" spans="1:14" x14ac:dyDescent="0.3">
      <c r="A1007" t="s">
        <v>11</v>
      </c>
      <c r="B1007" s="1" t="s">
        <v>43</v>
      </c>
      <c r="C1007" s="1" t="s">
        <v>44</v>
      </c>
      <c r="D1007">
        <v>12659</v>
      </c>
      <c r="E1007" t="s">
        <v>12</v>
      </c>
      <c r="F1007" t="s">
        <v>51</v>
      </c>
      <c r="G1007">
        <v>2</v>
      </c>
      <c r="H1007">
        <v>10</v>
      </c>
      <c r="I1007" t="s">
        <v>45</v>
      </c>
      <c r="J1007" cm="1">
        <f t="array" ref="J1007">IFERROR(
    _xlfn.XLOOKUP(G1007, 'Wedgewood Pharm-GA-Yr2-2025'!$E$55:$L$55,
        _xlfn.XLOOKUP('Rate Load'!H1007, 'Wedgewood Pharm-GA-Yr2-2025'!$D$72:$D$101,
            'Wedgewood Pharm-GA-Yr2-2025'!$E$72:$L$101, 0, 0),
        0, 0),
    _xlfn.XLOOKUP(G1007, 'Wedgewood Pharm-GA-Yr2-2025'!$E$55:$L$55,
        _xlfn.XLOOKUP('Rate Load'!L1007, 'Wedgewood Pharm-GA-Yr2-2025'!$D$72:$D$101,
            'Wedgewood Pharm-GA-Yr2-2025'!$E$72:$L$101, 0, 0),
        0, 0)
)</f>
        <v>8.25</v>
      </c>
      <c r="K1007" t="s">
        <v>46</v>
      </c>
      <c r="L1007" t="s">
        <v>13</v>
      </c>
      <c r="M1007">
        <v>2</v>
      </c>
      <c r="N1007" t="str">
        <f t="shared" si="15"/>
        <v>INSERT INTO TNL_RATING.dbo.usps_rate_master VALUES ('USPS', '2/13/2025', '2/13/2026', 12659, 'US', 'USPS Ground Advantage', 2, 10, 'L', 8.25, 'Wedgewood_USPS_2025', 'NonCubic','2');</v>
      </c>
    </row>
    <row r="1008" spans="1:14" x14ac:dyDescent="0.3">
      <c r="A1008" t="s">
        <v>11</v>
      </c>
      <c r="B1008" s="1" t="s">
        <v>43</v>
      </c>
      <c r="C1008" s="1" t="s">
        <v>44</v>
      </c>
      <c r="D1008">
        <v>12659</v>
      </c>
      <c r="E1008" t="s">
        <v>12</v>
      </c>
      <c r="F1008" t="s">
        <v>51</v>
      </c>
      <c r="G1008">
        <v>2</v>
      </c>
      <c r="H1008">
        <v>11</v>
      </c>
      <c r="I1008" t="s">
        <v>45</v>
      </c>
      <c r="J1008" cm="1">
        <f t="array" ref="J1008">IFERROR(
    _xlfn.XLOOKUP(G1008, 'Wedgewood Pharm-GA-Yr2-2025'!$E$55:$L$55,
        _xlfn.XLOOKUP('Rate Load'!H1008, 'Wedgewood Pharm-GA-Yr2-2025'!$D$72:$D$101,
            'Wedgewood Pharm-GA-Yr2-2025'!$E$72:$L$101, 0, 0),
        0, 0),
    _xlfn.XLOOKUP(G1008, 'Wedgewood Pharm-GA-Yr2-2025'!$E$55:$L$55,
        _xlfn.XLOOKUP('Rate Load'!L1008, 'Wedgewood Pharm-GA-Yr2-2025'!$D$72:$D$101,
            'Wedgewood Pharm-GA-Yr2-2025'!$E$72:$L$101, 0, 0),
        0, 0)
)</f>
        <v>9.25</v>
      </c>
      <c r="K1008" t="s">
        <v>46</v>
      </c>
      <c r="L1008" t="s">
        <v>13</v>
      </c>
      <c r="M1008">
        <v>2</v>
      </c>
      <c r="N1008" t="str">
        <f t="shared" si="15"/>
        <v>INSERT INTO TNL_RATING.dbo.usps_rate_master VALUES ('USPS', '2/13/2025', '2/13/2026', 12659, 'US', 'USPS Ground Advantage', 2, 11, 'L', 9.25, 'Wedgewood_USPS_2025', 'NonCubic','2');</v>
      </c>
    </row>
    <row r="1009" spans="1:14" x14ac:dyDescent="0.3">
      <c r="A1009" t="s">
        <v>11</v>
      </c>
      <c r="B1009" s="1" t="s">
        <v>43</v>
      </c>
      <c r="C1009" s="1" t="s">
        <v>44</v>
      </c>
      <c r="D1009">
        <v>12659</v>
      </c>
      <c r="E1009" t="s">
        <v>12</v>
      </c>
      <c r="F1009" t="s">
        <v>51</v>
      </c>
      <c r="G1009">
        <v>2</v>
      </c>
      <c r="H1009">
        <v>12</v>
      </c>
      <c r="I1009" t="s">
        <v>45</v>
      </c>
      <c r="J1009" cm="1">
        <f t="array" ref="J1009">IFERROR(
    _xlfn.XLOOKUP(G1009, 'Wedgewood Pharm-GA-Yr2-2025'!$E$55:$L$55,
        _xlfn.XLOOKUP('Rate Load'!H1009, 'Wedgewood Pharm-GA-Yr2-2025'!$D$72:$D$101,
            'Wedgewood Pharm-GA-Yr2-2025'!$E$72:$L$101, 0, 0),
        0, 0),
    _xlfn.XLOOKUP(G1009, 'Wedgewood Pharm-GA-Yr2-2025'!$E$55:$L$55,
        _xlfn.XLOOKUP('Rate Load'!L1009, 'Wedgewood Pharm-GA-Yr2-2025'!$D$72:$D$101,
            'Wedgewood Pharm-GA-Yr2-2025'!$E$72:$L$101, 0, 0),
        0, 0)
)</f>
        <v>9.57</v>
      </c>
      <c r="K1009" t="s">
        <v>46</v>
      </c>
      <c r="L1009" t="s">
        <v>13</v>
      </c>
      <c r="M1009">
        <v>2</v>
      </c>
      <c r="N1009" t="str">
        <f t="shared" si="15"/>
        <v>INSERT INTO TNL_RATING.dbo.usps_rate_master VALUES ('USPS', '2/13/2025', '2/13/2026', 12659, 'US', 'USPS Ground Advantage', 2, 12, 'L', 9.57, 'Wedgewood_USPS_2025', 'NonCubic','2');</v>
      </c>
    </row>
    <row r="1010" spans="1:14" x14ac:dyDescent="0.3">
      <c r="A1010" t="s">
        <v>11</v>
      </c>
      <c r="B1010" s="1" t="s">
        <v>43</v>
      </c>
      <c r="C1010" s="1" t="s">
        <v>44</v>
      </c>
      <c r="D1010">
        <v>12659</v>
      </c>
      <c r="E1010" t="s">
        <v>12</v>
      </c>
      <c r="F1010" t="s">
        <v>51</v>
      </c>
      <c r="G1010">
        <v>2</v>
      </c>
      <c r="H1010">
        <v>13</v>
      </c>
      <c r="I1010" t="s">
        <v>45</v>
      </c>
      <c r="J1010" cm="1">
        <f t="array" ref="J1010">IFERROR(
    _xlfn.XLOOKUP(G1010, 'Wedgewood Pharm-GA-Yr2-2025'!$E$55:$L$55,
        _xlfn.XLOOKUP('Rate Load'!H1010, 'Wedgewood Pharm-GA-Yr2-2025'!$D$72:$D$101,
            'Wedgewood Pharm-GA-Yr2-2025'!$E$72:$L$101, 0, 0),
        0, 0),
    _xlfn.XLOOKUP(G1010, 'Wedgewood Pharm-GA-Yr2-2025'!$E$55:$L$55,
        _xlfn.XLOOKUP('Rate Load'!L1010, 'Wedgewood Pharm-GA-Yr2-2025'!$D$72:$D$101,
            'Wedgewood Pharm-GA-Yr2-2025'!$E$72:$L$101, 0, 0),
        0, 0)
)</f>
        <v>9.83</v>
      </c>
      <c r="K1010" t="s">
        <v>46</v>
      </c>
      <c r="L1010" t="s">
        <v>13</v>
      </c>
      <c r="M1010">
        <v>2</v>
      </c>
      <c r="N1010" t="str">
        <f t="shared" si="15"/>
        <v>INSERT INTO TNL_RATING.dbo.usps_rate_master VALUES ('USPS', '2/13/2025', '2/13/2026', 12659, 'US', 'USPS Ground Advantage', 2, 13, 'L', 9.83, 'Wedgewood_USPS_2025', 'NonCubic','2');</v>
      </c>
    </row>
    <row r="1011" spans="1:14" x14ac:dyDescent="0.3">
      <c r="A1011" t="s">
        <v>11</v>
      </c>
      <c r="B1011" s="1" t="s">
        <v>43</v>
      </c>
      <c r="C1011" s="1" t="s">
        <v>44</v>
      </c>
      <c r="D1011">
        <v>12659</v>
      </c>
      <c r="E1011" t="s">
        <v>12</v>
      </c>
      <c r="F1011" t="s">
        <v>51</v>
      </c>
      <c r="G1011">
        <v>2</v>
      </c>
      <c r="H1011">
        <v>14</v>
      </c>
      <c r="I1011" t="s">
        <v>45</v>
      </c>
      <c r="J1011" cm="1">
        <f t="array" ref="J1011">IFERROR(
    _xlfn.XLOOKUP(G1011, 'Wedgewood Pharm-GA-Yr2-2025'!$E$55:$L$55,
        _xlfn.XLOOKUP('Rate Load'!H1011, 'Wedgewood Pharm-GA-Yr2-2025'!$D$72:$D$101,
            'Wedgewood Pharm-GA-Yr2-2025'!$E$72:$L$101, 0, 0),
        0, 0),
    _xlfn.XLOOKUP(G1011, 'Wedgewood Pharm-GA-Yr2-2025'!$E$55:$L$55,
        _xlfn.XLOOKUP('Rate Load'!L1011, 'Wedgewood Pharm-GA-Yr2-2025'!$D$72:$D$101,
            'Wedgewood Pharm-GA-Yr2-2025'!$E$72:$L$101, 0, 0),
        0, 0)
)</f>
        <v>10.11</v>
      </c>
      <c r="K1011" t="s">
        <v>46</v>
      </c>
      <c r="L1011" t="s">
        <v>13</v>
      </c>
      <c r="M1011">
        <v>2</v>
      </c>
      <c r="N1011" t="str">
        <f t="shared" si="15"/>
        <v>INSERT INTO TNL_RATING.dbo.usps_rate_master VALUES ('USPS', '2/13/2025', '2/13/2026', 12659, 'US', 'USPS Ground Advantage', 2, 14, 'L', 10.11, 'Wedgewood_USPS_2025', 'NonCubic','2');</v>
      </c>
    </row>
    <row r="1012" spans="1:14" x14ac:dyDescent="0.3">
      <c r="A1012" t="s">
        <v>11</v>
      </c>
      <c r="B1012" s="1" t="s">
        <v>43</v>
      </c>
      <c r="C1012" s="1" t="s">
        <v>44</v>
      </c>
      <c r="D1012">
        <v>12659</v>
      </c>
      <c r="E1012" t="s">
        <v>12</v>
      </c>
      <c r="F1012" t="s">
        <v>51</v>
      </c>
      <c r="G1012">
        <v>2</v>
      </c>
      <c r="H1012">
        <v>15</v>
      </c>
      <c r="I1012" t="s">
        <v>45</v>
      </c>
      <c r="J1012" cm="1">
        <f t="array" ref="J1012">IFERROR(
    _xlfn.XLOOKUP(G1012, 'Wedgewood Pharm-GA-Yr2-2025'!$E$55:$L$55,
        _xlfn.XLOOKUP('Rate Load'!H1012, 'Wedgewood Pharm-GA-Yr2-2025'!$D$72:$D$101,
            'Wedgewood Pharm-GA-Yr2-2025'!$E$72:$L$101, 0, 0),
        0, 0),
    _xlfn.XLOOKUP(G1012, 'Wedgewood Pharm-GA-Yr2-2025'!$E$55:$L$55,
        _xlfn.XLOOKUP('Rate Load'!L1012, 'Wedgewood Pharm-GA-Yr2-2025'!$D$72:$D$101,
            'Wedgewood Pharm-GA-Yr2-2025'!$E$72:$L$101, 0, 0),
        0, 0)
)</f>
        <v>10.25</v>
      </c>
      <c r="K1012" t="s">
        <v>46</v>
      </c>
      <c r="L1012" t="s">
        <v>13</v>
      </c>
      <c r="M1012">
        <v>2</v>
      </c>
      <c r="N1012" t="str">
        <f t="shared" si="15"/>
        <v>INSERT INTO TNL_RATING.dbo.usps_rate_master VALUES ('USPS', '2/13/2025', '2/13/2026', 12659, 'US', 'USPS Ground Advantage', 2, 15, 'L', 10.25, 'Wedgewood_USPS_2025', 'NonCubic','2');</v>
      </c>
    </row>
    <row r="1013" spans="1:14" x14ac:dyDescent="0.3">
      <c r="A1013" t="s">
        <v>11</v>
      </c>
      <c r="B1013" s="1" t="s">
        <v>43</v>
      </c>
      <c r="C1013" s="1" t="s">
        <v>44</v>
      </c>
      <c r="D1013">
        <v>12659</v>
      </c>
      <c r="E1013" t="s">
        <v>12</v>
      </c>
      <c r="F1013" t="s">
        <v>51</v>
      </c>
      <c r="G1013">
        <v>2</v>
      </c>
      <c r="H1013">
        <v>16</v>
      </c>
      <c r="I1013" t="s">
        <v>45</v>
      </c>
      <c r="J1013" cm="1">
        <f t="array" ref="J1013">IFERROR(
    _xlfn.XLOOKUP(G1013, 'Wedgewood Pharm-GA-Yr2-2025'!$E$55:$L$55,
        _xlfn.XLOOKUP('Rate Load'!H1013, 'Wedgewood Pharm-GA-Yr2-2025'!$D$72:$D$101,
            'Wedgewood Pharm-GA-Yr2-2025'!$E$72:$L$101, 0, 0),
        0, 0),
    _xlfn.XLOOKUP(G1013, 'Wedgewood Pharm-GA-Yr2-2025'!$E$55:$L$55,
        _xlfn.XLOOKUP('Rate Load'!L1013, 'Wedgewood Pharm-GA-Yr2-2025'!$D$72:$D$101,
            'Wedgewood Pharm-GA-Yr2-2025'!$E$72:$L$101, 0, 0),
        0, 0)
)</f>
        <v>10.49</v>
      </c>
      <c r="K1013" t="s">
        <v>46</v>
      </c>
      <c r="L1013" t="s">
        <v>13</v>
      </c>
      <c r="M1013">
        <v>2</v>
      </c>
      <c r="N1013" t="str">
        <f t="shared" si="15"/>
        <v>INSERT INTO TNL_RATING.dbo.usps_rate_master VALUES ('USPS', '2/13/2025', '2/13/2026', 12659, 'US', 'USPS Ground Advantage', 2, 16, 'L', 10.49, 'Wedgewood_USPS_2025', 'NonCubic','2');</v>
      </c>
    </row>
    <row r="1014" spans="1:14" x14ac:dyDescent="0.3">
      <c r="A1014" t="s">
        <v>11</v>
      </c>
      <c r="B1014" s="1" t="s">
        <v>43</v>
      </c>
      <c r="C1014" s="1" t="s">
        <v>44</v>
      </c>
      <c r="D1014">
        <v>12659</v>
      </c>
      <c r="E1014" t="s">
        <v>12</v>
      </c>
      <c r="F1014" t="s">
        <v>51</v>
      </c>
      <c r="G1014">
        <v>2</v>
      </c>
      <c r="H1014">
        <v>17</v>
      </c>
      <c r="I1014" t="s">
        <v>45</v>
      </c>
      <c r="J1014" cm="1">
        <f t="array" ref="J1014">IFERROR(
    _xlfn.XLOOKUP(G1014, 'Wedgewood Pharm-GA-Yr2-2025'!$E$55:$L$55,
        _xlfn.XLOOKUP('Rate Load'!H1014, 'Wedgewood Pharm-GA-Yr2-2025'!$D$72:$D$101,
            'Wedgewood Pharm-GA-Yr2-2025'!$E$72:$L$101, 0, 0),
        0, 0),
    _xlfn.XLOOKUP(G1014, 'Wedgewood Pharm-GA-Yr2-2025'!$E$55:$L$55,
        _xlfn.XLOOKUP('Rate Load'!L1014, 'Wedgewood Pharm-GA-Yr2-2025'!$D$72:$D$101,
            'Wedgewood Pharm-GA-Yr2-2025'!$E$72:$L$101, 0, 0),
        0, 0)
)</f>
        <v>11.15</v>
      </c>
      <c r="K1014" t="s">
        <v>46</v>
      </c>
      <c r="L1014" t="s">
        <v>13</v>
      </c>
      <c r="M1014">
        <v>2</v>
      </c>
      <c r="N1014" t="str">
        <f t="shared" si="15"/>
        <v>INSERT INTO TNL_RATING.dbo.usps_rate_master VALUES ('USPS', '2/13/2025', '2/13/2026', 12659, 'US', 'USPS Ground Advantage', 2, 17, 'L', 11.15, 'Wedgewood_USPS_2025', 'NonCubic','2');</v>
      </c>
    </row>
    <row r="1015" spans="1:14" x14ac:dyDescent="0.3">
      <c r="A1015" t="s">
        <v>11</v>
      </c>
      <c r="B1015" s="1" t="s">
        <v>43</v>
      </c>
      <c r="C1015" s="1" t="s">
        <v>44</v>
      </c>
      <c r="D1015">
        <v>12659</v>
      </c>
      <c r="E1015" t="s">
        <v>12</v>
      </c>
      <c r="F1015" t="s">
        <v>51</v>
      </c>
      <c r="G1015">
        <v>2</v>
      </c>
      <c r="H1015">
        <v>18</v>
      </c>
      <c r="I1015" t="s">
        <v>45</v>
      </c>
      <c r="J1015" cm="1">
        <f t="array" ref="J1015">IFERROR(
    _xlfn.XLOOKUP(G1015, 'Wedgewood Pharm-GA-Yr2-2025'!$E$55:$L$55,
        _xlfn.XLOOKUP('Rate Load'!H1015, 'Wedgewood Pharm-GA-Yr2-2025'!$D$72:$D$101,
            'Wedgewood Pharm-GA-Yr2-2025'!$E$72:$L$101, 0, 0),
        0, 0),
    _xlfn.XLOOKUP(G1015, 'Wedgewood Pharm-GA-Yr2-2025'!$E$55:$L$55,
        _xlfn.XLOOKUP('Rate Load'!L1015, 'Wedgewood Pharm-GA-Yr2-2025'!$D$72:$D$101,
            'Wedgewood Pharm-GA-Yr2-2025'!$E$72:$L$101, 0, 0),
        0, 0)
)</f>
        <v>11.299999999999999</v>
      </c>
      <c r="K1015" t="s">
        <v>46</v>
      </c>
      <c r="L1015" t="s">
        <v>13</v>
      </c>
      <c r="M1015">
        <v>2</v>
      </c>
      <c r="N1015" t="str">
        <f t="shared" si="15"/>
        <v>INSERT INTO TNL_RATING.dbo.usps_rate_master VALUES ('USPS', '2/13/2025', '2/13/2026', 12659, 'US', 'USPS Ground Advantage', 2, 18, 'L', 11.3, 'Wedgewood_USPS_2025', 'NonCubic','2');</v>
      </c>
    </row>
    <row r="1016" spans="1:14" x14ac:dyDescent="0.3">
      <c r="A1016" t="s">
        <v>11</v>
      </c>
      <c r="B1016" s="1" t="s">
        <v>43</v>
      </c>
      <c r="C1016" s="1" t="s">
        <v>44</v>
      </c>
      <c r="D1016">
        <v>12659</v>
      </c>
      <c r="E1016" t="s">
        <v>12</v>
      </c>
      <c r="F1016" t="s">
        <v>51</v>
      </c>
      <c r="G1016">
        <v>2</v>
      </c>
      <c r="H1016">
        <v>19</v>
      </c>
      <c r="I1016" t="s">
        <v>45</v>
      </c>
      <c r="J1016" cm="1">
        <f t="array" ref="J1016">IFERROR(
    _xlfn.XLOOKUP(G1016, 'Wedgewood Pharm-GA-Yr2-2025'!$E$55:$L$55,
        _xlfn.XLOOKUP('Rate Load'!H1016, 'Wedgewood Pharm-GA-Yr2-2025'!$D$72:$D$101,
            'Wedgewood Pharm-GA-Yr2-2025'!$E$72:$L$101, 0, 0),
        0, 0),
    _xlfn.XLOOKUP(G1016, 'Wedgewood Pharm-GA-Yr2-2025'!$E$55:$L$55,
        _xlfn.XLOOKUP('Rate Load'!L1016, 'Wedgewood Pharm-GA-Yr2-2025'!$D$72:$D$101,
            'Wedgewood Pharm-GA-Yr2-2025'!$E$72:$L$101, 0, 0),
        0, 0)
)</f>
        <v>11.59</v>
      </c>
      <c r="K1016" t="s">
        <v>46</v>
      </c>
      <c r="L1016" t="s">
        <v>13</v>
      </c>
      <c r="M1016">
        <v>2</v>
      </c>
      <c r="N1016" t="str">
        <f t="shared" si="15"/>
        <v>INSERT INTO TNL_RATING.dbo.usps_rate_master VALUES ('USPS', '2/13/2025', '2/13/2026', 12659, 'US', 'USPS Ground Advantage', 2, 19, 'L', 11.59, 'Wedgewood_USPS_2025', 'NonCubic','2');</v>
      </c>
    </row>
    <row r="1017" spans="1:14" x14ac:dyDescent="0.3">
      <c r="A1017" t="s">
        <v>11</v>
      </c>
      <c r="B1017" s="1" t="s">
        <v>43</v>
      </c>
      <c r="C1017" s="1" t="s">
        <v>44</v>
      </c>
      <c r="D1017">
        <v>12659</v>
      </c>
      <c r="E1017" t="s">
        <v>12</v>
      </c>
      <c r="F1017" t="s">
        <v>51</v>
      </c>
      <c r="G1017">
        <v>2</v>
      </c>
      <c r="H1017">
        <v>20</v>
      </c>
      <c r="I1017" t="s">
        <v>45</v>
      </c>
      <c r="J1017" cm="1">
        <f t="array" ref="J1017">IFERROR(
    _xlfn.XLOOKUP(G1017, 'Wedgewood Pharm-GA-Yr2-2025'!$E$55:$L$55,
        _xlfn.XLOOKUP('Rate Load'!H1017, 'Wedgewood Pharm-GA-Yr2-2025'!$D$72:$D$101,
            'Wedgewood Pharm-GA-Yr2-2025'!$E$72:$L$101, 0, 0),
        0, 0),
    _xlfn.XLOOKUP(G1017, 'Wedgewood Pharm-GA-Yr2-2025'!$E$55:$L$55,
        _xlfn.XLOOKUP('Rate Load'!L1017, 'Wedgewood Pharm-GA-Yr2-2025'!$D$72:$D$101,
            'Wedgewood Pharm-GA-Yr2-2025'!$E$72:$L$101, 0, 0),
        0, 0)
)</f>
        <v>11.84</v>
      </c>
      <c r="K1017" t="s">
        <v>46</v>
      </c>
      <c r="L1017" t="s">
        <v>13</v>
      </c>
      <c r="M1017">
        <v>2</v>
      </c>
      <c r="N1017" t="str">
        <f t="shared" si="15"/>
        <v>INSERT INTO TNL_RATING.dbo.usps_rate_master VALUES ('USPS', '2/13/2025', '2/13/2026', 12659, 'US', 'USPS Ground Advantage', 2, 20, 'L', 11.84, 'Wedgewood_USPS_2025', 'NonCubic','2');</v>
      </c>
    </row>
    <row r="1018" spans="1:14" x14ac:dyDescent="0.3">
      <c r="A1018" t="s">
        <v>11</v>
      </c>
      <c r="B1018" s="1" t="s">
        <v>43</v>
      </c>
      <c r="C1018" s="1" t="s">
        <v>44</v>
      </c>
      <c r="D1018">
        <v>12659</v>
      </c>
      <c r="E1018" t="s">
        <v>12</v>
      </c>
      <c r="F1018" t="s">
        <v>51</v>
      </c>
      <c r="G1018">
        <v>3</v>
      </c>
      <c r="H1018">
        <v>1</v>
      </c>
      <c r="I1018" t="s">
        <v>45</v>
      </c>
      <c r="J1018" cm="1">
        <f t="array" ref="J1018">IFERROR(
    _xlfn.XLOOKUP(G1018, 'Wedgewood Pharm-GA-Yr2-2025'!$E$55:$L$55,
        _xlfn.XLOOKUP('Rate Load'!H1018, 'Wedgewood Pharm-GA-Yr2-2025'!$D$72:$D$101,
            'Wedgewood Pharm-GA-Yr2-2025'!$E$72:$L$101, 0, 0),
        0, 0),
    _xlfn.XLOOKUP(G1018, 'Wedgewood Pharm-GA-Yr2-2025'!$E$55:$L$55,
        _xlfn.XLOOKUP('Rate Load'!L1018, 'Wedgewood Pharm-GA-Yr2-2025'!$D$72:$D$101,
            'Wedgewood Pharm-GA-Yr2-2025'!$E$72:$L$101, 0, 0),
        0, 0)
)</f>
        <v>6.05</v>
      </c>
      <c r="K1018" t="s">
        <v>46</v>
      </c>
      <c r="L1018" t="s">
        <v>13</v>
      </c>
      <c r="M1018">
        <v>2</v>
      </c>
      <c r="N1018" t="str">
        <f t="shared" si="15"/>
        <v>INSERT INTO TNL_RATING.dbo.usps_rate_master VALUES ('USPS', '2/13/2025', '2/13/2026', 12659, 'US', 'USPS Ground Advantage', 3, 1, 'L', 6.05, 'Wedgewood_USPS_2025', 'NonCubic','2');</v>
      </c>
    </row>
    <row r="1019" spans="1:14" x14ac:dyDescent="0.3">
      <c r="A1019" t="s">
        <v>11</v>
      </c>
      <c r="B1019" s="1" t="s">
        <v>43</v>
      </c>
      <c r="C1019" s="1" t="s">
        <v>44</v>
      </c>
      <c r="D1019">
        <v>12659</v>
      </c>
      <c r="E1019" t="s">
        <v>12</v>
      </c>
      <c r="F1019" t="s">
        <v>51</v>
      </c>
      <c r="G1019">
        <v>3</v>
      </c>
      <c r="H1019">
        <v>2</v>
      </c>
      <c r="I1019" t="s">
        <v>45</v>
      </c>
      <c r="J1019" cm="1">
        <f t="array" ref="J1019">IFERROR(
    _xlfn.XLOOKUP(G1019, 'Wedgewood Pharm-GA-Yr2-2025'!$E$55:$L$55,
        _xlfn.XLOOKUP('Rate Load'!H1019, 'Wedgewood Pharm-GA-Yr2-2025'!$D$72:$D$101,
            'Wedgewood Pharm-GA-Yr2-2025'!$E$72:$L$101, 0, 0),
        0, 0),
    _xlfn.XLOOKUP(G1019, 'Wedgewood Pharm-GA-Yr2-2025'!$E$55:$L$55,
        _xlfn.XLOOKUP('Rate Load'!L1019, 'Wedgewood Pharm-GA-Yr2-2025'!$D$72:$D$101,
            'Wedgewood Pharm-GA-Yr2-2025'!$E$72:$L$101, 0, 0),
        0, 0)
)</f>
        <v>6.3199999999999994</v>
      </c>
      <c r="K1019" t="s">
        <v>46</v>
      </c>
      <c r="L1019" t="s">
        <v>13</v>
      </c>
      <c r="M1019">
        <v>2</v>
      </c>
      <c r="N1019" t="str">
        <f t="shared" si="15"/>
        <v>INSERT INTO TNL_RATING.dbo.usps_rate_master VALUES ('USPS', '2/13/2025', '2/13/2026', 12659, 'US', 'USPS Ground Advantage', 3, 2, 'L', 6.32, 'Wedgewood_USPS_2025', 'NonCubic','2');</v>
      </c>
    </row>
    <row r="1020" spans="1:14" x14ac:dyDescent="0.3">
      <c r="A1020" t="s">
        <v>11</v>
      </c>
      <c r="B1020" s="1" t="s">
        <v>43</v>
      </c>
      <c r="C1020" s="1" t="s">
        <v>44</v>
      </c>
      <c r="D1020">
        <v>12659</v>
      </c>
      <c r="E1020" t="s">
        <v>12</v>
      </c>
      <c r="F1020" t="s">
        <v>51</v>
      </c>
      <c r="G1020">
        <v>3</v>
      </c>
      <c r="H1020">
        <v>3</v>
      </c>
      <c r="I1020" t="s">
        <v>45</v>
      </c>
      <c r="J1020" cm="1">
        <f t="array" ref="J1020">IFERROR(
    _xlfn.XLOOKUP(G1020, 'Wedgewood Pharm-GA-Yr2-2025'!$E$55:$L$55,
        _xlfn.XLOOKUP('Rate Load'!H1020, 'Wedgewood Pharm-GA-Yr2-2025'!$D$72:$D$101,
            'Wedgewood Pharm-GA-Yr2-2025'!$E$72:$L$101, 0, 0),
        0, 0),
    _xlfn.XLOOKUP(G1020, 'Wedgewood Pharm-GA-Yr2-2025'!$E$55:$L$55,
        _xlfn.XLOOKUP('Rate Load'!L1020, 'Wedgewood Pharm-GA-Yr2-2025'!$D$72:$D$101,
            'Wedgewood Pharm-GA-Yr2-2025'!$E$72:$L$101, 0, 0),
        0, 0)
)</f>
        <v>6.75</v>
      </c>
      <c r="K1020" t="s">
        <v>46</v>
      </c>
      <c r="L1020" t="s">
        <v>13</v>
      </c>
      <c r="M1020">
        <v>2</v>
      </c>
      <c r="N1020" t="str">
        <f t="shared" si="15"/>
        <v>INSERT INTO TNL_RATING.dbo.usps_rate_master VALUES ('USPS', '2/13/2025', '2/13/2026', 12659, 'US', 'USPS Ground Advantage', 3, 3, 'L', 6.75, 'Wedgewood_USPS_2025', 'NonCubic','2');</v>
      </c>
    </row>
    <row r="1021" spans="1:14" x14ac:dyDescent="0.3">
      <c r="A1021" t="s">
        <v>11</v>
      </c>
      <c r="B1021" s="1" t="s">
        <v>43</v>
      </c>
      <c r="C1021" s="1" t="s">
        <v>44</v>
      </c>
      <c r="D1021">
        <v>12659</v>
      </c>
      <c r="E1021" t="s">
        <v>12</v>
      </c>
      <c r="F1021" t="s">
        <v>51</v>
      </c>
      <c r="G1021">
        <v>3</v>
      </c>
      <c r="H1021">
        <v>4</v>
      </c>
      <c r="I1021" t="s">
        <v>45</v>
      </c>
      <c r="J1021" cm="1">
        <f t="array" ref="J1021">IFERROR(
    _xlfn.XLOOKUP(G1021, 'Wedgewood Pharm-GA-Yr2-2025'!$E$55:$L$55,
        _xlfn.XLOOKUP('Rate Load'!H1021, 'Wedgewood Pharm-GA-Yr2-2025'!$D$72:$D$101,
            'Wedgewood Pharm-GA-Yr2-2025'!$E$72:$L$101, 0, 0),
        0, 0),
    _xlfn.XLOOKUP(G1021, 'Wedgewood Pharm-GA-Yr2-2025'!$E$55:$L$55,
        _xlfn.XLOOKUP('Rate Load'!L1021, 'Wedgewood Pharm-GA-Yr2-2025'!$D$72:$D$101,
            'Wedgewood Pharm-GA-Yr2-2025'!$E$72:$L$101, 0, 0),
        0, 0)
)</f>
        <v>7.0299999999999994</v>
      </c>
      <c r="K1021" t="s">
        <v>46</v>
      </c>
      <c r="L1021" t="s">
        <v>13</v>
      </c>
      <c r="M1021">
        <v>2</v>
      </c>
      <c r="N1021" t="str">
        <f t="shared" si="15"/>
        <v>INSERT INTO TNL_RATING.dbo.usps_rate_master VALUES ('USPS', '2/13/2025', '2/13/2026', 12659, 'US', 'USPS Ground Advantage', 3, 4, 'L', 7.03, 'Wedgewood_USPS_2025', 'NonCubic','2');</v>
      </c>
    </row>
    <row r="1022" spans="1:14" x14ac:dyDescent="0.3">
      <c r="A1022" t="s">
        <v>11</v>
      </c>
      <c r="B1022" s="1" t="s">
        <v>43</v>
      </c>
      <c r="C1022" s="1" t="s">
        <v>44</v>
      </c>
      <c r="D1022">
        <v>12659</v>
      </c>
      <c r="E1022" t="s">
        <v>12</v>
      </c>
      <c r="F1022" t="s">
        <v>51</v>
      </c>
      <c r="G1022">
        <v>3</v>
      </c>
      <c r="H1022">
        <v>5</v>
      </c>
      <c r="I1022" t="s">
        <v>45</v>
      </c>
      <c r="J1022" cm="1">
        <f t="array" ref="J1022">IFERROR(
    _xlfn.XLOOKUP(G1022, 'Wedgewood Pharm-GA-Yr2-2025'!$E$55:$L$55,
        _xlfn.XLOOKUP('Rate Load'!H1022, 'Wedgewood Pharm-GA-Yr2-2025'!$D$72:$D$101,
            'Wedgewood Pharm-GA-Yr2-2025'!$E$72:$L$101, 0, 0),
        0, 0),
    _xlfn.XLOOKUP(G1022, 'Wedgewood Pharm-GA-Yr2-2025'!$E$55:$L$55,
        _xlfn.XLOOKUP('Rate Load'!L1022, 'Wedgewood Pharm-GA-Yr2-2025'!$D$72:$D$101,
            'Wedgewood Pharm-GA-Yr2-2025'!$E$72:$L$101, 0, 0),
        0, 0)
)</f>
        <v>7.22</v>
      </c>
      <c r="K1022" t="s">
        <v>46</v>
      </c>
      <c r="L1022" t="s">
        <v>13</v>
      </c>
      <c r="M1022">
        <v>2</v>
      </c>
      <c r="N1022" t="str">
        <f t="shared" si="15"/>
        <v>INSERT INTO TNL_RATING.dbo.usps_rate_master VALUES ('USPS', '2/13/2025', '2/13/2026', 12659, 'US', 'USPS Ground Advantage', 3, 5, 'L', 7.22, 'Wedgewood_USPS_2025', 'NonCubic','2');</v>
      </c>
    </row>
    <row r="1023" spans="1:14" x14ac:dyDescent="0.3">
      <c r="A1023" t="s">
        <v>11</v>
      </c>
      <c r="B1023" s="1" t="s">
        <v>43</v>
      </c>
      <c r="C1023" s="1" t="s">
        <v>44</v>
      </c>
      <c r="D1023">
        <v>12659</v>
      </c>
      <c r="E1023" t="s">
        <v>12</v>
      </c>
      <c r="F1023" t="s">
        <v>51</v>
      </c>
      <c r="G1023">
        <v>3</v>
      </c>
      <c r="H1023">
        <v>6</v>
      </c>
      <c r="I1023" t="s">
        <v>45</v>
      </c>
      <c r="J1023" cm="1">
        <f t="array" ref="J1023">IFERROR(
    _xlfn.XLOOKUP(G1023, 'Wedgewood Pharm-GA-Yr2-2025'!$E$55:$L$55,
        _xlfn.XLOOKUP('Rate Load'!H1023, 'Wedgewood Pharm-GA-Yr2-2025'!$D$72:$D$101,
            'Wedgewood Pharm-GA-Yr2-2025'!$E$72:$L$101, 0, 0),
        0, 0),
    _xlfn.XLOOKUP(G1023, 'Wedgewood Pharm-GA-Yr2-2025'!$E$55:$L$55,
        _xlfn.XLOOKUP('Rate Load'!L1023, 'Wedgewood Pharm-GA-Yr2-2025'!$D$72:$D$101,
            'Wedgewood Pharm-GA-Yr2-2025'!$E$72:$L$101, 0, 0),
        0, 0)
)</f>
        <v>7.46</v>
      </c>
      <c r="K1023" t="s">
        <v>46</v>
      </c>
      <c r="L1023" t="s">
        <v>13</v>
      </c>
      <c r="M1023">
        <v>2</v>
      </c>
      <c r="N1023" t="str">
        <f t="shared" si="15"/>
        <v>INSERT INTO TNL_RATING.dbo.usps_rate_master VALUES ('USPS', '2/13/2025', '2/13/2026', 12659, 'US', 'USPS Ground Advantage', 3, 6, 'L', 7.46, 'Wedgewood_USPS_2025', 'NonCubic','2');</v>
      </c>
    </row>
    <row r="1024" spans="1:14" x14ac:dyDescent="0.3">
      <c r="A1024" t="s">
        <v>11</v>
      </c>
      <c r="B1024" s="1" t="s">
        <v>43</v>
      </c>
      <c r="C1024" s="1" t="s">
        <v>44</v>
      </c>
      <c r="D1024">
        <v>12659</v>
      </c>
      <c r="E1024" t="s">
        <v>12</v>
      </c>
      <c r="F1024" t="s">
        <v>51</v>
      </c>
      <c r="G1024">
        <v>3</v>
      </c>
      <c r="H1024">
        <v>7</v>
      </c>
      <c r="I1024" t="s">
        <v>45</v>
      </c>
      <c r="J1024" cm="1">
        <f t="array" ref="J1024">IFERROR(
    _xlfn.XLOOKUP(G1024, 'Wedgewood Pharm-GA-Yr2-2025'!$E$55:$L$55,
        _xlfn.XLOOKUP('Rate Load'!H1024, 'Wedgewood Pharm-GA-Yr2-2025'!$D$72:$D$101,
            'Wedgewood Pharm-GA-Yr2-2025'!$E$72:$L$101, 0, 0),
        0, 0),
    _xlfn.XLOOKUP(G1024, 'Wedgewood Pharm-GA-Yr2-2025'!$E$55:$L$55,
        _xlfn.XLOOKUP('Rate Load'!L1024, 'Wedgewood Pharm-GA-Yr2-2025'!$D$72:$D$101,
            'Wedgewood Pharm-GA-Yr2-2025'!$E$72:$L$101, 0, 0),
        0, 0)
)</f>
        <v>7.96</v>
      </c>
      <c r="K1024" t="s">
        <v>46</v>
      </c>
      <c r="L1024" t="s">
        <v>13</v>
      </c>
      <c r="M1024">
        <v>2</v>
      </c>
      <c r="N1024" t="str">
        <f t="shared" si="15"/>
        <v>INSERT INTO TNL_RATING.dbo.usps_rate_master VALUES ('USPS', '2/13/2025', '2/13/2026', 12659, 'US', 'USPS Ground Advantage', 3, 7, 'L', 7.96, 'Wedgewood_USPS_2025', 'NonCubic','2');</v>
      </c>
    </row>
    <row r="1025" spans="1:14" x14ac:dyDescent="0.3">
      <c r="A1025" t="s">
        <v>11</v>
      </c>
      <c r="B1025" s="1" t="s">
        <v>43</v>
      </c>
      <c r="C1025" s="1" t="s">
        <v>44</v>
      </c>
      <c r="D1025">
        <v>12659</v>
      </c>
      <c r="E1025" t="s">
        <v>12</v>
      </c>
      <c r="F1025" t="s">
        <v>51</v>
      </c>
      <c r="G1025">
        <v>3</v>
      </c>
      <c r="H1025">
        <v>8</v>
      </c>
      <c r="I1025" t="s">
        <v>45</v>
      </c>
      <c r="J1025" cm="1">
        <f t="array" ref="J1025">IFERROR(
    _xlfn.XLOOKUP(G1025, 'Wedgewood Pharm-GA-Yr2-2025'!$E$55:$L$55,
        _xlfn.XLOOKUP('Rate Load'!H1025, 'Wedgewood Pharm-GA-Yr2-2025'!$D$72:$D$101,
            'Wedgewood Pharm-GA-Yr2-2025'!$E$72:$L$101, 0, 0),
        0, 0),
    _xlfn.XLOOKUP(G1025, 'Wedgewood Pharm-GA-Yr2-2025'!$E$55:$L$55,
        _xlfn.XLOOKUP('Rate Load'!L1025, 'Wedgewood Pharm-GA-Yr2-2025'!$D$72:$D$101,
            'Wedgewood Pharm-GA-Yr2-2025'!$E$72:$L$101, 0, 0),
        0, 0)
)</f>
        <v>8.32</v>
      </c>
      <c r="K1025" t="s">
        <v>46</v>
      </c>
      <c r="L1025" t="s">
        <v>13</v>
      </c>
      <c r="M1025">
        <v>2</v>
      </c>
      <c r="N1025" t="str">
        <f t="shared" si="15"/>
        <v>INSERT INTO TNL_RATING.dbo.usps_rate_master VALUES ('USPS', '2/13/2025', '2/13/2026', 12659, 'US', 'USPS Ground Advantage', 3, 8, 'L', 8.32, 'Wedgewood_USPS_2025', 'NonCubic','2');</v>
      </c>
    </row>
    <row r="1026" spans="1:14" x14ac:dyDescent="0.3">
      <c r="A1026" t="s">
        <v>11</v>
      </c>
      <c r="B1026" s="1" t="s">
        <v>43</v>
      </c>
      <c r="C1026" s="1" t="s">
        <v>44</v>
      </c>
      <c r="D1026">
        <v>12659</v>
      </c>
      <c r="E1026" t="s">
        <v>12</v>
      </c>
      <c r="F1026" t="s">
        <v>51</v>
      </c>
      <c r="G1026">
        <v>3</v>
      </c>
      <c r="H1026">
        <v>9</v>
      </c>
      <c r="I1026" t="s">
        <v>45</v>
      </c>
      <c r="J1026" cm="1">
        <f t="array" ref="J1026">IFERROR(
    _xlfn.XLOOKUP(G1026, 'Wedgewood Pharm-GA-Yr2-2025'!$E$55:$L$55,
        _xlfn.XLOOKUP('Rate Load'!H1026, 'Wedgewood Pharm-GA-Yr2-2025'!$D$72:$D$101,
            'Wedgewood Pharm-GA-Yr2-2025'!$E$72:$L$101, 0, 0),
        0, 0),
    _xlfn.XLOOKUP(G1026, 'Wedgewood Pharm-GA-Yr2-2025'!$E$55:$L$55,
        _xlfn.XLOOKUP('Rate Load'!L1026, 'Wedgewood Pharm-GA-Yr2-2025'!$D$72:$D$101,
            'Wedgewood Pharm-GA-Yr2-2025'!$E$72:$L$101, 0, 0),
        0, 0)
)</f>
        <v>8.61</v>
      </c>
      <c r="K1026" t="s">
        <v>46</v>
      </c>
      <c r="L1026" t="s">
        <v>13</v>
      </c>
      <c r="M1026">
        <v>2</v>
      </c>
      <c r="N1026" t="str">
        <f t="shared" si="15"/>
        <v>INSERT INTO TNL_RATING.dbo.usps_rate_master VALUES ('USPS', '2/13/2025', '2/13/2026', 12659, 'US', 'USPS Ground Advantage', 3, 9, 'L', 8.61, 'Wedgewood_USPS_2025', 'NonCubic','2');</v>
      </c>
    </row>
    <row r="1027" spans="1:14" x14ac:dyDescent="0.3">
      <c r="A1027" t="s">
        <v>11</v>
      </c>
      <c r="B1027" s="1" t="s">
        <v>43</v>
      </c>
      <c r="C1027" s="1" t="s">
        <v>44</v>
      </c>
      <c r="D1027">
        <v>12659</v>
      </c>
      <c r="E1027" t="s">
        <v>12</v>
      </c>
      <c r="F1027" t="s">
        <v>51</v>
      </c>
      <c r="G1027">
        <v>3</v>
      </c>
      <c r="H1027">
        <v>10</v>
      </c>
      <c r="I1027" t="s">
        <v>45</v>
      </c>
      <c r="J1027" cm="1">
        <f t="array" ref="J1027">IFERROR(
    _xlfn.XLOOKUP(G1027, 'Wedgewood Pharm-GA-Yr2-2025'!$E$55:$L$55,
        _xlfn.XLOOKUP('Rate Load'!H1027, 'Wedgewood Pharm-GA-Yr2-2025'!$D$72:$D$101,
            'Wedgewood Pharm-GA-Yr2-2025'!$E$72:$L$101, 0, 0),
        0, 0),
    _xlfn.XLOOKUP(G1027, 'Wedgewood Pharm-GA-Yr2-2025'!$E$55:$L$55,
        _xlfn.XLOOKUP('Rate Load'!L1027, 'Wedgewood Pharm-GA-Yr2-2025'!$D$72:$D$101,
            'Wedgewood Pharm-GA-Yr2-2025'!$E$72:$L$101, 0, 0),
        0, 0)
)</f>
        <v>8.93</v>
      </c>
      <c r="K1027" t="s">
        <v>46</v>
      </c>
      <c r="L1027" t="s">
        <v>13</v>
      </c>
      <c r="M1027">
        <v>2</v>
      </c>
      <c r="N1027" t="str">
        <f t="shared" ref="N1027:N1090" si="16">"INSERT INTO TNL_RATING.dbo.usps_rate_master VALUES ('" &amp; A1027 &amp; "', '" &amp; B1027 &amp; "', '" &amp; C1027 &amp; "', " &amp; D1027 &amp; ", '" &amp; E1027 &amp; "', '" &amp; F1027 &amp; "', " &amp; G1027 &amp; ", " &amp; H1027 &amp; ", '" &amp; I1027 &amp; "', " &amp; J1027 &amp; ", '" &amp; K1027 &amp; "', '" &amp; L1027 &amp; "','" &amp; M1027 &amp; "');"</f>
        <v>INSERT INTO TNL_RATING.dbo.usps_rate_master VALUES ('USPS', '2/13/2025', '2/13/2026', 12659, 'US', 'USPS Ground Advantage', 3, 10, 'L', 8.93, 'Wedgewood_USPS_2025', 'NonCubic','2');</v>
      </c>
    </row>
    <row r="1028" spans="1:14" x14ac:dyDescent="0.3">
      <c r="A1028" t="s">
        <v>11</v>
      </c>
      <c r="B1028" s="1" t="s">
        <v>43</v>
      </c>
      <c r="C1028" s="1" t="s">
        <v>44</v>
      </c>
      <c r="D1028">
        <v>12659</v>
      </c>
      <c r="E1028" t="s">
        <v>12</v>
      </c>
      <c r="F1028" t="s">
        <v>51</v>
      </c>
      <c r="G1028">
        <v>3</v>
      </c>
      <c r="H1028">
        <v>11</v>
      </c>
      <c r="I1028" t="s">
        <v>45</v>
      </c>
      <c r="J1028" cm="1">
        <f t="array" ref="J1028">IFERROR(
    _xlfn.XLOOKUP(G1028, 'Wedgewood Pharm-GA-Yr2-2025'!$E$55:$L$55,
        _xlfn.XLOOKUP('Rate Load'!H1028, 'Wedgewood Pharm-GA-Yr2-2025'!$D$72:$D$101,
            'Wedgewood Pharm-GA-Yr2-2025'!$E$72:$L$101, 0, 0),
        0, 0),
    _xlfn.XLOOKUP(G1028, 'Wedgewood Pharm-GA-Yr2-2025'!$E$55:$L$55,
        _xlfn.XLOOKUP('Rate Load'!L1028, 'Wedgewood Pharm-GA-Yr2-2025'!$D$72:$D$101,
            'Wedgewood Pharm-GA-Yr2-2025'!$E$72:$L$101, 0, 0),
        0, 0)
)</f>
        <v>9.49</v>
      </c>
      <c r="K1028" t="s">
        <v>46</v>
      </c>
      <c r="L1028" t="s">
        <v>13</v>
      </c>
      <c r="M1028">
        <v>2</v>
      </c>
      <c r="N1028" t="str">
        <f t="shared" si="16"/>
        <v>INSERT INTO TNL_RATING.dbo.usps_rate_master VALUES ('USPS', '2/13/2025', '2/13/2026', 12659, 'US', 'USPS Ground Advantage', 3, 11, 'L', 9.49, 'Wedgewood_USPS_2025', 'NonCubic','2');</v>
      </c>
    </row>
    <row r="1029" spans="1:14" x14ac:dyDescent="0.3">
      <c r="A1029" t="s">
        <v>11</v>
      </c>
      <c r="B1029" s="1" t="s">
        <v>43</v>
      </c>
      <c r="C1029" s="1" t="s">
        <v>44</v>
      </c>
      <c r="D1029">
        <v>12659</v>
      </c>
      <c r="E1029" t="s">
        <v>12</v>
      </c>
      <c r="F1029" t="s">
        <v>51</v>
      </c>
      <c r="G1029">
        <v>3</v>
      </c>
      <c r="H1029">
        <v>12</v>
      </c>
      <c r="I1029" t="s">
        <v>45</v>
      </c>
      <c r="J1029" cm="1">
        <f t="array" ref="J1029">IFERROR(
    _xlfn.XLOOKUP(G1029, 'Wedgewood Pharm-GA-Yr2-2025'!$E$55:$L$55,
        _xlfn.XLOOKUP('Rate Load'!H1029, 'Wedgewood Pharm-GA-Yr2-2025'!$D$72:$D$101,
            'Wedgewood Pharm-GA-Yr2-2025'!$E$72:$L$101, 0, 0),
        0, 0),
    _xlfn.XLOOKUP(G1029, 'Wedgewood Pharm-GA-Yr2-2025'!$E$55:$L$55,
        _xlfn.XLOOKUP('Rate Load'!L1029, 'Wedgewood Pharm-GA-Yr2-2025'!$D$72:$D$101,
            'Wedgewood Pharm-GA-Yr2-2025'!$E$72:$L$101, 0, 0),
        0, 0)
)</f>
        <v>9.91</v>
      </c>
      <c r="K1029" t="s">
        <v>46</v>
      </c>
      <c r="L1029" t="s">
        <v>13</v>
      </c>
      <c r="M1029">
        <v>2</v>
      </c>
      <c r="N1029" t="str">
        <f t="shared" si="16"/>
        <v>INSERT INTO TNL_RATING.dbo.usps_rate_master VALUES ('USPS', '2/13/2025', '2/13/2026', 12659, 'US', 'USPS Ground Advantage', 3, 12, 'L', 9.91, 'Wedgewood_USPS_2025', 'NonCubic','2');</v>
      </c>
    </row>
    <row r="1030" spans="1:14" x14ac:dyDescent="0.3">
      <c r="A1030" t="s">
        <v>11</v>
      </c>
      <c r="B1030" s="1" t="s">
        <v>43</v>
      </c>
      <c r="C1030" s="1" t="s">
        <v>44</v>
      </c>
      <c r="D1030">
        <v>12659</v>
      </c>
      <c r="E1030" t="s">
        <v>12</v>
      </c>
      <c r="F1030" t="s">
        <v>51</v>
      </c>
      <c r="G1030">
        <v>3</v>
      </c>
      <c r="H1030">
        <v>13</v>
      </c>
      <c r="I1030" t="s">
        <v>45</v>
      </c>
      <c r="J1030" cm="1">
        <f t="array" ref="J1030">IFERROR(
    _xlfn.XLOOKUP(G1030, 'Wedgewood Pharm-GA-Yr2-2025'!$E$55:$L$55,
        _xlfn.XLOOKUP('Rate Load'!H1030, 'Wedgewood Pharm-GA-Yr2-2025'!$D$72:$D$101,
            'Wedgewood Pharm-GA-Yr2-2025'!$E$72:$L$101, 0, 0),
        0, 0),
    _xlfn.XLOOKUP(G1030, 'Wedgewood Pharm-GA-Yr2-2025'!$E$55:$L$55,
        _xlfn.XLOOKUP('Rate Load'!L1030, 'Wedgewood Pharm-GA-Yr2-2025'!$D$72:$D$101,
            'Wedgewood Pharm-GA-Yr2-2025'!$E$72:$L$101, 0, 0),
        0, 0)
)</f>
        <v>10.26</v>
      </c>
      <c r="K1030" t="s">
        <v>46</v>
      </c>
      <c r="L1030" t="s">
        <v>13</v>
      </c>
      <c r="M1030">
        <v>2</v>
      </c>
      <c r="N1030" t="str">
        <f t="shared" si="16"/>
        <v>INSERT INTO TNL_RATING.dbo.usps_rate_master VALUES ('USPS', '2/13/2025', '2/13/2026', 12659, 'US', 'USPS Ground Advantage', 3, 13, 'L', 10.26, 'Wedgewood_USPS_2025', 'NonCubic','2');</v>
      </c>
    </row>
    <row r="1031" spans="1:14" x14ac:dyDescent="0.3">
      <c r="A1031" t="s">
        <v>11</v>
      </c>
      <c r="B1031" s="1" t="s">
        <v>43</v>
      </c>
      <c r="C1031" s="1" t="s">
        <v>44</v>
      </c>
      <c r="D1031">
        <v>12659</v>
      </c>
      <c r="E1031" t="s">
        <v>12</v>
      </c>
      <c r="F1031" t="s">
        <v>51</v>
      </c>
      <c r="G1031">
        <v>3</v>
      </c>
      <c r="H1031">
        <v>14</v>
      </c>
      <c r="I1031" t="s">
        <v>45</v>
      </c>
      <c r="J1031" cm="1">
        <f t="array" ref="J1031">IFERROR(
    _xlfn.XLOOKUP(G1031, 'Wedgewood Pharm-GA-Yr2-2025'!$E$55:$L$55,
        _xlfn.XLOOKUP('Rate Load'!H1031, 'Wedgewood Pharm-GA-Yr2-2025'!$D$72:$D$101,
            'Wedgewood Pharm-GA-Yr2-2025'!$E$72:$L$101, 0, 0),
        0, 0),
    _xlfn.XLOOKUP(G1031, 'Wedgewood Pharm-GA-Yr2-2025'!$E$55:$L$55,
        _xlfn.XLOOKUP('Rate Load'!L1031, 'Wedgewood Pharm-GA-Yr2-2025'!$D$72:$D$101,
            'Wedgewood Pharm-GA-Yr2-2025'!$E$72:$L$101, 0, 0),
        0, 0)
)</f>
        <v>10.53</v>
      </c>
      <c r="K1031" t="s">
        <v>46</v>
      </c>
      <c r="L1031" t="s">
        <v>13</v>
      </c>
      <c r="M1031">
        <v>2</v>
      </c>
      <c r="N1031" t="str">
        <f t="shared" si="16"/>
        <v>INSERT INTO TNL_RATING.dbo.usps_rate_master VALUES ('USPS', '2/13/2025', '2/13/2026', 12659, 'US', 'USPS Ground Advantage', 3, 14, 'L', 10.53, 'Wedgewood_USPS_2025', 'NonCubic','2');</v>
      </c>
    </row>
    <row r="1032" spans="1:14" x14ac:dyDescent="0.3">
      <c r="A1032" t="s">
        <v>11</v>
      </c>
      <c r="B1032" s="1" t="s">
        <v>43</v>
      </c>
      <c r="C1032" s="1" t="s">
        <v>44</v>
      </c>
      <c r="D1032">
        <v>12659</v>
      </c>
      <c r="E1032" t="s">
        <v>12</v>
      </c>
      <c r="F1032" t="s">
        <v>51</v>
      </c>
      <c r="G1032">
        <v>3</v>
      </c>
      <c r="H1032">
        <v>15</v>
      </c>
      <c r="I1032" t="s">
        <v>45</v>
      </c>
      <c r="J1032" cm="1">
        <f t="array" ref="J1032">IFERROR(
    _xlfn.XLOOKUP(G1032, 'Wedgewood Pharm-GA-Yr2-2025'!$E$55:$L$55,
        _xlfn.XLOOKUP('Rate Load'!H1032, 'Wedgewood Pharm-GA-Yr2-2025'!$D$72:$D$101,
            'Wedgewood Pharm-GA-Yr2-2025'!$E$72:$L$101, 0, 0),
        0, 0),
    _xlfn.XLOOKUP(G1032, 'Wedgewood Pharm-GA-Yr2-2025'!$E$55:$L$55,
        _xlfn.XLOOKUP('Rate Load'!L1032, 'Wedgewood Pharm-GA-Yr2-2025'!$D$72:$D$101,
            'Wedgewood Pharm-GA-Yr2-2025'!$E$72:$L$101, 0, 0),
        0, 0)
)</f>
        <v>10.91</v>
      </c>
      <c r="K1032" t="s">
        <v>46</v>
      </c>
      <c r="L1032" t="s">
        <v>13</v>
      </c>
      <c r="M1032">
        <v>2</v>
      </c>
      <c r="N1032" t="str">
        <f t="shared" si="16"/>
        <v>INSERT INTO TNL_RATING.dbo.usps_rate_master VALUES ('USPS', '2/13/2025', '2/13/2026', 12659, 'US', 'USPS Ground Advantage', 3, 15, 'L', 10.91, 'Wedgewood_USPS_2025', 'NonCubic','2');</v>
      </c>
    </row>
    <row r="1033" spans="1:14" x14ac:dyDescent="0.3">
      <c r="A1033" t="s">
        <v>11</v>
      </c>
      <c r="B1033" s="1" t="s">
        <v>43</v>
      </c>
      <c r="C1033" s="1" t="s">
        <v>44</v>
      </c>
      <c r="D1033">
        <v>12659</v>
      </c>
      <c r="E1033" t="s">
        <v>12</v>
      </c>
      <c r="F1033" t="s">
        <v>51</v>
      </c>
      <c r="G1033">
        <v>3</v>
      </c>
      <c r="H1033">
        <v>16</v>
      </c>
      <c r="I1033" t="s">
        <v>45</v>
      </c>
      <c r="J1033" cm="1">
        <f t="array" ref="J1033">IFERROR(
    _xlfn.XLOOKUP(G1033, 'Wedgewood Pharm-GA-Yr2-2025'!$E$55:$L$55,
        _xlfn.XLOOKUP('Rate Load'!H1033, 'Wedgewood Pharm-GA-Yr2-2025'!$D$72:$D$101,
            'Wedgewood Pharm-GA-Yr2-2025'!$E$72:$L$101, 0, 0),
        0, 0),
    _xlfn.XLOOKUP(G1033, 'Wedgewood Pharm-GA-Yr2-2025'!$E$55:$L$55,
        _xlfn.XLOOKUP('Rate Load'!L1033, 'Wedgewood Pharm-GA-Yr2-2025'!$D$72:$D$101,
            'Wedgewood Pharm-GA-Yr2-2025'!$E$72:$L$101, 0, 0),
        0, 0)
)</f>
        <v>11.2</v>
      </c>
      <c r="K1033" t="s">
        <v>46</v>
      </c>
      <c r="L1033" t="s">
        <v>13</v>
      </c>
      <c r="M1033">
        <v>2</v>
      </c>
      <c r="N1033" t="str">
        <f t="shared" si="16"/>
        <v>INSERT INTO TNL_RATING.dbo.usps_rate_master VALUES ('USPS', '2/13/2025', '2/13/2026', 12659, 'US', 'USPS Ground Advantage', 3, 16, 'L', 11.2, 'Wedgewood_USPS_2025', 'NonCubic','2');</v>
      </c>
    </row>
    <row r="1034" spans="1:14" x14ac:dyDescent="0.3">
      <c r="A1034" t="s">
        <v>11</v>
      </c>
      <c r="B1034" s="1" t="s">
        <v>43</v>
      </c>
      <c r="C1034" s="1" t="s">
        <v>44</v>
      </c>
      <c r="D1034">
        <v>12659</v>
      </c>
      <c r="E1034" t="s">
        <v>12</v>
      </c>
      <c r="F1034" t="s">
        <v>51</v>
      </c>
      <c r="G1034">
        <v>3</v>
      </c>
      <c r="H1034">
        <v>17</v>
      </c>
      <c r="I1034" t="s">
        <v>45</v>
      </c>
      <c r="J1034" cm="1">
        <f t="array" ref="J1034">IFERROR(
    _xlfn.XLOOKUP(G1034, 'Wedgewood Pharm-GA-Yr2-2025'!$E$55:$L$55,
        _xlfn.XLOOKUP('Rate Load'!H1034, 'Wedgewood Pharm-GA-Yr2-2025'!$D$72:$D$101,
            'Wedgewood Pharm-GA-Yr2-2025'!$E$72:$L$101, 0, 0),
        0, 0),
    _xlfn.XLOOKUP(G1034, 'Wedgewood Pharm-GA-Yr2-2025'!$E$55:$L$55,
        _xlfn.XLOOKUP('Rate Load'!L1034, 'Wedgewood Pharm-GA-Yr2-2025'!$D$72:$D$101,
            'Wedgewood Pharm-GA-Yr2-2025'!$E$72:$L$101, 0, 0),
        0, 0)
)</f>
        <v>11.58</v>
      </c>
      <c r="K1034" t="s">
        <v>46</v>
      </c>
      <c r="L1034" t="s">
        <v>13</v>
      </c>
      <c r="M1034">
        <v>2</v>
      </c>
      <c r="N1034" t="str">
        <f t="shared" si="16"/>
        <v>INSERT INTO TNL_RATING.dbo.usps_rate_master VALUES ('USPS', '2/13/2025', '2/13/2026', 12659, 'US', 'USPS Ground Advantage', 3, 17, 'L', 11.58, 'Wedgewood_USPS_2025', 'NonCubic','2');</v>
      </c>
    </row>
    <row r="1035" spans="1:14" x14ac:dyDescent="0.3">
      <c r="A1035" t="s">
        <v>11</v>
      </c>
      <c r="B1035" s="1" t="s">
        <v>43</v>
      </c>
      <c r="C1035" s="1" t="s">
        <v>44</v>
      </c>
      <c r="D1035">
        <v>12659</v>
      </c>
      <c r="E1035" t="s">
        <v>12</v>
      </c>
      <c r="F1035" t="s">
        <v>51</v>
      </c>
      <c r="G1035">
        <v>3</v>
      </c>
      <c r="H1035">
        <v>18</v>
      </c>
      <c r="I1035" t="s">
        <v>45</v>
      </c>
      <c r="J1035" cm="1">
        <f t="array" ref="J1035">IFERROR(
    _xlfn.XLOOKUP(G1035, 'Wedgewood Pharm-GA-Yr2-2025'!$E$55:$L$55,
        _xlfn.XLOOKUP('Rate Load'!H1035, 'Wedgewood Pharm-GA-Yr2-2025'!$D$72:$D$101,
            'Wedgewood Pharm-GA-Yr2-2025'!$E$72:$L$101, 0, 0),
        0, 0),
    _xlfn.XLOOKUP(G1035, 'Wedgewood Pharm-GA-Yr2-2025'!$E$55:$L$55,
        _xlfn.XLOOKUP('Rate Load'!L1035, 'Wedgewood Pharm-GA-Yr2-2025'!$D$72:$D$101,
            'Wedgewood Pharm-GA-Yr2-2025'!$E$72:$L$101, 0, 0),
        0, 0)
)</f>
        <v>11.76</v>
      </c>
      <c r="K1035" t="s">
        <v>46</v>
      </c>
      <c r="L1035" t="s">
        <v>13</v>
      </c>
      <c r="M1035">
        <v>2</v>
      </c>
      <c r="N1035" t="str">
        <f t="shared" si="16"/>
        <v>INSERT INTO TNL_RATING.dbo.usps_rate_master VALUES ('USPS', '2/13/2025', '2/13/2026', 12659, 'US', 'USPS Ground Advantage', 3, 18, 'L', 11.76, 'Wedgewood_USPS_2025', 'NonCubic','2');</v>
      </c>
    </row>
    <row r="1036" spans="1:14" x14ac:dyDescent="0.3">
      <c r="A1036" t="s">
        <v>11</v>
      </c>
      <c r="B1036" s="1" t="s">
        <v>43</v>
      </c>
      <c r="C1036" s="1" t="s">
        <v>44</v>
      </c>
      <c r="D1036">
        <v>12659</v>
      </c>
      <c r="E1036" t="s">
        <v>12</v>
      </c>
      <c r="F1036" t="s">
        <v>51</v>
      </c>
      <c r="G1036">
        <v>3</v>
      </c>
      <c r="H1036">
        <v>19</v>
      </c>
      <c r="I1036" t="s">
        <v>45</v>
      </c>
      <c r="J1036" cm="1">
        <f t="array" ref="J1036">IFERROR(
    _xlfn.XLOOKUP(G1036, 'Wedgewood Pharm-GA-Yr2-2025'!$E$55:$L$55,
        _xlfn.XLOOKUP('Rate Load'!H1036, 'Wedgewood Pharm-GA-Yr2-2025'!$D$72:$D$101,
            'Wedgewood Pharm-GA-Yr2-2025'!$E$72:$L$101, 0, 0),
        0, 0),
    _xlfn.XLOOKUP(G1036, 'Wedgewood Pharm-GA-Yr2-2025'!$E$55:$L$55,
        _xlfn.XLOOKUP('Rate Load'!L1036, 'Wedgewood Pharm-GA-Yr2-2025'!$D$72:$D$101,
            'Wedgewood Pharm-GA-Yr2-2025'!$E$72:$L$101, 0, 0),
        0, 0)
)</f>
        <v>12.24</v>
      </c>
      <c r="K1036" t="s">
        <v>46</v>
      </c>
      <c r="L1036" t="s">
        <v>13</v>
      </c>
      <c r="M1036">
        <v>2</v>
      </c>
      <c r="N1036" t="str">
        <f t="shared" si="16"/>
        <v>INSERT INTO TNL_RATING.dbo.usps_rate_master VALUES ('USPS', '2/13/2025', '2/13/2026', 12659, 'US', 'USPS Ground Advantage', 3, 19, 'L', 12.24, 'Wedgewood_USPS_2025', 'NonCubic','2');</v>
      </c>
    </row>
    <row r="1037" spans="1:14" x14ac:dyDescent="0.3">
      <c r="A1037" t="s">
        <v>11</v>
      </c>
      <c r="B1037" s="1" t="s">
        <v>43</v>
      </c>
      <c r="C1037" s="1" t="s">
        <v>44</v>
      </c>
      <c r="D1037">
        <v>12659</v>
      </c>
      <c r="E1037" t="s">
        <v>12</v>
      </c>
      <c r="F1037" t="s">
        <v>51</v>
      </c>
      <c r="G1037">
        <v>3</v>
      </c>
      <c r="H1037">
        <v>20</v>
      </c>
      <c r="I1037" t="s">
        <v>45</v>
      </c>
      <c r="J1037" cm="1">
        <f t="array" ref="J1037">IFERROR(
    _xlfn.XLOOKUP(G1037, 'Wedgewood Pharm-GA-Yr2-2025'!$E$55:$L$55,
        _xlfn.XLOOKUP('Rate Load'!H1037, 'Wedgewood Pharm-GA-Yr2-2025'!$D$72:$D$101,
            'Wedgewood Pharm-GA-Yr2-2025'!$E$72:$L$101, 0, 0),
        0, 0),
    _xlfn.XLOOKUP(G1037, 'Wedgewood Pharm-GA-Yr2-2025'!$E$55:$L$55,
        _xlfn.XLOOKUP('Rate Load'!L1037, 'Wedgewood Pharm-GA-Yr2-2025'!$D$72:$D$101,
            'Wedgewood Pharm-GA-Yr2-2025'!$E$72:$L$101, 0, 0),
        0, 0)
)</f>
        <v>12.53</v>
      </c>
      <c r="K1037" t="s">
        <v>46</v>
      </c>
      <c r="L1037" t="s">
        <v>13</v>
      </c>
      <c r="M1037">
        <v>2</v>
      </c>
      <c r="N1037" t="str">
        <f t="shared" si="16"/>
        <v>INSERT INTO TNL_RATING.dbo.usps_rate_master VALUES ('USPS', '2/13/2025', '2/13/2026', 12659, 'US', 'USPS Ground Advantage', 3, 20, 'L', 12.53, 'Wedgewood_USPS_2025', 'NonCubic','2');</v>
      </c>
    </row>
    <row r="1038" spans="1:14" x14ac:dyDescent="0.3">
      <c r="A1038" t="s">
        <v>11</v>
      </c>
      <c r="B1038" s="1" t="s">
        <v>43</v>
      </c>
      <c r="C1038" s="1" t="s">
        <v>44</v>
      </c>
      <c r="D1038">
        <v>12659</v>
      </c>
      <c r="E1038" t="s">
        <v>12</v>
      </c>
      <c r="F1038" t="s">
        <v>51</v>
      </c>
      <c r="G1038">
        <v>4</v>
      </c>
      <c r="H1038">
        <v>1</v>
      </c>
      <c r="I1038" t="s">
        <v>45</v>
      </c>
      <c r="J1038" cm="1">
        <f t="array" ref="J1038">IFERROR(
    _xlfn.XLOOKUP(G1038, 'Wedgewood Pharm-GA-Yr2-2025'!$E$55:$L$55,
        _xlfn.XLOOKUP('Rate Load'!H1038, 'Wedgewood Pharm-GA-Yr2-2025'!$D$72:$D$101,
            'Wedgewood Pharm-GA-Yr2-2025'!$E$72:$L$101, 0, 0),
        0, 0),
    _xlfn.XLOOKUP(G1038, 'Wedgewood Pharm-GA-Yr2-2025'!$E$55:$L$55,
        _xlfn.XLOOKUP('Rate Load'!L1038, 'Wedgewood Pharm-GA-Yr2-2025'!$D$72:$D$101,
            'Wedgewood Pharm-GA-Yr2-2025'!$E$72:$L$101, 0, 0),
        0, 0)
)</f>
        <v>6.29</v>
      </c>
      <c r="K1038" t="s">
        <v>46</v>
      </c>
      <c r="L1038" t="s">
        <v>13</v>
      </c>
      <c r="M1038">
        <v>2</v>
      </c>
      <c r="N1038" t="str">
        <f t="shared" si="16"/>
        <v>INSERT INTO TNL_RATING.dbo.usps_rate_master VALUES ('USPS', '2/13/2025', '2/13/2026', 12659, 'US', 'USPS Ground Advantage', 4, 1, 'L', 6.29, 'Wedgewood_USPS_2025', 'NonCubic','2');</v>
      </c>
    </row>
    <row r="1039" spans="1:14" x14ac:dyDescent="0.3">
      <c r="A1039" t="s">
        <v>11</v>
      </c>
      <c r="B1039" s="1" t="s">
        <v>43</v>
      </c>
      <c r="C1039" s="1" t="s">
        <v>44</v>
      </c>
      <c r="D1039">
        <v>12659</v>
      </c>
      <c r="E1039" t="s">
        <v>12</v>
      </c>
      <c r="F1039" t="s">
        <v>51</v>
      </c>
      <c r="G1039">
        <v>4</v>
      </c>
      <c r="H1039">
        <v>2</v>
      </c>
      <c r="I1039" t="s">
        <v>45</v>
      </c>
      <c r="J1039" cm="1">
        <f t="array" ref="J1039">IFERROR(
    _xlfn.XLOOKUP(G1039, 'Wedgewood Pharm-GA-Yr2-2025'!$E$55:$L$55,
        _xlfn.XLOOKUP('Rate Load'!H1039, 'Wedgewood Pharm-GA-Yr2-2025'!$D$72:$D$101,
            'Wedgewood Pharm-GA-Yr2-2025'!$E$72:$L$101, 0, 0),
        0, 0),
    _xlfn.XLOOKUP(G1039, 'Wedgewood Pharm-GA-Yr2-2025'!$E$55:$L$55,
        _xlfn.XLOOKUP('Rate Load'!L1039, 'Wedgewood Pharm-GA-Yr2-2025'!$D$72:$D$101,
            'Wedgewood Pharm-GA-Yr2-2025'!$E$72:$L$101, 0, 0),
        0, 0)
)</f>
        <v>6.66</v>
      </c>
      <c r="K1039" t="s">
        <v>46</v>
      </c>
      <c r="L1039" t="s">
        <v>13</v>
      </c>
      <c r="M1039">
        <v>2</v>
      </c>
      <c r="N1039" t="str">
        <f t="shared" si="16"/>
        <v>INSERT INTO TNL_RATING.dbo.usps_rate_master VALUES ('USPS', '2/13/2025', '2/13/2026', 12659, 'US', 'USPS Ground Advantage', 4, 2, 'L', 6.66, 'Wedgewood_USPS_2025', 'NonCubic','2');</v>
      </c>
    </row>
    <row r="1040" spans="1:14" x14ac:dyDescent="0.3">
      <c r="A1040" t="s">
        <v>11</v>
      </c>
      <c r="B1040" s="1" t="s">
        <v>43</v>
      </c>
      <c r="C1040" s="1" t="s">
        <v>44</v>
      </c>
      <c r="D1040">
        <v>12659</v>
      </c>
      <c r="E1040" t="s">
        <v>12</v>
      </c>
      <c r="F1040" t="s">
        <v>51</v>
      </c>
      <c r="G1040">
        <v>4</v>
      </c>
      <c r="H1040">
        <v>3</v>
      </c>
      <c r="I1040" t="s">
        <v>45</v>
      </c>
      <c r="J1040" cm="1">
        <f t="array" ref="J1040">IFERROR(
    _xlfn.XLOOKUP(G1040, 'Wedgewood Pharm-GA-Yr2-2025'!$E$55:$L$55,
        _xlfn.XLOOKUP('Rate Load'!H1040, 'Wedgewood Pharm-GA-Yr2-2025'!$D$72:$D$101,
            'Wedgewood Pharm-GA-Yr2-2025'!$E$72:$L$101, 0, 0),
        0, 0),
    _xlfn.XLOOKUP(G1040, 'Wedgewood Pharm-GA-Yr2-2025'!$E$55:$L$55,
        _xlfn.XLOOKUP('Rate Load'!L1040, 'Wedgewood Pharm-GA-Yr2-2025'!$D$72:$D$101,
            'Wedgewood Pharm-GA-Yr2-2025'!$E$72:$L$101, 0, 0),
        0, 0)
)</f>
        <v>7.0699999999999994</v>
      </c>
      <c r="K1040" t="s">
        <v>46</v>
      </c>
      <c r="L1040" t="s">
        <v>13</v>
      </c>
      <c r="M1040">
        <v>2</v>
      </c>
      <c r="N1040" t="str">
        <f t="shared" si="16"/>
        <v>INSERT INTO TNL_RATING.dbo.usps_rate_master VALUES ('USPS', '2/13/2025', '2/13/2026', 12659, 'US', 'USPS Ground Advantage', 4, 3, 'L', 7.07, 'Wedgewood_USPS_2025', 'NonCubic','2');</v>
      </c>
    </row>
    <row r="1041" spans="1:14" x14ac:dyDescent="0.3">
      <c r="A1041" t="s">
        <v>11</v>
      </c>
      <c r="B1041" s="1" t="s">
        <v>43</v>
      </c>
      <c r="C1041" s="1" t="s">
        <v>44</v>
      </c>
      <c r="D1041">
        <v>12659</v>
      </c>
      <c r="E1041" t="s">
        <v>12</v>
      </c>
      <c r="F1041" t="s">
        <v>51</v>
      </c>
      <c r="G1041">
        <v>4</v>
      </c>
      <c r="H1041">
        <v>4</v>
      </c>
      <c r="I1041" t="s">
        <v>45</v>
      </c>
      <c r="J1041" cm="1">
        <f t="array" ref="J1041">IFERROR(
    _xlfn.XLOOKUP(G1041, 'Wedgewood Pharm-GA-Yr2-2025'!$E$55:$L$55,
        _xlfn.XLOOKUP('Rate Load'!H1041, 'Wedgewood Pharm-GA-Yr2-2025'!$D$72:$D$101,
            'Wedgewood Pharm-GA-Yr2-2025'!$E$72:$L$101, 0, 0),
        0, 0),
    _xlfn.XLOOKUP(G1041, 'Wedgewood Pharm-GA-Yr2-2025'!$E$55:$L$55,
        _xlfn.XLOOKUP('Rate Load'!L1041, 'Wedgewood Pharm-GA-Yr2-2025'!$D$72:$D$101,
            'Wedgewood Pharm-GA-Yr2-2025'!$E$72:$L$101, 0, 0),
        0, 0)
)</f>
        <v>7.52</v>
      </c>
      <c r="K1041" t="s">
        <v>46</v>
      </c>
      <c r="L1041" t="s">
        <v>13</v>
      </c>
      <c r="M1041">
        <v>2</v>
      </c>
      <c r="N1041" t="str">
        <f t="shared" si="16"/>
        <v>INSERT INTO TNL_RATING.dbo.usps_rate_master VALUES ('USPS', '2/13/2025', '2/13/2026', 12659, 'US', 'USPS Ground Advantage', 4, 4, 'L', 7.52, 'Wedgewood_USPS_2025', 'NonCubic','2');</v>
      </c>
    </row>
    <row r="1042" spans="1:14" x14ac:dyDescent="0.3">
      <c r="A1042" t="s">
        <v>11</v>
      </c>
      <c r="B1042" s="1" t="s">
        <v>43</v>
      </c>
      <c r="C1042" s="1" t="s">
        <v>44</v>
      </c>
      <c r="D1042">
        <v>12659</v>
      </c>
      <c r="E1042" t="s">
        <v>12</v>
      </c>
      <c r="F1042" t="s">
        <v>51</v>
      </c>
      <c r="G1042">
        <v>4</v>
      </c>
      <c r="H1042">
        <v>5</v>
      </c>
      <c r="I1042" t="s">
        <v>45</v>
      </c>
      <c r="J1042" cm="1">
        <f t="array" ref="J1042">IFERROR(
    _xlfn.XLOOKUP(G1042, 'Wedgewood Pharm-GA-Yr2-2025'!$E$55:$L$55,
        _xlfn.XLOOKUP('Rate Load'!H1042, 'Wedgewood Pharm-GA-Yr2-2025'!$D$72:$D$101,
            'Wedgewood Pharm-GA-Yr2-2025'!$E$72:$L$101, 0, 0),
        0, 0),
    _xlfn.XLOOKUP(G1042, 'Wedgewood Pharm-GA-Yr2-2025'!$E$55:$L$55,
        _xlfn.XLOOKUP('Rate Load'!L1042, 'Wedgewood Pharm-GA-Yr2-2025'!$D$72:$D$101,
            'Wedgewood Pharm-GA-Yr2-2025'!$E$72:$L$101, 0, 0),
        0, 0)
)</f>
        <v>7.7799999999999994</v>
      </c>
      <c r="K1042" t="s">
        <v>46</v>
      </c>
      <c r="L1042" t="s">
        <v>13</v>
      </c>
      <c r="M1042">
        <v>2</v>
      </c>
      <c r="N1042" t="str">
        <f t="shared" si="16"/>
        <v>INSERT INTO TNL_RATING.dbo.usps_rate_master VALUES ('USPS', '2/13/2025', '2/13/2026', 12659, 'US', 'USPS Ground Advantage', 4, 5, 'L', 7.78, 'Wedgewood_USPS_2025', 'NonCubic','2');</v>
      </c>
    </row>
    <row r="1043" spans="1:14" x14ac:dyDescent="0.3">
      <c r="A1043" t="s">
        <v>11</v>
      </c>
      <c r="B1043" s="1" t="s">
        <v>43</v>
      </c>
      <c r="C1043" s="1" t="s">
        <v>44</v>
      </c>
      <c r="D1043">
        <v>12659</v>
      </c>
      <c r="E1043" t="s">
        <v>12</v>
      </c>
      <c r="F1043" t="s">
        <v>51</v>
      </c>
      <c r="G1043">
        <v>4</v>
      </c>
      <c r="H1043">
        <v>6</v>
      </c>
      <c r="I1043" t="s">
        <v>45</v>
      </c>
      <c r="J1043" cm="1">
        <f t="array" ref="J1043">IFERROR(
    _xlfn.XLOOKUP(G1043, 'Wedgewood Pharm-GA-Yr2-2025'!$E$55:$L$55,
        _xlfn.XLOOKUP('Rate Load'!H1043, 'Wedgewood Pharm-GA-Yr2-2025'!$D$72:$D$101,
            'Wedgewood Pharm-GA-Yr2-2025'!$E$72:$L$101, 0, 0),
        0, 0),
    _xlfn.XLOOKUP(G1043, 'Wedgewood Pharm-GA-Yr2-2025'!$E$55:$L$55,
        _xlfn.XLOOKUP('Rate Load'!L1043, 'Wedgewood Pharm-GA-Yr2-2025'!$D$72:$D$101,
            'Wedgewood Pharm-GA-Yr2-2025'!$E$72:$L$101, 0, 0),
        0, 0)
)</f>
        <v>8.11</v>
      </c>
      <c r="K1043" t="s">
        <v>46</v>
      </c>
      <c r="L1043" t="s">
        <v>13</v>
      </c>
      <c r="M1043">
        <v>2</v>
      </c>
      <c r="N1043" t="str">
        <f t="shared" si="16"/>
        <v>INSERT INTO TNL_RATING.dbo.usps_rate_master VALUES ('USPS', '2/13/2025', '2/13/2026', 12659, 'US', 'USPS Ground Advantage', 4, 6, 'L', 8.11, 'Wedgewood_USPS_2025', 'NonCubic','2');</v>
      </c>
    </row>
    <row r="1044" spans="1:14" x14ac:dyDescent="0.3">
      <c r="A1044" t="s">
        <v>11</v>
      </c>
      <c r="B1044" s="1" t="s">
        <v>43</v>
      </c>
      <c r="C1044" s="1" t="s">
        <v>44</v>
      </c>
      <c r="D1044">
        <v>12659</v>
      </c>
      <c r="E1044" t="s">
        <v>12</v>
      </c>
      <c r="F1044" t="s">
        <v>51</v>
      </c>
      <c r="G1044">
        <v>4</v>
      </c>
      <c r="H1044">
        <v>7</v>
      </c>
      <c r="I1044" t="s">
        <v>45</v>
      </c>
      <c r="J1044" cm="1">
        <f t="array" ref="J1044">IFERROR(
    _xlfn.XLOOKUP(G1044, 'Wedgewood Pharm-GA-Yr2-2025'!$E$55:$L$55,
        _xlfn.XLOOKUP('Rate Load'!H1044, 'Wedgewood Pharm-GA-Yr2-2025'!$D$72:$D$101,
            'Wedgewood Pharm-GA-Yr2-2025'!$E$72:$L$101, 0, 0),
        0, 0),
    _xlfn.XLOOKUP(G1044, 'Wedgewood Pharm-GA-Yr2-2025'!$E$55:$L$55,
        _xlfn.XLOOKUP('Rate Load'!L1044, 'Wedgewood Pharm-GA-Yr2-2025'!$D$72:$D$101,
            'Wedgewood Pharm-GA-Yr2-2025'!$E$72:$L$101, 0, 0),
        0, 0)
)</f>
        <v>8.4499999999999993</v>
      </c>
      <c r="K1044" t="s">
        <v>46</v>
      </c>
      <c r="L1044" t="s">
        <v>13</v>
      </c>
      <c r="M1044">
        <v>2</v>
      </c>
      <c r="N1044" t="str">
        <f t="shared" si="16"/>
        <v>INSERT INTO TNL_RATING.dbo.usps_rate_master VALUES ('USPS', '2/13/2025', '2/13/2026', 12659, 'US', 'USPS Ground Advantage', 4, 7, 'L', 8.45, 'Wedgewood_USPS_2025', 'NonCubic','2');</v>
      </c>
    </row>
    <row r="1045" spans="1:14" x14ac:dyDescent="0.3">
      <c r="A1045" t="s">
        <v>11</v>
      </c>
      <c r="B1045" s="1" t="s">
        <v>43</v>
      </c>
      <c r="C1045" s="1" t="s">
        <v>44</v>
      </c>
      <c r="D1045">
        <v>12659</v>
      </c>
      <c r="E1045" t="s">
        <v>12</v>
      </c>
      <c r="F1045" t="s">
        <v>51</v>
      </c>
      <c r="G1045">
        <v>4</v>
      </c>
      <c r="H1045">
        <v>8</v>
      </c>
      <c r="I1045" t="s">
        <v>45</v>
      </c>
      <c r="J1045" cm="1">
        <f t="array" ref="J1045">IFERROR(
    _xlfn.XLOOKUP(G1045, 'Wedgewood Pharm-GA-Yr2-2025'!$E$55:$L$55,
        _xlfn.XLOOKUP('Rate Load'!H1045, 'Wedgewood Pharm-GA-Yr2-2025'!$D$72:$D$101,
            'Wedgewood Pharm-GA-Yr2-2025'!$E$72:$L$101, 0, 0),
        0, 0),
    _xlfn.XLOOKUP(G1045, 'Wedgewood Pharm-GA-Yr2-2025'!$E$55:$L$55,
        _xlfn.XLOOKUP('Rate Load'!L1045, 'Wedgewood Pharm-GA-Yr2-2025'!$D$72:$D$101,
            'Wedgewood Pharm-GA-Yr2-2025'!$E$72:$L$101, 0, 0),
        0, 0)
)</f>
        <v>9.24</v>
      </c>
      <c r="K1045" t="s">
        <v>46</v>
      </c>
      <c r="L1045" t="s">
        <v>13</v>
      </c>
      <c r="M1045">
        <v>2</v>
      </c>
      <c r="N1045" t="str">
        <f t="shared" si="16"/>
        <v>INSERT INTO TNL_RATING.dbo.usps_rate_master VALUES ('USPS', '2/13/2025', '2/13/2026', 12659, 'US', 'USPS Ground Advantage', 4, 8, 'L', 9.24, 'Wedgewood_USPS_2025', 'NonCubic','2');</v>
      </c>
    </row>
    <row r="1046" spans="1:14" x14ac:dyDescent="0.3">
      <c r="A1046" t="s">
        <v>11</v>
      </c>
      <c r="B1046" s="1" t="s">
        <v>43</v>
      </c>
      <c r="C1046" s="1" t="s">
        <v>44</v>
      </c>
      <c r="D1046">
        <v>12659</v>
      </c>
      <c r="E1046" t="s">
        <v>12</v>
      </c>
      <c r="F1046" t="s">
        <v>51</v>
      </c>
      <c r="G1046">
        <v>4</v>
      </c>
      <c r="H1046">
        <v>9</v>
      </c>
      <c r="I1046" t="s">
        <v>45</v>
      </c>
      <c r="J1046" cm="1">
        <f t="array" ref="J1046">IFERROR(
    _xlfn.XLOOKUP(G1046, 'Wedgewood Pharm-GA-Yr2-2025'!$E$55:$L$55,
        _xlfn.XLOOKUP('Rate Load'!H1046, 'Wedgewood Pharm-GA-Yr2-2025'!$D$72:$D$101,
            'Wedgewood Pharm-GA-Yr2-2025'!$E$72:$L$101, 0, 0),
        0, 0),
    _xlfn.XLOOKUP(G1046, 'Wedgewood Pharm-GA-Yr2-2025'!$E$55:$L$55,
        _xlfn.XLOOKUP('Rate Load'!L1046, 'Wedgewood Pharm-GA-Yr2-2025'!$D$72:$D$101,
            'Wedgewood Pharm-GA-Yr2-2025'!$E$72:$L$101, 0, 0),
        0, 0)
)</f>
        <v>9.6</v>
      </c>
      <c r="K1046" t="s">
        <v>46</v>
      </c>
      <c r="L1046" t="s">
        <v>13</v>
      </c>
      <c r="M1046">
        <v>2</v>
      </c>
      <c r="N1046" t="str">
        <f t="shared" si="16"/>
        <v>INSERT INTO TNL_RATING.dbo.usps_rate_master VALUES ('USPS', '2/13/2025', '2/13/2026', 12659, 'US', 'USPS Ground Advantage', 4, 9, 'L', 9.6, 'Wedgewood_USPS_2025', 'NonCubic','2');</v>
      </c>
    </row>
    <row r="1047" spans="1:14" x14ac:dyDescent="0.3">
      <c r="A1047" t="s">
        <v>11</v>
      </c>
      <c r="B1047" s="1" t="s">
        <v>43</v>
      </c>
      <c r="C1047" s="1" t="s">
        <v>44</v>
      </c>
      <c r="D1047">
        <v>12659</v>
      </c>
      <c r="E1047" t="s">
        <v>12</v>
      </c>
      <c r="F1047" t="s">
        <v>51</v>
      </c>
      <c r="G1047">
        <v>4</v>
      </c>
      <c r="H1047">
        <v>10</v>
      </c>
      <c r="I1047" t="s">
        <v>45</v>
      </c>
      <c r="J1047" cm="1">
        <f t="array" ref="J1047">IFERROR(
    _xlfn.XLOOKUP(G1047, 'Wedgewood Pharm-GA-Yr2-2025'!$E$55:$L$55,
        _xlfn.XLOOKUP('Rate Load'!H1047, 'Wedgewood Pharm-GA-Yr2-2025'!$D$72:$D$101,
            'Wedgewood Pharm-GA-Yr2-2025'!$E$72:$L$101, 0, 0),
        0, 0),
    _xlfn.XLOOKUP(G1047, 'Wedgewood Pharm-GA-Yr2-2025'!$E$55:$L$55,
        _xlfn.XLOOKUP('Rate Load'!L1047, 'Wedgewood Pharm-GA-Yr2-2025'!$D$72:$D$101,
            'Wedgewood Pharm-GA-Yr2-2025'!$E$72:$L$101, 0, 0),
        0, 0)
)</f>
        <v>9.74</v>
      </c>
      <c r="K1047" t="s">
        <v>46</v>
      </c>
      <c r="L1047" t="s">
        <v>13</v>
      </c>
      <c r="M1047">
        <v>2</v>
      </c>
      <c r="N1047" t="str">
        <f t="shared" si="16"/>
        <v>INSERT INTO TNL_RATING.dbo.usps_rate_master VALUES ('USPS', '2/13/2025', '2/13/2026', 12659, 'US', 'USPS Ground Advantage', 4, 10, 'L', 9.74, 'Wedgewood_USPS_2025', 'NonCubic','2');</v>
      </c>
    </row>
    <row r="1048" spans="1:14" x14ac:dyDescent="0.3">
      <c r="A1048" t="s">
        <v>11</v>
      </c>
      <c r="B1048" s="1" t="s">
        <v>43</v>
      </c>
      <c r="C1048" s="1" t="s">
        <v>44</v>
      </c>
      <c r="D1048">
        <v>12659</v>
      </c>
      <c r="E1048" t="s">
        <v>12</v>
      </c>
      <c r="F1048" t="s">
        <v>51</v>
      </c>
      <c r="G1048">
        <v>4</v>
      </c>
      <c r="H1048">
        <v>11</v>
      </c>
      <c r="I1048" t="s">
        <v>45</v>
      </c>
      <c r="J1048" cm="1">
        <f t="array" ref="J1048">IFERROR(
    _xlfn.XLOOKUP(G1048, 'Wedgewood Pharm-GA-Yr2-2025'!$E$55:$L$55,
        _xlfn.XLOOKUP('Rate Load'!H1048, 'Wedgewood Pharm-GA-Yr2-2025'!$D$72:$D$101,
            'Wedgewood Pharm-GA-Yr2-2025'!$E$72:$L$101, 0, 0),
        0, 0),
    _xlfn.XLOOKUP(G1048, 'Wedgewood Pharm-GA-Yr2-2025'!$E$55:$L$55,
        _xlfn.XLOOKUP('Rate Load'!L1048, 'Wedgewood Pharm-GA-Yr2-2025'!$D$72:$D$101,
            'Wedgewood Pharm-GA-Yr2-2025'!$E$72:$L$101, 0, 0),
        0, 0)
)</f>
        <v>10.32</v>
      </c>
      <c r="K1048" t="s">
        <v>46</v>
      </c>
      <c r="L1048" t="s">
        <v>13</v>
      </c>
      <c r="M1048">
        <v>2</v>
      </c>
      <c r="N1048" t="str">
        <f t="shared" si="16"/>
        <v>INSERT INTO TNL_RATING.dbo.usps_rate_master VALUES ('USPS', '2/13/2025', '2/13/2026', 12659, 'US', 'USPS Ground Advantage', 4, 11, 'L', 10.32, 'Wedgewood_USPS_2025', 'NonCubic','2');</v>
      </c>
    </row>
    <row r="1049" spans="1:14" x14ac:dyDescent="0.3">
      <c r="A1049" t="s">
        <v>11</v>
      </c>
      <c r="B1049" s="1" t="s">
        <v>43</v>
      </c>
      <c r="C1049" s="1" t="s">
        <v>44</v>
      </c>
      <c r="D1049">
        <v>12659</v>
      </c>
      <c r="E1049" t="s">
        <v>12</v>
      </c>
      <c r="F1049" t="s">
        <v>51</v>
      </c>
      <c r="G1049">
        <v>4</v>
      </c>
      <c r="H1049">
        <v>12</v>
      </c>
      <c r="I1049" t="s">
        <v>45</v>
      </c>
      <c r="J1049" cm="1">
        <f t="array" ref="J1049">IFERROR(
    _xlfn.XLOOKUP(G1049, 'Wedgewood Pharm-GA-Yr2-2025'!$E$55:$L$55,
        _xlfn.XLOOKUP('Rate Load'!H1049, 'Wedgewood Pharm-GA-Yr2-2025'!$D$72:$D$101,
            'Wedgewood Pharm-GA-Yr2-2025'!$E$72:$L$101, 0, 0),
        0, 0),
    _xlfn.XLOOKUP(G1049, 'Wedgewood Pharm-GA-Yr2-2025'!$E$55:$L$55,
        _xlfn.XLOOKUP('Rate Load'!L1049, 'Wedgewood Pharm-GA-Yr2-2025'!$D$72:$D$101,
            'Wedgewood Pharm-GA-Yr2-2025'!$E$72:$L$101, 0, 0),
        0, 0)
)</f>
        <v>10.57</v>
      </c>
      <c r="K1049" t="s">
        <v>46</v>
      </c>
      <c r="L1049" t="s">
        <v>13</v>
      </c>
      <c r="M1049">
        <v>2</v>
      </c>
      <c r="N1049" t="str">
        <f t="shared" si="16"/>
        <v>INSERT INTO TNL_RATING.dbo.usps_rate_master VALUES ('USPS', '2/13/2025', '2/13/2026', 12659, 'US', 'USPS Ground Advantage', 4, 12, 'L', 10.57, 'Wedgewood_USPS_2025', 'NonCubic','2');</v>
      </c>
    </row>
    <row r="1050" spans="1:14" x14ac:dyDescent="0.3">
      <c r="A1050" t="s">
        <v>11</v>
      </c>
      <c r="B1050" s="1" t="s">
        <v>43</v>
      </c>
      <c r="C1050" s="1" t="s">
        <v>44</v>
      </c>
      <c r="D1050">
        <v>12659</v>
      </c>
      <c r="E1050" t="s">
        <v>12</v>
      </c>
      <c r="F1050" t="s">
        <v>51</v>
      </c>
      <c r="G1050">
        <v>4</v>
      </c>
      <c r="H1050">
        <v>13</v>
      </c>
      <c r="I1050" t="s">
        <v>45</v>
      </c>
      <c r="J1050" cm="1">
        <f t="array" ref="J1050">IFERROR(
    _xlfn.XLOOKUP(G1050, 'Wedgewood Pharm-GA-Yr2-2025'!$E$55:$L$55,
        _xlfn.XLOOKUP('Rate Load'!H1050, 'Wedgewood Pharm-GA-Yr2-2025'!$D$72:$D$101,
            'Wedgewood Pharm-GA-Yr2-2025'!$E$72:$L$101, 0, 0),
        0, 0),
    _xlfn.XLOOKUP(G1050, 'Wedgewood Pharm-GA-Yr2-2025'!$E$55:$L$55,
        _xlfn.XLOOKUP('Rate Load'!L1050, 'Wedgewood Pharm-GA-Yr2-2025'!$D$72:$D$101,
            'Wedgewood Pharm-GA-Yr2-2025'!$E$72:$L$101, 0, 0),
        0, 0)
)</f>
        <v>10.9</v>
      </c>
      <c r="K1050" t="s">
        <v>46</v>
      </c>
      <c r="L1050" t="s">
        <v>13</v>
      </c>
      <c r="M1050">
        <v>2</v>
      </c>
      <c r="N1050" t="str">
        <f t="shared" si="16"/>
        <v>INSERT INTO TNL_RATING.dbo.usps_rate_master VALUES ('USPS', '2/13/2025', '2/13/2026', 12659, 'US', 'USPS Ground Advantage', 4, 13, 'L', 10.9, 'Wedgewood_USPS_2025', 'NonCubic','2');</v>
      </c>
    </row>
    <row r="1051" spans="1:14" x14ac:dyDescent="0.3">
      <c r="A1051" t="s">
        <v>11</v>
      </c>
      <c r="B1051" s="1" t="s">
        <v>43</v>
      </c>
      <c r="C1051" s="1" t="s">
        <v>44</v>
      </c>
      <c r="D1051">
        <v>12659</v>
      </c>
      <c r="E1051" t="s">
        <v>12</v>
      </c>
      <c r="F1051" t="s">
        <v>51</v>
      </c>
      <c r="G1051">
        <v>4</v>
      </c>
      <c r="H1051">
        <v>14</v>
      </c>
      <c r="I1051" t="s">
        <v>45</v>
      </c>
      <c r="J1051" cm="1">
        <f t="array" ref="J1051">IFERROR(
    _xlfn.XLOOKUP(G1051, 'Wedgewood Pharm-GA-Yr2-2025'!$E$55:$L$55,
        _xlfn.XLOOKUP('Rate Load'!H1051, 'Wedgewood Pharm-GA-Yr2-2025'!$D$72:$D$101,
            'Wedgewood Pharm-GA-Yr2-2025'!$E$72:$L$101, 0, 0),
        0, 0),
    _xlfn.XLOOKUP(G1051, 'Wedgewood Pharm-GA-Yr2-2025'!$E$55:$L$55,
        _xlfn.XLOOKUP('Rate Load'!L1051, 'Wedgewood Pharm-GA-Yr2-2025'!$D$72:$D$101,
            'Wedgewood Pharm-GA-Yr2-2025'!$E$72:$L$101, 0, 0),
        0, 0)
)</f>
        <v>11.07</v>
      </c>
      <c r="K1051" t="s">
        <v>46</v>
      </c>
      <c r="L1051" t="s">
        <v>13</v>
      </c>
      <c r="M1051">
        <v>2</v>
      </c>
      <c r="N1051" t="str">
        <f t="shared" si="16"/>
        <v>INSERT INTO TNL_RATING.dbo.usps_rate_master VALUES ('USPS', '2/13/2025', '2/13/2026', 12659, 'US', 'USPS Ground Advantage', 4, 14, 'L', 11.07, 'Wedgewood_USPS_2025', 'NonCubic','2');</v>
      </c>
    </row>
    <row r="1052" spans="1:14" x14ac:dyDescent="0.3">
      <c r="A1052" t="s">
        <v>11</v>
      </c>
      <c r="B1052" s="1" t="s">
        <v>43</v>
      </c>
      <c r="C1052" s="1" t="s">
        <v>44</v>
      </c>
      <c r="D1052">
        <v>12659</v>
      </c>
      <c r="E1052" t="s">
        <v>12</v>
      </c>
      <c r="F1052" t="s">
        <v>51</v>
      </c>
      <c r="G1052">
        <v>4</v>
      </c>
      <c r="H1052">
        <v>15</v>
      </c>
      <c r="I1052" t="s">
        <v>45</v>
      </c>
      <c r="J1052" cm="1">
        <f t="array" ref="J1052">IFERROR(
    _xlfn.XLOOKUP(G1052, 'Wedgewood Pharm-GA-Yr2-2025'!$E$55:$L$55,
        _xlfn.XLOOKUP('Rate Load'!H1052, 'Wedgewood Pharm-GA-Yr2-2025'!$D$72:$D$101,
            'Wedgewood Pharm-GA-Yr2-2025'!$E$72:$L$101, 0, 0),
        0, 0),
    _xlfn.XLOOKUP(G1052, 'Wedgewood Pharm-GA-Yr2-2025'!$E$55:$L$55,
        _xlfn.XLOOKUP('Rate Load'!L1052, 'Wedgewood Pharm-GA-Yr2-2025'!$D$72:$D$101,
            'Wedgewood Pharm-GA-Yr2-2025'!$E$72:$L$101, 0, 0),
        0, 0)
)</f>
        <v>11.44</v>
      </c>
      <c r="K1052" t="s">
        <v>46</v>
      </c>
      <c r="L1052" t="s">
        <v>13</v>
      </c>
      <c r="M1052">
        <v>2</v>
      </c>
      <c r="N1052" t="str">
        <f t="shared" si="16"/>
        <v>INSERT INTO TNL_RATING.dbo.usps_rate_master VALUES ('USPS', '2/13/2025', '2/13/2026', 12659, 'US', 'USPS Ground Advantage', 4, 15, 'L', 11.44, 'Wedgewood_USPS_2025', 'NonCubic','2');</v>
      </c>
    </row>
    <row r="1053" spans="1:14" x14ac:dyDescent="0.3">
      <c r="A1053" t="s">
        <v>11</v>
      </c>
      <c r="B1053" s="1" t="s">
        <v>43</v>
      </c>
      <c r="C1053" s="1" t="s">
        <v>44</v>
      </c>
      <c r="D1053">
        <v>12659</v>
      </c>
      <c r="E1053" t="s">
        <v>12</v>
      </c>
      <c r="F1053" t="s">
        <v>51</v>
      </c>
      <c r="G1053">
        <v>4</v>
      </c>
      <c r="H1053">
        <v>16</v>
      </c>
      <c r="I1053" t="s">
        <v>45</v>
      </c>
      <c r="J1053" cm="1">
        <f t="array" ref="J1053">IFERROR(
    _xlfn.XLOOKUP(G1053, 'Wedgewood Pharm-GA-Yr2-2025'!$E$55:$L$55,
        _xlfn.XLOOKUP('Rate Load'!H1053, 'Wedgewood Pharm-GA-Yr2-2025'!$D$72:$D$101,
            'Wedgewood Pharm-GA-Yr2-2025'!$E$72:$L$101, 0, 0),
        0, 0),
    _xlfn.XLOOKUP(G1053, 'Wedgewood Pharm-GA-Yr2-2025'!$E$55:$L$55,
        _xlfn.XLOOKUP('Rate Load'!L1053, 'Wedgewood Pharm-GA-Yr2-2025'!$D$72:$D$101,
            'Wedgewood Pharm-GA-Yr2-2025'!$E$72:$L$101, 0, 0),
        0, 0)
)</f>
        <v>11.65</v>
      </c>
      <c r="K1053" t="s">
        <v>46</v>
      </c>
      <c r="L1053" t="s">
        <v>13</v>
      </c>
      <c r="M1053">
        <v>2</v>
      </c>
      <c r="N1053" t="str">
        <f t="shared" si="16"/>
        <v>INSERT INTO TNL_RATING.dbo.usps_rate_master VALUES ('USPS', '2/13/2025', '2/13/2026', 12659, 'US', 'USPS Ground Advantage', 4, 16, 'L', 11.65, 'Wedgewood_USPS_2025', 'NonCubic','2');</v>
      </c>
    </row>
    <row r="1054" spans="1:14" x14ac:dyDescent="0.3">
      <c r="A1054" t="s">
        <v>11</v>
      </c>
      <c r="B1054" s="1" t="s">
        <v>43</v>
      </c>
      <c r="C1054" s="1" t="s">
        <v>44</v>
      </c>
      <c r="D1054">
        <v>12659</v>
      </c>
      <c r="E1054" t="s">
        <v>12</v>
      </c>
      <c r="F1054" t="s">
        <v>51</v>
      </c>
      <c r="G1054">
        <v>4</v>
      </c>
      <c r="H1054">
        <v>17</v>
      </c>
      <c r="I1054" t="s">
        <v>45</v>
      </c>
      <c r="J1054" cm="1">
        <f t="array" ref="J1054">IFERROR(
    _xlfn.XLOOKUP(G1054, 'Wedgewood Pharm-GA-Yr2-2025'!$E$55:$L$55,
        _xlfn.XLOOKUP('Rate Load'!H1054, 'Wedgewood Pharm-GA-Yr2-2025'!$D$72:$D$101,
            'Wedgewood Pharm-GA-Yr2-2025'!$E$72:$L$101, 0, 0),
        0, 0),
    _xlfn.XLOOKUP(G1054, 'Wedgewood Pharm-GA-Yr2-2025'!$E$55:$L$55,
        _xlfn.XLOOKUP('Rate Load'!L1054, 'Wedgewood Pharm-GA-Yr2-2025'!$D$72:$D$101,
            'Wedgewood Pharm-GA-Yr2-2025'!$E$72:$L$101, 0, 0),
        0, 0)
)</f>
        <v>12.02</v>
      </c>
      <c r="K1054" t="s">
        <v>46</v>
      </c>
      <c r="L1054" t="s">
        <v>13</v>
      </c>
      <c r="M1054">
        <v>2</v>
      </c>
      <c r="N1054" t="str">
        <f t="shared" si="16"/>
        <v>INSERT INTO TNL_RATING.dbo.usps_rate_master VALUES ('USPS', '2/13/2025', '2/13/2026', 12659, 'US', 'USPS Ground Advantage', 4, 17, 'L', 12.02, 'Wedgewood_USPS_2025', 'NonCubic','2');</v>
      </c>
    </row>
    <row r="1055" spans="1:14" x14ac:dyDescent="0.3">
      <c r="A1055" t="s">
        <v>11</v>
      </c>
      <c r="B1055" s="1" t="s">
        <v>43</v>
      </c>
      <c r="C1055" s="1" t="s">
        <v>44</v>
      </c>
      <c r="D1055">
        <v>12659</v>
      </c>
      <c r="E1055" t="s">
        <v>12</v>
      </c>
      <c r="F1055" t="s">
        <v>51</v>
      </c>
      <c r="G1055">
        <v>4</v>
      </c>
      <c r="H1055">
        <v>18</v>
      </c>
      <c r="I1055" t="s">
        <v>45</v>
      </c>
      <c r="J1055" cm="1">
        <f t="array" ref="J1055">IFERROR(
    _xlfn.XLOOKUP(G1055, 'Wedgewood Pharm-GA-Yr2-2025'!$E$55:$L$55,
        _xlfn.XLOOKUP('Rate Load'!H1055, 'Wedgewood Pharm-GA-Yr2-2025'!$D$72:$D$101,
            'Wedgewood Pharm-GA-Yr2-2025'!$E$72:$L$101, 0, 0),
        0, 0),
    _xlfn.XLOOKUP(G1055, 'Wedgewood Pharm-GA-Yr2-2025'!$E$55:$L$55,
        _xlfn.XLOOKUP('Rate Load'!L1055, 'Wedgewood Pharm-GA-Yr2-2025'!$D$72:$D$101,
            'Wedgewood Pharm-GA-Yr2-2025'!$E$72:$L$101, 0, 0),
        0, 0)
)</f>
        <v>12.23</v>
      </c>
      <c r="K1055" t="s">
        <v>46</v>
      </c>
      <c r="L1055" t="s">
        <v>13</v>
      </c>
      <c r="M1055">
        <v>2</v>
      </c>
      <c r="N1055" t="str">
        <f t="shared" si="16"/>
        <v>INSERT INTO TNL_RATING.dbo.usps_rate_master VALUES ('USPS', '2/13/2025', '2/13/2026', 12659, 'US', 'USPS Ground Advantage', 4, 18, 'L', 12.23, 'Wedgewood_USPS_2025', 'NonCubic','2');</v>
      </c>
    </row>
    <row r="1056" spans="1:14" x14ac:dyDescent="0.3">
      <c r="A1056" t="s">
        <v>11</v>
      </c>
      <c r="B1056" s="1" t="s">
        <v>43</v>
      </c>
      <c r="C1056" s="1" t="s">
        <v>44</v>
      </c>
      <c r="D1056">
        <v>12659</v>
      </c>
      <c r="E1056" t="s">
        <v>12</v>
      </c>
      <c r="F1056" t="s">
        <v>51</v>
      </c>
      <c r="G1056">
        <v>4</v>
      </c>
      <c r="H1056">
        <v>19</v>
      </c>
      <c r="I1056" t="s">
        <v>45</v>
      </c>
      <c r="J1056" cm="1">
        <f t="array" ref="J1056">IFERROR(
    _xlfn.XLOOKUP(G1056, 'Wedgewood Pharm-GA-Yr2-2025'!$E$55:$L$55,
        _xlfn.XLOOKUP('Rate Load'!H1056, 'Wedgewood Pharm-GA-Yr2-2025'!$D$72:$D$101,
            'Wedgewood Pharm-GA-Yr2-2025'!$E$72:$L$101, 0, 0),
        0, 0),
    _xlfn.XLOOKUP(G1056, 'Wedgewood Pharm-GA-Yr2-2025'!$E$55:$L$55,
        _xlfn.XLOOKUP('Rate Load'!L1056, 'Wedgewood Pharm-GA-Yr2-2025'!$D$72:$D$101,
            'Wedgewood Pharm-GA-Yr2-2025'!$E$72:$L$101, 0, 0),
        0, 0)
)</f>
        <v>12.73</v>
      </c>
      <c r="K1056" t="s">
        <v>46</v>
      </c>
      <c r="L1056" t="s">
        <v>13</v>
      </c>
      <c r="M1056">
        <v>2</v>
      </c>
      <c r="N1056" t="str">
        <f t="shared" si="16"/>
        <v>INSERT INTO TNL_RATING.dbo.usps_rate_master VALUES ('USPS', '2/13/2025', '2/13/2026', 12659, 'US', 'USPS Ground Advantage', 4, 19, 'L', 12.73, 'Wedgewood_USPS_2025', 'NonCubic','2');</v>
      </c>
    </row>
    <row r="1057" spans="1:14" x14ac:dyDescent="0.3">
      <c r="A1057" t="s">
        <v>11</v>
      </c>
      <c r="B1057" s="1" t="s">
        <v>43</v>
      </c>
      <c r="C1057" s="1" t="s">
        <v>44</v>
      </c>
      <c r="D1057">
        <v>12659</v>
      </c>
      <c r="E1057" t="s">
        <v>12</v>
      </c>
      <c r="F1057" t="s">
        <v>51</v>
      </c>
      <c r="G1057">
        <v>4</v>
      </c>
      <c r="H1057">
        <v>20</v>
      </c>
      <c r="I1057" t="s">
        <v>45</v>
      </c>
      <c r="J1057" cm="1">
        <f t="array" ref="J1057">IFERROR(
    _xlfn.XLOOKUP(G1057, 'Wedgewood Pharm-GA-Yr2-2025'!$E$55:$L$55,
        _xlfn.XLOOKUP('Rate Load'!H1057, 'Wedgewood Pharm-GA-Yr2-2025'!$D$72:$D$101,
            'Wedgewood Pharm-GA-Yr2-2025'!$E$72:$L$101, 0, 0),
        0, 0),
    _xlfn.XLOOKUP(G1057, 'Wedgewood Pharm-GA-Yr2-2025'!$E$55:$L$55,
        _xlfn.XLOOKUP('Rate Load'!L1057, 'Wedgewood Pharm-GA-Yr2-2025'!$D$72:$D$101,
            'Wedgewood Pharm-GA-Yr2-2025'!$E$72:$L$101, 0, 0),
        0, 0)
)</f>
        <v>13.07</v>
      </c>
      <c r="K1057" t="s">
        <v>46</v>
      </c>
      <c r="L1057" t="s">
        <v>13</v>
      </c>
      <c r="M1057">
        <v>2</v>
      </c>
      <c r="N1057" t="str">
        <f t="shared" si="16"/>
        <v>INSERT INTO TNL_RATING.dbo.usps_rate_master VALUES ('USPS', '2/13/2025', '2/13/2026', 12659, 'US', 'USPS Ground Advantage', 4, 20, 'L', 13.07, 'Wedgewood_USPS_2025', 'NonCubic','2');</v>
      </c>
    </row>
    <row r="1058" spans="1:14" x14ac:dyDescent="0.3">
      <c r="A1058" t="s">
        <v>11</v>
      </c>
      <c r="B1058" s="1" t="s">
        <v>43</v>
      </c>
      <c r="C1058" s="1" t="s">
        <v>44</v>
      </c>
      <c r="D1058">
        <v>12659</v>
      </c>
      <c r="E1058" t="s">
        <v>12</v>
      </c>
      <c r="F1058" t="s">
        <v>51</v>
      </c>
      <c r="G1058">
        <v>5</v>
      </c>
      <c r="H1058">
        <v>1</v>
      </c>
      <c r="I1058" t="s">
        <v>45</v>
      </c>
      <c r="J1058" cm="1">
        <f t="array" ref="J1058">IFERROR(
    _xlfn.XLOOKUP(G1058, 'Wedgewood Pharm-GA-Yr2-2025'!$E$55:$L$55,
        _xlfn.XLOOKUP('Rate Load'!H1058, 'Wedgewood Pharm-GA-Yr2-2025'!$D$72:$D$101,
            'Wedgewood Pharm-GA-Yr2-2025'!$E$72:$L$101, 0, 0),
        0, 0),
    _xlfn.XLOOKUP(G1058, 'Wedgewood Pharm-GA-Yr2-2025'!$E$55:$L$55,
        _xlfn.XLOOKUP('Rate Load'!L1058, 'Wedgewood Pharm-GA-Yr2-2025'!$D$72:$D$101,
            'Wedgewood Pharm-GA-Yr2-2025'!$E$72:$L$101, 0, 0),
        0, 0)
)</f>
        <v>6.5699999999999994</v>
      </c>
      <c r="K1058" t="s">
        <v>46</v>
      </c>
      <c r="L1058" t="s">
        <v>13</v>
      </c>
      <c r="M1058">
        <v>2</v>
      </c>
      <c r="N1058" t="str">
        <f t="shared" si="16"/>
        <v>INSERT INTO TNL_RATING.dbo.usps_rate_master VALUES ('USPS', '2/13/2025', '2/13/2026', 12659, 'US', 'USPS Ground Advantage', 5, 1, 'L', 6.57, 'Wedgewood_USPS_2025', 'NonCubic','2');</v>
      </c>
    </row>
    <row r="1059" spans="1:14" x14ac:dyDescent="0.3">
      <c r="A1059" t="s">
        <v>11</v>
      </c>
      <c r="B1059" s="1" t="s">
        <v>43</v>
      </c>
      <c r="C1059" s="1" t="s">
        <v>44</v>
      </c>
      <c r="D1059">
        <v>12659</v>
      </c>
      <c r="E1059" t="s">
        <v>12</v>
      </c>
      <c r="F1059" t="s">
        <v>51</v>
      </c>
      <c r="G1059">
        <v>5</v>
      </c>
      <c r="H1059">
        <v>2</v>
      </c>
      <c r="I1059" t="s">
        <v>45</v>
      </c>
      <c r="J1059" cm="1">
        <f t="array" ref="J1059">IFERROR(
    _xlfn.XLOOKUP(G1059, 'Wedgewood Pharm-GA-Yr2-2025'!$E$55:$L$55,
        _xlfn.XLOOKUP('Rate Load'!H1059, 'Wedgewood Pharm-GA-Yr2-2025'!$D$72:$D$101,
            'Wedgewood Pharm-GA-Yr2-2025'!$E$72:$L$101, 0, 0),
        0, 0),
    _xlfn.XLOOKUP(G1059, 'Wedgewood Pharm-GA-Yr2-2025'!$E$55:$L$55,
        _xlfn.XLOOKUP('Rate Load'!L1059, 'Wedgewood Pharm-GA-Yr2-2025'!$D$72:$D$101,
            'Wedgewood Pharm-GA-Yr2-2025'!$E$72:$L$101, 0, 0),
        0, 0)
)</f>
        <v>6.97</v>
      </c>
      <c r="K1059" t="s">
        <v>46</v>
      </c>
      <c r="L1059" t="s">
        <v>13</v>
      </c>
      <c r="M1059">
        <v>2</v>
      </c>
      <c r="N1059" t="str">
        <f t="shared" si="16"/>
        <v>INSERT INTO TNL_RATING.dbo.usps_rate_master VALUES ('USPS', '2/13/2025', '2/13/2026', 12659, 'US', 'USPS Ground Advantage', 5, 2, 'L', 6.97, 'Wedgewood_USPS_2025', 'NonCubic','2');</v>
      </c>
    </row>
    <row r="1060" spans="1:14" x14ac:dyDescent="0.3">
      <c r="A1060" t="s">
        <v>11</v>
      </c>
      <c r="B1060" s="1" t="s">
        <v>43</v>
      </c>
      <c r="C1060" s="1" t="s">
        <v>44</v>
      </c>
      <c r="D1060">
        <v>12659</v>
      </c>
      <c r="E1060" t="s">
        <v>12</v>
      </c>
      <c r="F1060" t="s">
        <v>51</v>
      </c>
      <c r="G1060">
        <v>5</v>
      </c>
      <c r="H1060">
        <v>3</v>
      </c>
      <c r="I1060" t="s">
        <v>45</v>
      </c>
      <c r="J1060" cm="1">
        <f t="array" ref="J1060">IFERROR(
    _xlfn.XLOOKUP(G1060, 'Wedgewood Pharm-GA-Yr2-2025'!$E$55:$L$55,
        _xlfn.XLOOKUP('Rate Load'!H1060, 'Wedgewood Pharm-GA-Yr2-2025'!$D$72:$D$101,
            'Wedgewood Pharm-GA-Yr2-2025'!$E$72:$L$101, 0, 0),
        0, 0),
    _xlfn.XLOOKUP(G1060, 'Wedgewood Pharm-GA-Yr2-2025'!$E$55:$L$55,
        _xlfn.XLOOKUP('Rate Load'!L1060, 'Wedgewood Pharm-GA-Yr2-2025'!$D$72:$D$101,
            'Wedgewood Pharm-GA-Yr2-2025'!$E$72:$L$101, 0, 0),
        0, 0)
)</f>
        <v>7.6</v>
      </c>
      <c r="K1060" t="s">
        <v>46</v>
      </c>
      <c r="L1060" t="s">
        <v>13</v>
      </c>
      <c r="M1060">
        <v>2</v>
      </c>
      <c r="N1060" t="str">
        <f t="shared" si="16"/>
        <v>INSERT INTO TNL_RATING.dbo.usps_rate_master VALUES ('USPS', '2/13/2025', '2/13/2026', 12659, 'US', 'USPS Ground Advantage', 5, 3, 'L', 7.6, 'Wedgewood_USPS_2025', 'NonCubic','2');</v>
      </c>
    </row>
    <row r="1061" spans="1:14" x14ac:dyDescent="0.3">
      <c r="A1061" t="s">
        <v>11</v>
      </c>
      <c r="B1061" s="1" t="s">
        <v>43</v>
      </c>
      <c r="C1061" s="1" t="s">
        <v>44</v>
      </c>
      <c r="D1061">
        <v>12659</v>
      </c>
      <c r="E1061" t="s">
        <v>12</v>
      </c>
      <c r="F1061" t="s">
        <v>51</v>
      </c>
      <c r="G1061">
        <v>5</v>
      </c>
      <c r="H1061">
        <v>4</v>
      </c>
      <c r="I1061" t="s">
        <v>45</v>
      </c>
      <c r="J1061" cm="1">
        <f t="array" ref="J1061">IFERROR(
    _xlfn.XLOOKUP(G1061, 'Wedgewood Pharm-GA-Yr2-2025'!$E$55:$L$55,
        _xlfn.XLOOKUP('Rate Load'!H1061, 'Wedgewood Pharm-GA-Yr2-2025'!$D$72:$D$101,
            'Wedgewood Pharm-GA-Yr2-2025'!$E$72:$L$101, 0, 0),
        0, 0),
    _xlfn.XLOOKUP(G1061, 'Wedgewood Pharm-GA-Yr2-2025'!$E$55:$L$55,
        _xlfn.XLOOKUP('Rate Load'!L1061, 'Wedgewood Pharm-GA-Yr2-2025'!$D$72:$D$101,
            'Wedgewood Pharm-GA-Yr2-2025'!$E$72:$L$101, 0, 0),
        0, 0)
)</f>
        <v>8.52</v>
      </c>
      <c r="K1061" t="s">
        <v>46</v>
      </c>
      <c r="L1061" t="s">
        <v>13</v>
      </c>
      <c r="M1061">
        <v>2</v>
      </c>
      <c r="N1061" t="str">
        <f t="shared" si="16"/>
        <v>INSERT INTO TNL_RATING.dbo.usps_rate_master VALUES ('USPS', '2/13/2025', '2/13/2026', 12659, 'US', 'USPS Ground Advantage', 5, 4, 'L', 8.52, 'Wedgewood_USPS_2025', 'NonCubic','2');</v>
      </c>
    </row>
    <row r="1062" spans="1:14" x14ac:dyDescent="0.3">
      <c r="A1062" t="s">
        <v>11</v>
      </c>
      <c r="B1062" s="1" t="s">
        <v>43</v>
      </c>
      <c r="C1062" s="1" t="s">
        <v>44</v>
      </c>
      <c r="D1062">
        <v>12659</v>
      </c>
      <c r="E1062" t="s">
        <v>12</v>
      </c>
      <c r="F1062" t="s">
        <v>51</v>
      </c>
      <c r="G1062">
        <v>5</v>
      </c>
      <c r="H1062">
        <v>5</v>
      </c>
      <c r="I1062" t="s">
        <v>45</v>
      </c>
      <c r="J1062" cm="1">
        <f t="array" ref="J1062">IFERROR(
    _xlfn.XLOOKUP(G1062, 'Wedgewood Pharm-GA-Yr2-2025'!$E$55:$L$55,
        _xlfn.XLOOKUP('Rate Load'!H1062, 'Wedgewood Pharm-GA-Yr2-2025'!$D$72:$D$101,
            'Wedgewood Pharm-GA-Yr2-2025'!$E$72:$L$101, 0, 0),
        0, 0),
    _xlfn.XLOOKUP(G1062, 'Wedgewood Pharm-GA-Yr2-2025'!$E$55:$L$55,
        _xlfn.XLOOKUP('Rate Load'!L1062, 'Wedgewood Pharm-GA-Yr2-2025'!$D$72:$D$101,
            'Wedgewood Pharm-GA-Yr2-2025'!$E$72:$L$101, 0, 0),
        0, 0)
)</f>
        <v>8.76</v>
      </c>
      <c r="K1062" t="s">
        <v>46</v>
      </c>
      <c r="L1062" t="s">
        <v>13</v>
      </c>
      <c r="M1062">
        <v>2</v>
      </c>
      <c r="N1062" t="str">
        <f t="shared" si="16"/>
        <v>INSERT INTO TNL_RATING.dbo.usps_rate_master VALUES ('USPS', '2/13/2025', '2/13/2026', 12659, 'US', 'USPS Ground Advantage', 5, 5, 'L', 8.76, 'Wedgewood_USPS_2025', 'NonCubic','2');</v>
      </c>
    </row>
    <row r="1063" spans="1:14" x14ac:dyDescent="0.3">
      <c r="A1063" t="s">
        <v>11</v>
      </c>
      <c r="B1063" s="1" t="s">
        <v>43</v>
      </c>
      <c r="C1063" s="1" t="s">
        <v>44</v>
      </c>
      <c r="D1063">
        <v>12659</v>
      </c>
      <c r="E1063" t="s">
        <v>12</v>
      </c>
      <c r="F1063" t="s">
        <v>51</v>
      </c>
      <c r="G1063">
        <v>5</v>
      </c>
      <c r="H1063">
        <v>6</v>
      </c>
      <c r="I1063" t="s">
        <v>45</v>
      </c>
      <c r="J1063" cm="1">
        <f t="array" ref="J1063">IFERROR(
    _xlfn.XLOOKUP(G1063, 'Wedgewood Pharm-GA-Yr2-2025'!$E$55:$L$55,
        _xlfn.XLOOKUP('Rate Load'!H1063, 'Wedgewood Pharm-GA-Yr2-2025'!$D$72:$D$101,
            'Wedgewood Pharm-GA-Yr2-2025'!$E$72:$L$101, 0, 0),
        0, 0),
    _xlfn.XLOOKUP(G1063, 'Wedgewood Pharm-GA-Yr2-2025'!$E$55:$L$55,
        _xlfn.XLOOKUP('Rate Load'!L1063, 'Wedgewood Pharm-GA-Yr2-2025'!$D$72:$D$101,
            'Wedgewood Pharm-GA-Yr2-2025'!$E$72:$L$101, 0, 0),
        0, 0)
)</f>
        <v>9.879999999999999</v>
      </c>
      <c r="K1063" t="s">
        <v>46</v>
      </c>
      <c r="L1063" t="s">
        <v>13</v>
      </c>
      <c r="M1063">
        <v>2</v>
      </c>
      <c r="N1063" t="str">
        <f t="shared" si="16"/>
        <v>INSERT INTO TNL_RATING.dbo.usps_rate_master VALUES ('USPS', '2/13/2025', '2/13/2026', 12659, 'US', 'USPS Ground Advantage', 5, 6, 'L', 9.88, 'Wedgewood_USPS_2025', 'NonCubic','2');</v>
      </c>
    </row>
    <row r="1064" spans="1:14" x14ac:dyDescent="0.3">
      <c r="A1064" t="s">
        <v>11</v>
      </c>
      <c r="B1064" s="1" t="s">
        <v>43</v>
      </c>
      <c r="C1064" s="1" t="s">
        <v>44</v>
      </c>
      <c r="D1064">
        <v>12659</v>
      </c>
      <c r="E1064" t="s">
        <v>12</v>
      </c>
      <c r="F1064" t="s">
        <v>51</v>
      </c>
      <c r="G1064">
        <v>5</v>
      </c>
      <c r="H1064">
        <v>7</v>
      </c>
      <c r="I1064" t="s">
        <v>45</v>
      </c>
      <c r="J1064" cm="1">
        <f t="array" ref="J1064">IFERROR(
    _xlfn.XLOOKUP(G1064, 'Wedgewood Pharm-GA-Yr2-2025'!$E$55:$L$55,
        _xlfn.XLOOKUP('Rate Load'!H1064, 'Wedgewood Pharm-GA-Yr2-2025'!$D$72:$D$101,
            'Wedgewood Pharm-GA-Yr2-2025'!$E$72:$L$101, 0, 0),
        0, 0),
    _xlfn.XLOOKUP(G1064, 'Wedgewood Pharm-GA-Yr2-2025'!$E$55:$L$55,
        _xlfn.XLOOKUP('Rate Load'!L1064, 'Wedgewood Pharm-GA-Yr2-2025'!$D$72:$D$101,
            'Wedgewood Pharm-GA-Yr2-2025'!$E$72:$L$101, 0, 0),
        0, 0)
)</f>
        <v>10.209999999999999</v>
      </c>
      <c r="K1064" t="s">
        <v>46</v>
      </c>
      <c r="L1064" t="s">
        <v>13</v>
      </c>
      <c r="M1064">
        <v>2</v>
      </c>
      <c r="N1064" t="str">
        <f t="shared" si="16"/>
        <v>INSERT INTO TNL_RATING.dbo.usps_rate_master VALUES ('USPS', '2/13/2025', '2/13/2026', 12659, 'US', 'USPS Ground Advantage', 5, 7, 'L', 10.21, 'Wedgewood_USPS_2025', 'NonCubic','2');</v>
      </c>
    </row>
    <row r="1065" spans="1:14" x14ac:dyDescent="0.3">
      <c r="A1065" t="s">
        <v>11</v>
      </c>
      <c r="B1065" s="1" t="s">
        <v>43</v>
      </c>
      <c r="C1065" s="1" t="s">
        <v>44</v>
      </c>
      <c r="D1065">
        <v>12659</v>
      </c>
      <c r="E1065" t="s">
        <v>12</v>
      </c>
      <c r="F1065" t="s">
        <v>51</v>
      </c>
      <c r="G1065">
        <v>5</v>
      </c>
      <c r="H1065">
        <v>8</v>
      </c>
      <c r="I1065" t="s">
        <v>45</v>
      </c>
      <c r="J1065" cm="1">
        <f t="array" ref="J1065">IFERROR(
    _xlfn.XLOOKUP(G1065, 'Wedgewood Pharm-GA-Yr2-2025'!$E$55:$L$55,
        _xlfn.XLOOKUP('Rate Load'!H1065, 'Wedgewood Pharm-GA-Yr2-2025'!$D$72:$D$101,
            'Wedgewood Pharm-GA-Yr2-2025'!$E$72:$L$101, 0, 0),
        0, 0),
    _xlfn.XLOOKUP(G1065, 'Wedgewood Pharm-GA-Yr2-2025'!$E$55:$L$55,
        _xlfn.XLOOKUP('Rate Load'!L1065, 'Wedgewood Pharm-GA-Yr2-2025'!$D$72:$D$101,
            'Wedgewood Pharm-GA-Yr2-2025'!$E$72:$L$101, 0, 0),
        0, 0)
)</f>
        <v>10.47</v>
      </c>
      <c r="K1065" t="s">
        <v>46</v>
      </c>
      <c r="L1065" t="s">
        <v>13</v>
      </c>
      <c r="M1065">
        <v>2</v>
      </c>
      <c r="N1065" t="str">
        <f t="shared" si="16"/>
        <v>INSERT INTO TNL_RATING.dbo.usps_rate_master VALUES ('USPS', '2/13/2025', '2/13/2026', 12659, 'US', 'USPS Ground Advantage', 5, 8, 'L', 10.47, 'Wedgewood_USPS_2025', 'NonCubic','2');</v>
      </c>
    </row>
    <row r="1066" spans="1:14" x14ac:dyDescent="0.3">
      <c r="A1066" t="s">
        <v>11</v>
      </c>
      <c r="B1066" s="1" t="s">
        <v>43</v>
      </c>
      <c r="C1066" s="1" t="s">
        <v>44</v>
      </c>
      <c r="D1066">
        <v>12659</v>
      </c>
      <c r="E1066" t="s">
        <v>12</v>
      </c>
      <c r="F1066" t="s">
        <v>51</v>
      </c>
      <c r="G1066">
        <v>5</v>
      </c>
      <c r="H1066">
        <v>9</v>
      </c>
      <c r="I1066" t="s">
        <v>45</v>
      </c>
      <c r="J1066" cm="1">
        <f t="array" ref="J1066">IFERROR(
    _xlfn.XLOOKUP(G1066, 'Wedgewood Pharm-GA-Yr2-2025'!$E$55:$L$55,
        _xlfn.XLOOKUP('Rate Load'!H1066, 'Wedgewood Pharm-GA-Yr2-2025'!$D$72:$D$101,
            'Wedgewood Pharm-GA-Yr2-2025'!$E$72:$L$101, 0, 0),
        0, 0),
    _xlfn.XLOOKUP(G1066, 'Wedgewood Pharm-GA-Yr2-2025'!$E$55:$L$55,
        _xlfn.XLOOKUP('Rate Load'!L1066, 'Wedgewood Pharm-GA-Yr2-2025'!$D$72:$D$101,
            'Wedgewood Pharm-GA-Yr2-2025'!$E$72:$L$101, 0, 0),
        0, 0)
)</f>
        <v>10.64</v>
      </c>
      <c r="K1066" t="s">
        <v>46</v>
      </c>
      <c r="L1066" t="s">
        <v>13</v>
      </c>
      <c r="M1066">
        <v>2</v>
      </c>
      <c r="N1066" t="str">
        <f t="shared" si="16"/>
        <v>INSERT INTO TNL_RATING.dbo.usps_rate_master VALUES ('USPS', '2/13/2025', '2/13/2026', 12659, 'US', 'USPS Ground Advantage', 5, 9, 'L', 10.64, 'Wedgewood_USPS_2025', 'NonCubic','2');</v>
      </c>
    </row>
    <row r="1067" spans="1:14" x14ac:dyDescent="0.3">
      <c r="A1067" t="s">
        <v>11</v>
      </c>
      <c r="B1067" s="1" t="s">
        <v>43</v>
      </c>
      <c r="C1067" s="1" t="s">
        <v>44</v>
      </c>
      <c r="D1067">
        <v>12659</v>
      </c>
      <c r="E1067" t="s">
        <v>12</v>
      </c>
      <c r="F1067" t="s">
        <v>51</v>
      </c>
      <c r="G1067">
        <v>5</v>
      </c>
      <c r="H1067">
        <v>10</v>
      </c>
      <c r="I1067" t="s">
        <v>45</v>
      </c>
      <c r="J1067" cm="1">
        <f t="array" ref="J1067">IFERROR(
    _xlfn.XLOOKUP(G1067, 'Wedgewood Pharm-GA-Yr2-2025'!$E$55:$L$55,
        _xlfn.XLOOKUP('Rate Load'!H1067, 'Wedgewood Pharm-GA-Yr2-2025'!$D$72:$D$101,
            'Wedgewood Pharm-GA-Yr2-2025'!$E$72:$L$101, 0, 0),
        0, 0),
    _xlfn.XLOOKUP(G1067, 'Wedgewood Pharm-GA-Yr2-2025'!$E$55:$L$55,
        _xlfn.XLOOKUP('Rate Load'!L1067, 'Wedgewood Pharm-GA-Yr2-2025'!$D$72:$D$101,
            'Wedgewood Pharm-GA-Yr2-2025'!$E$72:$L$101, 0, 0),
        0, 0)
)</f>
        <v>10.92</v>
      </c>
      <c r="K1067" t="s">
        <v>46</v>
      </c>
      <c r="L1067" t="s">
        <v>13</v>
      </c>
      <c r="M1067">
        <v>2</v>
      </c>
      <c r="N1067" t="str">
        <f t="shared" si="16"/>
        <v>INSERT INTO TNL_RATING.dbo.usps_rate_master VALUES ('USPS', '2/13/2025', '2/13/2026', 12659, 'US', 'USPS Ground Advantage', 5, 10, 'L', 10.92, 'Wedgewood_USPS_2025', 'NonCubic','2');</v>
      </c>
    </row>
    <row r="1068" spans="1:14" x14ac:dyDescent="0.3">
      <c r="A1068" t="s">
        <v>11</v>
      </c>
      <c r="B1068" s="1" t="s">
        <v>43</v>
      </c>
      <c r="C1068" s="1" t="s">
        <v>44</v>
      </c>
      <c r="D1068">
        <v>12659</v>
      </c>
      <c r="E1068" t="s">
        <v>12</v>
      </c>
      <c r="F1068" t="s">
        <v>51</v>
      </c>
      <c r="G1068">
        <v>5</v>
      </c>
      <c r="H1068">
        <v>11</v>
      </c>
      <c r="I1068" t="s">
        <v>45</v>
      </c>
      <c r="J1068" cm="1">
        <f t="array" ref="J1068">IFERROR(
    _xlfn.XLOOKUP(G1068, 'Wedgewood Pharm-GA-Yr2-2025'!$E$55:$L$55,
        _xlfn.XLOOKUP('Rate Load'!H1068, 'Wedgewood Pharm-GA-Yr2-2025'!$D$72:$D$101,
            'Wedgewood Pharm-GA-Yr2-2025'!$E$72:$L$101, 0, 0),
        0, 0),
    _xlfn.XLOOKUP(G1068, 'Wedgewood Pharm-GA-Yr2-2025'!$E$55:$L$55,
        _xlfn.XLOOKUP('Rate Load'!L1068, 'Wedgewood Pharm-GA-Yr2-2025'!$D$72:$D$101,
            'Wedgewood Pharm-GA-Yr2-2025'!$E$72:$L$101, 0, 0),
        0, 0)
)</f>
        <v>11.209999999999999</v>
      </c>
      <c r="K1068" t="s">
        <v>46</v>
      </c>
      <c r="L1068" t="s">
        <v>13</v>
      </c>
      <c r="M1068">
        <v>2</v>
      </c>
      <c r="N1068" t="str">
        <f t="shared" si="16"/>
        <v>INSERT INTO TNL_RATING.dbo.usps_rate_master VALUES ('USPS', '2/13/2025', '2/13/2026', 12659, 'US', 'USPS Ground Advantage', 5, 11, 'L', 11.21, 'Wedgewood_USPS_2025', 'NonCubic','2');</v>
      </c>
    </row>
    <row r="1069" spans="1:14" x14ac:dyDescent="0.3">
      <c r="A1069" t="s">
        <v>11</v>
      </c>
      <c r="B1069" s="1" t="s">
        <v>43</v>
      </c>
      <c r="C1069" s="1" t="s">
        <v>44</v>
      </c>
      <c r="D1069">
        <v>12659</v>
      </c>
      <c r="E1069" t="s">
        <v>12</v>
      </c>
      <c r="F1069" t="s">
        <v>51</v>
      </c>
      <c r="G1069">
        <v>5</v>
      </c>
      <c r="H1069">
        <v>12</v>
      </c>
      <c r="I1069" t="s">
        <v>45</v>
      </c>
      <c r="J1069" cm="1">
        <f t="array" ref="J1069">IFERROR(
    _xlfn.XLOOKUP(G1069, 'Wedgewood Pharm-GA-Yr2-2025'!$E$55:$L$55,
        _xlfn.XLOOKUP('Rate Load'!H1069, 'Wedgewood Pharm-GA-Yr2-2025'!$D$72:$D$101,
            'Wedgewood Pharm-GA-Yr2-2025'!$E$72:$L$101, 0, 0),
        0, 0),
    _xlfn.XLOOKUP(G1069, 'Wedgewood Pharm-GA-Yr2-2025'!$E$55:$L$55,
        _xlfn.XLOOKUP('Rate Load'!L1069, 'Wedgewood Pharm-GA-Yr2-2025'!$D$72:$D$101,
            'Wedgewood Pharm-GA-Yr2-2025'!$E$72:$L$101, 0, 0),
        0, 0)
)</f>
        <v>11.51</v>
      </c>
      <c r="K1069" t="s">
        <v>46</v>
      </c>
      <c r="L1069" t="s">
        <v>13</v>
      </c>
      <c r="M1069">
        <v>2</v>
      </c>
      <c r="N1069" t="str">
        <f t="shared" si="16"/>
        <v>INSERT INTO TNL_RATING.dbo.usps_rate_master VALUES ('USPS', '2/13/2025', '2/13/2026', 12659, 'US', 'USPS Ground Advantage', 5, 12, 'L', 11.51, 'Wedgewood_USPS_2025', 'NonCubic','2');</v>
      </c>
    </row>
    <row r="1070" spans="1:14" x14ac:dyDescent="0.3">
      <c r="A1070" t="s">
        <v>11</v>
      </c>
      <c r="B1070" s="1" t="s">
        <v>43</v>
      </c>
      <c r="C1070" s="1" t="s">
        <v>44</v>
      </c>
      <c r="D1070">
        <v>12659</v>
      </c>
      <c r="E1070" t="s">
        <v>12</v>
      </c>
      <c r="F1070" t="s">
        <v>51</v>
      </c>
      <c r="G1070">
        <v>5</v>
      </c>
      <c r="H1070">
        <v>13</v>
      </c>
      <c r="I1070" t="s">
        <v>45</v>
      </c>
      <c r="J1070" cm="1">
        <f t="array" ref="J1070">IFERROR(
    _xlfn.XLOOKUP(G1070, 'Wedgewood Pharm-GA-Yr2-2025'!$E$55:$L$55,
        _xlfn.XLOOKUP('Rate Load'!H1070, 'Wedgewood Pharm-GA-Yr2-2025'!$D$72:$D$101,
            'Wedgewood Pharm-GA-Yr2-2025'!$E$72:$L$101, 0, 0),
        0, 0),
    _xlfn.XLOOKUP(G1070, 'Wedgewood Pharm-GA-Yr2-2025'!$E$55:$L$55,
        _xlfn.XLOOKUP('Rate Load'!L1070, 'Wedgewood Pharm-GA-Yr2-2025'!$D$72:$D$101,
            'Wedgewood Pharm-GA-Yr2-2025'!$E$72:$L$101, 0, 0),
        0, 0)
)</f>
        <v>11.95</v>
      </c>
      <c r="K1070" t="s">
        <v>46</v>
      </c>
      <c r="L1070" t="s">
        <v>13</v>
      </c>
      <c r="M1070">
        <v>2</v>
      </c>
      <c r="N1070" t="str">
        <f t="shared" si="16"/>
        <v>INSERT INTO TNL_RATING.dbo.usps_rate_master VALUES ('USPS', '2/13/2025', '2/13/2026', 12659, 'US', 'USPS Ground Advantage', 5, 13, 'L', 11.95, 'Wedgewood_USPS_2025', 'NonCubic','2');</v>
      </c>
    </row>
    <row r="1071" spans="1:14" x14ac:dyDescent="0.3">
      <c r="A1071" t="s">
        <v>11</v>
      </c>
      <c r="B1071" s="1" t="s">
        <v>43</v>
      </c>
      <c r="C1071" s="1" t="s">
        <v>44</v>
      </c>
      <c r="D1071">
        <v>12659</v>
      </c>
      <c r="E1071" t="s">
        <v>12</v>
      </c>
      <c r="F1071" t="s">
        <v>51</v>
      </c>
      <c r="G1071">
        <v>5</v>
      </c>
      <c r="H1071">
        <v>14</v>
      </c>
      <c r="I1071" t="s">
        <v>45</v>
      </c>
      <c r="J1071" cm="1">
        <f t="array" ref="J1071">IFERROR(
    _xlfn.XLOOKUP(G1071, 'Wedgewood Pharm-GA-Yr2-2025'!$E$55:$L$55,
        _xlfn.XLOOKUP('Rate Load'!H1071, 'Wedgewood Pharm-GA-Yr2-2025'!$D$72:$D$101,
            'Wedgewood Pharm-GA-Yr2-2025'!$E$72:$L$101, 0, 0),
        0, 0),
    _xlfn.XLOOKUP(G1071, 'Wedgewood Pharm-GA-Yr2-2025'!$E$55:$L$55,
        _xlfn.XLOOKUP('Rate Load'!L1071, 'Wedgewood Pharm-GA-Yr2-2025'!$D$72:$D$101,
            'Wedgewood Pharm-GA-Yr2-2025'!$E$72:$L$101, 0, 0),
        0, 0)
)</f>
        <v>12.24</v>
      </c>
      <c r="K1071" t="s">
        <v>46</v>
      </c>
      <c r="L1071" t="s">
        <v>13</v>
      </c>
      <c r="M1071">
        <v>2</v>
      </c>
      <c r="N1071" t="str">
        <f t="shared" si="16"/>
        <v>INSERT INTO TNL_RATING.dbo.usps_rate_master VALUES ('USPS', '2/13/2025', '2/13/2026', 12659, 'US', 'USPS Ground Advantage', 5, 14, 'L', 12.24, 'Wedgewood_USPS_2025', 'NonCubic','2');</v>
      </c>
    </row>
    <row r="1072" spans="1:14" x14ac:dyDescent="0.3">
      <c r="A1072" t="s">
        <v>11</v>
      </c>
      <c r="B1072" s="1" t="s">
        <v>43</v>
      </c>
      <c r="C1072" s="1" t="s">
        <v>44</v>
      </c>
      <c r="D1072">
        <v>12659</v>
      </c>
      <c r="E1072" t="s">
        <v>12</v>
      </c>
      <c r="F1072" t="s">
        <v>51</v>
      </c>
      <c r="G1072">
        <v>5</v>
      </c>
      <c r="H1072">
        <v>15</v>
      </c>
      <c r="I1072" t="s">
        <v>45</v>
      </c>
      <c r="J1072" cm="1">
        <f t="array" ref="J1072">IFERROR(
    _xlfn.XLOOKUP(G1072, 'Wedgewood Pharm-GA-Yr2-2025'!$E$55:$L$55,
        _xlfn.XLOOKUP('Rate Load'!H1072, 'Wedgewood Pharm-GA-Yr2-2025'!$D$72:$D$101,
            'Wedgewood Pharm-GA-Yr2-2025'!$E$72:$L$101, 0, 0),
        0, 0),
    _xlfn.XLOOKUP(G1072, 'Wedgewood Pharm-GA-Yr2-2025'!$E$55:$L$55,
        _xlfn.XLOOKUP('Rate Load'!L1072, 'Wedgewood Pharm-GA-Yr2-2025'!$D$72:$D$101,
            'Wedgewood Pharm-GA-Yr2-2025'!$E$72:$L$101, 0, 0),
        0, 0)
)</f>
        <v>12.82</v>
      </c>
      <c r="K1072" t="s">
        <v>46</v>
      </c>
      <c r="L1072" t="s">
        <v>13</v>
      </c>
      <c r="M1072">
        <v>2</v>
      </c>
      <c r="N1072" t="str">
        <f t="shared" si="16"/>
        <v>INSERT INTO TNL_RATING.dbo.usps_rate_master VALUES ('USPS', '2/13/2025', '2/13/2026', 12659, 'US', 'USPS Ground Advantage', 5, 15, 'L', 12.82, 'Wedgewood_USPS_2025', 'NonCubic','2');</v>
      </c>
    </row>
    <row r="1073" spans="1:14" x14ac:dyDescent="0.3">
      <c r="A1073" t="s">
        <v>11</v>
      </c>
      <c r="B1073" s="1" t="s">
        <v>43</v>
      </c>
      <c r="C1073" s="1" t="s">
        <v>44</v>
      </c>
      <c r="D1073">
        <v>12659</v>
      </c>
      <c r="E1073" t="s">
        <v>12</v>
      </c>
      <c r="F1073" t="s">
        <v>51</v>
      </c>
      <c r="G1073">
        <v>5</v>
      </c>
      <c r="H1073">
        <v>16</v>
      </c>
      <c r="I1073" t="s">
        <v>45</v>
      </c>
      <c r="J1073" cm="1">
        <f t="array" ref="J1073">IFERROR(
    _xlfn.XLOOKUP(G1073, 'Wedgewood Pharm-GA-Yr2-2025'!$E$55:$L$55,
        _xlfn.XLOOKUP('Rate Load'!H1073, 'Wedgewood Pharm-GA-Yr2-2025'!$D$72:$D$101,
            'Wedgewood Pharm-GA-Yr2-2025'!$E$72:$L$101, 0, 0),
        0, 0),
    _xlfn.XLOOKUP(G1073, 'Wedgewood Pharm-GA-Yr2-2025'!$E$55:$L$55,
        _xlfn.XLOOKUP('Rate Load'!L1073, 'Wedgewood Pharm-GA-Yr2-2025'!$D$72:$D$101,
            'Wedgewood Pharm-GA-Yr2-2025'!$E$72:$L$101, 0, 0),
        0, 0)
)</f>
        <v>13.08</v>
      </c>
      <c r="K1073" t="s">
        <v>46</v>
      </c>
      <c r="L1073" t="s">
        <v>13</v>
      </c>
      <c r="M1073">
        <v>2</v>
      </c>
      <c r="N1073" t="str">
        <f t="shared" si="16"/>
        <v>INSERT INTO TNL_RATING.dbo.usps_rate_master VALUES ('USPS', '2/13/2025', '2/13/2026', 12659, 'US', 'USPS Ground Advantage', 5, 16, 'L', 13.08, 'Wedgewood_USPS_2025', 'NonCubic','2');</v>
      </c>
    </row>
    <row r="1074" spans="1:14" x14ac:dyDescent="0.3">
      <c r="A1074" t="s">
        <v>11</v>
      </c>
      <c r="B1074" s="1" t="s">
        <v>43</v>
      </c>
      <c r="C1074" s="1" t="s">
        <v>44</v>
      </c>
      <c r="D1074">
        <v>12659</v>
      </c>
      <c r="E1074" t="s">
        <v>12</v>
      </c>
      <c r="F1074" t="s">
        <v>51</v>
      </c>
      <c r="G1074">
        <v>5</v>
      </c>
      <c r="H1074">
        <v>17</v>
      </c>
      <c r="I1074" t="s">
        <v>45</v>
      </c>
      <c r="J1074" cm="1">
        <f t="array" ref="J1074">IFERROR(
    _xlfn.XLOOKUP(G1074, 'Wedgewood Pharm-GA-Yr2-2025'!$E$55:$L$55,
        _xlfn.XLOOKUP('Rate Load'!H1074, 'Wedgewood Pharm-GA-Yr2-2025'!$D$72:$D$101,
            'Wedgewood Pharm-GA-Yr2-2025'!$E$72:$L$101, 0, 0),
        0, 0),
    _xlfn.XLOOKUP(G1074, 'Wedgewood Pharm-GA-Yr2-2025'!$E$55:$L$55,
        _xlfn.XLOOKUP('Rate Load'!L1074, 'Wedgewood Pharm-GA-Yr2-2025'!$D$72:$D$101,
            'Wedgewood Pharm-GA-Yr2-2025'!$E$72:$L$101, 0, 0),
        0, 0)
)</f>
        <v>13.629999999999999</v>
      </c>
      <c r="K1074" t="s">
        <v>46</v>
      </c>
      <c r="L1074" t="s">
        <v>13</v>
      </c>
      <c r="M1074">
        <v>2</v>
      </c>
      <c r="N1074" t="str">
        <f t="shared" si="16"/>
        <v>INSERT INTO TNL_RATING.dbo.usps_rate_master VALUES ('USPS', '2/13/2025', '2/13/2026', 12659, 'US', 'USPS Ground Advantage', 5, 17, 'L', 13.63, 'Wedgewood_USPS_2025', 'NonCubic','2');</v>
      </c>
    </row>
    <row r="1075" spans="1:14" x14ac:dyDescent="0.3">
      <c r="A1075" t="s">
        <v>11</v>
      </c>
      <c r="B1075" s="1" t="s">
        <v>43</v>
      </c>
      <c r="C1075" s="1" t="s">
        <v>44</v>
      </c>
      <c r="D1075">
        <v>12659</v>
      </c>
      <c r="E1075" t="s">
        <v>12</v>
      </c>
      <c r="F1075" t="s">
        <v>51</v>
      </c>
      <c r="G1075">
        <v>5</v>
      </c>
      <c r="H1075">
        <v>18</v>
      </c>
      <c r="I1075" t="s">
        <v>45</v>
      </c>
      <c r="J1075" cm="1">
        <f t="array" ref="J1075">IFERROR(
    _xlfn.XLOOKUP(G1075, 'Wedgewood Pharm-GA-Yr2-2025'!$E$55:$L$55,
        _xlfn.XLOOKUP('Rate Load'!H1075, 'Wedgewood Pharm-GA-Yr2-2025'!$D$72:$D$101,
            'Wedgewood Pharm-GA-Yr2-2025'!$E$72:$L$101, 0, 0),
        0, 0),
    _xlfn.XLOOKUP(G1075, 'Wedgewood Pharm-GA-Yr2-2025'!$E$55:$L$55,
        _xlfn.XLOOKUP('Rate Load'!L1075, 'Wedgewood Pharm-GA-Yr2-2025'!$D$72:$D$101,
            'Wedgewood Pharm-GA-Yr2-2025'!$E$72:$L$101, 0, 0),
        0, 0)
)</f>
        <v>14.17</v>
      </c>
      <c r="K1075" t="s">
        <v>46</v>
      </c>
      <c r="L1075" t="s">
        <v>13</v>
      </c>
      <c r="M1075">
        <v>2</v>
      </c>
      <c r="N1075" t="str">
        <f t="shared" si="16"/>
        <v>INSERT INTO TNL_RATING.dbo.usps_rate_master VALUES ('USPS', '2/13/2025', '2/13/2026', 12659, 'US', 'USPS Ground Advantage', 5, 18, 'L', 14.17, 'Wedgewood_USPS_2025', 'NonCubic','2');</v>
      </c>
    </row>
    <row r="1076" spans="1:14" x14ac:dyDescent="0.3">
      <c r="A1076" t="s">
        <v>11</v>
      </c>
      <c r="B1076" s="1" t="s">
        <v>43</v>
      </c>
      <c r="C1076" s="1" t="s">
        <v>44</v>
      </c>
      <c r="D1076">
        <v>12659</v>
      </c>
      <c r="E1076" t="s">
        <v>12</v>
      </c>
      <c r="F1076" t="s">
        <v>51</v>
      </c>
      <c r="G1076">
        <v>5</v>
      </c>
      <c r="H1076">
        <v>19</v>
      </c>
      <c r="I1076" t="s">
        <v>45</v>
      </c>
      <c r="J1076" cm="1">
        <f t="array" ref="J1076">IFERROR(
    _xlfn.XLOOKUP(G1076, 'Wedgewood Pharm-GA-Yr2-2025'!$E$55:$L$55,
        _xlfn.XLOOKUP('Rate Load'!H1076, 'Wedgewood Pharm-GA-Yr2-2025'!$D$72:$D$101,
            'Wedgewood Pharm-GA-Yr2-2025'!$E$72:$L$101, 0, 0),
        0, 0),
    _xlfn.XLOOKUP(G1076, 'Wedgewood Pharm-GA-Yr2-2025'!$E$55:$L$55,
        _xlfn.XLOOKUP('Rate Load'!L1076, 'Wedgewood Pharm-GA-Yr2-2025'!$D$72:$D$101,
            'Wedgewood Pharm-GA-Yr2-2025'!$E$72:$L$101, 0, 0),
        0, 0)
)</f>
        <v>14.98</v>
      </c>
      <c r="K1076" t="s">
        <v>46</v>
      </c>
      <c r="L1076" t="s">
        <v>13</v>
      </c>
      <c r="M1076">
        <v>2</v>
      </c>
      <c r="N1076" t="str">
        <f t="shared" si="16"/>
        <v>INSERT INTO TNL_RATING.dbo.usps_rate_master VALUES ('USPS', '2/13/2025', '2/13/2026', 12659, 'US', 'USPS Ground Advantage', 5, 19, 'L', 14.98, 'Wedgewood_USPS_2025', 'NonCubic','2');</v>
      </c>
    </row>
    <row r="1077" spans="1:14" x14ac:dyDescent="0.3">
      <c r="A1077" t="s">
        <v>11</v>
      </c>
      <c r="B1077" s="1" t="s">
        <v>43</v>
      </c>
      <c r="C1077" s="1" t="s">
        <v>44</v>
      </c>
      <c r="D1077">
        <v>12659</v>
      </c>
      <c r="E1077" t="s">
        <v>12</v>
      </c>
      <c r="F1077" t="s">
        <v>51</v>
      </c>
      <c r="G1077">
        <v>5</v>
      </c>
      <c r="H1077">
        <v>20</v>
      </c>
      <c r="I1077" t="s">
        <v>45</v>
      </c>
      <c r="J1077" cm="1">
        <f t="array" ref="J1077">IFERROR(
    _xlfn.XLOOKUP(G1077, 'Wedgewood Pharm-GA-Yr2-2025'!$E$55:$L$55,
        _xlfn.XLOOKUP('Rate Load'!H1077, 'Wedgewood Pharm-GA-Yr2-2025'!$D$72:$D$101,
            'Wedgewood Pharm-GA-Yr2-2025'!$E$72:$L$101, 0, 0),
        0, 0),
    _xlfn.XLOOKUP(G1077, 'Wedgewood Pharm-GA-Yr2-2025'!$E$55:$L$55,
        _xlfn.XLOOKUP('Rate Load'!L1077, 'Wedgewood Pharm-GA-Yr2-2025'!$D$72:$D$101,
            'Wedgewood Pharm-GA-Yr2-2025'!$E$72:$L$101, 0, 0),
        0, 0)
)</f>
        <v>15.42</v>
      </c>
      <c r="K1077" t="s">
        <v>46</v>
      </c>
      <c r="L1077" t="s">
        <v>13</v>
      </c>
      <c r="M1077">
        <v>2</v>
      </c>
      <c r="N1077" t="str">
        <f t="shared" si="16"/>
        <v>INSERT INTO TNL_RATING.dbo.usps_rate_master VALUES ('USPS', '2/13/2025', '2/13/2026', 12659, 'US', 'USPS Ground Advantage', 5, 20, 'L', 15.42, 'Wedgewood_USPS_2025', 'NonCubic','2');</v>
      </c>
    </row>
    <row r="1078" spans="1:14" x14ac:dyDescent="0.3">
      <c r="A1078" t="s">
        <v>11</v>
      </c>
      <c r="B1078" s="1" t="s">
        <v>43</v>
      </c>
      <c r="C1078" s="1" t="s">
        <v>44</v>
      </c>
      <c r="D1078">
        <v>12659</v>
      </c>
      <c r="E1078" t="s">
        <v>12</v>
      </c>
      <c r="F1078" t="s">
        <v>51</v>
      </c>
      <c r="G1078">
        <v>6</v>
      </c>
      <c r="H1078">
        <v>1</v>
      </c>
      <c r="I1078" t="s">
        <v>45</v>
      </c>
      <c r="J1078" cm="1">
        <f t="array" ref="J1078">IFERROR(
    _xlfn.XLOOKUP(G1078, 'Wedgewood Pharm-GA-Yr2-2025'!$E$55:$L$55,
        _xlfn.XLOOKUP('Rate Load'!H1078, 'Wedgewood Pharm-GA-Yr2-2025'!$D$72:$D$101,
            'Wedgewood Pharm-GA-Yr2-2025'!$E$72:$L$101, 0, 0),
        0, 0),
    _xlfn.XLOOKUP(G1078, 'Wedgewood Pharm-GA-Yr2-2025'!$E$55:$L$55,
        _xlfn.XLOOKUP('Rate Load'!L1078, 'Wedgewood Pharm-GA-Yr2-2025'!$D$72:$D$101,
            'Wedgewood Pharm-GA-Yr2-2025'!$E$72:$L$101, 0, 0),
        0, 0)
)</f>
        <v>6.79</v>
      </c>
      <c r="K1078" t="s">
        <v>46</v>
      </c>
      <c r="L1078" t="s">
        <v>13</v>
      </c>
      <c r="M1078">
        <v>2</v>
      </c>
      <c r="N1078" t="str">
        <f t="shared" si="16"/>
        <v>INSERT INTO TNL_RATING.dbo.usps_rate_master VALUES ('USPS', '2/13/2025', '2/13/2026', 12659, 'US', 'USPS Ground Advantage', 6, 1, 'L', 6.79, 'Wedgewood_USPS_2025', 'NonCubic','2');</v>
      </c>
    </row>
    <row r="1079" spans="1:14" x14ac:dyDescent="0.3">
      <c r="A1079" t="s">
        <v>11</v>
      </c>
      <c r="B1079" s="1" t="s">
        <v>43</v>
      </c>
      <c r="C1079" s="1" t="s">
        <v>44</v>
      </c>
      <c r="D1079">
        <v>12659</v>
      </c>
      <c r="E1079" t="s">
        <v>12</v>
      </c>
      <c r="F1079" t="s">
        <v>51</v>
      </c>
      <c r="G1079">
        <v>6</v>
      </c>
      <c r="H1079">
        <v>2</v>
      </c>
      <c r="I1079" t="s">
        <v>45</v>
      </c>
      <c r="J1079" cm="1">
        <f t="array" ref="J1079">IFERROR(
    _xlfn.XLOOKUP(G1079, 'Wedgewood Pharm-GA-Yr2-2025'!$E$55:$L$55,
        _xlfn.XLOOKUP('Rate Load'!H1079, 'Wedgewood Pharm-GA-Yr2-2025'!$D$72:$D$101,
            'Wedgewood Pharm-GA-Yr2-2025'!$E$72:$L$101, 0, 0),
        0, 0),
    _xlfn.XLOOKUP(G1079, 'Wedgewood Pharm-GA-Yr2-2025'!$E$55:$L$55,
        _xlfn.XLOOKUP('Rate Load'!L1079, 'Wedgewood Pharm-GA-Yr2-2025'!$D$72:$D$101,
            'Wedgewood Pharm-GA-Yr2-2025'!$E$72:$L$101, 0, 0),
        0, 0)
)</f>
        <v>7.83</v>
      </c>
      <c r="K1079" t="s">
        <v>46</v>
      </c>
      <c r="L1079" t="s">
        <v>13</v>
      </c>
      <c r="M1079">
        <v>2</v>
      </c>
      <c r="N1079" t="str">
        <f t="shared" si="16"/>
        <v>INSERT INTO TNL_RATING.dbo.usps_rate_master VALUES ('USPS', '2/13/2025', '2/13/2026', 12659, 'US', 'USPS Ground Advantage', 6, 2, 'L', 7.83, 'Wedgewood_USPS_2025', 'NonCubic','2');</v>
      </c>
    </row>
    <row r="1080" spans="1:14" x14ac:dyDescent="0.3">
      <c r="A1080" t="s">
        <v>11</v>
      </c>
      <c r="B1080" s="1" t="s">
        <v>43</v>
      </c>
      <c r="C1080" s="1" t="s">
        <v>44</v>
      </c>
      <c r="D1080">
        <v>12659</v>
      </c>
      <c r="E1080" t="s">
        <v>12</v>
      </c>
      <c r="F1080" t="s">
        <v>51</v>
      </c>
      <c r="G1080">
        <v>6</v>
      </c>
      <c r="H1080">
        <v>3</v>
      </c>
      <c r="I1080" t="s">
        <v>45</v>
      </c>
      <c r="J1080" cm="1">
        <f t="array" ref="J1080">IFERROR(
    _xlfn.XLOOKUP(G1080, 'Wedgewood Pharm-GA-Yr2-2025'!$E$55:$L$55,
        _xlfn.XLOOKUP('Rate Load'!H1080, 'Wedgewood Pharm-GA-Yr2-2025'!$D$72:$D$101,
            'Wedgewood Pharm-GA-Yr2-2025'!$E$72:$L$101, 0, 0),
        0, 0),
    _xlfn.XLOOKUP(G1080, 'Wedgewood Pharm-GA-Yr2-2025'!$E$55:$L$55,
        _xlfn.XLOOKUP('Rate Load'!L1080, 'Wedgewood Pharm-GA-Yr2-2025'!$D$72:$D$101,
            'Wedgewood Pharm-GA-Yr2-2025'!$E$72:$L$101, 0, 0),
        0, 0)
)</f>
        <v>9.06</v>
      </c>
      <c r="K1080" t="s">
        <v>46</v>
      </c>
      <c r="L1080" t="s">
        <v>13</v>
      </c>
      <c r="M1080">
        <v>2</v>
      </c>
      <c r="N1080" t="str">
        <f t="shared" si="16"/>
        <v>INSERT INTO TNL_RATING.dbo.usps_rate_master VALUES ('USPS', '2/13/2025', '2/13/2026', 12659, 'US', 'USPS Ground Advantage', 6, 3, 'L', 9.06, 'Wedgewood_USPS_2025', 'NonCubic','2');</v>
      </c>
    </row>
    <row r="1081" spans="1:14" x14ac:dyDescent="0.3">
      <c r="A1081" t="s">
        <v>11</v>
      </c>
      <c r="B1081" s="1" t="s">
        <v>43</v>
      </c>
      <c r="C1081" s="1" t="s">
        <v>44</v>
      </c>
      <c r="D1081">
        <v>12659</v>
      </c>
      <c r="E1081" t="s">
        <v>12</v>
      </c>
      <c r="F1081" t="s">
        <v>51</v>
      </c>
      <c r="G1081">
        <v>6</v>
      </c>
      <c r="H1081">
        <v>4</v>
      </c>
      <c r="I1081" t="s">
        <v>45</v>
      </c>
      <c r="J1081" cm="1">
        <f t="array" ref="J1081">IFERROR(
    _xlfn.XLOOKUP(G1081, 'Wedgewood Pharm-GA-Yr2-2025'!$E$55:$L$55,
        _xlfn.XLOOKUP('Rate Load'!H1081, 'Wedgewood Pharm-GA-Yr2-2025'!$D$72:$D$101,
            'Wedgewood Pharm-GA-Yr2-2025'!$E$72:$L$101, 0, 0),
        0, 0),
    _xlfn.XLOOKUP(G1081, 'Wedgewood Pharm-GA-Yr2-2025'!$E$55:$L$55,
        _xlfn.XLOOKUP('Rate Load'!L1081, 'Wedgewood Pharm-GA-Yr2-2025'!$D$72:$D$101,
            'Wedgewood Pharm-GA-Yr2-2025'!$E$72:$L$101, 0, 0),
        0, 0)
)</f>
        <v>9.59</v>
      </c>
      <c r="K1081" t="s">
        <v>46</v>
      </c>
      <c r="L1081" t="s">
        <v>13</v>
      </c>
      <c r="M1081">
        <v>2</v>
      </c>
      <c r="N1081" t="str">
        <f t="shared" si="16"/>
        <v>INSERT INTO TNL_RATING.dbo.usps_rate_master VALUES ('USPS', '2/13/2025', '2/13/2026', 12659, 'US', 'USPS Ground Advantage', 6, 4, 'L', 9.59, 'Wedgewood_USPS_2025', 'NonCubic','2');</v>
      </c>
    </row>
    <row r="1082" spans="1:14" x14ac:dyDescent="0.3">
      <c r="A1082" t="s">
        <v>11</v>
      </c>
      <c r="B1082" s="1" t="s">
        <v>43</v>
      </c>
      <c r="C1082" s="1" t="s">
        <v>44</v>
      </c>
      <c r="D1082">
        <v>12659</v>
      </c>
      <c r="E1082" t="s">
        <v>12</v>
      </c>
      <c r="F1082" t="s">
        <v>51</v>
      </c>
      <c r="G1082">
        <v>6</v>
      </c>
      <c r="H1082">
        <v>5</v>
      </c>
      <c r="I1082" t="s">
        <v>45</v>
      </c>
      <c r="J1082" cm="1">
        <f t="array" ref="J1082">IFERROR(
    _xlfn.XLOOKUP(G1082, 'Wedgewood Pharm-GA-Yr2-2025'!$E$55:$L$55,
        _xlfn.XLOOKUP('Rate Load'!H1082, 'Wedgewood Pharm-GA-Yr2-2025'!$D$72:$D$101,
            'Wedgewood Pharm-GA-Yr2-2025'!$E$72:$L$101, 0, 0),
        0, 0),
    _xlfn.XLOOKUP(G1082, 'Wedgewood Pharm-GA-Yr2-2025'!$E$55:$L$55,
        _xlfn.XLOOKUP('Rate Load'!L1082, 'Wedgewood Pharm-GA-Yr2-2025'!$D$72:$D$101,
            'Wedgewood Pharm-GA-Yr2-2025'!$E$72:$L$101, 0, 0),
        0, 0)
)</f>
        <v>10.17</v>
      </c>
      <c r="K1082" t="s">
        <v>46</v>
      </c>
      <c r="L1082" t="s">
        <v>13</v>
      </c>
      <c r="M1082">
        <v>2</v>
      </c>
      <c r="N1082" t="str">
        <f t="shared" si="16"/>
        <v>INSERT INTO TNL_RATING.dbo.usps_rate_master VALUES ('USPS', '2/13/2025', '2/13/2026', 12659, 'US', 'USPS Ground Advantage', 6, 5, 'L', 10.17, 'Wedgewood_USPS_2025', 'NonCubic','2');</v>
      </c>
    </row>
    <row r="1083" spans="1:14" x14ac:dyDescent="0.3">
      <c r="A1083" t="s">
        <v>11</v>
      </c>
      <c r="B1083" s="1" t="s">
        <v>43</v>
      </c>
      <c r="C1083" s="1" t="s">
        <v>44</v>
      </c>
      <c r="D1083">
        <v>12659</v>
      </c>
      <c r="E1083" t="s">
        <v>12</v>
      </c>
      <c r="F1083" t="s">
        <v>51</v>
      </c>
      <c r="G1083">
        <v>6</v>
      </c>
      <c r="H1083">
        <v>6</v>
      </c>
      <c r="I1083" t="s">
        <v>45</v>
      </c>
      <c r="J1083" cm="1">
        <f t="array" ref="J1083">IFERROR(
    _xlfn.XLOOKUP(G1083, 'Wedgewood Pharm-GA-Yr2-2025'!$E$55:$L$55,
        _xlfn.XLOOKUP('Rate Load'!H1083, 'Wedgewood Pharm-GA-Yr2-2025'!$D$72:$D$101,
            'Wedgewood Pharm-GA-Yr2-2025'!$E$72:$L$101, 0, 0),
        0, 0),
    _xlfn.XLOOKUP(G1083, 'Wedgewood Pharm-GA-Yr2-2025'!$E$55:$L$55,
        _xlfn.XLOOKUP('Rate Load'!L1083, 'Wedgewood Pharm-GA-Yr2-2025'!$D$72:$D$101,
            'Wedgewood Pharm-GA-Yr2-2025'!$E$72:$L$101, 0, 0),
        0, 0)
)</f>
        <v>10.43</v>
      </c>
      <c r="K1083" t="s">
        <v>46</v>
      </c>
      <c r="L1083" t="s">
        <v>13</v>
      </c>
      <c r="M1083">
        <v>2</v>
      </c>
      <c r="N1083" t="str">
        <f t="shared" si="16"/>
        <v>INSERT INTO TNL_RATING.dbo.usps_rate_master VALUES ('USPS', '2/13/2025', '2/13/2026', 12659, 'US', 'USPS Ground Advantage', 6, 6, 'L', 10.43, 'Wedgewood_USPS_2025', 'NonCubic','2');</v>
      </c>
    </row>
    <row r="1084" spans="1:14" x14ac:dyDescent="0.3">
      <c r="A1084" t="s">
        <v>11</v>
      </c>
      <c r="B1084" s="1" t="s">
        <v>43</v>
      </c>
      <c r="C1084" s="1" t="s">
        <v>44</v>
      </c>
      <c r="D1084">
        <v>12659</v>
      </c>
      <c r="E1084" t="s">
        <v>12</v>
      </c>
      <c r="F1084" t="s">
        <v>51</v>
      </c>
      <c r="G1084">
        <v>6</v>
      </c>
      <c r="H1084">
        <v>7</v>
      </c>
      <c r="I1084" t="s">
        <v>45</v>
      </c>
      <c r="J1084" cm="1">
        <f t="array" ref="J1084">IFERROR(
    _xlfn.XLOOKUP(G1084, 'Wedgewood Pharm-GA-Yr2-2025'!$E$55:$L$55,
        _xlfn.XLOOKUP('Rate Load'!H1084, 'Wedgewood Pharm-GA-Yr2-2025'!$D$72:$D$101,
            'Wedgewood Pharm-GA-Yr2-2025'!$E$72:$L$101, 0, 0),
        0, 0),
    _xlfn.XLOOKUP(G1084, 'Wedgewood Pharm-GA-Yr2-2025'!$E$55:$L$55,
        _xlfn.XLOOKUP('Rate Load'!L1084, 'Wedgewood Pharm-GA-Yr2-2025'!$D$72:$D$101,
            'Wedgewood Pharm-GA-Yr2-2025'!$E$72:$L$101, 0, 0),
        0, 0)
)</f>
        <v>10.74</v>
      </c>
      <c r="K1084" t="s">
        <v>46</v>
      </c>
      <c r="L1084" t="s">
        <v>13</v>
      </c>
      <c r="M1084">
        <v>2</v>
      </c>
      <c r="N1084" t="str">
        <f t="shared" si="16"/>
        <v>INSERT INTO TNL_RATING.dbo.usps_rate_master VALUES ('USPS', '2/13/2025', '2/13/2026', 12659, 'US', 'USPS Ground Advantage', 6, 7, 'L', 10.74, 'Wedgewood_USPS_2025', 'NonCubic','2');</v>
      </c>
    </row>
    <row r="1085" spans="1:14" x14ac:dyDescent="0.3">
      <c r="A1085" t="s">
        <v>11</v>
      </c>
      <c r="B1085" s="1" t="s">
        <v>43</v>
      </c>
      <c r="C1085" s="1" t="s">
        <v>44</v>
      </c>
      <c r="D1085">
        <v>12659</v>
      </c>
      <c r="E1085" t="s">
        <v>12</v>
      </c>
      <c r="F1085" t="s">
        <v>51</v>
      </c>
      <c r="G1085">
        <v>6</v>
      </c>
      <c r="H1085">
        <v>8</v>
      </c>
      <c r="I1085" t="s">
        <v>45</v>
      </c>
      <c r="J1085" cm="1">
        <f t="array" ref="J1085">IFERROR(
    _xlfn.XLOOKUP(G1085, 'Wedgewood Pharm-GA-Yr2-2025'!$E$55:$L$55,
        _xlfn.XLOOKUP('Rate Load'!H1085, 'Wedgewood Pharm-GA-Yr2-2025'!$D$72:$D$101,
            'Wedgewood Pharm-GA-Yr2-2025'!$E$72:$L$101, 0, 0),
        0, 0),
    _xlfn.XLOOKUP(G1085, 'Wedgewood Pharm-GA-Yr2-2025'!$E$55:$L$55,
        _xlfn.XLOOKUP('Rate Load'!L1085, 'Wedgewood Pharm-GA-Yr2-2025'!$D$72:$D$101,
            'Wedgewood Pharm-GA-Yr2-2025'!$E$72:$L$101, 0, 0),
        0, 0)
)</f>
        <v>11.11</v>
      </c>
      <c r="K1085" t="s">
        <v>46</v>
      </c>
      <c r="L1085" t="s">
        <v>13</v>
      </c>
      <c r="M1085">
        <v>2</v>
      </c>
      <c r="N1085" t="str">
        <f t="shared" si="16"/>
        <v>INSERT INTO TNL_RATING.dbo.usps_rate_master VALUES ('USPS', '2/13/2025', '2/13/2026', 12659, 'US', 'USPS Ground Advantage', 6, 8, 'L', 11.11, 'Wedgewood_USPS_2025', 'NonCubic','2');</v>
      </c>
    </row>
    <row r="1086" spans="1:14" x14ac:dyDescent="0.3">
      <c r="A1086" t="s">
        <v>11</v>
      </c>
      <c r="B1086" s="1" t="s">
        <v>43</v>
      </c>
      <c r="C1086" s="1" t="s">
        <v>44</v>
      </c>
      <c r="D1086">
        <v>12659</v>
      </c>
      <c r="E1086" t="s">
        <v>12</v>
      </c>
      <c r="F1086" t="s">
        <v>51</v>
      </c>
      <c r="G1086">
        <v>6</v>
      </c>
      <c r="H1086">
        <v>9</v>
      </c>
      <c r="I1086" t="s">
        <v>45</v>
      </c>
      <c r="J1086" cm="1">
        <f t="array" ref="J1086">IFERROR(
    _xlfn.XLOOKUP(G1086, 'Wedgewood Pharm-GA-Yr2-2025'!$E$55:$L$55,
        _xlfn.XLOOKUP('Rate Load'!H1086, 'Wedgewood Pharm-GA-Yr2-2025'!$D$72:$D$101,
            'Wedgewood Pharm-GA-Yr2-2025'!$E$72:$L$101, 0, 0),
        0, 0),
    _xlfn.XLOOKUP(G1086, 'Wedgewood Pharm-GA-Yr2-2025'!$E$55:$L$55,
        _xlfn.XLOOKUP('Rate Load'!L1086, 'Wedgewood Pharm-GA-Yr2-2025'!$D$72:$D$101,
            'Wedgewood Pharm-GA-Yr2-2025'!$E$72:$L$101, 0, 0),
        0, 0)
)</f>
        <v>11.39</v>
      </c>
      <c r="K1086" t="s">
        <v>46</v>
      </c>
      <c r="L1086" t="s">
        <v>13</v>
      </c>
      <c r="M1086">
        <v>2</v>
      </c>
      <c r="N1086" t="str">
        <f t="shared" si="16"/>
        <v>INSERT INTO TNL_RATING.dbo.usps_rate_master VALUES ('USPS', '2/13/2025', '2/13/2026', 12659, 'US', 'USPS Ground Advantage', 6, 9, 'L', 11.39, 'Wedgewood_USPS_2025', 'NonCubic','2');</v>
      </c>
    </row>
    <row r="1087" spans="1:14" x14ac:dyDescent="0.3">
      <c r="A1087" t="s">
        <v>11</v>
      </c>
      <c r="B1087" s="1" t="s">
        <v>43</v>
      </c>
      <c r="C1087" s="1" t="s">
        <v>44</v>
      </c>
      <c r="D1087">
        <v>12659</v>
      </c>
      <c r="E1087" t="s">
        <v>12</v>
      </c>
      <c r="F1087" t="s">
        <v>51</v>
      </c>
      <c r="G1087">
        <v>6</v>
      </c>
      <c r="H1087">
        <v>10</v>
      </c>
      <c r="I1087" t="s">
        <v>45</v>
      </c>
      <c r="J1087" cm="1">
        <f t="array" ref="J1087">IFERROR(
    _xlfn.XLOOKUP(G1087, 'Wedgewood Pharm-GA-Yr2-2025'!$E$55:$L$55,
        _xlfn.XLOOKUP('Rate Load'!H1087, 'Wedgewood Pharm-GA-Yr2-2025'!$D$72:$D$101,
            'Wedgewood Pharm-GA-Yr2-2025'!$E$72:$L$101, 0, 0),
        0, 0),
    _xlfn.XLOOKUP(G1087, 'Wedgewood Pharm-GA-Yr2-2025'!$E$55:$L$55,
        _xlfn.XLOOKUP('Rate Load'!L1087, 'Wedgewood Pharm-GA-Yr2-2025'!$D$72:$D$101,
            'Wedgewood Pharm-GA-Yr2-2025'!$E$72:$L$101, 0, 0),
        0, 0)
)</f>
        <v>11.68</v>
      </c>
      <c r="K1087" t="s">
        <v>46</v>
      </c>
      <c r="L1087" t="s">
        <v>13</v>
      </c>
      <c r="M1087">
        <v>2</v>
      </c>
      <c r="N1087" t="str">
        <f t="shared" si="16"/>
        <v>INSERT INTO TNL_RATING.dbo.usps_rate_master VALUES ('USPS', '2/13/2025', '2/13/2026', 12659, 'US', 'USPS Ground Advantage', 6, 10, 'L', 11.68, 'Wedgewood_USPS_2025', 'NonCubic','2');</v>
      </c>
    </row>
    <row r="1088" spans="1:14" x14ac:dyDescent="0.3">
      <c r="A1088" t="s">
        <v>11</v>
      </c>
      <c r="B1088" s="1" t="s">
        <v>43</v>
      </c>
      <c r="C1088" s="1" t="s">
        <v>44</v>
      </c>
      <c r="D1088">
        <v>12659</v>
      </c>
      <c r="E1088" t="s">
        <v>12</v>
      </c>
      <c r="F1088" t="s">
        <v>51</v>
      </c>
      <c r="G1088">
        <v>6</v>
      </c>
      <c r="H1088">
        <v>11</v>
      </c>
      <c r="I1088" t="s">
        <v>45</v>
      </c>
      <c r="J1088" cm="1">
        <f t="array" ref="J1088">IFERROR(
    _xlfn.XLOOKUP(G1088, 'Wedgewood Pharm-GA-Yr2-2025'!$E$55:$L$55,
        _xlfn.XLOOKUP('Rate Load'!H1088, 'Wedgewood Pharm-GA-Yr2-2025'!$D$72:$D$101,
            'Wedgewood Pharm-GA-Yr2-2025'!$E$72:$L$101, 0, 0),
        0, 0),
    _xlfn.XLOOKUP(G1088, 'Wedgewood Pharm-GA-Yr2-2025'!$E$55:$L$55,
        _xlfn.XLOOKUP('Rate Load'!L1088, 'Wedgewood Pharm-GA-Yr2-2025'!$D$72:$D$101,
            'Wedgewood Pharm-GA-Yr2-2025'!$E$72:$L$101, 0, 0),
        0, 0)
)</f>
        <v>12.1</v>
      </c>
      <c r="K1088" t="s">
        <v>46</v>
      </c>
      <c r="L1088" t="s">
        <v>13</v>
      </c>
      <c r="M1088">
        <v>2</v>
      </c>
      <c r="N1088" t="str">
        <f t="shared" si="16"/>
        <v>INSERT INTO TNL_RATING.dbo.usps_rate_master VALUES ('USPS', '2/13/2025', '2/13/2026', 12659, 'US', 'USPS Ground Advantage', 6, 11, 'L', 12.1, 'Wedgewood_USPS_2025', 'NonCubic','2');</v>
      </c>
    </row>
    <row r="1089" spans="1:14" x14ac:dyDescent="0.3">
      <c r="A1089" t="s">
        <v>11</v>
      </c>
      <c r="B1089" s="1" t="s">
        <v>43</v>
      </c>
      <c r="C1089" s="1" t="s">
        <v>44</v>
      </c>
      <c r="D1089">
        <v>12659</v>
      </c>
      <c r="E1089" t="s">
        <v>12</v>
      </c>
      <c r="F1089" t="s">
        <v>51</v>
      </c>
      <c r="G1089">
        <v>6</v>
      </c>
      <c r="H1089">
        <v>12</v>
      </c>
      <c r="I1089" t="s">
        <v>45</v>
      </c>
      <c r="J1089" cm="1">
        <f t="array" ref="J1089">IFERROR(
    _xlfn.XLOOKUP(G1089, 'Wedgewood Pharm-GA-Yr2-2025'!$E$55:$L$55,
        _xlfn.XLOOKUP('Rate Load'!H1089, 'Wedgewood Pharm-GA-Yr2-2025'!$D$72:$D$101,
            'Wedgewood Pharm-GA-Yr2-2025'!$E$72:$L$101, 0, 0),
        0, 0),
    _xlfn.XLOOKUP(G1089, 'Wedgewood Pharm-GA-Yr2-2025'!$E$55:$L$55,
        _xlfn.XLOOKUP('Rate Load'!L1089, 'Wedgewood Pharm-GA-Yr2-2025'!$D$72:$D$101,
            'Wedgewood Pharm-GA-Yr2-2025'!$E$72:$L$101, 0, 0),
        0, 0)
)</f>
        <v>12.629999999999999</v>
      </c>
      <c r="K1089" t="s">
        <v>46</v>
      </c>
      <c r="L1089" t="s">
        <v>13</v>
      </c>
      <c r="M1089">
        <v>2</v>
      </c>
      <c r="N1089" t="str">
        <f t="shared" si="16"/>
        <v>INSERT INTO TNL_RATING.dbo.usps_rate_master VALUES ('USPS', '2/13/2025', '2/13/2026', 12659, 'US', 'USPS Ground Advantage', 6, 12, 'L', 12.63, 'Wedgewood_USPS_2025', 'NonCubic','2');</v>
      </c>
    </row>
    <row r="1090" spans="1:14" x14ac:dyDescent="0.3">
      <c r="A1090" t="s">
        <v>11</v>
      </c>
      <c r="B1090" s="1" t="s">
        <v>43</v>
      </c>
      <c r="C1090" s="1" t="s">
        <v>44</v>
      </c>
      <c r="D1090">
        <v>12659</v>
      </c>
      <c r="E1090" t="s">
        <v>12</v>
      </c>
      <c r="F1090" t="s">
        <v>51</v>
      </c>
      <c r="G1090">
        <v>6</v>
      </c>
      <c r="H1090">
        <v>13</v>
      </c>
      <c r="I1090" t="s">
        <v>45</v>
      </c>
      <c r="J1090" cm="1">
        <f t="array" ref="J1090">IFERROR(
    _xlfn.XLOOKUP(G1090, 'Wedgewood Pharm-GA-Yr2-2025'!$E$55:$L$55,
        _xlfn.XLOOKUP('Rate Load'!H1090, 'Wedgewood Pharm-GA-Yr2-2025'!$D$72:$D$101,
            'Wedgewood Pharm-GA-Yr2-2025'!$E$72:$L$101, 0, 0),
        0, 0),
    _xlfn.XLOOKUP(G1090, 'Wedgewood Pharm-GA-Yr2-2025'!$E$55:$L$55,
        _xlfn.XLOOKUP('Rate Load'!L1090, 'Wedgewood Pharm-GA-Yr2-2025'!$D$72:$D$101,
            'Wedgewood Pharm-GA-Yr2-2025'!$E$72:$L$101, 0, 0),
        0, 0)
)</f>
        <v>13.12</v>
      </c>
      <c r="K1090" t="s">
        <v>46</v>
      </c>
      <c r="L1090" t="s">
        <v>13</v>
      </c>
      <c r="M1090">
        <v>2</v>
      </c>
      <c r="N1090" t="str">
        <f t="shared" si="16"/>
        <v>INSERT INTO TNL_RATING.dbo.usps_rate_master VALUES ('USPS', '2/13/2025', '2/13/2026', 12659, 'US', 'USPS Ground Advantage', 6, 13, 'L', 13.12, 'Wedgewood_USPS_2025', 'NonCubic','2');</v>
      </c>
    </row>
    <row r="1091" spans="1:14" x14ac:dyDescent="0.3">
      <c r="A1091" t="s">
        <v>11</v>
      </c>
      <c r="B1091" s="1" t="s">
        <v>43</v>
      </c>
      <c r="C1091" s="1" t="s">
        <v>44</v>
      </c>
      <c r="D1091">
        <v>12659</v>
      </c>
      <c r="E1091" t="s">
        <v>12</v>
      </c>
      <c r="F1091" t="s">
        <v>51</v>
      </c>
      <c r="G1091">
        <v>6</v>
      </c>
      <c r="H1091">
        <v>14</v>
      </c>
      <c r="I1091" t="s">
        <v>45</v>
      </c>
      <c r="J1091" cm="1">
        <f t="array" ref="J1091">IFERROR(
    _xlfn.XLOOKUP(G1091, 'Wedgewood Pharm-GA-Yr2-2025'!$E$55:$L$55,
        _xlfn.XLOOKUP('Rate Load'!H1091, 'Wedgewood Pharm-GA-Yr2-2025'!$D$72:$D$101,
            'Wedgewood Pharm-GA-Yr2-2025'!$E$72:$L$101, 0, 0),
        0, 0),
    _xlfn.XLOOKUP(G1091, 'Wedgewood Pharm-GA-Yr2-2025'!$E$55:$L$55,
        _xlfn.XLOOKUP('Rate Load'!L1091, 'Wedgewood Pharm-GA-Yr2-2025'!$D$72:$D$101,
            'Wedgewood Pharm-GA-Yr2-2025'!$E$72:$L$101, 0, 0),
        0, 0)
)</f>
        <v>13.879999999999999</v>
      </c>
      <c r="K1091" t="s">
        <v>46</v>
      </c>
      <c r="L1091" t="s">
        <v>13</v>
      </c>
      <c r="M1091">
        <v>2</v>
      </c>
      <c r="N1091" t="str">
        <f t="shared" ref="N1091:N1154" si="17">"INSERT INTO TNL_RATING.dbo.usps_rate_master VALUES ('" &amp; A1091 &amp; "', '" &amp; B1091 &amp; "', '" &amp; C1091 &amp; "', " &amp; D1091 &amp; ", '" &amp; E1091 &amp; "', '" &amp; F1091 &amp; "', " &amp; G1091 &amp; ", " &amp; H1091 &amp; ", '" &amp; I1091 &amp; "', " &amp; J1091 &amp; ", '" &amp; K1091 &amp; "', '" &amp; L1091 &amp; "','" &amp; M1091 &amp; "');"</f>
        <v>INSERT INTO TNL_RATING.dbo.usps_rate_master VALUES ('USPS', '2/13/2025', '2/13/2026', 12659, 'US', 'USPS Ground Advantage', 6, 14, 'L', 13.88, 'Wedgewood_USPS_2025', 'NonCubic','2');</v>
      </c>
    </row>
    <row r="1092" spans="1:14" x14ac:dyDescent="0.3">
      <c r="A1092" t="s">
        <v>11</v>
      </c>
      <c r="B1092" s="1" t="s">
        <v>43</v>
      </c>
      <c r="C1092" s="1" t="s">
        <v>44</v>
      </c>
      <c r="D1092">
        <v>12659</v>
      </c>
      <c r="E1092" t="s">
        <v>12</v>
      </c>
      <c r="F1092" t="s">
        <v>51</v>
      </c>
      <c r="G1092">
        <v>6</v>
      </c>
      <c r="H1092">
        <v>15</v>
      </c>
      <c r="I1092" t="s">
        <v>45</v>
      </c>
      <c r="J1092" cm="1">
        <f t="array" ref="J1092">IFERROR(
    _xlfn.XLOOKUP(G1092, 'Wedgewood Pharm-GA-Yr2-2025'!$E$55:$L$55,
        _xlfn.XLOOKUP('Rate Load'!H1092, 'Wedgewood Pharm-GA-Yr2-2025'!$D$72:$D$101,
            'Wedgewood Pharm-GA-Yr2-2025'!$E$72:$L$101, 0, 0),
        0, 0),
    _xlfn.XLOOKUP(G1092, 'Wedgewood Pharm-GA-Yr2-2025'!$E$55:$L$55,
        _xlfn.XLOOKUP('Rate Load'!L1092, 'Wedgewood Pharm-GA-Yr2-2025'!$D$72:$D$101,
            'Wedgewood Pharm-GA-Yr2-2025'!$E$72:$L$101, 0, 0),
        0, 0)
)</f>
        <v>14.629999999999999</v>
      </c>
      <c r="K1092" t="s">
        <v>46</v>
      </c>
      <c r="L1092" t="s">
        <v>13</v>
      </c>
      <c r="M1092">
        <v>2</v>
      </c>
      <c r="N1092" t="str">
        <f t="shared" si="17"/>
        <v>INSERT INTO TNL_RATING.dbo.usps_rate_master VALUES ('USPS', '2/13/2025', '2/13/2026', 12659, 'US', 'USPS Ground Advantage', 6, 15, 'L', 14.63, 'Wedgewood_USPS_2025', 'NonCubic','2');</v>
      </c>
    </row>
    <row r="1093" spans="1:14" x14ac:dyDescent="0.3">
      <c r="A1093" t="s">
        <v>11</v>
      </c>
      <c r="B1093" s="1" t="s">
        <v>43</v>
      </c>
      <c r="C1093" s="1" t="s">
        <v>44</v>
      </c>
      <c r="D1093">
        <v>12659</v>
      </c>
      <c r="E1093" t="s">
        <v>12</v>
      </c>
      <c r="F1093" t="s">
        <v>51</v>
      </c>
      <c r="G1093">
        <v>6</v>
      </c>
      <c r="H1093">
        <v>16</v>
      </c>
      <c r="I1093" t="s">
        <v>45</v>
      </c>
      <c r="J1093" cm="1">
        <f t="array" ref="J1093">IFERROR(
    _xlfn.XLOOKUP(G1093, 'Wedgewood Pharm-GA-Yr2-2025'!$E$55:$L$55,
        _xlfn.XLOOKUP('Rate Load'!H1093, 'Wedgewood Pharm-GA-Yr2-2025'!$D$72:$D$101,
            'Wedgewood Pharm-GA-Yr2-2025'!$E$72:$L$101, 0, 0),
        0, 0),
    _xlfn.XLOOKUP(G1093, 'Wedgewood Pharm-GA-Yr2-2025'!$E$55:$L$55,
        _xlfn.XLOOKUP('Rate Load'!L1093, 'Wedgewood Pharm-GA-Yr2-2025'!$D$72:$D$101,
            'Wedgewood Pharm-GA-Yr2-2025'!$E$72:$L$101, 0, 0),
        0, 0)
)</f>
        <v>15.2</v>
      </c>
      <c r="K1093" t="s">
        <v>46</v>
      </c>
      <c r="L1093" t="s">
        <v>13</v>
      </c>
      <c r="M1093">
        <v>2</v>
      </c>
      <c r="N1093" t="str">
        <f t="shared" si="17"/>
        <v>INSERT INTO TNL_RATING.dbo.usps_rate_master VALUES ('USPS', '2/13/2025', '2/13/2026', 12659, 'US', 'USPS Ground Advantage', 6, 16, 'L', 15.2, 'Wedgewood_USPS_2025', 'NonCubic','2');</v>
      </c>
    </row>
    <row r="1094" spans="1:14" x14ac:dyDescent="0.3">
      <c r="A1094" t="s">
        <v>11</v>
      </c>
      <c r="B1094" s="1" t="s">
        <v>43</v>
      </c>
      <c r="C1094" s="1" t="s">
        <v>44</v>
      </c>
      <c r="D1094">
        <v>12659</v>
      </c>
      <c r="E1094" t="s">
        <v>12</v>
      </c>
      <c r="F1094" t="s">
        <v>51</v>
      </c>
      <c r="G1094">
        <v>6</v>
      </c>
      <c r="H1094">
        <v>17</v>
      </c>
      <c r="I1094" t="s">
        <v>45</v>
      </c>
      <c r="J1094" cm="1">
        <f t="array" ref="J1094">IFERROR(
    _xlfn.XLOOKUP(G1094, 'Wedgewood Pharm-GA-Yr2-2025'!$E$55:$L$55,
        _xlfn.XLOOKUP('Rate Load'!H1094, 'Wedgewood Pharm-GA-Yr2-2025'!$D$72:$D$101,
            'Wedgewood Pharm-GA-Yr2-2025'!$E$72:$L$101, 0, 0),
        0, 0),
    _xlfn.XLOOKUP(G1094, 'Wedgewood Pharm-GA-Yr2-2025'!$E$55:$L$55,
        _xlfn.XLOOKUP('Rate Load'!L1094, 'Wedgewood Pharm-GA-Yr2-2025'!$D$72:$D$101,
            'Wedgewood Pharm-GA-Yr2-2025'!$E$72:$L$101, 0, 0),
        0, 0)
)</f>
        <v>15.87</v>
      </c>
      <c r="K1094" t="s">
        <v>46</v>
      </c>
      <c r="L1094" t="s">
        <v>13</v>
      </c>
      <c r="M1094">
        <v>2</v>
      </c>
      <c r="N1094" t="str">
        <f t="shared" si="17"/>
        <v>INSERT INTO TNL_RATING.dbo.usps_rate_master VALUES ('USPS', '2/13/2025', '2/13/2026', 12659, 'US', 'USPS Ground Advantage', 6, 17, 'L', 15.87, 'Wedgewood_USPS_2025', 'NonCubic','2');</v>
      </c>
    </row>
    <row r="1095" spans="1:14" x14ac:dyDescent="0.3">
      <c r="A1095" t="s">
        <v>11</v>
      </c>
      <c r="B1095" s="1" t="s">
        <v>43</v>
      </c>
      <c r="C1095" s="1" t="s">
        <v>44</v>
      </c>
      <c r="D1095">
        <v>12659</v>
      </c>
      <c r="E1095" t="s">
        <v>12</v>
      </c>
      <c r="F1095" t="s">
        <v>51</v>
      </c>
      <c r="G1095">
        <v>6</v>
      </c>
      <c r="H1095">
        <v>18</v>
      </c>
      <c r="I1095" t="s">
        <v>45</v>
      </c>
      <c r="J1095" cm="1">
        <f t="array" ref="J1095">IFERROR(
    _xlfn.XLOOKUP(G1095, 'Wedgewood Pharm-GA-Yr2-2025'!$E$55:$L$55,
        _xlfn.XLOOKUP('Rate Load'!H1095, 'Wedgewood Pharm-GA-Yr2-2025'!$D$72:$D$101,
            'Wedgewood Pharm-GA-Yr2-2025'!$E$72:$L$101, 0, 0),
        0, 0),
    _xlfn.XLOOKUP(G1095, 'Wedgewood Pharm-GA-Yr2-2025'!$E$55:$L$55,
        _xlfn.XLOOKUP('Rate Load'!L1095, 'Wedgewood Pharm-GA-Yr2-2025'!$D$72:$D$101,
            'Wedgewood Pharm-GA-Yr2-2025'!$E$72:$L$101, 0, 0),
        0, 0)
)</f>
        <v>16.560000000000002</v>
      </c>
      <c r="K1095" t="s">
        <v>46</v>
      </c>
      <c r="L1095" t="s">
        <v>13</v>
      </c>
      <c r="M1095">
        <v>2</v>
      </c>
      <c r="N1095" t="str">
        <f t="shared" si="17"/>
        <v>INSERT INTO TNL_RATING.dbo.usps_rate_master VALUES ('USPS', '2/13/2025', '2/13/2026', 12659, 'US', 'USPS Ground Advantage', 6, 18, 'L', 16.56, 'Wedgewood_USPS_2025', 'NonCubic','2');</v>
      </c>
    </row>
    <row r="1096" spans="1:14" x14ac:dyDescent="0.3">
      <c r="A1096" t="s">
        <v>11</v>
      </c>
      <c r="B1096" s="1" t="s">
        <v>43</v>
      </c>
      <c r="C1096" s="1" t="s">
        <v>44</v>
      </c>
      <c r="D1096">
        <v>12659</v>
      </c>
      <c r="E1096" t="s">
        <v>12</v>
      </c>
      <c r="F1096" t="s">
        <v>51</v>
      </c>
      <c r="G1096">
        <v>6</v>
      </c>
      <c r="H1096">
        <v>19</v>
      </c>
      <c r="I1096" t="s">
        <v>45</v>
      </c>
      <c r="J1096" cm="1">
        <f t="array" ref="J1096">IFERROR(
    _xlfn.XLOOKUP(G1096, 'Wedgewood Pharm-GA-Yr2-2025'!$E$55:$L$55,
        _xlfn.XLOOKUP('Rate Load'!H1096, 'Wedgewood Pharm-GA-Yr2-2025'!$D$72:$D$101,
            'Wedgewood Pharm-GA-Yr2-2025'!$E$72:$L$101, 0, 0),
        0, 0),
    _xlfn.XLOOKUP(G1096, 'Wedgewood Pharm-GA-Yr2-2025'!$E$55:$L$55,
        _xlfn.XLOOKUP('Rate Load'!L1096, 'Wedgewood Pharm-GA-Yr2-2025'!$D$72:$D$101,
            'Wedgewood Pharm-GA-Yr2-2025'!$E$72:$L$101, 0, 0),
        0, 0)
)</f>
        <v>17.130000000000003</v>
      </c>
      <c r="K1096" t="s">
        <v>46</v>
      </c>
      <c r="L1096" t="s">
        <v>13</v>
      </c>
      <c r="M1096">
        <v>2</v>
      </c>
      <c r="N1096" t="str">
        <f t="shared" si="17"/>
        <v>INSERT INTO TNL_RATING.dbo.usps_rate_master VALUES ('USPS', '2/13/2025', '2/13/2026', 12659, 'US', 'USPS Ground Advantage', 6, 19, 'L', 17.13, 'Wedgewood_USPS_2025', 'NonCubic','2');</v>
      </c>
    </row>
    <row r="1097" spans="1:14" x14ac:dyDescent="0.3">
      <c r="A1097" t="s">
        <v>11</v>
      </c>
      <c r="B1097" s="1" t="s">
        <v>43</v>
      </c>
      <c r="C1097" s="1" t="s">
        <v>44</v>
      </c>
      <c r="D1097">
        <v>12659</v>
      </c>
      <c r="E1097" t="s">
        <v>12</v>
      </c>
      <c r="F1097" t="s">
        <v>51</v>
      </c>
      <c r="G1097">
        <v>6</v>
      </c>
      <c r="H1097">
        <v>20</v>
      </c>
      <c r="I1097" t="s">
        <v>45</v>
      </c>
      <c r="J1097" cm="1">
        <f t="array" ref="J1097">IFERROR(
    _xlfn.XLOOKUP(G1097, 'Wedgewood Pharm-GA-Yr2-2025'!$E$55:$L$55,
        _xlfn.XLOOKUP('Rate Load'!H1097, 'Wedgewood Pharm-GA-Yr2-2025'!$D$72:$D$101,
            'Wedgewood Pharm-GA-Yr2-2025'!$E$72:$L$101, 0, 0),
        0, 0),
    _xlfn.XLOOKUP(G1097, 'Wedgewood Pharm-GA-Yr2-2025'!$E$55:$L$55,
        _xlfn.XLOOKUP('Rate Load'!L1097, 'Wedgewood Pharm-GA-Yr2-2025'!$D$72:$D$101,
            'Wedgewood Pharm-GA-Yr2-2025'!$E$72:$L$101, 0, 0),
        0, 0)
)</f>
        <v>17.760000000000002</v>
      </c>
      <c r="K1097" t="s">
        <v>46</v>
      </c>
      <c r="L1097" t="s">
        <v>13</v>
      </c>
      <c r="M1097">
        <v>2</v>
      </c>
      <c r="N1097" t="str">
        <f t="shared" si="17"/>
        <v>INSERT INTO TNL_RATING.dbo.usps_rate_master VALUES ('USPS', '2/13/2025', '2/13/2026', 12659, 'US', 'USPS Ground Advantage', 6, 20, 'L', 17.76, 'Wedgewood_USPS_2025', 'NonCubic','2');</v>
      </c>
    </row>
    <row r="1098" spans="1:14" x14ac:dyDescent="0.3">
      <c r="A1098" t="s">
        <v>11</v>
      </c>
      <c r="B1098" s="1" t="s">
        <v>43</v>
      </c>
      <c r="C1098" s="1" t="s">
        <v>44</v>
      </c>
      <c r="D1098">
        <v>12659</v>
      </c>
      <c r="E1098" t="s">
        <v>12</v>
      </c>
      <c r="F1098" t="s">
        <v>51</v>
      </c>
      <c r="G1098">
        <v>7</v>
      </c>
      <c r="H1098">
        <v>1</v>
      </c>
      <c r="I1098" t="s">
        <v>45</v>
      </c>
      <c r="J1098" cm="1">
        <f t="array" ref="J1098">IFERROR(
    _xlfn.XLOOKUP(G1098, 'Wedgewood Pharm-GA-Yr2-2025'!$E$55:$L$55,
        _xlfn.XLOOKUP('Rate Load'!H1098, 'Wedgewood Pharm-GA-Yr2-2025'!$D$72:$D$101,
            'Wedgewood Pharm-GA-Yr2-2025'!$E$72:$L$101, 0, 0),
        0, 0),
    _xlfn.XLOOKUP(G1098, 'Wedgewood Pharm-GA-Yr2-2025'!$E$55:$L$55,
        _xlfn.XLOOKUP('Rate Load'!L1098, 'Wedgewood Pharm-GA-Yr2-2025'!$D$72:$D$101,
            'Wedgewood Pharm-GA-Yr2-2025'!$E$72:$L$101, 0, 0),
        0, 0)
)</f>
        <v>7.16</v>
      </c>
      <c r="K1098" t="s">
        <v>46</v>
      </c>
      <c r="L1098" t="s">
        <v>13</v>
      </c>
      <c r="M1098">
        <v>2</v>
      </c>
      <c r="N1098" t="str">
        <f t="shared" si="17"/>
        <v>INSERT INTO TNL_RATING.dbo.usps_rate_master VALUES ('USPS', '2/13/2025', '2/13/2026', 12659, 'US', 'USPS Ground Advantage', 7, 1, 'L', 7.16, 'Wedgewood_USPS_2025', 'NonCubic','2');</v>
      </c>
    </row>
    <row r="1099" spans="1:14" x14ac:dyDescent="0.3">
      <c r="A1099" t="s">
        <v>11</v>
      </c>
      <c r="B1099" s="1" t="s">
        <v>43</v>
      </c>
      <c r="C1099" s="1" t="s">
        <v>44</v>
      </c>
      <c r="D1099">
        <v>12659</v>
      </c>
      <c r="E1099" t="s">
        <v>12</v>
      </c>
      <c r="F1099" t="s">
        <v>51</v>
      </c>
      <c r="G1099">
        <v>7</v>
      </c>
      <c r="H1099">
        <v>2</v>
      </c>
      <c r="I1099" t="s">
        <v>45</v>
      </c>
      <c r="J1099" cm="1">
        <f t="array" ref="J1099">IFERROR(
    _xlfn.XLOOKUP(G1099, 'Wedgewood Pharm-GA-Yr2-2025'!$E$55:$L$55,
        _xlfn.XLOOKUP('Rate Load'!H1099, 'Wedgewood Pharm-GA-Yr2-2025'!$D$72:$D$101,
            'Wedgewood Pharm-GA-Yr2-2025'!$E$72:$L$101, 0, 0),
        0, 0),
    _xlfn.XLOOKUP(G1099, 'Wedgewood Pharm-GA-Yr2-2025'!$E$55:$L$55,
        _xlfn.XLOOKUP('Rate Load'!L1099, 'Wedgewood Pharm-GA-Yr2-2025'!$D$72:$D$101,
            'Wedgewood Pharm-GA-Yr2-2025'!$E$72:$L$101, 0, 0),
        0, 0)
)</f>
        <v>8.31</v>
      </c>
      <c r="K1099" t="s">
        <v>46</v>
      </c>
      <c r="L1099" t="s">
        <v>13</v>
      </c>
      <c r="M1099">
        <v>2</v>
      </c>
      <c r="N1099" t="str">
        <f t="shared" si="17"/>
        <v>INSERT INTO TNL_RATING.dbo.usps_rate_master VALUES ('USPS', '2/13/2025', '2/13/2026', 12659, 'US', 'USPS Ground Advantage', 7, 2, 'L', 8.31, 'Wedgewood_USPS_2025', 'NonCubic','2');</v>
      </c>
    </row>
    <row r="1100" spans="1:14" x14ac:dyDescent="0.3">
      <c r="A1100" t="s">
        <v>11</v>
      </c>
      <c r="B1100" s="1" t="s">
        <v>43</v>
      </c>
      <c r="C1100" s="1" t="s">
        <v>44</v>
      </c>
      <c r="D1100">
        <v>12659</v>
      </c>
      <c r="E1100" t="s">
        <v>12</v>
      </c>
      <c r="F1100" t="s">
        <v>51</v>
      </c>
      <c r="G1100">
        <v>7</v>
      </c>
      <c r="H1100">
        <v>3</v>
      </c>
      <c r="I1100" t="s">
        <v>45</v>
      </c>
      <c r="J1100" cm="1">
        <f t="array" ref="J1100">IFERROR(
    _xlfn.XLOOKUP(G1100, 'Wedgewood Pharm-GA-Yr2-2025'!$E$55:$L$55,
        _xlfn.XLOOKUP('Rate Load'!H1100, 'Wedgewood Pharm-GA-Yr2-2025'!$D$72:$D$101,
            'Wedgewood Pharm-GA-Yr2-2025'!$E$72:$L$101, 0, 0),
        0, 0),
    _xlfn.XLOOKUP(G1100, 'Wedgewood Pharm-GA-Yr2-2025'!$E$55:$L$55,
        _xlfn.XLOOKUP('Rate Load'!L1100, 'Wedgewood Pharm-GA-Yr2-2025'!$D$72:$D$101,
            'Wedgewood Pharm-GA-Yr2-2025'!$E$72:$L$101, 0, 0),
        0, 0)
)</f>
        <v>9.52</v>
      </c>
      <c r="K1100" t="s">
        <v>46</v>
      </c>
      <c r="L1100" t="s">
        <v>13</v>
      </c>
      <c r="M1100">
        <v>2</v>
      </c>
      <c r="N1100" t="str">
        <f t="shared" si="17"/>
        <v>INSERT INTO TNL_RATING.dbo.usps_rate_master VALUES ('USPS', '2/13/2025', '2/13/2026', 12659, 'US', 'USPS Ground Advantage', 7, 3, 'L', 9.52, 'Wedgewood_USPS_2025', 'NonCubic','2');</v>
      </c>
    </row>
    <row r="1101" spans="1:14" x14ac:dyDescent="0.3">
      <c r="A1101" t="s">
        <v>11</v>
      </c>
      <c r="B1101" s="1" t="s">
        <v>43</v>
      </c>
      <c r="C1101" s="1" t="s">
        <v>44</v>
      </c>
      <c r="D1101">
        <v>12659</v>
      </c>
      <c r="E1101" t="s">
        <v>12</v>
      </c>
      <c r="F1101" t="s">
        <v>51</v>
      </c>
      <c r="G1101">
        <v>7</v>
      </c>
      <c r="H1101">
        <v>4</v>
      </c>
      <c r="I1101" t="s">
        <v>45</v>
      </c>
      <c r="J1101" cm="1">
        <f t="array" ref="J1101">IFERROR(
    _xlfn.XLOOKUP(G1101, 'Wedgewood Pharm-GA-Yr2-2025'!$E$55:$L$55,
        _xlfn.XLOOKUP('Rate Load'!H1101, 'Wedgewood Pharm-GA-Yr2-2025'!$D$72:$D$101,
            'Wedgewood Pharm-GA-Yr2-2025'!$E$72:$L$101, 0, 0),
        0, 0),
    _xlfn.XLOOKUP(G1101, 'Wedgewood Pharm-GA-Yr2-2025'!$E$55:$L$55,
        _xlfn.XLOOKUP('Rate Load'!L1101, 'Wedgewood Pharm-GA-Yr2-2025'!$D$72:$D$101,
            'Wedgewood Pharm-GA-Yr2-2025'!$E$72:$L$101, 0, 0),
        0, 0)
)</f>
        <v>10.32</v>
      </c>
      <c r="K1101" t="s">
        <v>46</v>
      </c>
      <c r="L1101" t="s">
        <v>13</v>
      </c>
      <c r="M1101">
        <v>2</v>
      </c>
      <c r="N1101" t="str">
        <f t="shared" si="17"/>
        <v>INSERT INTO TNL_RATING.dbo.usps_rate_master VALUES ('USPS', '2/13/2025', '2/13/2026', 12659, 'US', 'USPS Ground Advantage', 7, 4, 'L', 10.32, 'Wedgewood_USPS_2025', 'NonCubic','2');</v>
      </c>
    </row>
    <row r="1102" spans="1:14" x14ac:dyDescent="0.3">
      <c r="A1102" t="s">
        <v>11</v>
      </c>
      <c r="B1102" s="1" t="s">
        <v>43</v>
      </c>
      <c r="C1102" s="1" t="s">
        <v>44</v>
      </c>
      <c r="D1102">
        <v>12659</v>
      </c>
      <c r="E1102" t="s">
        <v>12</v>
      </c>
      <c r="F1102" t="s">
        <v>51</v>
      </c>
      <c r="G1102">
        <v>7</v>
      </c>
      <c r="H1102">
        <v>5</v>
      </c>
      <c r="I1102" t="s">
        <v>45</v>
      </c>
      <c r="J1102" cm="1">
        <f t="array" ref="J1102">IFERROR(
    _xlfn.XLOOKUP(G1102, 'Wedgewood Pharm-GA-Yr2-2025'!$E$55:$L$55,
        _xlfn.XLOOKUP('Rate Load'!H1102, 'Wedgewood Pharm-GA-Yr2-2025'!$D$72:$D$101,
            'Wedgewood Pharm-GA-Yr2-2025'!$E$72:$L$101, 0, 0),
        0, 0),
    _xlfn.XLOOKUP(G1102, 'Wedgewood Pharm-GA-Yr2-2025'!$E$55:$L$55,
        _xlfn.XLOOKUP('Rate Load'!L1102, 'Wedgewood Pharm-GA-Yr2-2025'!$D$72:$D$101,
            'Wedgewood Pharm-GA-Yr2-2025'!$E$72:$L$101, 0, 0),
        0, 0)
)</f>
        <v>10.86</v>
      </c>
      <c r="K1102" t="s">
        <v>46</v>
      </c>
      <c r="L1102" t="s">
        <v>13</v>
      </c>
      <c r="M1102">
        <v>2</v>
      </c>
      <c r="N1102" t="str">
        <f t="shared" si="17"/>
        <v>INSERT INTO TNL_RATING.dbo.usps_rate_master VALUES ('USPS', '2/13/2025', '2/13/2026', 12659, 'US', 'USPS Ground Advantage', 7, 5, 'L', 10.86, 'Wedgewood_USPS_2025', 'NonCubic','2');</v>
      </c>
    </row>
    <row r="1103" spans="1:14" x14ac:dyDescent="0.3">
      <c r="A1103" t="s">
        <v>11</v>
      </c>
      <c r="B1103" s="1" t="s">
        <v>43</v>
      </c>
      <c r="C1103" s="1" t="s">
        <v>44</v>
      </c>
      <c r="D1103">
        <v>12659</v>
      </c>
      <c r="E1103" t="s">
        <v>12</v>
      </c>
      <c r="F1103" t="s">
        <v>51</v>
      </c>
      <c r="G1103">
        <v>7</v>
      </c>
      <c r="H1103">
        <v>6</v>
      </c>
      <c r="I1103" t="s">
        <v>45</v>
      </c>
      <c r="J1103" cm="1">
        <f t="array" ref="J1103">IFERROR(
    _xlfn.XLOOKUP(G1103, 'Wedgewood Pharm-GA-Yr2-2025'!$E$55:$L$55,
        _xlfn.XLOOKUP('Rate Load'!H1103, 'Wedgewood Pharm-GA-Yr2-2025'!$D$72:$D$101,
            'Wedgewood Pharm-GA-Yr2-2025'!$E$72:$L$101, 0, 0),
        0, 0),
    _xlfn.XLOOKUP(G1103, 'Wedgewood Pharm-GA-Yr2-2025'!$E$55:$L$55,
        _xlfn.XLOOKUP('Rate Load'!L1103, 'Wedgewood Pharm-GA-Yr2-2025'!$D$72:$D$101,
            'Wedgewood Pharm-GA-Yr2-2025'!$E$72:$L$101, 0, 0),
        0, 0)
)</f>
        <v>11.17</v>
      </c>
      <c r="K1103" t="s">
        <v>46</v>
      </c>
      <c r="L1103" t="s">
        <v>13</v>
      </c>
      <c r="M1103">
        <v>2</v>
      </c>
      <c r="N1103" t="str">
        <f t="shared" si="17"/>
        <v>INSERT INTO TNL_RATING.dbo.usps_rate_master VALUES ('USPS', '2/13/2025', '2/13/2026', 12659, 'US', 'USPS Ground Advantage', 7, 6, 'L', 11.17, 'Wedgewood_USPS_2025', 'NonCubic','2');</v>
      </c>
    </row>
    <row r="1104" spans="1:14" x14ac:dyDescent="0.3">
      <c r="A1104" t="s">
        <v>11</v>
      </c>
      <c r="B1104" s="1" t="s">
        <v>43</v>
      </c>
      <c r="C1104" s="1" t="s">
        <v>44</v>
      </c>
      <c r="D1104">
        <v>12659</v>
      </c>
      <c r="E1104" t="s">
        <v>12</v>
      </c>
      <c r="F1104" t="s">
        <v>51</v>
      </c>
      <c r="G1104">
        <v>7</v>
      </c>
      <c r="H1104">
        <v>7</v>
      </c>
      <c r="I1104" t="s">
        <v>45</v>
      </c>
      <c r="J1104" cm="1">
        <f t="array" ref="J1104">IFERROR(
    _xlfn.XLOOKUP(G1104, 'Wedgewood Pharm-GA-Yr2-2025'!$E$55:$L$55,
        _xlfn.XLOOKUP('Rate Load'!H1104, 'Wedgewood Pharm-GA-Yr2-2025'!$D$72:$D$101,
            'Wedgewood Pharm-GA-Yr2-2025'!$E$72:$L$101, 0, 0),
        0, 0),
    _xlfn.XLOOKUP(G1104, 'Wedgewood Pharm-GA-Yr2-2025'!$E$55:$L$55,
        _xlfn.XLOOKUP('Rate Load'!L1104, 'Wedgewood Pharm-GA-Yr2-2025'!$D$72:$D$101,
            'Wedgewood Pharm-GA-Yr2-2025'!$E$72:$L$101, 0, 0),
        0, 0)
)</f>
        <v>11.59</v>
      </c>
      <c r="K1104" t="s">
        <v>46</v>
      </c>
      <c r="L1104" t="s">
        <v>13</v>
      </c>
      <c r="M1104">
        <v>2</v>
      </c>
      <c r="N1104" t="str">
        <f t="shared" si="17"/>
        <v>INSERT INTO TNL_RATING.dbo.usps_rate_master VALUES ('USPS', '2/13/2025', '2/13/2026', 12659, 'US', 'USPS Ground Advantage', 7, 7, 'L', 11.59, 'Wedgewood_USPS_2025', 'NonCubic','2');</v>
      </c>
    </row>
    <row r="1105" spans="1:14" x14ac:dyDescent="0.3">
      <c r="A1105" t="s">
        <v>11</v>
      </c>
      <c r="B1105" s="1" t="s">
        <v>43</v>
      </c>
      <c r="C1105" s="1" t="s">
        <v>44</v>
      </c>
      <c r="D1105">
        <v>12659</v>
      </c>
      <c r="E1105" t="s">
        <v>12</v>
      </c>
      <c r="F1105" t="s">
        <v>51</v>
      </c>
      <c r="G1105">
        <v>7</v>
      </c>
      <c r="H1105">
        <v>8</v>
      </c>
      <c r="I1105" t="s">
        <v>45</v>
      </c>
      <c r="J1105" cm="1">
        <f t="array" ref="J1105">IFERROR(
    _xlfn.XLOOKUP(G1105, 'Wedgewood Pharm-GA-Yr2-2025'!$E$55:$L$55,
        _xlfn.XLOOKUP('Rate Load'!H1105, 'Wedgewood Pharm-GA-Yr2-2025'!$D$72:$D$101,
            'Wedgewood Pharm-GA-Yr2-2025'!$E$72:$L$101, 0, 0),
        0, 0),
    _xlfn.XLOOKUP(G1105, 'Wedgewood Pharm-GA-Yr2-2025'!$E$55:$L$55,
        _xlfn.XLOOKUP('Rate Load'!L1105, 'Wedgewood Pharm-GA-Yr2-2025'!$D$72:$D$101,
            'Wedgewood Pharm-GA-Yr2-2025'!$E$72:$L$101, 0, 0),
        0, 0)
)</f>
        <v>11.99</v>
      </c>
      <c r="K1105" t="s">
        <v>46</v>
      </c>
      <c r="L1105" t="s">
        <v>13</v>
      </c>
      <c r="M1105">
        <v>2</v>
      </c>
      <c r="N1105" t="str">
        <f t="shared" si="17"/>
        <v>INSERT INTO TNL_RATING.dbo.usps_rate_master VALUES ('USPS', '2/13/2025', '2/13/2026', 12659, 'US', 'USPS Ground Advantage', 7, 8, 'L', 11.99, 'Wedgewood_USPS_2025', 'NonCubic','2');</v>
      </c>
    </row>
    <row r="1106" spans="1:14" x14ac:dyDescent="0.3">
      <c r="A1106" t="s">
        <v>11</v>
      </c>
      <c r="B1106" s="1" t="s">
        <v>43</v>
      </c>
      <c r="C1106" s="1" t="s">
        <v>44</v>
      </c>
      <c r="D1106">
        <v>12659</v>
      </c>
      <c r="E1106" t="s">
        <v>12</v>
      </c>
      <c r="F1106" t="s">
        <v>51</v>
      </c>
      <c r="G1106">
        <v>7</v>
      </c>
      <c r="H1106">
        <v>9</v>
      </c>
      <c r="I1106" t="s">
        <v>45</v>
      </c>
      <c r="J1106" cm="1">
        <f t="array" ref="J1106">IFERROR(
    _xlfn.XLOOKUP(G1106, 'Wedgewood Pharm-GA-Yr2-2025'!$E$55:$L$55,
        _xlfn.XLOOKUP('Rate Load'!H1106, 'Wedgewood Pharm-GA-Yr2-2025'!$D$72:$D$101,
            'Wedgewood Pharm-GA-Yr2-2025'!$E$72:$L$101, 0, 0),
        0, 0),
    _xlfn.XLOOKUP(G1106, 'Wedgewood Pharm-GA-Yr2-2025'!$E$55:$L$55,
        _xlfn.XLOOKUP('Rate Load'!L1106, 'Wedgewood Pharm-GA-Yr2-2025'!$D$72:$D$101,
            'Wedgewood Pharm-GA-Yr2-2025'!$E$72:$L$101, 0, 0),
        0, 0)
)</f>
        <v>12.45</v>
      </c>
      <c r="K1106" t="s">
        <v>46</v>
      </c>
      <c r="L1106" t="s">
        <v>13</v>
      </c>
      <c r="M1106">
        <v>2</v>
      </c>
      <c r="N1106" t="str">
        <f t="shared" si="17"/>
        <v>INSERT INTO TNL_RATING.dbo.usps_rate_master VALUES ('USPS', '2/13/2025', '2/13/2026', 12659, 'US', 'USPS Ground Advantage', 7, 9, 'L', 12.45, 'Wedgewood_USPS_2025', 'NonCubic','2');</v>
      </c>
    </row>
    <row r="1107" spans="1:14" x14ac:dyDescent="0.3">
      <c r="A1107" t="s">
        <v>11</v>
      </c>
      <c r="B1107" s="1" t="s">
        <v>43</v>
      </c>
      <c r="C1107" s="1" t="s">
        <v>44</v>
      </c>
      <c r="D1107">
        <v>12659</v>
      </c>
      <c r="E1107" t="s">
        <v>12</v>
      </c>
      <c r="F1107" t="s">
        <v>51</v>
      </c>
      <c r="G1107">
        <v>7</v>
      </c>
      <c r="H1107">
        <v>10</v>
      </c>
      <c r="I1107" t="s">
        <v>45</v>
      </c>
      <c r="J1107" cm="1">
        <f t="array" ref="J1107">IFERROR(
    _xlfn.XLOOKUP(G1107, 'Wedgewood Pharm-GA-Yr2-2025'!$E$55:$L$55,
        _xlfn.XLOOKUP('Rate Load'!H1107, 'Wedgewood Pharm-GA-Yr2-2025'!$D$72:$D$101,
            'Wedgewood Pharm-GA-Yr2-2025'!$E$72:$L$101, 0, 0),
        0, 0),
    _xlfn.XLOOKUP(G1107, 'Wedgewood Pharm-GA-Yr2-2025'!$E$55:$L$55,
        _xlfn.XLOOKUP('Rate Load'!L1107, 'Wedgewood Pharm-GA-Yr2-2025'!$D$72:$D$101,
            'Wedgewood Pharm-GA-Yr2-2025'!$E$72:$L$101, 0, 0),
        0, 0)
)</f>
        <v>13.08</v>
      </c>
      <c r="K1107" t="s">
        <v>46</v>
      </c>
      <c r="L1107" t="s">
        <v>13</v>
      </c>
      <c r="M1107">
        <v>2</v>
      </c>
      <c r="N1107" t="str">
        <f t="shared" si="17"/>
        <v>INSERT INTO TNL_RATING.dbo.usps_rate_master VALUES ('USPS', '2/13/2025', '2/13/2026', 12659, 'US', 'USPS Ground Advantage', 7, 10, 'L', 13.08, 'Wedgewood_USPS_2025', 'NonCubic','2');</v>
      </c>
    </row>
    <row r="1108" spans="1:14" x14ac:dyDescent="0.3">
      <c r="A1108" t="s">
        <v>11</v>
      </c>
      <c r="B1108" s="1" t="s">
        <v>43</v>
      </c>
      <c r="C1108" s="1" t="s">
        <v>44</v>
      </c>
      <c r="D1108">
        <v>12659</v>
      </c>
      <c r="E1108" t="s">
        <v>12</v>
      </c>
      <c r="F1108" t="s">
        <v>51</v>
      </c>
      <c r="G1108">
        <v>7</v>
      </c>
      <c r="H1108">
        <v>11</v>
      </c>
      <c r="I1108" t="s">
        <v>45</v>
      </c>
      <c r="J1108" cm="1">
        <f t="array" ref="J1108">IFERROR(
    _xlfn.XLOOKUP(G1108, 'Wedgewood Pharm-GA-Yr2-2025'!$E$55:$L$55,
        _xlfn.XLOOKUP('Rate Load'!H1108, 'Wedgewood Pharm-GA-Yr2-2025'!$D$72:$D$101,
            'Wedgewood Pharm-GA-Yr2-2025'!$E$72:$L$101, 0, 0),
        0, 0),
    _xlfn.XLOOKUP(G1108, 'Wedgewood Pharm-GA-Yr2-2025'!$E$55:$L$55,
        _xlfn.XLOOKUP('Rate Load'!L1108, 'Wedgewood Pharm-GA-Yr2-2025'!$D$72:$D$101,
            'Wedgewood Pharm-GA-Yr2-2025'!$E$72:$L$101, 0, 0),
        0, 0)
)</f>
        <v>14.02</v>
      </c>
      <c r="K1108" t="s">
        <v>46</v>
      </c>
      <c r="L1108" t="s">
        <v>13</v>
      </c>
      <c r="M1108">
        <v>2</v>
      </c>
      <c r="N1108" t="str">
        <f t="shared" si="17"/>
        <v>INSERT INTO TNL_RATING.dbo.usps_rate_master VALUES ('USPS', '2/13/2025', '2/13/2026', 12659, 'US', 'USPS Ground Advantage', 7, 11, 'L', 14.02, 'Wedgewood_USPS_2025', 'NonCubic','2');</v>
      </c>
    </row>
    <row r="1109" spans="1:14" x14ac:dyDescent="0.3">
      <c r="A1109" t="s">
        <v>11</v>
      </c>
      <c r="B1109" s="1" t="s">
        <v>43</v>
      </c>
      <c r="C1109" s="1" t="s">
        <v>44</v>
      </c>
      <c r="D1109">
        <v>12659</v>
      </c>
      <c r="E1109" t="s">
        <v>12</v>
      </c>
      <c r="F1109" t="s">
        <v>51</v>
      </c>
      <c r="G1109">
        <v>7</v>
      </c>
      <c r="H1109">
        <v>12</v>
      </c>
      <c r="I1109" t="s">
        <v>45</v>
      </c>
      <c r="J1109" cm="1">
        <f t="array" ref="J1109">IFERROR(
    _xlfn.XLOOKUP(G1109, 'Wedgewood Pharm-GA-Yr2-2025'!$E$55:$L$55,
        _xlfn.XLOOKUP('Rate Load'!H1109, 'Wedgewood Pharm-GA-Yr2-2025'!$D$72:$D$101,
            'Wedgewood Pharm-GA-Yr2-2025'!$E$72:$L$101, 0, 0),
        0, 0),
    _xlfn.XLOOKUP(G1109, 'Wedgewood Pharm-GA-Yr2-2025'!$E$55:$L$55,
        _xlfn.XLOOKUP('Rate Load'!L1109, 'Wedgewood Pharm-GA-Yr2-2025'!$D$72:$D$101,
            'Wedgewood Pharm-GA-Yr2-2025'!$E$72:$L$101, 0, 0),
        0, 0)
)</f>
        <v>14.67</v>
      </c>
      <c r="K1109" t="s">
        <v>46</v>
      </c>
      <c r="L1109" t="s">
        <v>13</v>
      </c>
      <c r="M1109">
        <v>2</v>
      </c>
      <c r="N1109" t="str">
        <f t="shared" si="17"/>
        <v>INSERT INTO TNL_RATING.dbo.usps_rate_master VALUES ('USPS', '2/13/2025', '2/13/2026', 12659, 'US', 'USPS Ground Advantage', 7, 12, 'L', 14.67, 'Wedgewood_USPS_2025', 'NonCubic','2');</v>
      </c>
    </row>
    <row r="1110" spans="1:14" x14ac:dyDescent="0.3">
      <c r="A1110" t="s">
        <v>11</v>
      </c>
      <c r="B1110" s="1" t="s">
        <v>43</v>
      </c>
      <c r="C1110" s="1" t="s">
        <v>44</v>
      </c>
      <c r="D1110">
        <v>12659</v>
      </c>
      <c r="E1110" t="s">
        <v>12</v>
      </c>
      <c r="F1110" t="s">
        <v>51</v>
      </c>
      <c r="G1110">
        <v>7</v>
      </c>
      <c r="H1110">
        <v>13</v>
      </c>
      <c r="I1110" t="s">
        <v>45</v>
      </c>
      <c r="J1110" cm="1">
        <f t="array" ref="J1110">IFERROR(
    _xlfn.XLOOKUP(G1110, 'Wedgewood Pharm-GA-Yr2-2025'!$E$55:$L$55,
        _xlfn.XLOOKUP('Rate Load'!H1110, 'Wedgewood Pharm-GA-Yr2-2025'!$D$72:$D$101,
            'Wedgewood Pharm-GA-Yr2-2025'!$E$72:$L$101, 0, 0),
        0, 0),
    _xlfn.XLOOKUP(G1110, 'Wedgewood Pharm-GA-Yr2-2025'!$E$55:$L$55,
        _xlfn.XLOOKUP('Rate Load'!L1110, 'Wedgewood Pharm-GA-Yr2-2025'!$D$72:$D$101,
            'Wedgewood Pharm-GA-Yr2-2025'!$E$72:$L$101, 0, 0),
        0, 0)
)</f>
        <v>15.65</v>
      </c>
      <c r="K1110" t="s">
        <v>46</v>
      </c>
      <c r="L1110" t="s">
        <v>13</v>
      </c>
      <c r="M1110">
        <v>2</v>
      </c>
      <c r="N1110" t="str">
        <f t="shared" si="17"/>
        <v>INSERT INTO TNL_RATING.dbo.usps_rate_master VALUES ('USPS', '2/13/2025', '2/13/2026', 12659, 'US', 'USPS Ground Advantage', 7, 13, 'L', 15.65, 'Wedgewood_USPS_2025', 'NonCubic','2');</v>
      </c>
    </row>
    <row r="1111" spans="1:14" x14ac:dyDescent="0.3">
      <c r="A1111" t="s">
        <v>11</v>
      </c>
      <c r="B1111" s="1" t="s">
        <v>43</v>
      </c>
      <c r="C1111" s="1" t="s">
        <v>44</v>
      </c>
      <c r="D1111">
        <v>12659</v>
      </c>
      <c r="E1111" t="s">
        <v>12</v>
      </c>
      <c r="F1111" t="s">
        <v>51</v>
      </c>
      <c r="G1111">
        <v>7</v>
      </c>
      <c r="H1111">
        <v>14</v>
      </c>
      <c r="I1111" t="s">
        <v>45</v>
      </c>
      <c r="J1111" cm="1">
        <f t="array" ref="J1111">IFERROR(
    _xlfn.XLOOKUP(G1111, 'Wedgewood Pharm-GA-Yr2-2025'!$E$55:$L$55,
        _xlfn.XLOOKUP('Rate Load'!H1111, 'Wedgewood Pharm-GA-Yr2-2025'!$D$72:$D$101,
            'Wedgewood Pharm-GA-Yr2-2025'!$E$72:$L$101, 0, 0),
        0, 0),
    _xlfn.XLOOKUP(G1111, 'Wedgewood Pharm-GA-Yr2-2025'!$E$55:$L$55,
        _xlfn.XLOOKUP('Rate Load'!L1111, 'Wedgewood Pharm-GA-Yr2-2025'!$D$72:$D$101,
            'Wedgewood Pharm-GA-Yr2-2025'!$E$72:$L$101, 0, 0),
        0, 0)
)</f>
        <v>16.610000000000003</v>
      </c>
      <c r="K1111" t="s">
        <v>46</v>
      </c>
      <c r="L1111" t="s">
        <v>13</v>
      </c>
      <c r="M1111">
        <v>2</v>
      </c>
      <c r="N1111" t="str">
        <f t="shared" si="17"/>
        <v>INSERT INTO TNL_RATING.dbo.usps_rate_master VALUES ('USPS', '2/13/2025', '2/13/2026', 12659, 'US', 'USPS Ground Advantage', 7, 14, 'L', 16.61, 'Wedgewood_USPS_2025', 'NonCubic','2');</v>
      </c>
    </row>
    <row r="1112" spans="1:14" x14ac:dyDescent="0.3">
      <c r="A1112" t="s">
        <v>11</v>
      </c>
      <c r="B1112" s="1" t="s">
        <v>43</v>
      </c>
      <c r="C1112" s="1" t="s">
        <v>44</v>
      </c>
      <c r="D1112">
        <v>12659</v>
      </c>
      <c r="E1112" t="s">
        <v>12</v>
      </c>
      <c r="F1112" t="s">
        <v>51</v>
      </c>
      <c r="G1112">
        <v>7</v>
      </c>
      <c r="H1112">
        <v>15</v>
      </c>
      <c r="I1112" t="s">
        <v>45</v>
      </c>
      <c r="J1112" cm="1">
        <f t="array" ref="J1112">IFERROR(
    _xlfn.XLOOKUP(G1112, 'Wedgewood Pharm-GA-Yr2-2025'!$E$55:$L$55,
        _xlfn.XLOOKUP('Rate Load'!H1112, 'Wedgewood Pharm-GA-Yr2-2025'!$D$72:$D$101,
            'Wedgewood Pharm-GA-Yr2-2025'!$E$72:$L$101, 0, 0),
        0, 0),
    _xlfn.XLOOKUP(G1112, 'Wedgewood Pharm-GA-Yr2-2025'!$E$55:$L$55,
        _xlfn.XLOOKUP('Rate Load'!L1112, 'Wedgewood Pharm-GA-Yr2-2025'!$D$72:$D$101,
            'Wedgewood Pharm-GA-Yr2-2025'!$E$72:$L$101, 0, 0),
        0, 0)
)</f>
        <v>17.270000000000003</v>
      </c>
      <c r="K1112" t="s">
        <v>46</v>
      </c>
      <c r="L1112" t="s">
        <v>13</v>
      </c>
      <c r="M1112">
        <v>2</v>
      </c>
      <c r="N1112" t="str">
        <f t="shared" si="17"/>
        <v>INSERT INTO TNL_RATING.dbo.usps_rate_master VALUES ('USPS', '2/13/2025', '2/13/2026', 12659, 'US', 'USPS Ground Advantage', 7, 15, 'L', 17.27, 'Wedgewood_USPS_2025', 'NonCubic','2');</v>
      </c>
    </row>
    <row r="1113" spans="1:14" x14ac:dyDescent="0.3">
      <c r="A1113" t="s">
        <v>11</v>
      </c>
      <c r="B1113" s="1" t="s">
        <v>43</v>
      </c>
      <c r="C1113" s="1" t="s">
        <v>44</v>
      </c>
      <c r="D1113">
        <v>12659</v>
      </c>
      <c r="E1113" t="s">
        <v>12</v>
      </c>
      <c r="F1113" t="s">
        <v>51</v>
      </c>
      <c r="G1113">
        <v>7</v>
      </c>
      <c r="H1113">
        <v>16</v>
      </c>
      <c r="I1113" t="s">
        <v>45</v>
      </c>
      <c r="J1113" cm="1">
        <f t="array" ref="J1113">IFERROR(
    _xlfn.XLOOKUP(G1113, 'Wedgewood Pharm-GA-Yr2-2025'!$E$55:$L$55,
        _xlfn.XLOOKUP('Rate Load'!H1113, 'Wedgewood Pharm-GA-Yr2-2025'!$D$72:$D$101,
            'Wedgewood Pharm-GA-Yr2-2025'!$E$72:$L$101, 0, 0),
        0, 0),
    _xlfn.XLOOKUP(G1113, 'Wedgewood Pharm-GA-Yr2-2025'!$E$55:$L$55,
        _xlfn.XLOOKUP('Rate Load'!L1113, 'Wedgewood Pharm-GA-Yr2-2025'!$D$72:$D$101,
            'Wedgewood Pharm-GA-Yr2-2025'!$E$72:$L$101, 0, 0),
        0, 0)
)</f>
        <v>18.040000000000003</v>
      </c>
      <c r="K1113" t="s">
        <v>46</v>
      </c>
      <c r="L1113" t="s">
        <v>13</v>
      </c>
      <c r="M1113">
        <v>2</v>
      </c>
      <c r="N1113" t="str">
        <f t="shared" si="17"/>
        <v>INSERT INTO TNL_RATING.dbo.usps_rate_master VALUES ('USPS', '2/13/2025', '2/13/2026', 12659, 'US', 'USPS Ground Advantage', 7, 16, 'L', 18.04, 'Wedgewood_USPS_2025', 'NonCubic','2');</v>
      </c>
    </row>
    <row r="1114" spans="1:14" x14ac:dyDescent="0.3">
      <c r="A1114" t="s">
        <v>11</v>
      </c>
      <c r="B1114" s="1" t="s">
        <v>43</v>
      </c>
      <c r="C1114" s="1" t="s">
        <v>44</v>
      </c>
      <c r="D1114">
        <v>12659</v>
      </c>
      <c r="E1114" t="s">
        <v>12</v>
      </c>
      <c r="F1114" t="s">
        <v>51</v>
      </c>
      <c r="G1114">
        <v>7</v>
      </c>
      <c r="H1114">
        <v>17</v>
      </c>
      <c r="I1114" t="s">
        <v>45</v>
      </c>
      <c r="J1114" cm="1">
        <f t="array" ref="J1114">IFERROR(
    _xlfn.XLOOKUP(G1114, 'Wedgewood Pharm-GA-Yr2-2025'!$E$55:$L$55,
        _xlfn.XLOOKUP('Rate Load'!H1114, 'Wedgewood Pharm-GA-Yr2-2025'!$D$72:$D$101,
            'Wedgewood Pharm-GA-Yr2-2025'!$E$72:$L$101, 0, 0),
        0, 0),
    _xlfn.XLOOKUP(G1114, 'Wedgewood Pharm-GA-Yr2-2025'!$E$55:$L$55,
        _xlfn.XLOOKUP('Rate Load'!L1114, 'Wedgewood Pharm-GA-Yr2-2025'!$D$72:$D$101,
            'Wedgewood Pharm-GA-Yr2-2025'!$E$72:$L$101, 0, 0),
        0, 0)
)</f>
        <v>19.080000000000002</v>
      </c>
      <c r="K1114" t="s">
        <v>46</v>
      </c>
      <c r="L1114" t="s">
        <v>13</v>
      </c>
      <c r="M1114">
        <v>2</v>
      </c>
      <c r="N1114" t="str">
        <f t="shared" si="17"/>
        <v>INSERT INTO TNL_RATING.dbo.usps_rate_master VALUES ('USPS', '2/13/2025', '2/13/2026', 12659, 'US', 'USPS Ground Advantage', 7, 17, 'L', 19.08, 'Wedgewood_USPS_2025', 'NonCubic','2');</v>
      </c>
    </row>
    <row r="1115" spans="1:14" x14ac:dyDescent="0.3">
      <c r="A1115" t="s">
        <v>11</v>
      </c>
      <c r="B1115" s="1" t="s">
        <v>43</v>
      </c>
      <c r="C1115" s="1" t="s">
        <v>44</v>
      </c>
      <c r="D1115">
        <v>12659</v>
      </c>
      <c r="E1115" t="s">
        <v>12</v>
      </c>
      <c r="F1115" t="s">
        <v>51</v>
      </c>
      <c r="G1115">
        <v>7</v>
      </c>
      <c r="H1115">
        <v>18</v>
      </c>
      <c r="I1115" t="s">
        <v>45</v>
      </c>
      <c r="J1115" cm="1">
        <f t="array" ref="J1115">IFERROR(
    _xlfn.XLOOKUP(G1115, 'Wedgewood Pharm-GA-Yr2-2025'!$E$55:$L$55,
        _xlfn.XLOOKUP('Rate Load'!H1115, 'Wedgewood Pharm-GA-Yr2-2025'!$D$72:$D$101,
            'Wedgewood Pharm-GA-Yr2-2025'!$E$72:$L$101, 0, 0),
        0, 0),
    _xlfn.XLOOKUP(G1115, 'Wedgewood Pharm-GA-Yr2-2025'!$E$55:$L$55,
        _xlfn.XLOOKUP('Rate Load'!L1115, 'Wedgewood Pharm-GA-Yr2-2025'!$D$72:$D$101,
            'Wedgewood Pharm-GA-Yr2-2025'!$E$72:$L$101, 0, 0),
        0, 0)
)</f>
        <v>19.62</v>
      </c>
      <c r="K1115" t="s">
        <v>46</v>
      </c>
      <c r="L1115" t="s">
        <v>13</v>
      </c>
      <c r="M1115">
        <v>2</v>
      </c>
      <c r="N1115" t="str">
        <f t="shared" si="17"/>
        <v>INSERT INTO TNL_RATING.dbo.usps_rate_master VALUES ('USPS', '2/13/2025', '2/13/2026', 12659, 'US', 'USPS Ground Advantage', 7, 18, 'L', 19.62, 'Wedgewood_USPS_2025', 'NonCubic','2');</v>
      </c>
    </row>
    <row r="1116" spans="1:14" x14ac:dyDescent="0.3">
      <c r="A1116" t="s">
        <v>11</v>
      </c>
      <c r="B1116" s="1" t="s">
        <v>43</v>
      </c>
      <c r="C1116" s="1" t="s">
        <v>44</v>
      </c>
      <c r="D1116">
        <v>12659</v>
      </c>
      <c r="E1116" t="s">
        <v>12</v>
      </c>
      <c r="F1116" t="s">
        <v>51</v>
      </c>
      <c r="G1116">
        <v>7</v>
      </c>
      <c r="H1116">
        <v>19</v>
      </c>
      <c r="I1116" t="s">
        <v>45</v>
      </c>
      <c r="J1116" cm="1">
        <f t="array" ref="J1116">IFERROR(
    _xlfn.XLOOKUP(G1116, 'Wedgewood Pharm-GA-Yr2-2025'!$E$55:$L$55,
        _xlfn.XLOOKUP('Rate Load'!H1116, 'Wedgewood Pharm-GA-Yr2-2025'!$D$72:$D$101,
            'Wedgewood Pharm-GA-Yr2-2025'!$E$72:$L$101, 0, 0),
        0, 0),
    _xlfn.XLOOKUP(G1116, 'Wedgewood Pharm-GA-Yr2-2025'!$E$55:$L$55,
        _xlfn.XLOOKUP('Rate Load'!L1116, 'Wedgewood Pharm-GA-Yr2-2025'!$D$72:$D$101,
            'Wedgewood Pharm-GA-Yr2-2025'!$E$72:$L$101, 0, 0),
        0, 0)
)</f>
        <v>20.37</v>
      </c>
      <c r="K1116" t="s">
        <v>46</v>
      </c>
      <c r="L1116" t="s">
        <v>13</v>
      </c>
      <c r="M1116">
        <v>2</v>
      </c>
      <c r="N1116" t="str">
        <f t="shared" si="17"/>
        <v>INSERT INTO TNL_RATING.dbo.usps_rate_master VALUES ('USPS', '2/13/2025', '2/13/2026', 12659, 'US', 'USPS Ground Advantage', 7, 19, 'L', 20.37, 'Wedgewood_USPS_2025', 'NonCubic','2');</v>
      </c>
    </row>
    <row r="1117" spans="1:14" x14ac:dyDescent="0.3">
      <c r="A1117" t="s">
        <v>11</v>
      </c>
      <c r="B1117" s="1" t="s">
        <v>43</v>
      </c>
      <c r="C1117" s="1" t="s">
        <v>44</v>
      </c>
      <c r="D1117">
        <v>12659</v>
      </c>
      <c r="E1117" t="s">
        <v>12</v>
      </c>
      <c r="F1117" t="s">
        <v>51</v>
      </c>
      <c r="G1117">
        <v>7</v>
      </c>
      <c r="H1117">
        <v>20</v>
      </c>
      <c r="I1117" t="s">
        <v>45</v>
      </c>
      <c r="J1117" cm="1">
        <f t="array" ref="J1117">IFERROR(
    _xlfn.XLOOKUP(G1117, 'Wedgewood Pharm-GA-Yr2-2025'!$E$55:$L$55,
        _xlfn.XLOOKUP('Rate Load'!H1117, 'Wedgewood Pharm-GA-Yr2-2025'!$D$72:$D$101,
            'Wedgewood Pharm-GA-Yr2-2025'!$E$72:$L$101, 0, 0),
        0, 0),
    _xlfn.XLOOKUP(G1117, 'Wedgewood Pharm-GA-Yr2-2025'!$E$55:$L$55,
        _xlfn.XLOOKUP('Rate Load'!L1117, 'Wedgewood Pharm-GA-Yr2-2025'!$D$72:$D$101,
            'Wedgewood Pharm-GA-Yr2-2025'!$E$72:$L$101, 0, 0),
        0, 0)
)</f>
        <v>21.16</v>
      </c>
      <c r="K1117" t="s">
        <v>46</v>
      </c>
      <c r="L1117" t="s">
        <v>13</v>
      </c>
      <c r="M1117">
        <v>2</v>
      </c>
      <c r="N1117" t="str">
        <f t="shared" si="17"/>
        <v>INSERT INTO TNL_RATING.dbo.usps_rate_master VALUES ('USPS', '2/13/2025', '2/13/2026', 12659, 'US', 'USPS Ground Advantage', 7, 20, 'L', 21.16, 'Wedgewood_USPS_2025', 'NonCubic','2');</v>
      </c>
    </row>
    <row r="1118" spans="1:14" x14ac:dyDescent="0.3">
      <c r="A1118" t="s">
        <v>11</v>
      </c>
      <c r="B1118" s="1" t="s">
        <v>43</v>
      </c>
      <c r="C1118" s="1" t="s">
        <v>44</v>
      </c>
      <c r="D1118">
        <v>12659</v>
      </c>
      <c r="E1118" t="s">
        <v>12</v>
      </c>
      <c r="F1118" t="s">
        <v>51</v>
      </c>
      <c r="G1118">
        <v>8</v>
      </c>
      <c r="H1118">
        <v>1</v>
      </c>
      <c r="I1118" t="s">
        <v>45</v>
      </c>
      <c r="J1118" cm="1">
        <f t="array" ref="J1118">IFERROR(
    _xlfn.XLOOKUP(G1118, 'Wedgewood Pharm-GA-Yr2-2025'!$E$55:$L$55,
        _xlfn.XLOOKUP('Rate Load'!H1118, 'Wedgewood Pharm-GA-Yr2-2025'!$D$72:$D$101,
            'Wedgewood Pharm-GA-Yr2-2025'!$E$72:$L$101, 0, 0),
        0, 0),
    _xlfn.XLOOKUP(G1118, 'Wedgewood Pharm-GA-Yr2-2025'!$E$55:$L$55,
        _xlfn.XLOOKUP('Rate Load'!L1118, 'Wedgewood Pharm-GA-Yr2-2025'!$D$72:$D$101,
            'Wedgewood Pharm-GA-Yr2-2025'!$E$72:$L$101, 0, 0),
        0, 0)
)</f>
        <v>7.55</v>
      </c>
      <c r="K1118" t="s">
        <v>46</v>
      </c>
      <c r="L1118" t="s">
        <v>13</v>
      </c>
      <c r="M1118">
        <v>2</v>
      </c>
      <c r="N1118" t="str">
        <f t="shared" si="17"/>
        <v>INSERT INTO TNL_RATING.dbo.usps_rate_master VALUES ('USPS', '2/13/2025', '2/13/2026', 12659, 'US', 'USPS Ground Advantage', 8, 1, 'L', 7.55, 'Wedgewood_USPS_2025', 'NonCubic','2');</v>
      </c>
    </row>
    <row r="1119" spans="1:14" x14ac:dyDescent="0.3">
      <c r="A1119" t="s">
        <v>11</v>
      </c>
      <c r="B1119" s="1" t="s">
        <v>43</v>
      </c>
      <c r="C1119" s="1" t="s">
        <v>44</v>
      </c>
      <c r="D1119">
        <v>12659</v>
      </c>
      <c r="E1119" t="s">
        <v>12</v>
      </c>
      <c r="F1119" t="s">
        <v>51</v>
      </c>
      <c r="G1119">
        <v>8</v>
      </c>
      <c r="H1119">
        <v>2</v>
      </c>
      <c r="I1119" t="s">
        <v>45</v>
      </c>
      <c r="J1119" cm="1">
        <f t="array" ref="J1119">IFERROR(
    _xlfn.XLOOKUP(G1119, 'Wedgewood Pharm-GA-Yr2-2025'!$E$55:$L$55,
        _xlfn.XLOOKUP('Rate Load'!H1119, 'Wedgewood Pharm-GA-Yr2-2025'!$D$72:$D$101,
            'Wedgewood Pharm-GA-Yr2-2025'!$E$72:$L$101, 0, 0),
        0, 0),
    _xlfn.XLOOKUP(G1119, 'Wedgewood Pharm-GA-Yr2-2025'!$E$55:$L$55,
        _xlfn.XLOOKUP('Rate Load'!L1119, 'Wedgewood Pharm-GA-Yr2-2025'!$D$72:$D$101,
            'Wedgewood Pharm-GA-Yr2-2025'!$E$72:$L$101, 0, 0),
        0, 0)
)</f>
        <v>8.9</v>
      </c>
      <c r="K1119" t="s">
        <v>46</v>
      </c>
      <c r="L1119" t="s">
        <v>13</v>
      </c>
      <c r="M1119">
        <v>2</v>
      </c>
      <c r="N1119" t="str">
        <f t="shared" si="17"/>
        <v>INSERT INTO TNL_RATING.dbo.usps_rate_master VALUES ('USPS', '2/13/2025', '2/13/2026', 12659, 'US', 'USPS Ground Advantage', 8, 2, 'L', 8.9, 'Wedgewood_USPS_2025', 'NonCubic','2');</v>
      </c>
    </row>
    <row r="1120" spans="1:14" x14ac:dyDescent="0.3">
      <c r="A1120" t="s">
        <v>11</v>
      </c>
      <c r="B1120" s="1" t="s">
        <v>43</v>
      </c>
      <c r="C1120" s="1" t="s">
        <v>44</v>
      </c>
      <c r="D1120">
        <v>12659</v>
      </c>
      <c r="E1120" t="s">
        <v>12</v>
      </c>
      <c r="F1120" t="s">
        <v>51</v>
      </c>
      <c r="G1120">
        <v>8</v>
      </c>
      <c r="H1120">
        <v>3</v>
      </c>
      <c r="I1120" t="s">
        <v>45</v>
      </c>
      <c r="J1120" cm="1">
        <f t="array" ref="J1120">IFERROR(
    _xlfn.XLOOKUP(G1120, 'Wedgewood Pharm-GA-Yr2-2025'!$E$55:$L$55,
        _xlfn.XLOOKUP('Rate Load'!H1120, 'Wedgewood Pharm-GA-Yr2-2025'!$D$72:$D$101,
            'Wedgewood Pharm-GA-Yr2-2025'!$E$72:$L$101, 0, 0),
        0, 0),
    _xlfn.XLOOKUP(G1120, 'Wedgewood Pharm-GA-Yr2-2025'!$E$55:$L$55,
        _xlfn.XLOOKUP('Rate Load'!L1120, 'Wedgewood Pharm-GA-Yr2-2025'!$D$72:$D$101,
            'Wedgewood Pharm-GA-Yr2-2025'!$E$72:$L$101, 0, 0),
        0, 0)
)</f>
        <v>10.23</v>
      </c>
      <c r="K1120" t="s">
        <v>46</v>
      </c>
      <c r="L1120" t="s">
        <v>13</v>
      </c>
      <c r="M1120">
        <v>2</v>
      </c>
      <c r="N1120" t="str">
        <f t="shared" si="17"/>
        <v>INSERT INTO TNL_RATING.dbo.usps_rate_master VALUES ('USPS', '2/13/2025', '2/13/2026', 12659, 'US', 'USPS Ground Advantage', 8, 3, 'L', 10.23, 'Wedgewood_USPS_2025', 'NonCubic','2');</v>
      </c>
    </row>
    <row r="1121" spans="1:14" x14ac:dyDescent="0.3">
      <c r="A1121" t="s">
        <v>11</v>
      </c>
      <c r="B1121" s="1" t="s">
        <v>43</v>
      </c>
      <c r="C1121" s="1" t="s">
        <v>44</v>
      </c>
      <c r="D1121">
        <v>12659</v>
      </c>
      <c r="E1121" t="s">
        <v>12</v>
      </c>
      <c r="F1121" t="s">
        <v>51</v>
      </c>
      <c r="G1121">
        <v>8</v>
      </c>
      <c r="H1121">
        <v>4</v>
      </c>
      <c r="I1121" t="s">
        <v>45</v>
      </c>
      <c r="J1121" cm="1">
        <f t="array" ref="J1121">IFERROR(
    _xlfn.XLOOKUP(G1121, 'Wedgewood Pharm-GA-Yr2-2025'!$E$55:$L$55,
        _xlfn.XLOOKUP('Rate Load'!H1121, 'Wedgewood Pharm-GA-Yr2-2025'!$D$72:$D$101,
            'Wedgewood Pharm-GA-Yr2-2025'!$E$72:$L$101, 0, 0),
        0, 0),
    _xlfn.XLOOKUP(G1121, 'Wedgewood Pharm-GA-Yr2-2025'!$E$55:$L$55,
        _xlfn.XLOOKUP('Rate Load'!L1121, 'Wedgewood Pharm-GA-Yr2-2025'!$D$72:$D$101,
            'Wedgewood Pharm-GA-Yr2-2025'!$E$72:$L$101, 0, 0),
        0, 0)
)</f>
        <v>11.129999999999999</v>
      </c>
      <c r="K1121" t="s">
        <v>46</v>
      </c>
      <c r="L1121" t="s">
        <v>13</v>
      </c>
      <c r="M1121">
        <v>2</v>
      </c>
      <c r="N1121" t="str">
        <f t="shared" si="17"/>
        <v>INSERT INTO TNL_RATING.dbo.usps_rate_master VALUES ('USPS', '2/13/2025', '2/13/2026', 12659, 'US', 'USPS Ground Advantage', 8, 4, 'L', 11.13, 'Wedgewood_USPS_2025', 'NonCubic','2');</v>
      </c>
    </row>
    <row r="1122" spans="1:14" x14ac:dyDescent="0.3">
      <c r="A1122" t="s">
        <v>11</v>
      </c>
      <c r="B1122" s="1" t="s">
        <v>43</v>
      </c>
      <c r="C1122" s="1" t="s">
        <v>44</v>
      </c>
      <c r="D1122">
        <v>12659</v>
      </c>
      <c r="E1122" t="s">
        <v>12</v>
      </c>
      <c r="F1122" t="s">
        <v>51</v>
      </c>
      <c r="G1122">
        <v>8</v>
      </c>
      <c r="H1122">
        <v>5</v>
      </c>
      <c r="I1122" t="s">
        <v>45</v>
      </c>
      <c r="J1122" cm="1">
        <f t="array" ref="J1122">IFERROR(
    _xlfn.XLOOKUP(G1122, 'Wedgewood Pharm-GA-Yr2-2025'!$E$55:$L$55,
        _xlfn.XLOOKUP('Rate Load'!H1122, 'Wedgewood Pharm-GA-Yr2-2025'!$D$72:$D$101,
            'Wedgewood Pharm-GA-Yr2-2025'!$E$72:$L$101, 0, 0),
        0, 0),
    _xlfn.XLOOKUP(G1122, 'Wedgewood Pharm-GA-Yr2-2025'!$E$55:$L$55,
        _xlfn.XLOOKUP('Rate Load'!L1122, 'Wedgewood Pharm-GA-Yr2-2025'!$D$72:$D$101,
            'Wedgewood Pharm-GA-Yr2-2025'!$E$72:$L$101, 0, 0),
        0, 0)
)</f>
        <v>11.81</v>
      </c>
      <c r="K1122" t="s">
        <v>46</v>
      </c>
      <c r="L1122" t="s">
        <v>13</v>
      </c>
      <c r="M1122">
        <v>2</v>
      </c>
      <c r="N1122" t="str">
        <f t="shared" si="17"/>
        <v>INSERT INTO TNL_RATING.dbo.usps_rate_master VALUES ('USPS', '2/13/2025', '2/13/2026', 12659, 'US', 'USPS Ground Advantage', 8, 5, 'L', 11.81, 'Wedgewood_USPS_2025', 'NonCubic','2');</v>
      </c>
    </row>
    <row r="1123" spans="1:14" x14ac:dyDescent="0.3">
      <c r="A1123" t="s">
        <v>11</v>
      </c>
      <c r="B1123" s="1" t="s">
        <v>43</v>
      </c>
      <c r="C1123" s="1" t="s">
        <v>44</v>
      </c>
      <c r="D1123">
        <v>12659</v>
      </c>
      <c r="E1123" t="s">
        <v>12</v>
      </c>
      <c r="F1123" t="s">
        <v>51</v>
      </c>
      <c r="G1123">
        <v>8</v>
      </c>
      <c r="H1123">
        <v>6</v>
      </c>
      <c r="I1123" t="s">
        <v>45</v>
      </c>
      <c r="J1123" cm="1">
        <f t="array" ref="J1123">IFERROR(
    _xlfn.XLOOKUP(G1123, 'Wedgewood Pharm-GA-Yr2-2025'!$E$55:$L$55,
        _xlfn.XLOOKUP('Rate Load'!H1123, 'Wedgewood Pharm-GA-Yr2-2025'!$D$72:$D$101,
            'Wedgewood Pharm-GA-Yr2-2025'!$E$72:$L$101, 0, 0),
        0, 0),
    _xlfn.XLOOKUP(G1123, 'Wedgewood Pharm-GA-Yr2-2025'!$E$55:$L$55,
        _xlfn.XLOOKUP('Rate Load'!L1123, 'Wedgewood Pharm-GA-Yr2-2025'!$D$72:$D$101,
            'Wedgewood Pharm-GA-Yr2-2025'!$E$72:$L$101, 0, 0),
        0, 0)
)</f>
        <v>12.129999999999999</v>
      </c>
      <c r="K1123" t="s">
        <v>46</v>
      </c>
      <c r="L1123" t="s">
        <v>13</v>
      </c>
      <c r="M1123">
        <v>2</v>
      </c>
      <c r="N1123" t="str">
        <f t="shared" si="17"/>
        <v>INSERT INTO TNL_RATING.dbo.usps_rate_master VALUES ('USPS', '2/13/2025', '2/13/2026', 12659, 'US', 'USPS Ground Advantage', 8, 6, 'L', 12.13, 'Wedgewood_USPS_2025', 'NonCubic','2');</v>
      </c>
    </row>
    <row r="1124" spans="1:14" x14ac:dyDescent="0.3">
      <c r="A1124" t="s">
        <v>11</v>
      </c>
      <c r="B1124" s="1" t="s">
        <v>43</v>
      </c>
      <c r="C1124" s="1" t="s">
        <v>44</v>
      </c>
      <c r="D1124">
        <v>12659</v>
      </c>
      <c r="E1124" t="s">
        <v>12</v>
      </c>
      <c r="F1124" t="s">
        <v>51</v>
      </c>
      <c r="G1124">
        <v>8</v>
      </c>
      <c r="H1124">
        <v>7</v>
      </c>
      <c r="I1124" t="s">
        <v>45</v>
      </c>
      <c r="J1124" cm="1">
        <f t="array" ref="J1124">IFERROR(
    _xlfn.XLOOKUP(G1124, 'Wedgewood Pharm-GA-Yr2-2025'!$E$55:$L$55,
        _xlfn.XLOOKUP('Rate Load'!H1124, 'Wedgewood Pharm-GA-Yr2-2025'!$D$72:$D$101,
            'Wedgewood Pharm-GA-Yr2-2025'!$E$72:$L$101, 0, 0),
        0, 0),
    _xlfn.XLOOKUP(G1124, 'Wedgewood Pharm-GA-Yr2-2025'!$E$55:$L$55,
        _xlfn.XLOOKUP('Rate Load'!L1124, 'Wedgewood Pharm-GA-Yr2-2025'!$D$72:$D$101,
            'Wedgewood Pharm-GA-Yr2-2025'!$E$72:$L$101, 0, 0),
        0, 0)
)</f>
        <v>12.74</v>
      </c>
      <c r="K1124" t="s">
        <v>46</v>
      </c>
      <c r="L1124" t="s">
        <v>13</v>
      </c>
      <c r="M1124">
        <v>2</v>
      </c>
      <c r="N1124" t="str">
        <f t="shared" si="17"/>
        <v>INSERT INTO TNL_RATING.dbo.usps_rate_master VALUES ('USPS', '2/13/2025', '2/13/2026', 12659, 'US', 'USPS Ground Advantage', 8, 7, 'L', 12.74, 'Wedgewood_USPS_2025', 'NonCubic','2');</v>
      </c>
    </row>
    <row r="1125" spans="1:14" x14ac:dyDescent="0.3">
      <c r="A1125" t="s">
        <v>11</v>
      </c>
      <c r="B1125" s="1" t="s">
        <v>43</v>
      </c>
      <c r="C1125" s="1" t="s">
        <v>44</v>
      </c>
      <c r="D1125">
        <v>12659</v>
      </c>
      <c r="E1125" t="s">
        <v>12</v>
      </c>
      <c r="F1125" t="s">
        <v>51</v>
      </c>
      <c r="G1125">
        <v>8</v>
      </c>
      <c r="H1125">
        <v>8</v>
      </c>
      <c r="I1125" t="s">
        <v>45</v>
      </c>
      <c r="J1125" cm="1">
        <f t="array" ref="J1125">IFERROR(
    _xlfn.XLOOKUP(G1125, 'Wedgewood Pharm-GA-Yr2-2025'!$E$55:$L$55,
        _xlfn.XLOOKUP('Rate Load'!H1125, 'Wedgewood Pharm-GA-Yr2-2025'!$D$72:$D$101,
            'Wedgewood Pharm-GA-Yr2-2025'!$E$72:$L$101, 0, 0),
        0, 0),
    _xlfn.XLOOKUP(G1125, 'Wedgewood Pharm-GA-Yr2-2025'!$E$55:$L$55,
        _xlfn.XLOOKUP('Rate Load'!L1125, 'Wedgewood Pharm-GA-Yr2-2025'!$D$72:$D$101,
            'Wedgewood Pharm-GA-Yr2-2025'!$E$72:$L$101, 0, 0),
        0, 0)
)</f>
        <v>13.2</v>
      </c>
      <c r="K1125" t="s">
        <v>46</v>
      </c>
      <c r="L1125" t="s">
        <v>13</v>
      </c>
      <c r="M1125">
        <v>2</v>
      </c>
      <c r="N1125" t="str">
        <f t="shared" si="17"/>
        <v>INSERT INTO TNL_RATING.dbo.usps_rate_master VALUES ('USPS', '2/13/2025', '2/13/2026', 12659, 'US', 'USPS Ground Advantage', 8, 8, 'L', 13.2, 'Wedgewood_USPS_2025', 'NonCubic','2');</v>
      </c>
    </row>
    <row r="1126" spans="1:14" x14ac:dyDescent="0.3">
      <c r="A1126" t="s">
        <v>11</v>
      </c>
      <c r="B1126" s="1" t="s">
        <v>43</v>
      </c>
      <c r="C1126" s="1" t="s">
        <v>44</v>
      </c>
      <c r="D1126">
        <v>12659</v>
      </c>
      <c r="E1126" t="s">
        <v>12</v>
      </c>
      <c r="F1126" t="s">
        <v>51</v>
      </c>
      <c r="G1126">
        <v>8</v>
      </c>
      <c r="H1126">
        <v>9</v>
      </c>
      <c r="I1126" t="s">
        <v>45</v>
      </c>
      <c r="J1126" cm="1">
        <f t="array" ref="J1126">IFERROR(
    _xlfn.XLOOKUP(G1126, 'Wedgewood Pharm-GA-Yr2-2025'!$E$55:$L$55,
        _xlfn.XLOOKUP('Rate Load'!H1126, 'Wedgewood Pharm-GA-Yr2-2025'!$D$72:$D$101,
            'Wedgewood Pharm-GA-Yr2-2025'!$E$72:$L$101, 0, 0),
        0, 0),
    _xlfn.XLOOKUP(G1126, 'Wedgewood Pharm-GA-Yr2-2025'!$E$55:$L$55,
        _xlfn.XLOOKUP('Rate Load'!L1126, 'Wedgewood Pharm-GA-Yr2-2025'!$D$72:$D$101,
            'Wedgewood Pharm-GA-Yr2-2025'!$E$72:$L$101, 0, 0),
        0, 0)
)</f>
        <v>13.84</v>
      </c>
      <c r="K1126" t="s">
        <v>46</v>
      </c>
      <c r="L1126" t="s">
        <v>13</v>
      </c>
      <c r="M1126">
        <v>2</v>
      </c>
      <c r="N1126" t="str">
        <f t="shared" si="17"/>
        <v>INSERT INTO TNL_RATING.dbo.usps_rate_master VALUES ('USPS', '2/13/2025', '2/13/2026', 12659, 'US', 'USPS Ground Advantage', 8, 9, 'L', 13.84, 'Wedgewood_USPS_2025', 'NonCubic','2');</v>
      </c>
    </row>
    <row r="1127" spans="1:14" x14ac:dyDescent="0.3">
      <c r="A1127" t="s">
        <v>11</v>
      </c>
      <c r="B1127" s="1" t="s">
        <v>43</v>
      </c>
      <c r="C1127" s="1" t="s">
        <v>44</v>
      </c>
      <c r="D1127">
        <v>12659</v>
      </c>
      <c r="E1127" t="s">
        <v>12</v>
      </c>
      <c r="F1127" t="s">
        <v>51</v>
      </c>
      <c r="G1127">
        <v>8</v>
      </c>
      <c r="H1127">
        <v>10</v>
      </c>
      <c r="I1127" t="s">
        <v>45</v>
      </c>
      <c r="J1127" cm="1">
        <f t="array" ref="J1127">IFERROR(
    _xlfn.XLOOKUP(G1127, 'Wedgewood Pharm-GA-Yr2-2025'!$E$55:$L$55,
        _xlfn.XLOOKUP('Rate Load'!H1127, 'Wedgewood Pharm-GA-Yr2-2025'!$D$72:$D$101,
            'Wedgewood Pharm-GA-Yr2-2025'!$E$72:$L$101, 0, 0),
        0, 0),
    _xlfn.XLOOKUP(G1127, 'Wedgewood Pharm-GA-Yr2-2025'!$E$55:$L$55,
        _xlfn.XLOOKUP('Rate Load'!L1127, 'Wedgewood Pharm-GA-Yr2-2025'!$D$72:$D$101,
            'Wedgewood Pharm-GA-Yr2-2025'!$E$72:$L$101, 0, 0),
        0, 0)
)</f>
        <v>14.62</v>
      </c>
      <c r="K1127" t="s">
        <v>46</v>
      </c>
      <c r="L1127" t="s">
        <v>13</v>
      </c>
      <c r="M1127">
        <v>2</v>
      </c>
      <c r="N1127" t="str">
        <f t="shared" si="17"/>
        <v>INSERT INTO TNL_RATING.dbo.usps_rate_master VALUES ('USPS', '2/13/2025', '2/13/2026', 12659, 'US', 'USPS Ground Advantage', 8, 10, 'L', 14.62, 'Wedgewood_USPS_2025', 'NonCubic','2');</v>
      </c>
    </row>
    <row r="1128" spans="1:14" x14ac:dyDescent="0.3">
      <c r="A1128" t="s">
        <v>11</v>
      </c>
      <c r="B1128" s="1" t="s">
        <v>43</v>
      </c>
      <c r="C1128" s="1" t="s">
        <v>44</v>
      </c>
      <c r="D1128">
        <v>12659</v>
      </c>
      <c r="E1128" t="s">
        <v>12</v>
      </c>
      <c r="F1128" t="s">
        <v>51</v>
      </c>
      <c r="G1128">
        <v>8</v>
      </c>
      <c r="H1128">
        <v>11</v>
      </c>
      <c r="I1128" t="s">
        <v>45</v>
      </c>
      <c r="J1128" cm="1">
        <f t="array" ref="J1128">IFERROR(
    _xlfn.XLOOKUP(G1128, 'Wedgewood Pharm-GA-Yr2-2025'!$E$55:$L$55,
        _xlfn.XLOOKUP('Rate Load'!H1128, 'Wedgewood Pharm-GA-Yr2-2025'!$D$72:$D$101,
            'Wedgewood Pharm-GA-Yr2-2025'!$E$72:$L$101, 0, 0),
        0, 0),
    _xlfn.XLOOKUP(G1128, 'Wedgewood Pharm-GA-Yr2-2025'!$E$55:$L$55,
        _xlfn.XLOOKUP('Rate Load'!L1128, 'Wedgewood Pharm-GA-Yr2-2025'!$D$72:$D$101,
            'Wedgewood Pharm-GA-Yr2-2025'!$E$72:$L$101, 0, 0),
        0, 0)
)</f>
        <v>15.47</v>
      </c>
      <c r="K1128" t="s">
        <v>46</v>
      </c>
      <c r="L1128" t="s">
        <v>13</v>
      </c>
      <c r="M1128">
        <v>2</v>
      </c>
      <c r="N1128" t="str">
        <f t="shared" si="17"/>
        <v>INSERT INTO TNL_RATING.dbo.usps_rate_master VALUES ('USPS', '2/13/2025', '2/13/2026', 12659, 'US', 'USPS Ground Advantage', 8, 11, 'L', 15.47, 'Wedgewood_USPS_2025', 'NonCubic','2');</v>
      </c>
    </row>
    <row r="1129" spans="1:14" x14ac:dyDescent="0.3">
      <c r="A1129" t="s">
        <v>11</v>
      </c>
      <c r="B1129" s="1" t="s">
        <v>43</v>
      </c>
      <c r="C1129" s="1" t="s">
        <v>44</v>
      </c>
      <c r="D1129">
        <v>12659</v>
      </c>
      <c r="E1129" t="s">
        <v>12</v>
      </c>
      <c r="F1129" t="s">
        <v>51</v>
      </c>
      <c r="G1129">
        <v>8</v>
      </c>
      <c r="H1129">
        <v>12</v>
      </c>
      <c r="I1129" t="s">
        <v>45</v>
      </c>
      <c r="J1129" cm="1">
        <f t="array" ref="J1129">IFERROR(
    _xlfn.XLOOKUP(G1129, 'Wedgewood Pharm-GA-Yr2-2025'!$E$55:$L$55,
        _xlfn.XLOOKUP('Rate Load'!H1129, 'Wedgewood Pharm-GA-Yr2-2025'!$D$72:$D$101,
            'Wedgewood Pharm-GA-Yr2-2025'!$E$72:$L$101, 0, 0),
        0, 0),
    _xlfn.XLOOKUP(G1129, 'Wedgewood Pharm-GA-Yr2-2025'!$E$55:$L$55,
        _xlfn.XLOOKUP('Rate Load'!L1129, 'Wedgewood Pharm-GA-Yr2-2025'!$D$72:$D$101,
            'Wedgewood Pharm-GA-Yr2-2025'!$E$72:$L$101, 0, 0),
        0, 0)
)</f>
        <v>16.28</v>
      </c>
      <c r="K1129" t="s">
        <v>46</v>
      </c>
      <c r="L1129" t="s">
        <v>13</v>
      </c>
      <c r="M1129">
        <v>2</v>
      </c>
      <c r="N1129" t="str">
        <f t="shared" si="17"/>
        <v>INSERT INTO TNL_RATING.dbo.usps_rate_master VALUES ('USPS', '2/13/2025', '2/13/2026', 12659, 'US', 'USPS Ground Advantage', 8, 12, 'L', 16.28, 'Wedgewood_USPS_2025', 'NonCubic','2');</v>
      </c>
    </row>
    <row r="1130" spans="1:14" x14ac:dyDescent="0.3">
      <c r="A1130" t="s">
        <v>11</v>
      </c>
      <c r="B1130" s="1" t="s">
        <v>43</v>
      </c>
      <c r="C1130" s="1" t="s">
        <v>44</v>
      </c>
      <c r="D1130">
        <v>12659</v>
      </c>
      <c r="E1130" t="s">
        <v>12</v>
      </c>
      <c r="F1130" t="s">
        <v>51</v>
      </c>
      <c r="G1130">
        <v>8</v>
      </c>
      <c r="H1130">
        <v>13</v>
      </c>
      <c r="I1130" t="s">
        <v>45</v>
      </c>
      <c r="J1130" cm="1">
        <f t="array" ref="J1130">IFERROR(
    _xlfn.XLOOKUP(G1130, 'Wedgewood Pharm-GA-Yr2-2025'!$E$55:$L$55,
        _xlfn.XLOOKUP('Rate Load'!H1130, 'Wedgewood Pharm-GA-Yr2-2025'!$D$72:$D$101,
            'Wedgewood Pharm-GA-Yr2-2025'!$E$72:$L$101, 0, 0),
        0, 0),
    _xlfn.XLOOKUP(G1130, 'Wedgewood Pharm-GA-Yr2-2025'!$E$55:$L$55,
        _xlfn.XLOOKUP('Rate Load'!L1130, 'Wedgewood Pharm-GA-Yr2-2025'!$D$72:$D$101,
            'Wedgewood Pharm-GA-Yr2-2025'!$E$72:$L$101, 0, 0),
        0, 0)
)</f>
        <v>17.350000000000001</v>
      </c>
      <c r="K1130" t="s">
        <v>46</v>
      </c>
      <c r="L1130" t="s">
        <v>13</v>
      </c>
      <c r="M1130">
        <v>2</v>
      </c>
      <c r="N1130" t="str">
        <f t="shared" si="17"/>
        <v>INSERT INTO TNL_RATING.dbo.usps_rate_master VALUES ('USPS', '2/13/2025', '2/13/2026', 12659, 'US', 'USPS Ground Advantage', 8, 13, 'L', 17.35, 'Wedgewood_USPS_2025', 'NonCubic','2');</v>
      </c>
    </row>
    <row r="1131" spans="1:14" x14ac:dyDescent="0.3">
      <c r="A1131" t="s">
        <v>11</v>
      </c>
      <c r="B1131" s="1" t="s">
        <v>43</v>
      </c>
      <c r="C1131" s="1" t="s">
        <v>44</v>
      </c>
      <c r="D1131">
        <v>12659</v>
      </c>
      <c r="E1131" t="s">
        <v>12</v>
      </c>
      <c r="F1131" t="s">
        <v>51</v>
      </c>
      <c r="G1131">
        <v>8</v>
      </c>
      <c r="H1131">
        <v>14</v>
      </c>
      <c r="I1131" t="s">
        <v>45</v>
      </c>
      <c r="J1131" cm="1">
        <f t="array" ref="J1131">IFERROR(
    _xlfn.XLOOKUP(G1131, 'Wedgewood Pharm-GA-Yr2-2025'!$E$55:$L$55,
        _xlfn.XLOOKUP('Rate Load'!H1131, 'Wedgewood Pharm-GA-Yr2-2025'!$D$72:$D$101,
            'Wedgewood Pharm-GA-Yr2-2025'!$E$72:$L$101, 0, 0),
        0, 0),
    _xlfn.XLOOKUP(G1131, 'Wedgewood Pharm-GA-Yr2-2025'!$E$55:$L$55,
        _xlfn.XLOOKUP('Rate Load'!L1131, 'Wedgewood Pharm-GA-Yr2-2025'!$D$72:$D$101,
            'Wedgewood Pharm-GA-Yr2-2025'!$E$72:$L$101, 0, 0),
        0, 0)
)</f>
        <v>18.470000000000002</v>
      </c>
      <c r="K1131" t="s">
        <v>46</v>
      </c>
      <c r="L1131" t="s">
        <v>13</v>
      </c>
      <c r="M1131">
        <v>2</v>
      </c>
      <c r="N1131" t="str">
        <f t="shared" si="17"/>
        <v>INSERT INTO TNL_RATING.dbo.usps_rate_master VALUES ('USPS', '2/13/2025', '2/13/2026', 12659, 'US', 'USPS Ground Advantage', 8, 14, 'L', 18.47, 'Wedgewood_USPS_2025', 'NonCubic','2');</v>
      </c>
    </row>
    <row r="1132" spans="1:14" x14ac:dyDescent="0.3">
      <c r="A1132" t="s">
        <v>11</v>
      </c>
      <c r="B1132" s="1" t="s">
        <v>43</v>
      </c>
      <c r="C1132" s="1" t="s">
        <v>44</v>
      </c>
      <c r="D1132">
        <v>12659</v>
      </c>
      <c r="E1132" t="s">
        <v>12</v>
      </c>
      <c r="F1132" t="s">
        <v>51</v>
      </c>
      <c r="G1132">
        <v>8</v>
      </c>
      <c r="H1132">
        <v>15</v>
      </c>
      <c r="I1132" t="s">
        <v>45</v>
      </c>
      <c r="J1132" cm="1">
        <f t="array" ref="J1132">IFERROR(
    _xlfn.XLOOKUP(G1132, 'Wedgewood Pharm-GA-Yr2-2025'!$E$55:$L$55,
        _xlfn.XLOOKUP('Rate Load'!H1132, 'Wedgewood Pharm-GA-Yr2-2025'!$D$72:$D$101,
            'Wedgewood Pharm-GA-Yr2-2025'!$E$72:$L$101, 0, 0),
        0, 0),
    _xlfn.XLOOKUP(G1132, 'Wedgewood Pharm-GA-Yr2-2025'!$E$55:$L$55,
        _xlfn.XLOOKUP('Rate Load'!L1132, 'Wedgewood Pharm-GA-Yr2-2025'!$D$72:$D$101,
            'Wedgewood Pharm-GA-Yr2-2025'!$E$72:$L$101, 0, 0),
        0, 0)
)</f>
        <v>19.59</v>
      </c>
      <c r="K1132" t="s">
        <v>46</v>
      </c>
      <c r="L1132" t="s">
        <v>13</v>
      </c>
      <c r="M1132">
        <v>2</v>
      </c>
      <c r="N1132" t="str">
        <f t="shared" si="17"/>
        <v>INSERT INTO TNL_RATING.dbo.usps_rate_master VALUES ('USPS', '2/13/2025', '2/13/2026', 12659, 'US', 'USPS Ground Advantage', 8, 15, 'L', 19.59, 'Wedgewood_USPS_2025', 'NonCubic','2');</v>
      </c>
    </row>
    <row r="1133" spans="1:14" x14ac:dyDescent="0.3">
      <c r="A1133" t="s">
        <v>11</v>
      </c>
      <c r="B1133" s="1" t="s">
        <v>43</v>
      </c>
      <c r="C1133" s="1" t="s">
        <v>44</v>
      </c>
      <c r="D1133">
        <v>12659</v>
      </c>
      <c r="E1133" t="s">
        <v>12</v>
      </c>
      <c r="F1133" t="s">
        <v>51</v>
      </c>
      <c r="G1133">
        <v>8</v>
      </c>
      <c r="H1133">
        <v>16</v>
      </c>
      <c r="I1133" t="s">
        <v>45</v>
      </c>
      <c r="J1133" cm="1">
        <f t="array" ref="J1133">IFERROR(
    _xlfn.XLOOKUP(G1133, 'Wedgewood Pharm-GA-Yr2-2025'!$E$55:$L$55,
        _xlfn.XLOOKUP('Rate Load'!H1133, 'Wedgewood Pharm-GA-Yr2-2025'!$D$72:$D$101,
            'Wedgewood Pharm-GA-Yr2-2025'!$E$72:$L$101, 0, 0),
        0, 0),
    _xlfn.XLOOKUP(G1133, 'Wedgewood Pharm-GA-Yr2-2025'!$E$55:$L$55,
        _xlfn.XLOOKUP('Rate Load'!L1133, 'Wedgewood Pharm-GA-Yr2-2025'!$D$72:$D$101,
            'Wedgewood Pharm-GA-Yr2-2025'!$E$72:$L$101, 0, 0),
        0, 0)
)</f>
        <v>20.3</v>
      </c>
      <c r="K1133" t="s">
        <v>46</v>
      </c>
      <c r="L1133" t="s">
        <v>13</v>
      </c>
      <c r="M1133">
        <v>2</v>
      </c>
      <c r="N1133" t="str">
        <f t="shared" si="17"/>
        <v>INSERT INTO TNL_RATING.dbo.usps_rate_master VALUES ('USPS', '2/13/2025', '2/13/2026', 12659, 'US', 'USPS Ground Advantage', 8, 16, 'L', 20.3, 'Wedgewood_USPS_2025', 'NonCubic','2');</v>
      </c>
    </row>
    <row r="1134" spans="1:14" x14ac:dyDescent="0.3">
      <c r="A1134" t="s">
        <v>11</v>
      </c>
      <c r="B1134" s="1" t="s">
        <v>43</v>
      </c>
      <c r="C1134" s="1" t="s">
        <v>44</v>
      </c>
      <c r="D1134">
        <v>12659</v>
      </c>
      <c r="E1134" t="s">
        <v>12</v>
      </c>
      <c r="F1134" t="s">
        <v>51</v>
      </c>
      <c r="G1134">
        <v>8</v>
      </c>
      <c r="H1134">
        <v>17</v>
      </c>
      <c r="I1134" t="s">
        <v>45</v>
      </c>
      <c r="J1134" cm="1">
        <f t="array" ref="J1134">IFERROR(
    _xlfn.XLOOKUP(G1134, 'Wedgewood Pharm-GA-Yr2-2025'!$E$55:$L$55,
        _xlfn.XLOOKUP('Rate Load'!H1134, 'Wedgewood Pharm-GA-Yr2-2025'!$D$72:$D$101,
            'Wedgewood Pharm-GA-Yr2-2025'!$E$72:$L$101, 0, 0),
        0, 0),
    _xlfn.XLOOKUP(G1134, 'Wedgewood Pharm-GA-Yr2-2025'!$E$55:$L$55,
        _xlfn.XLOOKUP('Rate Load'!L1134, 'Wedgewood Pharm-GA-Yr2-2025'!$D$72:$D$101,
            'Wedgewood Pharm-GA-Yr2-2025'!$E$72:$L$101, 0, 0),
        0, 0)
)</f>
        <v>21.060000000000002</v>
      </c>
      <c r="K1134" t="s">
        <v>46</v>
      </c>
      <c r="L1134" t="s">
        <v>13</v>
      </c>
      <c r="M1134">
        <v>2</v>
      </c>
      <c r="N1134" t="str">
        <f t="shared" si="17"/>
        <v>INSERT INTO TNL_RATING.dbo.usps_rate_master VALUES ('USPS', '2/13/2025', '2/13/2026', 12659, 'US', 'USPS Ground Advantage', 8, 17, 'L', 21.06, 'Wedgewood_USPS_2025', 'NonCubic','2');</v>
      </c>
    </row>
    <row r="1135" spans="1:14" x14ac:dyDescent="0.3">
      <c r="A1135" t="s">
        <v>11</v>
      </c>
      <c r="B1135" s="1" t="s">
        <v>43</v>
      </c>
      <c r="C1135" s="1" t="s">
        <v>44</v>
      </c>
      <c r="D1135">
        <v>12659</v>
      </c>
      <c r="E1135" t="s">
        <v>12</v>
      </c>
      <c r="F1135" t="s">
        <v>51</v>
      </c>
      <c r="G1135">
        <v>8</v>
      </c>
      <c r="H1135">
        <v>18</v>
      </c>
      <c r="I1135" t="s">
        <v>45</v>
      </c>
      <c r="J1135" cm="1">
        <f t="array" ref="J1135">IFERROR(
    _xlfn.XLOOKUP(G1135, 'Wedgewood Pharm-GA-Yr2-2025'!$E$55:$L$55,
        _xlfn.XLOOKUP('Rate Load'!H1135, 'Wedgewood Pharm-GA-Yr2-2025'!$D$72:$D$101,
            'Wedgewood Pharm-GA-Yr2-2025'!$E$72:$L$101, 0, 0),
        0, 0),
    _xlfn.XLOOKUP(G1135, 'Wedgewood Pharm-GA-Yr2-2025'!$E$55:$L$55,
        _xlfn.XLOOKUP('Rate Load'!L1135, 'Wedgewood Pharm-GA-Yr2-2025'!$D$72:$D$101,
            'Wedgewood Pharm-GA-Yr2-2025'!$E$72:$L$101, 0, 0),
        0, 0)
)</f>
        <v>22.220000000000002</v>
      </c>
      <c r="K1135" t="s">
        <v>46</v>
      </c>
      <c r="L1135" t="s">
        <v>13</v>
      </c>
      <c r="M1135">
        <v>2</v>
      </c>
      <c r="N1135" t="str">
        <f t="shared" si="17"/>
        <v>INSERT INTO TNL_RATING.dbo.usps_rate_master VALUES ('USPS', '2/13/2025', '2/13/2026', 12659, 'US', 'USPS Ground Advantage', 8, 18, 'L', 22.22, 'Wedgewood_USPS_2025', 'NonCubic','2');</v>
      </c>
    </row>
    <row r="1136" spans="1:14" x14ac:dyDescent="0.3">
      <c r="A1136" t="s">
        <v>11</v>
      </c>
      <c r="B1136" s="1" t="s">
        <v>43</v>
      </c>
      <c r="C1136" s="1" t="s">
        <v>44</v>
      </c>
      <c r="D1136">
        <v>12659</v>
      </c>
      <c r="E1136" t="s">
        <v>12</v>
      </c>
      <c r="F1136" t="s">
        <v>51</v>
      </c>
      <c r="G1136">
        <v>8</v>
      </c>
      <c r="H1136">
        <v>19</v>
      </c>
      <c r="I1136" t="s">
        <v>45</v>
      </c>
      <c r="J1136" cm="1">
        <f t="array" ref="J1136">IFERROR(
    _xlfn.XLOOKUP(G1136, 'Wedgewood Pharm-GA-Yr2-2025'!$E$55:$L$55,
        _xlfn.XLOOKUP('Rate Load'!H1136, 'Wedgewood Pharm-GA-Yr2-2025'!$D$72:$D$101,
            'Wedgewood Pharm-GA-Yr2-2025'!$E$72:$L$101, 0, 0),
        0, 0),
    _xlfn.XLOOKUP(G1136, 'Wedgewood Pharm-GA-Yr2-2025'!$E$55:$L$55,
        _xlfn.XLOOKUP('Rate Load'!L1136, 'Wedgewood Pharm-GA-Yr2-2025'!$D$72:$D$101,
            'Wedgewood Pharm-GA-Yr2-2025'!$E$72:$L$101, 0, 0),
        0, 0)
)</f>
        <v>23.17</v>
      </c>
      <c r="K1136" t="s">
        <v>46</v>
      </c>
      <c r="L1136" t="s">
        <v>13</v>
      </c>
      <c r="M1136">
        <v>2</v>
      </c>
      <c r="N1136" t="str">
        <f t="shared" si="17"/>
        <v>INSERT INTO TNL_RATING.dbo.usps_rate_master VALUES ('USPS', '2/13/2025', '2/13/2026', 12659, 'US', 'USPS Ground Advantage', 8, 19, 'L', 23.17, 'Wedgewood_USPS_2025', 'NonCubic','2');</v>
      </c>
    </row>
    <row r="1137" spans="1:14" x14ac:dyDescent="0.3">
      <c r="A1137" t="s">
        <v>11</v>
      </c>
      <c r="B1137" s="1" t="s">
        <v>43</v>
      </c>
      <c r="C1137" s="1" t="s">
        <v>44</v>
      </c>
      <c r="D1137">
        <v>12659</v>
      </c>
      <c r="E1137" t="s">
        <v>12</v>
      </c>
      <c r="F1137" t="s">
        <v>51</v>
      </c>
      <c r="G1137">
        <v>8</v>
      </c>
      <c r="H1137">
        <v>20</v>
      </c>
      <c r="I1137" t="s">
        <v>45</v>
      </c>
      <c r="J1137" cm="1">
        <f t="array" ref="J1137">IFERROR(
    _xlfn.XLOOKUP(G1137, 'Wedgewood Pharm-GA-Yr2-2025'!$E$55:$L$55,
        _xlfn.XLOOKUP('Rate Load'!H1137, 'Wedgewood Pharm-GA-Yr2-2025'!$D$72:$D$101,
            'Wedgewood Pharm-GA-Yr2-2025'!$E$72:$L$101, 0, 0),
        0, 0),
    _xlfn.XLOOKUP(G1137, 'Wedgewood Pharm-GA-Yr2-2025'!$E$55:$L$55,
        _xlfn.XLOOKUP('Rate Load'!L1137, 'Wedgewood Pharm-GA-Yr2-2025'!$D$72:$D$101,
            'Wedgewood Pharm-GA-Yr2-2025'!$E$72:$L$101, 0, 0),
        0, 0)
)</f>
        <v>24.23</v>
      </c>
      <c r="K1137" t="s">
        <v>46</v>
      </c>
      <c r="L1137" t="s">
        <v>13</v>
      </c>
      <c r="M1137">
        <v>2</v>
      </c>
      <c r="N1137" t="str">
        <f t="shared" si="17"/>
        <v>INSERT INTO TNL_RATING.dbo.usps_rate_master VALUES ('USPS', '2/13/2025', '2/13/2026', 12659, 'US', 'USPS Ground Advantage', 8, 20, 'L', 24.23, 'Wedgewood_USPS_2025', 'NonCubic','2');</v>
      </c>
    </row>
    <row r="1138" spans="1:14" x14ac:dyDescent="0.3">
      <c r="A1138" t="s">
        <v>11</v>
      </c>
      <c r="B1138" s="1" t="s">
        <v>43</v>
      </c>
      <c r="C1138" s="1" t="s">
        <v>44</v>
      </c>
      <c r="D1138">
        <v>12659</v>
      </c>
      <c r="E1138" t="s">
        <v>12</v>
      </c>
      <c r="F1138" t="s">
        <v>42</v>
      </c>
      <c r="G1138">
        <v>1</v>
      </c>
      <c r="H1138">
        <v>0.5</v>
      </c>
      <c r="I1138" t="s">
        <v>45</v>
      </c>
      <c r="J1138" cm="1">
        <f t="array" ref="J1138">IFERROR(
    _xlfn.XLOOKUP(G1138, 'Wedgewood Pharm-PME-Yr2-2025'!$E$62:$L$62,
        _xlfn.XLOOKUP('Rate Load'!H1138, 'Wedgewood Pharm-PME-Yr2-2025'!$D$63:$D$86,
            'Wedgewood Pharm-PME-Yr2-2025'!$E$63:$L$86, 0, 0),
        0, 0),
    _xlfn.XLOOKUP(G1138, 'Wedgewood Pharm-PME-Yr2-2025'!$E$62:$L$62,
        _xlfn.XLOOKUP('Rate Load'!L1138, 'Wedgewood Pharm-PME-Yr2-2025'!$D$63:$D$86,
            'Wedgewood Pharm-PME-Yr2-2025'!$E$63:$L$86, 0, 0),
        0, 0)
)</f>
        <v>13.15</v>
      </c>
      <c r="K1138" t="s">
        <v>46</v>
      </c>
      <c r="L1138" t="s">
        <v>13</v>
      </c>
      <c r="M1138">
        <v>3</v>
      </c>
      <c r="N1138" t="str">
        <f t="shared" si="17"/>
        <v>INSERT INTO TNL_RATING.dbo.usps_rate_master VALUES ('USPS', '2/13/2025', '2/13/2026', 12659, 'US', 'Priority Mail Express', 1, 0.5, 'L', 13.15, 'Wedgewood_USPS_2025', 'NonCubic','3');</v>
      </c>
    </row>
    <row r="1139" spans="1:14" x14ac:dyDescent="0.3">
      <c r="A1139" t="s">
        <v>11</v>
      </c>
      <c r="B1139" s="1" t="s">
        <v>43</v>
      </c>
      <c r="C1139" s="1" t="s">
        <v>44</v>
      </c>
      <c r="D1139">
        <v>12659</v>
      </c>
      <c r="E1139" t="s">
        <v>12</v>
      </c>
      <c r="F1139" t="s">
        <v>42</v>
      </c>
      <c r="G1139">
        <v>1</v>
      </c>
      <c r="H1139">
        <v>1</v>
      </c>
      <c r="I1139" t="s">
        <v>45</v>
      </c>
      <c r="J1139" cm="1">
        <f t="array" ref="J1139">IFERROR(
    _xlfn.XLOOKUP(G1139, 'Wedgewood Pharm-PME-Yr2-2025'!$E$62:$L$62,
        _xlfn.XLOOKUP('Rate Load'!H1139, 'Wedgewood Pharm-PME-Yr2-2025'!$D$63:$D$86,
            'Wedgewood Pharm-PME-Yr2-2025'!$E$63:$L$86, 0, 0),
        0, 0),
    _xlfn.XLOOKUP(G1139, 'Wedgewood Pharm-PME-Yr2-2025'!$E$62:$L$62,
        _xlfn.XLOOKUP('Rate Load'!L1139, 'Wedgewood Pharm-PME-Yr2-2025'!$D$63:$D$86,
            'Wedgewood Pharm-PME-Yr2-2025'!$E$63:$L$86, 0, 0),
        0, 0)
)</f>
        <v>13.58</v>
      </c>
      <c r="K1139" t="s">
        <v>46</v>
      </c>
      <c r="L1139" t="s">
        <v>13</v>
      </c>
      <c r="M1139">
        <v>3</v>
      </c>
      <c r="N1139" t="str">
        <f t="shared" si="17"/>
        <v>INSERT INTO TNL_RATING.dbo.usps_rate_master VALUES ('USPS', '2/13/2025', '2/13/2026', 12659, 'US', 'Priority Mail Express', 1, 1, 'L', 13.58, 'Wedgewood_USPS_2025', 'NonCubic','3');</v>
      </c>
    </row>
    <row r="1140" spans="1:14" x14ac:dyDescent="0.3">
      <c r="A1140" t="s">
        <v>11</v>
      </c>
      <c r="B1140" s="1" t="s">
        <v>43</v>
      </c>
      <c r="C1140" s="1" t="s">
        <v>44</v>
      </c>
      <c r="D1140">
        <v>12659</v>
      </c>
      <c r="E1140" t="s">
        <v>12</v>
      </c>
      <c r="F1140" t="s">
        <v>42</v>
      </c>
      <c r="G1140">
        <v>1</v>
      </c>
      <c r="H1140">
        <v>2</v>
      </c>
      <c r="I1140" t="s">
        <v>45</v>
      </c>
      <c r="J1140" cm="1">
        <f t="array" ref="J1140">IFERROR(
    _xlfn.XLOOKUP(G1140, 'Wedgewood Pharm-PME-Yr2-2025'!$E$62:$L$62,
        _xlfn.XLOOKUP('Rate Load'!H1140, 'Wedgewood Pharm-PME-Yr2-2025'!$D$63:$D$86,
            'Wedgewood Pharm-PME-Yr2-2025'!$E$63:$L$86, 0, 0),
        0, 0),
    _xlfn.XLOOKUP(G1140, 'Wedgewood Pharm-PME-Yr2-2025'!$E$62:$L$62,
        _xlfn.XLOOKUP('Rate Load'!L1140, 'Wedgewood Pharm-PME-Yr2-2025'!$D$63:$D$86,
            'Wedgewood Pharm-PME-Yr2-2025'!$E$63:$L$86, 0, 0),
        0, 0)
)</f>
        <v>14.799999999999999</v>
      </c>
      <c r="K1140" t="s">
        <v>46</v>
      </c>
      <c r="L1140" t="s">
        <v>13</v>
      </c>
      <c r="M1140">
        <v>3</v>
      </c>
      <c r="N1140" t="str">
        <f t="shared" si="17"/>
        <v>INSERT INTO TNL_RATING.dbo.usps_rate_master VALUES ('USPS', '2/13/2025', '2/13/2026', 12659, 'US', 'Priority Mail Express', 1, 2, 'L', 14.8, 'Wedgewood_USPS_2025', 'NonCubic','3');</v>
      </c>
    </row>
    <row r="1141" spans="1:14" x14ac:dyDescent="0.3">
      <c r="A1141" t="s">
        <v>11</v>
      </c>
      <c r="B1141" s="1" t="s">
        <v>43</v>
      </c>
      <c r="C1141" s="1" t="s">
        <v>44</v>
      </c>
      <c r="D1141">
        <v>12659</v>
      </c>
      <c r="E1141" t="s">
        <v>12</v>
      </c>
      <c r="F1141" t="s">
        <v>42</v>
      </c>
      <c r="G1141">
        <v>1</v>
      </c>
      <c r="H1141">
        <v>3</v>
      </c>
      <c r="I1141" t="s">
        <v>45</v>
      </c>
      <c r="J1141" cm="1">
        <f t="array" ref="J1141">IFERROR(
    _xlfn.XLOOKUP(G1141, 'Wedgewood Pharm-PME-Yr2-2025'!$E$62:$L$62,
        _xlfn.XLOOKUP('Rate Load'!H1141, 'Wedgewood Pharm-PME-Yr2-2025'!$D$63:$D$86,
            'Wedgewood Pharm-PME-Yr2-2025'!$E$63:$L$86, 0, 0),
        0, 0),
    _xlfn.XLOOKUP(G1141, 'Wedgewood Pharm-PME-Yr2-2025'!$E$62:$L$62,
        _xlfn.XLOOKUP('Rate Load'!L1141, 'Wedgewood Pharm-PME-Yr2-2025'!$D$63:$D$86,
            'Wedgewood Pharm-PME-Yr2-2025'!$E$63:$L$86, 0, 0),
        0, 0)
)</f>
        <v>16.400000000000002</v>
      </c>
      <c r="K1141" t="s">
        <v>46</v>
      </c>
      <c r="L1141" t="s">
        <v>13</v>
      </c>
      <c r="M1141">
        <v>3</v>
      </c>
      <c r="N1141" t="str">
        <f t="shared" si="17"/>
        <v>INSERT INTO TNL_RATING.dbo.usps_rate_master VALUES ('USPS', '2/13/2025', '2/13/2026', 12659, 'US', 'Priority Mail Express', 1, 3, 'L', 16.4, 'Wedgewood_USPS_2025', 'NonCubic','3');</v>
      </c>
    </row>
    <row r="1142" spans="1:14" x14ac:dyDescent="0.3">
      <c r="A1142" t="s">
        <v>11</v>
      </c>
      <c r="B1142" s="1" t="s">
        <v>43</v>
      </c>
      <c r="C1142" s="1" t="s">
        <v>44</v>
      </c>
      <c r="D1142">
        <v>12659</v>
      </c>
      <c r="E1142" t="s">
        <v>12</v>
      </c>
      <c r="F1142" t="s">
        <v>42</v>
      </c>
      <c r="G1142">
        <v>1</v>
      </c>
      <c r="H1142">
        <v>4</v>
      </c>
      <c r="I1142" t="s">
        <v>45</v>
      </c>
      <c r="J1142" cm="1">
        <f t="array" ref="J1142">IFERROR(
    _xlfn.XLOOKUP(G1142, 'Wedgewood Pharm-PME-Yr2-2025'!$E$62:$L$62,
        _xlfn.XLOOKUP('Rate Load'!H1142, 'Wedgewood Pharm-PME-Yr2-2025'!$D$63:$D$86,
            'Wedgewood Pharm-PME-Yr2-2025'!$E$63:$L$86, 0, 0),
        0, 0),
    _xlfn.XLOOKUP(G1142, 'Wedgewood Pharm-PME-Yr2-2025'!$E$62:$L$62,
        _xlfn.XLOOKUP('Rate Load'!L1142, 'Wedgewood Pharm-PME-Yr2-2025'!$D$63:$D$86,
            'Wedgewood Pharm-PME-Yr2-2025'!$E$63:$L$86, 0, 0),
        0, 0)
)</f>
        <v>18.010000000000002</v>
      </c>
      <c r="K1142" t="s">
        <v>46</v>
      </c>
      <c r="L1142" t="s">
        <v>13</v>
      </c>
      <c r="M1142">
        <v>3</v>
      </c>
      <c r="N1142" t="str">
        <f t="shared" si="17"/>
        <v>INSERT INTO TNL_RATING.dbo.usps_rate_master VALUES ('USPS', '2/13/2025', '2/13/2026', 12659, 'US', 'Priority Mail Express', 1, 4, 'L', 18.01, 'Wedgewood_USPS_2025', 'NonCubic','3');</v>
      </c>
    </row>
    <row r="1143" spans="1:14" x14ac:dyDescent="0.3">
      <c r="A1143" t="s">
        <v>11</v>
      </c>
      <c r="B1143" s="1" t="s">
        <v>43</v>
      </c>
      <c r="C1143" s="1" t="s">
        <v>44</v>
      </c>
      <c r="D1143">
        <v>12659</v>
      </c>
      <c r="E1143" t="s">
        <v>12</v>
      </c>
      <c r="F1143" t="s">
        <v>42</v>
      </c>
      <c r="G1143">
        <v>1</v>
      </c>
      <c r="H1143">
        <v>5</v>
      </c>
      <c r="I1143" t="s">
        <v>45</v>
      </c>
      <c r="J1143" cm="1">
        <f t="array" ref="J1143">IFERROR(
    _xlfn.XLOOKUP(G1143, 'Wedgewood Pharm-PME-Yr2-2025'!$E$62:$L$62,
        _xlfn.XLOOKUP('Rate Load'!H1143, 'Wedgewood Pharm-PME-Yr2-2025'!$D$63:$D$86,
            'Wedgewood Pharm-PME-Yr2-2025'!$E$63:$L$86, 0, 0),
        0, 0),
    _xlfn.XLOOKUP(G1143, 'Wedgewood Pharm-PME-Yr2-2025'!$E$62:$L$62,
        _xlfn.XLOOKUP('Rate Load'!L1143, 'Wedgewood Pharm-PME-Yr2-2025'!$D$63:$D$86,
            'Wedgewood Pharm-PME-Yr2-2025'!$E$63:$L$86, 0, 0),
        0, 0)
)</f>
        <v>19.600000000000001</v>
      </c>
      <c r="K1143" t="s">
        <v>46</v>
      </c>
      <c r="L1143" t="s">
        <v>13</v>
      </c>
      <c r="M1143">
        <v>3</v>
      </c>
      <c r="N1143" t="str">
        <f t="shared" si="17"/>
        <v>INSERT INTO TNL_RATING.dbo.usps_rate_master VALUES ('USPS', '2/13/2025', '2/13/2026', 12659, 'US', 'Priority Mail Express', 1, 5, 'L', 19.6, 'Wedgewood_USPS_2025', 'NonCubic','3');</v>
      </c>
    </row>
    <row r="1144" spans="1:14" x14ac:dyDescent="0.3">
      <c r="A1144" t="s">
        <v>11</v>
      </c>
      <c r="B1144" s="1" t="s">
        <v>43</v>
      </c>
      <c r="C1144" s="1" t="s">
        <v>44</v>
      </c>
      <c r="D1144">
        <v>12659</v>
      </c>
      <c r="E1144" t="s">
        <v>12</v>
      </c>
      <c r="F1144" t="s">
        <v>42</v>
      </c>
      <c r="G1144">
        <v>1</v>
      </c>
      <c r="H1144">
        <v>6</v>
      </c>
      <c r="I1144" t="s">
        <v>45</v>
      </c>
      <c r="J1144" cm="1">
        <f t="array" ref="J1144">IFERROR(
    _xlfn.XLOOKUP(G1144, 'Wedgewood Pharm-PME-Yr2-2025'!$E$62:$L$62,
        _xlfn.XLOOKUP('Rate Load'!H1144, 'Wedgewood Pharm-PME-Yr2-2025'!$D$63:$D$86,
            'Wedgewood Pharm-PME-Yr2-2025'!$E$63:$L$86, 0, 0),
        0, 0),
    _xlfn.XLOOKUP(G1144, 'Wedgewood Pharm-PME-Yr2-2025'!$E$62:$L$62,
        _xlfn.XLOOKUP('Rate Load'!L1144, 'Wedgewood Pharm-PME-Yr2-2025'!$D$63:$D$86,
            'Wedgewood Pharm-PME-Yr2-2025'!$E$63:$L$86, 0, 0),
        0, 0)
)</f>
        <v>21.67</v>
      </c>
      <c r="K1144" t="s">
        <v>46</v>
      </c>
      <c r="L1144" t="s">
        <v>13</v>
      </c>
      <c r="M1144">
        <v>3</v>
      </c>
      <c r="N1144" t="str">
        <f t="shared" si="17"/>
        <v>INSERT INTO TNL_RATING.dbo.usps_rate_master VALUES ('USPS', '2/13/2025', '2/13/2026', 12659, 'US', 'Priority Mail Express', 1, 6, 'L', 21.67, 'Wedgewood_USPS_2025', 'NonCubic','3');</v>
      </c>
    </row>
    <row r="1145" spans="1:14" x14ac:dyDescent="0.3">
      <c r="A1145" t="s">
        <v>11</v>
      </c>
      <c r="B1145" s="1" t="s">
        <v>43</v>
      </c>
      <c r="C1145" s="1" t="s">
        <v>44</v>
      </c>
      <c r="D1145">
        <v>12659</v>
      </c>
      <c r="E1145" t="s">
        <v>12</v>
      </c>
      <c r="F1145" t="s">
        <v>42</v>
      </c>
      <c r="G1145">
        <v>1</v>
      </c>
      <c r="H1145">
        <v>7</v>
      </c>
      <c r="I1145" t="s">
        <v>45</v>
      </c>
      <c r="J1145" cm="1">
        <f t="array" ref="J1145">IFERROR(
    _xlfn.XLOOKUP(G1145, 'Wedgewood Pharm-PME-Yr2-2025'!$E$62:$L$62,
        _xlfn.XLOOKUP('Rate Load'!H1145, 'Wedgewood Pharm-PME-Yr2-2025'!$D$63:$D$86,
            'Wedgewood Pharm-PME-Yr2-2025'!$E$63:$L$86, 0, 0),
        0, 0),
    _xlfn.XLOOKUP(G1145, 'Wedgewood Pharm-PME-Yr2-2025'!$E$62:$L$62,
        _xlfn.XLOOKUP('Rate Load'!L1145, 'Wedgewood Pharm-PME-Yr2-2025'!$D$63:$D$86,
            'Wedgewood Pharm-PME-Yr2-2025'!$E$63:$L$86, 0, 0),
        0, 0)
)</f>
        <v>23.71</v>
      </c>
      <c r="K1145" t="s">
        <v>46</v>
      </c>
      <c r="L1145" t="s">
        <v>13</v>
      </c>
      <c r="M1145">
        <v>3</v>
      </c>
      <c r="N1145" t="str">
        <f t="shared" si="17"/>
        <v>INSERT INTO TNL_RATING.dbo.usps_rate_master VALUES ('USPS', '2/13/2025', '2/13/2026', 12659, 'US', 'Priority Mail Express', 1, 7, 'L', 23.71, 'Wedgewood_USPS_2025', 'NonCubic','3');</v>
      </c>
    </row>
    <row r="1146" spans="1:14" x14ac:dyDescent="0.3">
      <c r="A1146" t="s">
        <v>11</v>
      </c>
      <c r="B1146" s="1" t="s">
        <v>43</v>
      </c>
      <c r="C1146" s="1" t="s">
        <v>44</v>
      </c>
      <c r="D1146">
        <v>12659</v>
      </c>
      <c r="E1146" t="s">
        <v>12</v>
      </c>
      <c r="F1146" t="s">
        <v>42</v>
      </c>
      <c r="G1146">
        <v>1</v>
      </c>
      <c r="H1146">
        <v>8</v>
      </c>
      <c r="I1146" t="s">
        <v>45</v>
      </c>
      <c r="J1146" cm="1">
        <f t="array" ref="J1146">IFERROR(
    _xlfn.XLOOKUP(G1146, 'Wedgewood Pharm-PME-Yr2-2025'!$E$62:$L$62,
        _xlfn.XLOOKUP('Rate Load'!H1146, 'Wedgewood Pharm-PME-Yr2-2025'!$D$63:$D$86,
            'Wedgewood Pharm-PME-Yr2-2025'!$E$63:$L$86, 0, 0),
        0, 0),
    _xlfn.XLOOKUP(G1146, 'Wedgewood Pharm-PME-Yr2-2025'!$E$62:$L$62,
        _xlfn.XLOOKUP('Rate Load'!L1146, 'Wedgewood Pharm-PME-Yr2-2025'!$D$63:$D$86,
            'Wedgewood Pharm-PME-Yr2-2025'!$E$63:$L$86, 0, 0),
        0, 0)
)</f>
        <v>25.76</v>
      </c>
      <c r="K1146" t="s">
        <v>46</v>
      </c>
      <c r="L1146" t="s">
        <v>13</v>
      </c>
      <c r="M1146">
        <v>3</v>
      </c>
      <c r="N1146" t="str">
        <f t="shared" si="17"/>
        <v>INSERT INTO TNL_RATING.dbo.usps_rate_master VALUES ('USPS', '2/13/2025', '2/13/2026', 12659, 'US', 'Priority Mail Express', 1, 8, 'L', 25.76, 'Wedgewood_USPS_2025', 'NonCubic','3');</v>
      </c>
    </row>
    <row r="1147" spans="1:14" x14ac:dyDescent="0.3">
      <c r="A1147" t="s">
        <v>11</v>
      </c>
      <c r="B1147" s="1" t="s">
        <v>43</v>
      </c>
      <c r="C1147" s="1" t="s">
        <v>44</v>
      </c>
      <c r="D1147">
        <v>12659</v>
      </c>
      <c r="E1147" t="s">
        <v>12</v>
      </c>
      <c r="F1147" t="s">
        <v>42</v>
      </c>
      <c r="G1147">
        <v>1</v>
      </c>
      <c r="H1147">
        <v>9</v>
      </c>
      <c r="I1147" t="s">
        <v>45</v>
      </c>
      <c r="J1147" cm="1">
        <f t="array" ref="J1147">IFERROR(
    _xlfn.XLOOKUP(G1147, 'Wedgewood Pharm-PME-Yr2-2025'!$E$62:$L$62,
        _xlfn.XLOOKUP('Rate Load'!H1147, 'Wedgewood Pharm-PME-Yr2-2025'!$D$63:$D$86,
            'Wedgewood Pharm-PME-Yr2-2025'!$E$63:$L$86, 0, 0),
        0, 0),
    _xlfn.XLOOKUP(G1147, 'Wedgewood Pharm-PME-Yr2-2025'!$E$62:$L$62,
        _xlfn.XLOOKUP('Rate Load'!L1147, 'Wedgewood Pharm-PME-Yr2-2025'!$D$63:$D$86,
            'Wedgewood Pharm-PME-Yr2-2025'!$E$63:$L$86, 0, 0),
        0, 0)
)</f>
        <v>27.810000000000002</v>
      </c>
      <c r="K1147" t="s">
        <v>46</v>
      </c>
      <c r="L1147" t="s">
        <v>13</v>
      </c>
      <c r="M1147">
        <v>3</v>
      </c>
      <c r="N1147" t="str">
        <f t="shared" si="17"/>
        <v>INSERT INTO TNL_RATING.dbo.usps_rate_master VALUES ('USPS', '2/13/2025', '2/13/2026', 12659, 'US', 'Priority Mail Express', 1, 9, 'L', 27.81, 'Wedgewood_USPS_2025', 'NonCubic','3');</v>
      </c>
    </row>
    <row r="1148" spans="1:14" x14ac:dyDescent="0.3">
      <c r="A1148" t="s">
        <v>11</v>
      </c>
      <c r="B1148" s="1" t="s">
        <v>43</v>
      </c>
      <c r="C1148" s="1" t="s">
        <v>44</v>
      </c>
      <c r="D1148">
        <v>12659</v>
      </c>
      <c r="E1148" t="s">
        <v>12</v>
      </c>
      <c r="F1148" t="s">
        <v>42</v>
      </c>
      <c r="G1148">
        <v>1</v>
      </c>
      <c r="H1148">
        <v>10</v>
      </c>
      <c r="I1148" t="s">
        <v>45</v>
      </c>
      <c r="J1148" cm="1">
        <f t="array" ref="J1148">IFERROR(
    _xlfn.XLOOKUP(G1148, 'Wedgewood Pharm-PME-Yr2-2025'!$E$62:$L$62,
        _xlfn.XLOOKUP('Rate Load'!H1148, 'Wedgewood Pharm-PME-Yr2-2025'!$D$63:$D$86,
            'Wedgewood Pharm-PME-Yr2-2025'!$E$63:$L$86, 0, 0),
        0, 0),
    _xlfn.XLOOKUP(G1148, 'Wedgewood Pharm-PME-Yr2-2025'!$E$62:$L$62,
        _xlfn.XLOOKUP('Rate Load'!L1148, 'Wedgewood Pharm-PME-Yr2-2025'!$D$63:$D$86,
            'Wedgewood Pharm-PME-Yr2-2025'!$E$63:$L$86, 0, 0),
        0, 0)
)</f>
        <v>29.860000000000003</v>
      </c>
      <c r="K1148" t="s">
        <v>46</v>
      </c>
      <c r="L1148" t="s">
        <v>13</v>
      </c>
      <c r="M1148">
        <v>3</v>
      </c>
      <c r="N1148" t="str">
        <f t="shared" si="17"/>
        <v>INSERT INTO TNL_RATING.dbo.usps_rate_master VALUES ('USPS', '2/13/2025', '2/13/2026', 12659, 'US', 'Priority Mail Express', 1, 10, 'L', 29.86, 'Wedgewood_USPS_2025', 'NonCubic','3');</v>
      </c>
    </row>
    <row r="1149" spans="1:14" x14ac:dyDescent="0.3">
      <c r="A1149" t="s">
        <v>11</v>
      </c>
      <c r="B1149" s="1" t="s">
        <v>43</v>
      </c>
      <c r="C1149" s="1" t="s">
        <v>44</v>
      </c>
      <c r="D1149">
        <v>12659</v>
      </c>
      <c r="E1149" t="s">
        <v>12</v>
      </c>
      <c r="F1149" t="s">
        <v>42</v>
      </c>
      <c r="G1149">
        <v>1</v>
      </c>
      <c r="H1149">
        <v>11</v>
      </c>
      <c r="I1149" t="s">
        <v>45</v>
      </c>
      <c r="J1149" cm="1">
        <f t="array" ref="J1149">IFERROR(
    _xlfn.XLOOKUP(G1149, 'Wedgewood Pharm-PME-Yr2-2025'!$E$62:$L$62,
        _xlfn.XLOOKUP('Rate Load'!H1149, 'Wedgewood Pharm-PME-Yr2-2025'!$D$63:$D$86,
            'Wedgewood Pharm-PME-Yr2-2025'!$E$63:$L$86, 0, 0),
        0, 0),
    _xlfn.XLOOKUP(G1149, 'Wedgewood Pharm-PME-Yr2-2025'!$E$62:$L$62,
        _xlfn.XLOOKUP('Rate Load'!L1149, 'Wedgewood Pharm-PME-Yr2-2025'!$D$63:$D$86,
            'Wedgewood Pharm-PME-Yr2-2025'!$E$63:$L$86, 0, 0),
        0, 0)
)</f>
        <v>31.810000000000002</v>
      </c>
      <c r="K1149" t="s">
        <v>46</v>
      </c>
      <c r="L1149" t="s">
        <v>13</v>
      </c>
      <c r="M1149">
        <v>3</v>
      </c>
      <c r="N1149" t="str">
        <f t="shared" si="17"/>
        <v>INSERT INTO TNL_RATING.dbo.usps_rate_master VALUES ('USPS', '2/13/2025', '2/13/2026', 12659, 'US', 'Priority Mail Express', 1, 11, 'L', 31.81, 'Wedgewood_USPS_2025', 'NonCubic','3');</v>
      </c>
    </row>
    <row r="1150" spans="1:14" x14ac:dyDescent="0.3">
      <c r="A1150" t="s">
        <v>11</v>
      </c>
      <c r="B1150" s="1" t="s">
        <v>43</v>
      </c>
      <c r="C1150" s="1" t="s">
        <v>44</v>
      </c>
      <c r="D1150">
        <v>12659</v>
      </c>
      <c r="E1150" t="s">
        <v>12</v>
      </c>
      <c r="F1150" t="s">
        <v>42</v>
      </c>
      <c r="G1150">
        <v>1</v>
      </c>
      <c r="H1150">
        <v>12</v>
      </c>
      <c r="I1150" t="s">
        <v>45</v>
      </c>
      <c r="J1150" cm="1">
        <f t="array" ref="J1150">IFERROR(
    _xlfn.XLOOKUP(G1150, 'Wedgewood Pharm-PME-Yr2-2025'!$E$62:$L$62,
        _xlfn.XLOOKUP('Rate Load'!H1150, 'Wedgewood Pharm-PME-Yr2-2025'!$D$63:$D$86,
            'Wedgewood Pharm-PME-Yr2-2025'!$E$63:$L$86, 0, 0),
        0, 0),
    _xlfn.XLOOKUP(G1150, 'Wedgewood Pharm-PME-Yr2-2025'!$E$62:$L$62,
        _xlfn.XLOOKUP('Rate Load'!L1150, 'Wedgewood Pharm-PME-Yr2-2025'!$D$63:$D$86,
            'Wedgewood Pharm-PME-Yr2-2025'!$E$63:$L$86, 0, 0),
        0, 0)
)</f>
        <v>33.75</v>
      </c>
      <c r="K1150" t="s">
        <v>46</v>
      </c>
      <c r="L1150" t="s">
        <v>13</v>
      </c>
      <c r="M1150">
        <v>3</v>
      </c>
      <c r="N1150" t="str">
        <f t="shared" si="17"/>
        <v>INSERT INTO TNL_RATING.dbo.usps_rate_master VALUES ('USPS', '2/13/2025', '2/13/2026', 12659, 'US', 'Priority Mail Express', 1, 12, 'L', 33.75, 'Wedgewood_USPS_2025', 'NonCubic','3');</v>
      </c>
    </row>
    <row r="1151" spans="1:14" x14ac:dyDescent="0.3">
      <c r="A1151" t="s">
        <v>11</v>
      </c>
      <c r="B1151" s="1" t="s">
        <v>43</v>
      </c>
      <c r="C1151" s="1" t="s">
        <v>44</v>
      </c>
      <c r="D1151">
        <v>12659</v>
      </c>
      <c r="E1151" t="s">
        <v>12</v>
      </c>
      <c r="F1151" t="s">
        <v>42</v>
      </c>
      <c r="G1151">
        <v>1</v>
      </c>
      <c r="H1151">
        <v>13</v>
      </c>
      <c r="I1151" t="s">
        <v>45</v>
      </c>
      <c r="J1151" cm="1">
        <f t="array" ref="J1151">IFERROR(
    _xlfn.XLOOKUP(G1151, 'Wedgewood Pharm-PME-Yr2-2025'!$E$62:$L$62,
        _xlfn.XLOOKUP('Rate Load'!H1151, 'Wedgewood Pharm-PME-Yr2-2025'!$D$63:$D$86,
            'Wedgewood Pharm-PME-Yr2-2025'!$E$63:$L$86, 0, 0),
        0, 0),
    _xlfn.XLOOKUP(G1151, 'Wedgewood Pharm-PME-Yr2-2025'!$E$62:$L$62,
        _xlfn.XLOOKUP('Rate Load'!L1151, 'Wedgewood Pharm-PME-Yr2-2025'!$D$63:$D$86,
            'Wedgewood Pharm-PME-Yr2-2025'!$E$63:$L$86, 0, 0),
        0, 0)
)</f>
        <v>35.71</v>
      </c>
      <c r="K1151" t="s">
        <v>46</v>
      </c>
      <c r="L1151" t="s">
        <v>13</v>
      </c>
      <c r="M1151">
        <v>3</v>
      </c>
      <c r="N1151" t="str">
        <f t="shared" si="17"/>
        <v>INSERT INTO TNL_RATING.dbo.usps_rate_master VALUES ('USPS', '2/13/2025', '2/13/2026', 12659, 'US', 'Priority Mail Express', 1, 13, 'L', 35.71, 'Wedgewood_USPS_2025', 'NonCubic','3');</v>
      </c>
    </row>
    <row r="1152" spans="1:14" x14ac:dyDescent="0.3">
      <c r="A1152" t="s">
        <v>11</v>
      </c>
      <c r="B1152" s="1" t="s">
        <v>43</v>
      </c>
      <c r="C1152" s="1" t="s">
        <v>44</v>
      </c>
      <c r="D1152">
        <v>12659</v>
      </c>
      <c r="E1152" t="s">
        <v>12</v>
      </c>
      <c r="F1152" t="s">
        <v>42</v>
      </c>
      <c r="G1152">
        <v>1</v>
      </c>
      <c r="H1152">
        <v>14</v>
      </c>
      <c r="I1152" t="s">
        <v>45</v>
      </c>
      <c r="J1152" cm="1">
        <f t="array" ref="J1152">IFERROR(
    _xlfn.XLOOKUP(G1152, 'Wedgewood Pharm-PME-Yr2-2025'!$E$62:$L$62,
        _xlfn.XLOOKUP('Rate Load'!H1152, 'Wedgewood Pharm-PME-Yr2-2025'!$D$63:$D$86,
            'Wedgewood Pharm-PME-Yr2-2025'!$E$63:$L$86, 0, 0),
        0, 0),
    _xlfn.XLOOKUP(G1152, 'Wedgewood Pharm-PME-Yr2-2025'!$E$62:$L$62,
        _xlfn.XLOOKUP('Rate Load'!L1152, 'Wedgewood Pharm-PME-Yr2-2025'!$D$63:$D$86,
            'Wedgewood Pharm-PME-Yr2-2025'!$E$63:$L$86, 0, 0),
        0, 0)
)</f>
        <v>37.659999999999997</v>
      </c>
      <c r="K1152" t="s">
        <v>46</v>
      </c>
      <c r="L1152" t="s">
        <v>13</v>
      </c>
      <c r="M1152">
        <v>3</v>
      </c>
      <c r="N1152" t="str">
        <f t="shared" si="17"/>
        <v>INSERT INTO TNL_RATING.dbo.usps_rate_master VALUES ('USPS', '2/13/2025', '2/13/2026', 12659, 'US', 'Priority Mail Express', 1, 14, 'L', 37.66, 'Wedgewood_USPS_2025', 'NonCubic','3');</v>
      </c>
    </row>
    <row r="1153" spans="1:14" x14ac:dyDescent="0.3">
      <c r="A1153" t="s">
        <v>11</v>
      </c>
      <c r="B1153" s="1" t="s">
        <v>43</v>
      </c>
      <c r="C1153" s="1" t="s">
        <v>44</v>
      </c>
      <c r="D1153">
        <v>12659</v>
      </c>
      <c r="E1153" t="s">
        <v>12</v>
      </c>
      <c r="F1153" t="s">
        <v>42</v>
      </c>
      <c r="G1153">
        <v>1</v>
      </c>
      <c r="H1153">
        <v>15</v>
      </c>
      <c r="I1153" t="s">
        <v>45</v>
      </c>
      <c r="J1153" cm="1">
        <f t="array" ref="J1153">IFERROR(
    _xlfn.XLOOKUP(G1153, 'Wedgewood Pharm-PME-Yr2-2025'!$E$62:$L$62,
        _xlfn.XLOOKUP('Rate Load'!H1153, 'Wedgewood Pharm-PME-Yr2-2025'!$D$63:$D$86,
            'Wedgewood Pharm-PME-Yr2-2025'!$E$63:$L$86, 0, 0),
        0, 0),
    _xlfn.XLOOKUP(G1153, 'Wedgewood Pharm-PME-Yr2-2025'!$E$62:$L$62,
        _xlfn.XLOOKUP('Rate Load'!L1153, 'Wedgewood Pharm-PME-Yr2-2025'!$D$63:$D$86,
            'Wedgewood Pharm-PME-Yr2-2025'!$E$63:$L$86, 0, 0),
        0, 0)
)</f>
        <v>39.619999999999997</v>
      </c>
      <c r="K1153" t="s">
        <v>46</v>
      </c>
      <c r="L1153" t="s">
        <v>13</v>
      </c>
      <c r="M1153">
        <v>3</v>
      </c>
      <c r="N1153" t="str">
        <f t="shared" si="17"/>
        <v>INSERT INTO TNL_RATING.dbo.usps_rate_master VALUES ('USPS', '2/13/2025', '2/13/2026', 12659, 'US', 'Priority Mail Express', 1, 15, 'L', 39.62, 'Wedgewood_USPS_2025', 'NonCubic','3');</v>
      </c>
    </row>
    <row r="1154" spans="1:14" x14ac:dyDescent="0.3">
      <c r="A1154" t="s">
        <v>11</v>
      </c>
      <c r="B1154" s="1" t="s">
        <v>43</v>
      </c>
      <c r="C1154" s="1" t="s">
        <v>44</v>
      </c>
      <c r="D1154">
        <v>12659</v>
      </c>
      <c r="E1154" t="s">
        <v>12</v>
      </c>
      <c r="F1154" t="s">
        <v>42</v>
      </c>
      <c r="G1154">
        <v>1</v>
      </c>
      <c r="H1154">
        <v>16</v>
      </c>
      <c r="I1154" t="s">
        <v>45</v>
      </c>
      <c r="J1154" cm="1">
        <f t="array" ref="J1154">IFERROR(
    _xlfn.XLOOKUP(G1154, 'Wedgewood Pharm-PME-Yr2-2025'!$E$62:$L$62,
        _xlfn.XLOOKUP('Rate Load'!H1154, 'Wedgewood Pharm-PME-Yr2-2025'!$D$63:$D$86,
            'Wedgewood Pharm-PME-Yr2-2025'!$E$63:$L$86, 0, 0),
        0, 0),
    _xlfn.XLOOKUP(G1154, 'Wedgewood Pharm-PME-Yr2-2025'!$E$62:$L$62,
        _xlfn.XLOOKUP('Rate Load'!L1154, 'Wedgewood Pharm-PME-Yr2-2025'!$D$63:$D$86,
            'Wedgewood Pharm-PME-Yr2-2025'!$E$63:$L$86, 0, 0),
        0, 0)
)</f>
        <v>41.559999999999995</v>
      </c>
      <c r="K1154" t="s">
        <v>46</v>
      </c>
      <c r="L1154" t="s">
        <v>13</v>
      </c>
      <c r="M1154">
        <v>3</v>
      </c>
      <c r="N1154" t="str">
        <f t="shared" si="17"/>
        <v>INSERT INTO TNL_RATING.dbo.usps_rate_master VALUES ('USPS', '2/13/2025', '2/13/2026', 12659, 'US', 'Priority Mail Express', 1, 16, 'L', 41.56, 'Wedgewood_USPS_2025', 'NonCubic','3');</v>
      </c>
    </row>
    <row r="1155" spans="1:14" x14ac:dyDescent="0.3">
      <c r="A1155" t="s">
        <v>11</v>
      </c>
      <c r="B1155" s="1" t="s">
        <v>43</v>
      </c>
      <c r="C1155" s="1" t="s">
        <v>44</v>
      </c>
      <c r="D1155">
        <v>12659</v>
      </c>
      <c r="E1155" t="s">
        <v>12</v>
      </c>
      <c r="F1155" t="s">
        <v>42</v>
      </c>
      <c r="G1155">
        <v>1</v>
      </c>
      <c r="H1155">
        <v>17</v>
      </c>
      <c r="I1155" t="s">
        <v>45</v>
      </c>
      <c r="J1155" cm="1">
        <f t="array" ref="J1155">IFERROR(
    _xlfn.XLOOKUP(G1155, 'Wedgewood Pharm-PME-Yr2-2025'!$E$62:$L$62,
        _xlfn.XLOOKUP('Rate Load'!H1155, 'Wedgewood Pharm-PME-Yr2-2025'!$D$63:$D$86,
            'Wedgewood Pharm-PME-Yr2-2025'!$E$63:$L$86, 0, 0),
        0, 0),
    _xlfn.XLOOKUP(G1155, 'Wedgewood Pharm-PME-Yr2-2025'!$E$62:$L$62,
        _xlfn.XLOOKUP('Rate Load'!L1155, 'Wedgewood Pharm-PME-Yr2-2025'!$D$63:$D$86,
            'Wedgewood Pharm-PME-Yr2-2025'!$E$63:$L$86, 0, 0),
        0, 0)
)</f>
        <v>43.51</v>
      </c>
      <c r="K1155" t="s">
        <v>46</v>
      </c>
      <c r="L1155" t="s">
        <v>13</v>
      </c>
      <c r="M1155">
        <v>3</v>
      </c>
      <c r="N1155" t="str">
        <f t="shared" ref="N1155:N1218" si="18">"INSERT INTO TNL_RATING.dbo.usps_rate_master VALUES ('" &amp; A1155 &amp; "', '" &amp; B1155 &amp; "', '" &amp; C1155 &amp; "', " &amp; D1155 &amp; ", '" &amp; E1155 &amp; "', '" &amp; F1155 &amp; "', " &amp; G1155 &amp; ", " &amp; H1155 &amp; ", '" &amp; I1155 &amp; "', " &amp; J1155 &amp; ", '" &amp; K1155 &amp; "', '" &amp; L1155 &amp; "','" &amp; M1155 &amp; "');"</f>
        <v>INSERT INTO TNL_RATING.dbo.usps_rate_master VALUES ('USPS', '2/13/2025', '2/13/2026', 12659, 'US', 'Priority Mail Express', 1, 17, 'L', 43.51, 'Wedgewood_USPS_2025', 'NonCubic','3');</v>
      </c>
    </row>
    <row r="1156" spans="1:14" x14ac:dyDescent="0.3">
      <c r="A1156" t="s">
        <v>11</v>
      </c>
      <c r="B1156" s="1" t="s">
        <v>43</v>
      </c>
      <c r="C1156" s="1" t="s">
        <v>44</v>
      </c>
      <c r="D1156">
        <v>12659</v>
      </c>
      <c r="E1156" t="s">
        <v>12</v>
      </c>
      <c r="F1156" t="s">
        <v>42</v>
      </c>
      <c r="G1156">
        <v>1</v>
      </c>
      <c r="H1156">
        <v>18</v>
      </c>
      <c r="I1156" t="s">
        <v>45</v>
      </c>
      <c r="J1156" cm="1">
        <f t="array" ref="J1156">IFERROR(
    _xlfn.XLOOKUP(G1156, 'Wedgewood Pharm-PME-Yr2-2025'!$E$62:$L$62,
        _xlfn.XLOOKUP('Rate Load'!H1156, 'Wedgewood Pharm-PME-Yr2-2025'!$D$63:$D$86,
            'Wedgewood Pharm-PME-Yr2-2025'!$E$63:$L$86, 0, 0),
        0, 0),
    _xlfn.XLOOKUP(G1156, 'Wedgewood Pharm-PME-Yr2-2025'!$E$62:$L$62,
        _xlfn.XLOOKUP('Rate Load'!L1156, 'Wedgewood Pharm-PME-Yr2-2025'!$D$63:$D$86,
            'Wedgewood Pharm-PME-Yr2-2025'!$E$63:$L$86, 0, 0),
        0, 0)
)</f>
        <v>45.46</v>
      </c>
      <c r="K1156" t="s">
        <v>46</v>
      </c>
      <c r="L1156" t="s">
        <v>13</v>
      </c>
      <c r="M1156">
        <v>3</v>
      </c>
      <c r="N1156" t="str">
        <f t="shared" si="18"/>
        <v>INSERT INTO TNL_RATING.dbo.usps_rate_master VALUES ('USPS', '2/13/2025', '2/13/2026', 12659, 'US', 'Priority Mail Express', 1, 18, 'L', 45.46, 'Wedgewood_USPS_2025', 'NonCubic','3');</v>
      </c>
    </row>
    <row r="1157" spans="1:14" x14ac:dyDescent="0.3">
      <c r="A1157" t="s">
        <v>11</v>
      </c>
      <c r="B1157" s="1" t="s">
        <v>43</v>
      </c>
      <c r="C1157" s="1" t="s">
        <v>44</v>
      </c>
      <c r="D1157">
        <v>12659</v>
      </c>
      <c r="E1157" t="s">
        <v>12</v>
      </c>
      <c r="F1157" t="s">
        <v>42</v>
      </c>
      <c r="G1157">
        <v>1</v>
      </c>
      <c r="H1157">
        <v>19</v>
      </c>
      <c r="I1157" t="s">
        <v>45</v>
      </c>
      <c r="J1157" cm="1">
        <f t="array" ref="J1157">IFERROR(
    _xlfn.XLOOKUP(G1157, 'Wedgewood Pharm-PME-Yr2-2025'!$E$62:$L$62,
        _xlfn.XLOOKUP('Rate Load'!H1157, 'Wedgewood Pharm-PME-Yr2-2025'!$D$63:$D$86,
            'Wedgewood Pharm-PME-Yr2-2025'!$E$63:$L$86, 0, 0),
        0, 0),
    _xlfn.XLOOKUP(G1157, 'Wedgewood Pharm-PME-Yr2-2025'!$E$62:$L$62,
        _xlfn.XLOOKUP('Rate Load'!L1157, 'Wedgewood Pharm-PME-Yr2-2025'!$D$63:$D$86,
            'Wedgewood Pharm-PME-Yr2-2025'!$E$63:$L$86, 0, 0),
        0, 0)
)</f>
        <v>47.419999999999995</v>
      </c>
      <c r="K1157" t="s">
        <v>46</v>
      </c>
      <c r="L1157" t="s">
        <v>13</v>
      </c>
      <c r="M1157">
        <v>3</v>
      </c>
      <c r="N1157" t="str">
        <f t="shared" si="18"/>
        <v>INSERT INTO TNL_RATING.dbo.usps_rate_master VALUES ('USPS', '2/13/2025', '2/13/2026', 12659, 'US', 'Priority Mail Express', 1, 19, 'L', 47.42, 'Wedgewood_USPS_2025', 'NonCubic','3');</v>
      </c>
    </row>
    <row r="1158" spans="1:14" x14ac:dyDescent="0.3">
      <c r="A1158" t="s">
        <v>11</v>
      </c>
      <c r="B1158" s="1" t="s">
        <v>43</v>
      </c>
      <c r="C1158" s="1" t="s">
        <v>44</v>
      </c>
      <c r="D1158">
        <v>12659</v>
      </c>
      <c r="E1158" t="s">
        <v>12</v>
      </c>
      <c r="F1158" t="s">
        <v>42</v>
      </c>
      <c r="G1158">
        <v>1</v>
      </c>
      <c r="H1158">
        <v>20</v>
      </c>
      <c r="I1158" t="s">
        <v>45</v>
      </c>
      <c r="J1158" cm="1">
        <f t="array" ref="J1158">IFERROR(
    _xlfn.XLOOKUP(G1158, 'Wedgewood Pharm-PME-Yr2-2025'!$E$62:$L$62,
        _xlfn.XLOOKUP('Rate Load'!H1158, 'Wedgewood Pharm-PME-Yr2-2025'!$D$63:$D$86,
            'Wedgewood Pharm-PME-Yr2-2025'!$E$63:$L$86, 0, 0),
        0, 0),
    _xlfn.XLOOKUP(G1158, 'Wedgewood Pharm-PME-Yr2-2025'!$E$62:$L$62,
        _xlfn.XLOOKUP('Rate Load'!L1158, 'Wedgewood Pharm-PME-Yr2-2025'!$D$63:$D$86,
            'Wedgewood Pharm-PME-Yr2-2025'!$E$63:$L$86, 0, 0),
        0, 0)
)</f>
        <v>49.37</v>
      </c>
      <c r="K1158" t="s">
        <v>46</v>
      </c>
      <c r="L1158" t="s">
        <v>13</v>
      </c>
      <c r="M1158">
        <v>3</v>
      </c>
      <c r="N1158" t="str">
        <f t="shared" si="18"/>
        <v>INSERT INTO TNL_RATING.dbo.usps_rate_master VALUES ('USPS', '2/13/2025', '2/13/2026', 12659, 'US', 'Priority Mail Express', 1, 20, 'L', 49.37, 'Wedgewood_USPS_2025', 'NonCubic','3');</v>
      </c>
    </row>
    <row r="1159" spans="1:14" x14ac:dyDescent="0.3">
      <c r="A1159" t="s">
        <v>11</v>
      </c>
      <c r="B1159" s="1" t="s">
        <v>43</v>
      </c>
      <c r="C1159" s="1" t="s">
        <v>44</v>
      </c>
      <c r="D1159">
        <v>12659</v>
      </c>
      <c r="E1159" t="s">
        <v>12</v>
      </c>
      <c r="F1159" t="s">
        <v>42</v>
      </c>
      <c r="G1159">
        <v>2</v>
      </c>
      <c r="H1159">
        <v>0.5</v>
      </c>
      <c r="I1159" t="s">
        <v>45</v>
      </c>
      <c r="J1159" cm="1">
        <f t="array" ref="J1159">IFERROR(
    _xlfn.XLOOKUP(G1159, 'Wedgewood Pharm-PME-Yr2-2025'!$E$62:$L$62,
        _xlfn.XLOOKUP('Rate Load'!H1159, 'Wedgewood Pharm-PME-Yr2-2025'!$D$63:$D$86,
            'Wedgewood Pharm-PME-Yr2-2025'!$E$63:$L$86, 0, 0),
        0, 0),
    _xlfn.XLOOKUP(G1159, 'Wedgewood Pharm-PME-Yr2-2025'!$E$62:$L$62,
        _xlfn.XLOOKUP('Rate Load'!L1159, 'Wedgewood Pharm-PME-Yr2-2025'!$D$63:$D$86,
            'Wedgewood Pharm-PME-Yr2-2025'!$E$63:$L$86, 0, 0),
        0, 0)
)</f>
        <v>13.15</v>
      </c>
      <c r="K1159" t="s">
        <v>46</v>
      </c>
      <c r="L1159" t="s">
        <v>13</v>
      </c>
      <c r="M1159">
        <v>3</v>
      </c>
      <c r="N1159" t="str">
        <f t="shared" si="18"/>
        <v>INSERT INTO TNL_RATING.dbo.usps_rate_master VALUES ('USPS', '2/13/2025', '2/13/2026', 12659, 'US', 'Priority Mail Express', 2, 0.5, 'L', 13.15, 'Wedgewood_USPS_2025', 'NonCubic','3');</v>
      </c>
    </row>
    <row r="1160" spans="1:14" x14ac:dyDescent="0.3">
      <c r="A1160" t="s">
        <v>11</v>
      </c>
      <c r="B1160" s="1" t="s">
        <v>43</v>
      </c>
      <c r="C1160" s="1" t="s">
        <v>44</v>
      </c>
      <c r="D1160">
        <v>12659</v>
      </c>
      <c r="E1160" t="s">
        <v>12</v>
      </c>
      <c r="F1160" t="s">
        <v>42</v>
      </c>
      <c r="G1160">
        <v>2</v>
      </c>
      <c r="H1160">
        <v>1</v>
      </c>
      <c r="I1160" t="s">
        <v>45</v>
      </c>
      <c r="J1160" cm="1">
        <f t="array" ref="J1160">IFERROR(
    _xlfn.XLOOKUP(G1160, 'Wedgewood Pharm-PME-Yr2-2025'!$E$62:$L$62,
        _xlfn.XLOOKUP('Rate Load'!H1160, 'Wedgewood Pharm-PME-Yr2-2025'!$D$63:$D$86,
            'Wedgewood Pharm-PME-Yr2-2025'!$E$63:$L$86, 0, 0),
        0, 0),
    _xlfn.XLOOKUP(G1160, 'Wedgewood Pharm-PME-Yr2-2025'!$E$62:$L$62,
        _xlfn.XLOOKUP('Rate Load'!L1160, 'Wedgewood Pharm-PME-Yr2-2025'!$D$63:$D$86,
            'Wedgewood Pharm-PME-Yr2-2025'!$E$63:$L$86, 0, 0),
        0, 0)
)</f>
        <v>13.69</v>
      </c>
      <c r="K1160" t="s">
        <v>46</v>
      </c>
      <c r="L1160" t="s">
        <v>13</v>
      </c>
      <c r="M1160">
        <v>3</v>
      </c>
      <c r="N1160" t="str">
        <f t="shared" si="18"/>
        <v>INSERT INTO TNL_RATING.dbo.usps_rate_master VALUES ('USPS', '2/13/2025', '2/13/2026', 12659, 'US', 'Priority Mail Express', 2, 1, 'L', 13.69, 'Wedgewood_USPS_2025', 'NonCubic','3');</v>
      </c>
    </row>
    <row r="1161" spans="1:14" x14ac:dyDescent="0.3">
      <c r="A1161" t="s">
        <v>11</v>
      </c>
      <c r="B1161" s="1" t="s">
        <v>43</v>
      </c>
      <c r="C1161" s="1" t="s">
        <v>44</v>
      </c>
      <c r="D1161">
        <v>12659</v>
      </c>
      <c r="E1161" t="s">
        <v>12</v>
      </c>
      <c r="F1161" t="s">
        <v>42</v>
      </c>
      <c r="G1161">
        <v>2</v>
      </c>
      <c r="H1161">
        <v>2</v>
      </c>
      <c r="I1161" t="s">
        <v>45</v>
      </c>
      <c r="J1161" cm="1">
        <f t="array" ref="J1161">IFERROR(
    _xlfn.XLOOKUP(G1161, 'Wedgewood Pharm-PME-Yr2-2025'!$E$62:$L$62,
        _xlfn.XLOOKUP('Rate Load'!H1161, 'Wedgewood Pharm-PME-Yr2-2025'!$D$63:$D$86,
            'Wedgewood Pharm-PME-Yr2-2025'!$E$63:$L$86, 0, 0),
        0, 0),
    _xlfn.XLOOKUP(G1161, 'Wedgewood Pharm-PME-Yr2-2025'!$E$62:$L$62,
        _xlfn.XLOOKUP('Rate Load'!L1161, 'Wedgewood Pharm-PME-Yr2-2025'!$D$63:$D$86,
            'Wedgewood Pharm-PME-Yr2-2025'!$E$63:$L$86, 0, 0),
        0, 0)
)</f>
        <v>14.99</v>
      </c>
      <c r="K1161" t="s">
        <v>46</v>
      </c>
      <c r="L1161" t="s">
        <v>13</v>
      </c>
      <c r="M1161">
        <v>3</v>
      </c>
      <c r="N1161" t="str">
        <f t="shared" si="18"/>
        <v>INSERT INTO TNL_RATING.dbo.usps_rate_master VALUES ('USPS', '2/13/2025', '2/13/2026', 12659, 'US', 'Priority Mail Express', 2, 2, 'L', 14.99, 'Wedgewood_USPS_2025', 'NonCubic','3');</v>
      </c>
    </row>
    <row r="1162" spans="1:14" x14ac:dyDescent="0.3">
      <c r="A1162" t="s">
        <v>11</v>
      </c>
      <c r="B1162" s="1" t="s">
        <v>43</v>
      </c>
      <c r="C1162" s="1" t="s">
        <v>44</v>
      </c>
      <c r="D1162">
        <v>12659</v>
      </c>
      <c r="E1162" t="s">
        <v>12</v>
      </c>
      <c r="F1162" t="s">
        <v>42</v>
      </c>
      <c r="G1162">
        <v>2</v>
      </c>
      <c r="H1162">
        <v>3</v>
      </c>
      <c r="I1162" t="s">
        <v>45</v>
      </c>
      <c r="J1162" cm="1">
        <f t="array" ref="J1162">IFERROR(
    _xlfn.XLOOKUP(G1162, 'Wedgewood Pharm-PME-Yr2-2025'!$E$62:$L$62,
        _xlfn.XLOOKUP('Rate Load'!H1162, 'Wedgewood Pharm-PME-Yr2-2025'!$D$63:$D$86,
            'Wedgewood Pharm-PME-Yr2-2025'!$E$63:$L$86, 0, 0),
        0, 0),
    _xlfn.XLOOKUP(G1162, 'Wedgewood Pharm-PME-Yr2-2025'!$E$62:$L$62,
        _xlfn.XLOOKUP('Rate Load'!L1162, 'Wedgewood Pharm-PME-Yr2-2025'!$D$63:$D$86,
            'Wedgewood Pharm-PME-Yr2-2025'!$E$63:$L$86, 0, 0),
        0, 0)
)</f>
        <v>16.690000000000001</v>
      </c>
      <c r="K1162" t="s">
        <v>46</v>
      </c>
      <c r="L1162" t="s">
        <v>13</v>
      </c>
      <c r="M1162">
        <v>3</v>
      </c>
      <c r="N1162" t="str">
        <f t="shared" si="18"/>
        <v>INSERT INTO TNL_RATING.dbo.usps_rate_master VALUES ('USPS', '2/13/2025', '2/13/2026', 12659, 'US', 'Priority Mail Express', 2, 3, 'L', 16.69, 'Wedgewood_USPS_2025', 'NonCubic','3');</v>
      </c>
    </row>
    <row r="1163" spans="1:14" x14ac:dyDescent="0.3">
      <c r="A1163" t="s">
        <v>11</v>
      </c>
      <c r="B1163" s="1" t="s">
        <v>43</v>
      </c>
      <c r="C1163" s="1" t="s">
        <v>44</v>
      </c>
      <c r="D1163">
        <v>12659</v>
      </c>
      <c r="E1163" t="s">
        <v>12</v>
      </c>
      <c r="F1163" t="s">
        <v>42</v>
      </c>
      <c r="G1163">
        <v>2</v>
      </c>
      <c r="H1163">
        <v>4</v>
      </c>
      <c r="I1163" t="s">
        <v>45</v>
      </c>
      <c r="J1163" cm="1">
        <f t="array" ref="J1163">IFERROR(
    _xlfn.XLOOKUP(G1163, 'Wedgewood Pharm-PME-Yr2-2025'!$E$62:$L$62,
        _xlfn.XLOOKUP('Rate Load'!H1163, 'Wedgewood Pharm-PME-Yr2-2025'!$D$63:$D$86,
            'Wedgewood Pharm-PME-Yr2-2025'!$E$63:$L$86, 0, 0),
        0, 0),
    _xlfn.XLOOKUP(G1163, 'Wedgewood Pharm-PME-Yr2-2025'!$E$62:$L$62,
        _xlfn.XLOOKUP('Rate Load'!L1163, 'Wedgewood Pharm-PME-Yr2-2025'!$D$63:$D$86,
            'Wedgewood Pharm-PME-Yr2-2025'!$E$63:$L$86, 0, 0),
        0, 0)
)</f>
        <v>18.400000000000002</v>
      </c>
      <c r="K1163" t="s">
        <v>46</v>
      </c>
      <c r="L1163" t="s">
        <v>13</v>
      </c>
      <c r="M1163">
        <v>3</v>
      </c>
      <c r="N1163" t="str">
        <f t="shared" si="18"/>
        <v>INSERT INTO TNL_RATING.dbo.usps_rate_master VALUES ('USPS', '2/13/2025', '2/13/2026', 12659, 'US', 'Priority Mail Express', 2, 4, 'L', 18.4, 'Wedgewood_USPS_2025', 'NonCubic','3');</v>
      </c>
    </row>
    <row r="1164" spans="1:14" x14ac:dyDescent="0.3">
      <c r="A1164" t="s">
        <v>11</v>
      </c>
      <c r="B1164" s="1" t="s">
        <v>43</v>
      </c>
      <c r="C1164" s="1" t="s">
        <v>44</v>
      </c>
      <c r="D1164">
        <v>12659</v>
      </c>
      <c r="E1164" t="s">
        <v>12</v>
      </c>
      <c r="F1164" t="s">
        <v>42</v>
      </c>
      <c r="G1164">
        <v>2</v>
      </c>
      <c r="H1164">
        <v>5</v>
      </c>
      <c r="I1164" t="s">
        <v>45</v>
      </c>
      <c r="J1164" cm="1">
        <f t="array" ref="J1164">IFERROR(
    _xlfn.XLOOKUP(G1164, 'Wedgewood Pharm-PME-Yr2-2025'!$E$62:$L$62,
        _xlfn.XLOOKUP('Rate Load'!H1164, 'Wedgewood Pharm-PME-Yr2-2025'!$D$63:$D$86,
            'Wedgewood Pharm-PME-Yr2-2025'!$E$63:$L$86, 0, 0),
        0, 0),
    _xlfn.XLOOKUP(G1164, 'Wedgewood Pharm-PME-Yr2-2025'!$E$62:$L$62,
        _xlfn.XLOOKUP('Rate Load'!L1164, 'Wedgewood Pharm-PME-Yr2-2025'!$D$63:$D$86,
            'Wedgewood Pharm-PME-Yr2-2025'!$E$63:$L$86, 0, 0),
        0, 0)
)</f>
        <v>20.09</v>
      </c>
      <c r="K1164" t="s">
        <v>46</v>
      </c>
      <c r="L1164" t="s">
        <v>13</v>
      </c>
      <c r="M1164">
        <v>3</v>
      </c>
      <c r="N1164" t="str">
        <f t="shared" si="18"/>
        <v>INSERT INTO TNL_RATING.dbo.usps_rate_master VALUES ('USPS', '2/13/2025', '2/13/2026', 12659, 'US', 'Priority Mail Express', 2, 5, 'L', 20.09, 'Wedgewood_USPS_2025', 'NonCubic','3');</v>
      </c>
    </row>
    <row r="1165" spans="1:14" x14ac:dyDescent="0.3">
      <c r="A1165" t="s">
        <v>11</v>
      </c>
      <c r="B1165" s="1" t="s">
        <v>43</v>
      </c>
      <c r="C1165" s="1" t="s">
        <v>44</v>
      </c>
      <c r="D1165">
        <v>12659</v>
      </c>
      <c r="E1165" t="s">
        <v>12</v>
      </c>
      <c r="F1165" t="s">
        <v>42</v>
      </c>
      <c r="G1165">
        <v>2</v>
      </c>
      <c r="H1165">
        <v>6</v>
      </c>
      <c r="I1165" t="s">
        <v>45</v>
      </c>
      <c r="J1165" cm="1">
        <f t="array" ref="J1165">IFERROR(
    _xlfn.XLOOKUP(G1165, 'Wedgewood Pharm-PME-Yr2-2025'!$E$62:$L$62,
        _xlfn.XLOOKUP('Rate Load'!H1165, 'Wedgewood Pharm-PME-Yr2-2025'!$D$63:$D$86,
            'Wedgewood Pharm-PME-Yr2-2025'!$E$63:$L$86, 0, 0),
        0, 0),
    _xlfn.XLOOKUP(G1165, 'Wedgewood Pharm-PME-Yr2-2025'!$E$62:$L$62,
        _xlfn.XLOOKUP('Rate Load'!L1165, 'Wedgewood Pharm-PME-Yr2-2025'!$D$63:$D$86,
            'Wedgewood Pharm-PME-Yr2-2025'!$E$63:$L$86, 0, 0),
        0, 0)
)</f>
        <v>22.17</v>
      </c>
      <c r="K1165" t="s">
        <v>46</v>
      </c>
      <c r="L1165" t="s">
        <v>13</v>
      </c>
      <c r="M1165">
        <v>3</v>
      </c>
      <c r="N1165" t="str">
        <f t="shared" si="18"/>
        <v>INSERT INTO TNL_RATING.dbo.usps_rate_master VALUES ('USPS', '2/13/2025', '2/13/2026', 12659, 'US', 'Priority Mail Express', 2, 6, 'L', 22.17, 'Wedgewood_USPS_2025', 'NonCubic','3');</v>
      </c>
    </row>
    <row r="1166" spans="1:14" x14ac:dyDescent="0.3">
      <c r="A1166" t="s">
        <v>11</v>
      </c>
      <c r="B1166" s="1" t="s">
        <v>43</v>
      </c>
      <c r="C1166" s="1" t="s">
        <v>44</v>
      </c>
      <c r="D1166">
        <v>12659</v>
      </c>
      <c r="E1166" t="s">
        <v>12</v>
      </c>
      <c r="F1166" t="s">
        <v>42</v>
      </c>
      <c r="G1166">
        <v>2</v>
      </c>
      <c r="H1166">
        <v>7</v>
      </c>
      <c r="I1166" t="s">
        <v>45</v>
      </c>
      <c r="J1166" cm="1">
        <f t="array" ref="J1166">IFERROR(
    _xlfn.XLOOKUP(G1166, 'Wedgewood Pharm-PME-Yr2-2025'!$E$62:$L$62,
        _xlfn.XLOOKUP('Rate Load'!H1166, 'Wedgewood Pharm-PME-Yr2-2025'!$D$63:$D$86,
            'Wedgewood Pharm-PME-Yr2-2025'!$E$63:$L$86, 0, 0),
        0, 0),
    _xlfn.XLOOKUP(G1166, 'Wedgewood Pharm-PME-Yr2-2025'!$E$62:$L$62,
        _xlfn.XLOOKUP('Rate Load'!L1166, 'Wedgewood Pharm-PME-Yr2-2025'!$D$63:$D$86,
            'Wedgewood Pharm-PME-Yr2-2025'!$E$63:$L$86, 0, 0),
        0, 0)
)</f>
        <v>24.270000000000003</v>
      </c>
      <c r="K1166" t="s">
        <v>46</v>
      </c>
      <c r="L1166" t="s">
        <v>13</v>
      </c>
      <c r="M1166">
        <v>3</v>
      </c>
      <c r="N1166" t="str">
        <f t="shared" si="18"/>
        <v>INSERT INTO TNL_RATING.dbo.usps_rate_master VALUES ('USPS', '2/13/2025', '2/13/2026', 12659, 'US', 'Priority Mail Express', 2, 7, 'L', 24.27, 'Wedgewood_USPS_2025', 'NonCubic','3');</v>
      </c>
    </row>
    <row r="1167" spans="1:14" x14ac:dyDescent="0.3">
      <c r="A1167" t="s">
        <v>11</v>
      </c>
      <c r="B1167" s="1" t="s">
        <v>43</v>
      </c>
      <c r="C1167" s="1" t="s">
        <v>44</v>
      </c>
      <c r="D1167">
        <v>12659</v>
      </c>
      <c r="E1167" t="s">
        <v>12</v>
      </c>
      <c r="F1167" t="s">
        <v>42</v>
      </c>
      <c r="G1167">
        <v>2</v>
      </c>
      <c r="H1167">
        <v>8</v>
      </c>
      <c r="I1167" t="s">
        <v>45</v>
      </c>
      <c r="J1167" cm="1">
        <f t="array" ref="J1167">IFERROR(
    _xlfn.XLOOKUP(G1167, 'Wedgewood Pharm-PME-Yr2-2025'!$E$62:$L$62,
        _xlfn.XLOOKUP('Rate Load'!H1167, 'Wedgewood Pharm-PME-Yr2-2025'!$D$63:$D$86,
            'Wedgewood Pharm-PME-Yr2-2025'!$E$63:$L$86, 0, 0),
        0, 0),
    _xlfn.XLOOKUP(G1167, 'Wedgewood Pharm-PME-Yr2-2025'!$E$62:$L$62,
        _xlfn.XLOOKUP('Rate Load'!L1167, 'Wedgewood Pharm-PME-Yr2-2025'!$D$63:$D$86,
            'Wedgewood Pharm-PME-Yr2-2025'!$E$63:$L$86, 0, 0),
        0, 0)
)</f>
        <v>26.35</v>
      </c>
      <c r="K1167" t="s">
        <v>46</v>
      </c>
      <c r="L1167" t="s">
        <v>13</v>
      </c>
      <c r="M1167">
        <v>3</v>
      </c>
      <c r="N1167" t="str">
        <f t="shared" si="18"/>
        <v>INSERT INTO TNL_RATING.dbo.usps_rate_master VALUES ('USPS', '2/13/2025', '2/13/2026', 12659, 'US', 'Priority Mail Express', 2, 8, 'L', 26.35, 'Wedgewood_USPS_2025', 'NonCubic','3');</v>
      </c>
    </row>
    <row r="1168" spans="1:14" x14ac:dyDescent="0.3">
      <c r="A1168" t="s">
        <v>11</v>
      </c>
      <c r="B1168" s="1" t="s">
        <v>43</v>
      </c>
      <c r="C1168" s="1" t="s">
        <v>44</v>
      </c>
      <c r="D1168">
        <v>12659</v>
      </c>
      <c r="E1168" t="s">
        <v>12</v>
      </c>
      <c r="F1168" t="s">
        <v>42</v>
      </c>
      <c r="G1168">
        <v>2</v>
      </c>
      <c r="H1168">
        <v>9</v>
      </c>
      <c r="I1168" t="s">
        <v>45</v>
      </c>
      <c r="J1168" cm="1">
        <f t="array" ref="J1168">IFERROR(
    _xlfn.XLOOKUP(G1168, 'Wedgewood Pharm-PME-Yr2-2025'!$E$62:$L$62,
        _xlfn.XLOOKUP('Rate Load'!H1168, 'Wedgewood Pharm-PME-Yr2-2025'!$D$63:$D$86,
            'Wedgewood Pharm-PME-Yr2-2025'!$E$63:$L$86, 0, 0),
        0, 0),
    _xlfn.XLOOKUP(G1168, 'Wedgewood Pharm-PME-Yr2-2025'!$E$62:$L$62,
        _xlfn.XLOOKUP('Rate Load'!L1168, 'Wedgewood Pharm-PME-Yr2-2025'!$D$63:$D$86,
            'Wedgewood Pharm-PME-Yr2-2025'!$E$63:$L$86, 0, 0),
        0, 0)
)</f>
        <v>28.450000000000003</v>
      </c>
      <c r="K1168" t="s">
        <v>46</v>
      </c>
      <c r="L1168" t="s">
        <v>13</v>
      </c>
      <c r="M1168">
        <v>3</v>
      </c>
      <c r="N1168" t="str">
        <f t="shared" si="18"/>
        <v>INSERT INTO TNL_RATING.dbo.usps_rate_master VALUES ('USPS', '2/13/2025', '2/13/2026', 12659, 'US', 'Priority Mail Express', 2, 9, 'L', 28.45, 'Wedgewood_USPS_2025', 'NonCubic','3');</v>
      </c>
    </row>
    <row r="1169" spans="1:14" x14ac:dyDescent="0.3">
      <c r="A1169" t="s">
        <v>11</v>
      </c>
      <c r="B1169" s="1" t="s">
        <v>43</v>
      </c>
      <c r="C1169" s="1" t="s">
        <v>44</v>
      </c>
      <c r="D1169">
        <v>12659</v>
      </c>
      <c r="E1169" t="s">
        <v>12</v>
      </c>
      <c r="F1169" t="s">
        <v>42</v>
      </c>
      <c r="G1169">
        <v>2</v>
      </c>
      <c r="H1169">
        <v>10</v>
      </c>
      <c r="I1169" t="s">
        <v>45</v>
      </c>
      <c r="J1169" cm="1">
        <f t="array" ref="J1169">IFERROR(
    _xlfn.XLOOKUP(G1169, 'Wedgewood Pharm-PME-Yr2-2025'!$E$62:$L$62,
        _xlfn.XLOOKUP('Rate Load'!H1169, 'Wedgewood Pharm-PME-Yr2-2025'!$D$63:$D$86,
            'Wedgewood Pharm-PME-Yr2-2025'!$E$63:$L$86, 0, 0),
        0, 0),
    _xlfn.XLOOKUP(G1169, 'Wedgewood Pharm-PME-Yr2-2025'!$E$62:$L$62,
        _xlfn.XLOOKUP('Rate Load'!L1169, 'Wedgewood Pharm-PME-Yr2-2025'!$D$63:$D$86,
            'Wedgewood Pharm-PME-Yr2-2025'!$E$63:$L$86, 0, 0),
        0, 0)
)</f>
        <v>30.540000000000003</v>
      </c>
      <c r="K1169" t="s">
        <v>46</v>
      </c>
      <c r="L1169" t="s">
        <v>13</v>
      </c>
      <c r="M1169">
        <v>3</v>
      </c>
      <c r="N1169" t="str">
        <f t="shared" si="18"/>
        <v>INSERT INTO TNL_RATING.dbo.usps_rate_master VALUES ('USPS', '2/13/2025', '2/13/2026', 12659, 'US', 'Priority Mail Express', 2, 10, 'L', 30.54, 'Wedgewood_USPS_2025', 'NonCubic','3');</v>
      </c>
    </row>
    <row r="1170" spans="1:14" x14ac:dyDescent="0.3">
      <c r="A1170" t="s">
        <v>11</v>
      </c>
      <c r="B1170" s="1" t="s">
        <v>43</v>
      </c>
      <c r="C1170" s="1" t="s">
        <v>44</v>
      </c>
      <c r="D1170">
        <v>12659</v>
      </c>
      <c r="E1170" t="s">
        <v>12</v>
      </c>
      <c r="F1170" t="s">
        <v>42</v>
      </c>
      <c r="G1170">
        <v>2</v>
      </c>
      <c r="H1170">
        <v>11</v>
      </c>
      <c r="I1170" t="s">
        <v>45</v>
      </c>
      <c r="J1170" cm="1">
        <f t="array" ref="J1170">IFERROR(
    _xlfn.XLOOKUP(G1170, 'Wedgewood Pharm-PME-Yr2-2025'!$E$62:$L$62,
        _xlfn.XLOOKUP('Rate Load'!H1170, 'Wedgewood Pharm-PME-Yr2-2025'!$D$63:$D$86,
            'Wedgewood Pharm-PME-Yr2-2025'!$E$63:$L$86, 0, 0),
        0, 0),
    _xlfn.XLOOKUP(G1170, 'Wedgewood Pharm-PME-Yr2-2025'!$E$62:$L$62,
        _xlfn.XLOOKUP('Rate Load'!L1170, 'Wedgewood Pharm-PME-Yr2-2025'!$D$63:$D$86,
            'Wedgewood Pharm-PME-Yr2-2025'!$E$63:$L$86, 0, 0),
        0, 0)
)</f>
        <v>32.589999999999996</v>
      </c>
      <c r="K1170" t="s">
        <v>46</v>
      </c>
      <c r="L1170" t="s">
        <v>13</v>
      </c>
      <c r="M1170">
        <v>3</v>
      </c>
      <c r="N1170" t="str">
        <f t="shared" si="18"/>
        <v>INSERT INTO TNL_RATING.dbo.usps_rate_master VALUES ('USPS', '2/13/2025', '2/13/2026', 12659, 'US', 'Priority Mail Express', 2, 11, 'L', 32.59, 'Wedgewood_USPS_2025', 'NonCubic','3');</v>
      </c>
    </row>
    <row r="1171" spans="1:14" x14ac:dyDescent="0.3">
      <c r="A1171" t="s">
        <v>11</v>
      </c>
      <c r="B1171" s="1" t="s">
        <v>43</v>
      </c>
      <c r="C1171" s="1" t="s">
        <v>44</v>
      </c>
      <c r="D1171">
        <v>12659</v>
      </c>
      <c r="E1171" t="s">
        <v>12</v>
      </c>
      <c r="F1171" t="s">
        <v>42</v>
      </c>
      <c r="G1171">
        <v>2</v>
      </c>
      <c r="H1171">
        <v>12</v>
      </c>
      <c r="I1171" t="s">
        <v>45</v>
      </c>
      <c r="J1171" cm="1">
        <f t="array" ref="J1171">IFERROR(
    _xlfn.XLOOKUP(G1171, 'Wedgewood Pharm-PME-Yr2-2025'!$E$62:$L$62,
        _xlfn.XLOOKUP('Rate Load'!H1171, 'Wedgewood Pharm-PME-Yr2-2025'!$D$63:$D$86,
            'Wedgewood Pharm-PME-Yr2-2025'!$E$63:$L$86, 0, 0),
        0, 0),
    _xlfn.XLOOKUP(G1171, 'Wedgewood Pharm-PME-Yr2-2025'!$E$62:$L$62,
        _xlfn.XLOOKUP('Rate Load'!L1171, 'Wedgewood Pharm-PME-Yr2-2025'!$D$63:$D$86,
            'Wedgewood Pharm-PME-Yr2-2025'!$E$63:$L$86, 0, 0),
        0, 0)
)</f>
        <v>34.65</v>
      </c>
      <c r="K1171" t="s">
        <v>46</v>
      </c>
      <c r="L1171" t="s">
        <v>13</v>
      </c>
      <c r="M1171">
        <v>3</v>
      </c>
      <c r="N1171" t="str">
        <f t="shared" si="18"/>
        <v>INSERT INTO TNL_RATING.dbo.usps_rate_master VALUES ('USPS', '2/13/2025', '2/13/2026', 12659, 'US', 'Priority Mail Express', 2, 12, 'L', 34.65, 'Wedgewood_USPS_2025', 'NonCubic','3');</v>
      </c>
    </row>
    <row r="1172" spans="1:14" x14ac:dyDescent="0.3">
      <c r="A1172" t="s">
        <v>11</v>
      </c>
      <c r="B1172" s="1" t="s">
        <v>43</v>
      </c>
      <c r="C1172" s="1" t="s">
        <v>44</v>
      </c>
      <c r="D1172">
        <v>12659</v>
      </c>
      <c r="E1172" t="s">
        <v>12</v>
      </c>
      <c r="F1172" t="s">
        <v>42</v>
      </c>
      <c r="G1172">
        <v>2</v>
      </c>
      <c r="H1172">
        <v>13</v>
      </c>
      <c r="I1172" t="s">
        <v>45</v>
      </c>
      <c r="J1172" cm="1">
        <f t="array" ref="J1172">IFERROR(
    _xlfn.XLOOKUP(G1172, 'Wedgewood Pharm-PME-Yr2-2025'!$E$62:$L$62,
        _xlfn.XLOOKUP('Rate Load'!H1172, 'Wedgewood Pharm-PME-Yr2-2025'!$D$63:$D$86,
            'Wedgewood Pharm-PME-Yr2-2025'!$E$63:$L$86, 0, 0),
        0, 0),
    _xlfn.XLOOKUP(G1172, 'Wedgewood Pharm-PME-Yr2-2025'!$E$62:$L$62,
        _xlfn.XLOOKUP('Rate Load'!L1172, 'Wedgewood Pharm-PME-Yr2-2025'!$D$63:$D$86,
            'Wedgewood Pharm-PME-Yr2-2025'!$E$63:$L$86, 0, 0),
        0, 0)
)</f>
        <v>36.71</v>
      </c>
      <c r="K1172" t="s">
        <v>46</v>
      </c>
      <c r="L1172" t="s">
        <v>13</v>
      </c>
      <c r="M1172">
        <v>3</v>
      </c>
      <c r="N1172" t="str">
        <f t="shared" si="18"/>
        <v>INSERT INTO TNL_RATING.dbo.usps_rate_master VALUES ('USPS', '2/13/2025', '2/13/2026', 12659, 'US', 'Priority Mail Express', 2, 13, 'L', 36.71, 'Wedgewood_USPS_2025', 'NonCubic','3');</v>
      </c>
    </row>
    <row r="1173" spans="1:14" x14ac:dyDescent="0.3">
      <c r="A1173" t="s">
        <v>11</v>
      </c>
      <c r="B1173" s="1" t="s">
        <v>43</v>
      </c>
      <c r="C1173" s="1" t="s">
        <v>44</v>
      </c>
      <c r="D1173">
        <v>12659</v>
      </c>
      <c r="E1173" t="s">
        <v>12</v>
      </c>
      <c r="F1173" t="s">
        <v>42</v>
      </c>
      <c r="G1173">
        <v>2</v>
      </c>
      <c r="H1173">
        <v>14</v>
      </c>
      <c r="I1173" t="s">
        <v>45</v>
      </c>
      <c r="J1173" cm="1">
        <f t="array" ref="J1173">IFERROR(
    _xlfn.XLOOKUP(G1173, 'Wedgewood Pharm-PME-Yr2-2025'!$E$62:$L$62,
        _xlfn.XLOOKUP('Rate Load'!H1173, 'Wedgewood Pharm-PME-Yr2-2025'!$D$63:$D$86,
            'Wedgewood Pharm-PME-Yr2-2025'!$E$63:$L$86, 0, 0),
        0, 0),
    _xlfn.XLOOKUP(G1173, 'Wedgewood Pharm-PME-Yr2-2025'!$E$62:$L$62,
        _xlfn.XLOOKUP('Rate Load'!L1173, 'Wedgewood Pharm-PME-Yr2-2025'!$D$63:$D$86,
            'Wedgewood Pharm-PME-Yr2-2025'!$E$63:$L$86, 0, 0),
        0, 0)
)</f>
        <v>38.76</v>
      </c>
      <c r="K1173" t="s">
        <v>46</v>
      </c>
      <c r="L1173" t="s">
        <v>13</v>
      </c>
      <c r="M1173">
        <v>3</v>
      </c>
      <c r="N1173" t="str">
        <f t="shared" si="18"/>
        <v>INSERT INTO TNL_RATING.dbo.usps_rate_master VALUES ('USPS', '2/13/2025', '2/13/2026', 12659, 'US', 'Priority Mail Express', 2, 14, 'L', 38.76, 'Wedgewood_USPS_2025', 'NonCubic','3');</v>
      </c>
    </row>
    <row r="1174" spans="1:14" x14ac:dyDescent="0.3">
      <c r="A1174" t="s">
        <v>11</v>
      </c>
      <c r="B1174" s="1" t="s">
        <v>43</v>
      </c>
      <c r="C1174" s="1" t="s">
        <v>44</v>
      </c>
      <c r="D1174">
        <v>12659</v>
      </c>
      <c r="E1174" t="s">
        <v>12</v>
      </c>
      <c r="F1174" t="s">
        <v>42</v>
      </c>
      <c r="G1174">
        <v>2</v>
      </c>
      <c r="H1174">
        <v>15</v>
      </c>
      <c r="I1174" t="s">
        <v>45</v>
      </c>
      <c r="J1174" cm="1">
        <f t="array" ref="J1174">IFERROR(
    _xlfn.XLOOKUP(G1174, 'Wedgewood Pharm-PME-Yr2-2025'!$E$62:$L$62,
        _xlfn.XLOOKUP('Rate Load'!H1174, 'Wedgewood Pharm-PME-Yr2-2025'!$D$63:$D$86,
            'Wedgewood Pharm-PME-Yr2-2025'!$E$63:$L$86, 0, 0),
        0, 0),
    _xlfn.XLOOKUP(G1174, 'Wedgewood Pharm-PME-Yr2-2025'!$E$62:$L$62,
        _xlfn.XLOOKUP('Rate Load'!L1174, 'Wedgewood Pharm-PME-Yr2-2025'!$D$63:$D$86,
            'Wedgewood Pharm-PME-Yr2-2025'!$E$63:$L$86, 0, 0),
        0, 0)
)</f>
        <v>40.83</v>
      </c>
      <c r="K1174" t="s">
        <v>46</v>
      </c>
      <c r="L1174" t="s">
        <v>13</v>
      </c>
      <c r="M1174">
        <v>3</v>
      </c>
      <c r="N1174" t="str">
        <f t="shared" si="18"/>
        <v>INSERT INTO TNL_RATING.dbo.usps_rate_master VALUES ('USPS', '2/13/2025', '2/13/2026', 12659, 'US', 'Priority Mail Express', 2, 15, 'L', 40.83, 'Wedgewood_USPS_2025', 'NonCubic','3');</v>
      </c>
    </row>
    <row r="1175" spans="1:14" x14ac:dyDescent="0.3">
      <c r="A1175" t="s">
        <v>11</v>
      </c>
      <c r="B1175" s="1" t="s">
        <v>43</v>
      </c>
      <c r="C1175" s="1" t="s">
        <v>44</v>
      </c>
      <c r="D1175">
        <v>12659</v>
      </c>
      <c r="E1175" t="s">
        <v>12</v>
      </c>
      <c r="F1175" t="s">
        <v>42</v>
      </c>
      <c r="G1175">
        <v>2</v>
      </c>
      <c r="H1175">
        <v>16</v>
      </c>
      <c r="I1175" t="s">
        <v>45</v>
      </c>
      <c r="J1175" cm="1">
        <f t="array" ref="J1175">IFERROR(
    _xlfn.XLOOKUP(G1175, 'Wedgewood Pharm-PME-Yr2-2025'!$E$62:$L$62,
        _xlfn.XLOOKUP('Rate Load'!H1175, 'Wedgewood Pharm-PME-Yr2-2025'!$D$63:$D$86,
            'Wedgewood Pharm-PME-Yr2-2025'!$E$63:$L$86, 0, 0),
        0, 0),
    _xlfn.XLOOKUP(G1175, 'Wedgewood Pharm-PME-Yr2-2025'!$E$62:$L$62,
        _xlfn.XLOOKUP('Rate Load'!L1175, 'Wedgewood Pharm-PME-Yr2-2025'!$D$63:$D$86,
            'Wedgewood Pharm-PME-Yr2-2025'!$E$63:$L$86, 0, 0),
        0, 0)
)</f>
        <v>42.879999999999995</v>
      </c>
      <c r="K1175" t="s">
        <v>46</v>
      </c>
      <c r="L1175" t="s">
        <v>13</v>
      </c>
      <c r="M1175">
        <v>3</v>
      </c>
      <c r="N1175" t="str">
        <f t="shared" si="18"/>
        <v>INSERT INTO TNL_RATING.dbo.usps_rate_master VALUES ('USPS', '2/13/2025', '2/13/2026', 12659, 'US', 'Priority Mail Express', 2, 16, 'L', 42.88, 'Wedgewood_USPS_2025', 'NonCubic','3');</v>
      </c>
    </row>
    <row r="1176" spans="1:14" x14ac:dyDescent="0.3">
      <c r="A1176" t="s">
        <v>11</v>
      </c>
      <c r="B1176" s="1" t="s">
        <v>43</v>
      </c>
      <c r="C1176" s="1" t="s">
        <v>44</v>
      </c>
      <c r="D1176">
        <v>12659</v>
      </c>
      <c r="E1176" t="s">
        <v>12</v>
      </c>
      <c r="F1176" t="s">
        <v>42</v>
      </c>
      <c r="G1176">
        <v>2</v>
      </c>
      <c r="H1176">
        <v>17</v>
      </c>
      <c r="I1176" t="s">
        <v>45</v>
      </c>
      <c r="J1176" cm="1">
        <f t="array" ref="J1176">IFERROR(
    _xlfn.XLOOKUP(G1176, 'Wedgewood Pharm-PME-Yr2-2025'!$E$62:$L$62,
        _xlfn.XLOOKUP('Rate Load'!H1176, 'Wedgewood Pharm-PME-Yr2-2025'!$D$63:$D$86,
            'Wedgewood Pharm-PME-Yr2-2025'!$E$63:$L$86, 0, 0),
        0, 0),
    _xlfn.XLOOKUP(G1176, 'Wedgewood Pharm-PME-Yr2-2025'!$E$62:$L$62,
        _xlfn.XLOOKUP('Rate Load'!L1176, 'Wedgewood Pharm-PME-Yr2-2025'!$D$63:$D$86,
            'Wedgewood Pharm-PME-Yr2-2025'!$E$63:$L$86, 0, 0),
        0, 0)
)</f>
        <v>44.93</v>
      </c>
      <c r="K1176" t="s">
        <v>46</v>
      </c>
      <c r="L1176" t="s">
        <v>13</v>
      </c>
      <c r="M1176">
        <v>3</v>
      </c>
      <c r="N1176" t="str">
        <f t="shared" si="18"/>
        <v>INSERT INTO TNL_RATING.dbo.usps_rate_master VALUES ('USPS', '2/13/2025', '2/13/2026', 12659, 'US', 'Priority Mail Express', 2, 17, 'L', 44.93, 'Wedgewood_USPS_2025', 'NonCubic','3');</v>
      </c>
    </row>
    <row r="1177" spans="1:14" x14ac:dyDescent="0.3">
      <c r="A1177" t="s">
        <v>11</v>
      </c>
      <c r="B1177" s="1" t="s">
        <v>43</v>
      </c>
      <c r="C1177" s="1" t="s">
        <v>44</v>
      </c>
      <c r="D1177">
        <v>12659</v>
      </c>
      <c r="E1177" t="s">
        <v>12</v>
      </c>
      <c r="F1177" t="s">
        <v>42</v>
      </c>
      <c r="G1177">
        <v>2</v>
      </c>
      <c r="H1177">
        <v>18</v>
      </c>
      <c r="I1177" t="s">
        <v>45</v>
      </c>
      <c r="J1177" cm="1">
        <f t="array" ref="J1177">IFERROR(
    _xlfn.XLOOKUP(G1177, 'Wedgewood Pharm-PME-Yr2-2025'!$E$62:$L$62,
        _xlfn.XLOOKUP('Rate Load'!H1177, 'Wedgewood Pharm-PME-Yr2-2025'!$D$63:$D$86,
            'Wedgewood Pharm-PME-Yr2-2025'!$E$63:$L$86, 0, 0),
        0, 0),
    _xlfn.XLOOKUP(G1177, 'Wedgewood Pharm-PME-Yr2-2025'!$E$62:$L$62,
        _xlfn.XLOOKUP('Rate Load'!L1177, 'Wedgewood Pharm-PME-Yr2-2025'!$D$63:$D$86,
            'Wedgewood Pharm-PME-Yr2-2025'!$E$63:$L$86, 0, 0),
        0, 0)
)</f>
        <v>46.989999999999995</v>
      </c>
      <c r="K1177" t="s">
        <v>46</v>
      </c>
      <c r="L1177" t="s">
        <v>13</v>
      </c>
      <c r="M1177">
        <v>3</v>
      </c>
      <c r="N1177" t="str">
        <f t="shared" si="18"/>
        <v>INSERT INTO TNL_RATING.dbo.usps_rate_master VALUES ('USPS', '2/13/2025', '2/13/2026', 12659, 'US', 'Priority Mail Express', 2, 18, 'L', 46.99, 'Wedgewood_USPS_2025', 'NonCubic','3');</v>
      </c>
    </row>
    <row r="1178" spans="1:14" x14ac:dyDescent="0.3">
      <c r="A1178" t="s">
        <v>11</v>
      </c>
      <c r="B1178" s="1" t="s">
        <v>43</v>
      </c>
      <c r="C1178" s="1" t="s">
        <v>44</v>
      </c>
      <c r="D1178">
        <v>12659</v>
      </c>
      <c r="E1178" t="s">
        <v>12</v>
      </c>
      <c r="F1178" t="s">
        <v>42</v>
      </c>
      <c r="G1178">
        <v>2</v>
      </c>
      <c r="H1178">
        <v>19</v>
      </c>
      <c r="I1178" t="s">
        <v>45</v>
      </c>
      <c r="J1178" cm="1">
        <f t="array" ref="J1178">IFERROR(
    _xlfn.XLOOKUP(G1178, 'Wedgewood Pharm-PME-Yr2-2025'!$E$62:$L$62,
        _xlfn.XLOOKUP('Rate Load'!H1178, 'Wedgewood Pharm-PME-Yr2-2025'!$D$63:$D$86,
            'Wedgewood Pharm-PME-Yr2-2025'!$E$63:$L$86, 0, 0),
        0, 0),
    _xlfn.XLOOKUP(G1178, 'Wedgewood Pharm-PME-Yr2-2025'!$E$62:$L$62,
        _xlfn.XLOOKUP('Rate Load'!L1178, 'Wedgewood Pharm-PME-Yr2-2025'!$D$63:$D$86,
            'Wedgewood Pharm-PME-Yr2-2025'!$E$63:$L$86, 0, 0),
        0, 0)
)</f>
        <v>49.059999999999995</v>
      </c>
      <c r="K1178" t="s">
        <v>46</v>
      </c>
      <c r="L1178" t="s">
        <v>13</v>
      </c>
      <c r="M1178">
        <v>3</v>
      </c>
      <c r="N1178" t="str">
        <f t="shared" si="18"/>
        <v>INSERT INTO TNL_RATING.dbo.usps_rate_master VALUES ('USPS', '2/13/2025', '2/13/2026', 12659, 'US', 'Priority Mail Express', 2, 19, 'L', 49.06, 'Wedgewood_USPS_2025', 'NonCubic','3');</v>
      </c>
    </row>
    <row r="1179" spans="1:14" x14ac:dyDescent="0.3">
      <c r="A1179" t="s">
        <v>11</v>
      </c>
      <c r="B1179" s="1" t="s">
        <v>43</v>
      </c>
      <c r="C1179" s="1" t="s">
        <v>44</v>
      </c>
      <c r="D1179">
        <v>12659</v>
      </c>
      <c r="E1179" t="s">
        <v>12</v>
      </c>
      <c r="F1179" t="s">
        <v>42</v>
      </c>
      <c r="G1179">
        <v>2</v>
      </c>
      <c r="H1179">
        <v>20</v>
      </c>
      <c r="I1179" t="s">
        <v>45</v>
      </c>
      <c r="J1179" cm="1">
        <f t="array" ref="J1179">IFERROR(
    _xlfn.XLOOKUP(G1179, 'Wedgewood Pharm-PME-Yr2-2025'!$E$62:$L$62,
        _xlfn.XLOOKUP('Rate Load'!H1179, 'Wedgewood Pharm-PME-Yr2-2025'!$D$63:$D$86,
            'Wedgewood Pharm-PME-Yr2-2025'!$E$63:$L$86, 0, 0),
        0, 0),
    _xlfn.XLOOKUP(G1179, 'Wedgewood Pharm-PME-Yr2-2025'!$E$62:$L$62,
        _xlfn.XLOOKUP('Rate Load'!L1179, 'Wedgewood Pharm-PME-Yr2-2025'!$D$63:$D$86,
            'Wedgewood Pharm-PME-Yr2-2025'!$E$63:$L$86, 0, 0),
        0, 0)
)</f>
        <v>51.11</v>
      </c>
      <c r="K1179" t="s">
        <v>46</v>
      </c>
      <c r="L1179" t="s">
        <v>13</v>
      </c>
      <c r="M1179">
        <v>3</v>
      </c>
      <c r="N1179" t="str">
        <f t="shared" si="18"/>
        <v>INSERT INTO TNL_RATING.dbo.usps_rate_master VALUES ('USPS', '2/13/2025', '2/13/2026', 12659, 'US', 'Priority Mail Express', 2, 20, 'L', 51.11, 'Wedgewood_USPS_2025', 'NonCubic','3');</v>
      </c>
    </row>
    <row r="1180" spans="1:14" x14ac:dyDescent="0.3">
      <c r="A1180" t="s">
        <v>11</v>
      </c>
      <c r="B1180" s="1" t="s">
        <v>43</v>
      </c>
      <c r="C1180" s="1" t="s">
        <v>44</v>
      </c>
      <c r="D1180">
        <v>12659</v>
      </c>
      <c r="E1180" t="s">
        <v>12</v>
      </c>
      <c r="F1180" t="s">
        <v>42</v>
      </c>
      <c r="G1180">
        <v>3</v>
      </c>
      <c r="H1180">
        <v>0.5</v>
      </c>
      <c r="I1180" t="s">
        <v>45</v>
      </c>
      <c r="J1180" cm="1">
        <f t="array" ref="J1180">IFERROR(
    _xlfn.XLOOKUP(G1180, 'Wedgewood Pharm-PME-Yr2-2025'!$E$62:$L$62,
        _xlfn.XLOOKUP('Rate Load'!H1180, 'Wedgewood Pharm-PME-Yr2-2025'!$D$63:$D$86,
            'Wedgewood Pharm-PME-Yr2-2025'!$E$63:$L$86, 0, 0),
        0, 0),
    _xlfn.XLOOKUP(G1180, 'Wedgewood Pharm-PME-Yr2-2025'!$E$62:$L$62,
        _xlfn.XLOOKUP('Rate Load'!L1180, 'Wedgewood Pharm-PME-Yr2-2025'!$D$63:$D$86,
            'Wedgewood Pharm-PME-Yr2-2025'!$E$63:$L$86, 0, 0),
        0, 0)
)</f>
        <v>13.26</v>
      </c>
      <c r="K1180" t="s">
        <v>46</v>
      </c>
      <c r="L1180" t="s">
        <v>13</v>
      </c>
      <c r="M1180">
        <v>3</v>
      </c>
      <c r="N1180" t="str">
        <f t="shared" si="18"/>
        <v>INSERT INTO TNL_RATING.dbo.usps_rate_master VALUES ('USPS', '2/13/2025', '2/13/2026', 12659, 'US', 'Priority Mail Express', 3, 0.5, 'L', 13.26, 'Wedgewood_USPS_2025', 'NonCubic','3');</v>
      </c>
    </row>
    <row r="1181" spans="1:14" x14ac:dyDescent="0.3">
      <c r="A1181" t="s">
        <v>11</v>
      </c>
      <c r="B1181" s="1" t="s">
        <v>43</v>
      </c>
      <c r="C1181" s="1" t="s">
        <v>44</v>
      </c>
      <c r="D1181">
        <v>12659</v>
      </c>
      <c r="E1181" t="s">
        <v>12</v>
      </c>
      <c r="F1181" t="s">
        <v>42</v>
      </c>
      <c r="G1181">
        <v>3</v>
      </c>
      <c r="H1181">
        <v>1</v>
      </c>
      <c r="I1181" t="s">
        <v>45</v>
      </c>
      <c r="J1181" cm="1">
        <f t="array" ref="J1181">IFERROR(
    _xlfn.XLOOKUP(G1181, 'Wedgewood Pharm-PME-Yr2-2025'!$E$62:$L$62,
        _xlfn.XLOOKUP('Rate Load'!H1181, 'Wedgewood Pharm-PME-Yr2-2025'!$D$63:$D$86,
            'Wedgewood Pharm-PME-Yr2-2025'!$E$63:$L$86, 0, 0),
        0, 0),
    _xlfn.XLOOKUP(G1181, 'Wedgewood Pharm-PME-Yr2-2025'!$E$62:$L$62,
        _xlfn.XLOOKUP('Rate Load'!L1181, 'Wedgewood Pharm-PME-Yr2-2025'!$D$63:$D$86,
            'Wedgewood Pharm-PME-Yr2-2025'!$E$63:$L$86, 0, 0),
        0, 0)
)</f>
        <v>14.04</v>
      </c>
      <c r="K1181" t="s">
        <v>46</v>
      </c>
      <c r="L1181" t="s">
        <v>13</v>
      </c>
      <c r="M1181">
        <v>3</v>
      </c>
      <c r="N1181" t="str">
        <f t="shared" si="18"/>
        <v>INSERT INTO TNL_RATING.dbo.usps_rate_master VALUES ('USPS', '2/13/2025', '2/13/2026', 12659, 'US', 'Priority Mail Express', 3, 1, 'L', 14.04, 'Wedgewood_USPS_2025', 'NonCubic','3');</v>
      </c>
    </row>
    <row r="1182" spans="1:14" x14ac:dyDescent="0.3">
      <c r="A1182" t="s">
        <v>11</v>
      </c>
      <c r="B1182" s="1" t="s">
        <v>43</v>
      </c>
      <c r="C1182" s="1" t="s">
        <v>44</v>
      </c>
      <c r="D1182">
        <v>12659</v>
      </c>
      <c r="E1182" t="s">
        <v>12</v>
      </c>
      <c r="F1182" t="s">
        <v>42</v>
      </c>
      <c r="G1182">
        <v>3</v>
      </c>
      <c r="H1182">
        <v>2</v>
      </c>
      <c r="I1182" t="s">
        <v>45</v>
      </c>
      <c r="J1182" cm="1">
        <f t="array" ref="J1182">IFERROR(
    _xlfn.XLOOKUP(G1182, 'Wedgewood Pharm-PME-Yr2-2025'!$E$62:$L$62,
        _xlfn.XLOOKUP('Rate Load'!H1182, 'Wedgewood Pharm-PME-Yr2-2025'!$D$63:$D$86,
            'Wedgewood Pharm-PME-Yr2-2025'!$E$63:$L$86, 0, 0),
        0, 0),
    _xlfn.XLOOKUP(G1182, 'Wedgewood Pharm-PME-Yr2-2025'!$E$62:$L$62,
        _xlfn.XLOOKUP('Rate Load'!L1182, 'Wedgewood Pharm-PME-Yr2-2025'!$D$63:$D$86,
            'Wedgewood Pharm-PME-Yr2-2025'!$E$63:$L$86, 0, 0),
        0, 0)
)</f>
        <v>15.62</v>
      </c>
      <c r="K1182" t="s">
        <v>46</v>
      </c>
      <c r="L1182" t="s">
        <v>13</v>
      </c>
      <c r="M1182">
        <v>3</v>
      </c>
      <c r="N1182" t="str">
        <f t="shared" si="18"/>
        <v>INSERT INTO TNL_RATING.dbo.usps_rate_master VALUES ('USPS', '2/13/2025', '2/13/2026', 12659, 'US', 'Priority Mail Express', 3, 2, 'L', 15.62, 'Wedgewood_USPS_2025', 'NonCubic','3');</v>
      </c>
    </row>
    <row r="1183" spans="1:14" x14ac:dyDescent="0.3">
      <c r="A1183" t="s">
        <v>11</v>
      </c>
      <c r="B1183" s="1" t="s">
        <v>43</v>
      </c>
      <c r="C1183" s="1" t="s">
        <v>44</v>
      </c>
      <c r="D1183">
        <v>12659</v>
      </c>
      <c r="E1183" t="s">
        <v>12</v>
      </c>
      <c r="F1183" t="s">
        <v>42</v>
      </c>
      <c r="G1183">
        <v>3</v>
      </c>
      <c r="H1183">
        <v>3</v>
      </c>
      <c r="I1183" t="s">
        <v>45</v>
      </c>
      <c r="J1183" cm="1">
        <f t="array" ref="J1183">IFERROR(
    _xlfn.XLOOKUP(G1183, 'Wedgewood Pharm-PME-Yr2-2025'!$E$62:$L$62,
        _xlfn.XLOOKUP('Rate Load'!H1183, 'Wedgewood Pharm-PME-Yr2-2025'!$D$63:$D$86,
            'Wedgewood Pharm-PME-Yr2-2025'!$E$63:$L$86, 0, 0),
        0, 0),
    _xlfn.XLOOKUP(G1183, 'Wedgewood Pharm-PME-Yr2-2025'!$E$62:$L$62,
        _xlfn.XLOOKUP('Rate Load'!L1183, 'Wedgewood Pharm-PME-Yr2-2025'!$D$63:$D$86,
            'Wedgewood Pharm-PME-Yr2-2025'!$E$63:$L$86, 0, 0),
        0, 0)
)</f>
        <v>17.560000000000002</v>
      </c>
      <c r="K1183" t="s">
        <v>46</v>
      </c>
      <c r="L1183" t="s">
        <v>13</v>
      </c>
      <c r="M1183">
        <v>3</v>
      </c>
      <c r="N1183" t="str">
        <f t="shared" si="18"/>
        <v>INSERT INTO TNL_RATING.dbo.usps_rate_master VALUES ('USPS', '2/13/2025', '2/13/2026', 12659, 'US', 'Priority Mail Express', 3, 3, 'L', 17.56, 'Wedgewood_USPS_2025', 'NonCubic','3');</v>
      </c>
    </row>
    <row r="1184" spans="1:14" x14ac:dyDescent="0.3">
      <c r="A1184" t="s">
        <v>11</v>
      </c>
      <c r="B1184" s="1" t="s">
        <v>43</v>
      </c>
      <c r="C1184" s="1" t="s">
        <v>44</v>
      </c>
      <c r="D1184">
        <v>12659</v>
      </c>
      <c r="E1184" t="s">
        <v>12</v>
      </c>
      <c r="F1184" t="s">
        <v>42</v>
      </c>
      <c r="G1184">
        <v>3</v>
      </c>
      <c r="H1184">
        <v>4</v>
      </c>
      <c r="I1184" t="s">
        <v>45</v>
      </c>
      <c r="J1184" cm="1">
        <f t="array" ref="J1184">IFERROR(
    _xlfn.XLOOKUP(G1184, 'Wedgewood Pharm-PME-Yr2-2025'!$E$62:$L$62,
        _xlfn.XLOOKUP('Rate Load'!H1184, 'Wedgewood Pharm-PME-Yr2-2025'!$D$63:$D$86,
            'Wedgewood Pharm-PME-Yr2-2025'!$E$63:$L$86, 0, 0),
        0, 0),
    _xlfn.XLOOKUP(G1184, 'Wedgewood Pharm-PME-Yr2-2025'!$E$62:$L$62,
        _xlfn.XLOOKUP('Rate Load'!L1184, 'Wedgewood Pharm-PME-Yr2-2025'!$D$63:$D$86,
            'Wedgewood Pharm-PME-Yr2-2025'!$E$63:$L$86, 0, 0),
        0, 0)
)</f>
        <v>19.510000000000002</v>
      </c>
      <c r="K1184" t="s">
        <v>46</v>
      </c>
      <c r="L1184" t="s">
        <v>13</v>
      </c>
      <c r="M1184">
        <v>3</v>
      </c>
      <c r="N1184" t="str">
        <f t="shared" si="18"/>
        <v>INSERT INTO TNL_RATING.dbo.usps_rate_master VALUES ('USPS', '2/13/2025', '2/13/2026', 12659, 'US', 'Priority Mail Express', 3, 4, 'L', 19.51, 'Wedgewood_USPS_2025', 'NonCubic','3');</v>
      </c>
    </row>
    <row r="1185" spans="1:14" x14ac:dyDescent="0.3">
      <c r="A1185" t="s">
        <v>11</v>
      </c>
      <c r="B1185" s="1" t="s">
        <v>43</v>
      </c>
      <c r="C1185" s="1" t="s">
        <v>44</v>
      </c>
      <c r="D1185">
        <v>12659</v>
      </c>
      <c r="E1185" t="s">
        <v>12</v>
      </c>
      <c r="F1185" t="s">
        <v>42</v>
      </c>
      <c r="G1185">
        <v>3</v>
      </c>
      <c r="H1185">
        <v>5</v>
      </c>
      <c r="I1185" t="s">
        <v>45</v>
      </c>
      <c r="J1185" cm="1">
        <f t="array" ref="J1185">IFERROR(
    _xlfn.XLOOKUP(G1185, 'Wedgewood Pharm-PME-Yr2-2025'!$E$62:$L$62,
        _xlfn.XLOOKUP('Rate Load'!H1185, 'Wedgewood Pharm-PME-Yr2-2025'!$D$63:$D$86,
            'Wedgewood Pharm-PME-Yr2-2025'!$E$63:$L$86, 0, 0),
        0, 0),
    _xlfn.XLOOKUP(G1185, 'Wedgewood Pharm-PME-Yr2-2025'!$E$62:$L$62,
        _xlfn.XLOOKUP('Rate Load'!L1185, 'Wedgewood Pharm-PME-Yr2-2025'!$D$63:$D$86,
            'Wedgewood Pharm-PME-Yr2-2025'!$E$63:$L$86, 0, 0),
        0, 0)
)</f>
        <v>21.46</v>
      </c>
      <c r="K1185" t="s">
        <v>46</v>
      </c>
      <c r="L1185" t="s">
        <v>13</v>
      </c>
      <c r="M1185">
        <v>3</v>
      </c>
      <c r="N1185" t="str">
        <f t="shared" si="18"/>
        <v>INSERT INTO TNL_RATING.dbo.usps_rate_master VALUES ('USPS', '2/13/2025', '2/13/2026', 12659, 'US', 'Priority Mail Express', 3, 5, 'L', 21.46, 'Wedgewood_USPS_2025', 'NonCubic','3');</v>
      </c>
    </row>
    <row r="1186" spans="1:14" x14ac:dyDescent="0.3">
      <c r="A1186" t="s">
        <v>11</v>
      </c>
      <c r="B1186" s="1" t="s">
        <v>43</v>
      </c>
      <c r="C1186" s="1" t="s">
        <v>44</v>
      </c>
      <c r="D1186">
        <v>12659</v>
      </c>
      <c r="E1186" t="s">
        <v>12</v>
      </c>
      <c r="F1186" t="s">
        <v>42</v>
      </c>
      <c r="G1186">
        <v>3</v>
      </c>
      <c r="H1186">
        <v>6</v>
      </c>
      <c r="I1186" t="s">
        <v>45</v>
      </c>
      <c r="J1186" cm="1">
        <f t="array" ref="J1186">IFERROR(
    _xlfn.XLOOKUP(G1186, 'Wedgewood Pharm-PME-Yr2-2025'!$E$62:$L$62,
        _xlfn.XLOOKUP('Rate Load'!H1186, 'Wedgewood Pharm-PME-Yr2-2025'!$D$63:$D$86,
            'Wedgewood Pharm-PME-Yr2-2025'!$E$63:$L$86, 0, 0),
        0, 0),
    _xlfn.XLOOKUP(G1186, 'Wedgewood Pharm-PME-Yr2-2025'!$E$62:$L$62,
        _xlfn.XLOOKUP('Rate Load'!L1186, 'Wedgewood Pharm-PME-Yr2-2025'!$D$63:$D$86,
            'Wedgewood Pharm-PME-Yr2-2025'!$E$63:$L$86, 0, 0),
        0, 0)
)</f>
        <v>23.71</v>
      </c>
      <c r="K1186" t="s">
        <v>46</v>
      </c>
      <c r="L1186" t="s">
        <v>13</v>
      </c>
      <c r="M1186">
        <v>3</v>
      </c>
      <c r="N1186" t="str">
        <f t="shared" si="18"/>
        <v>INSERT INTO TNL_RATING.dbo.usps_rate_master VALUES ('USPS', '2/13/2025', '2/13/2026', 12659, 'US', 'Priority Mail Express', 3, 6, 'L', 23.71, 'Wedgewood_USPS_2025', 'NonCubic','3');</v>
      </c>
    </row>
    <row r="1187" spans="1:14" x14ac:dyDescent="0.3">
      <c r="A1187" t="s">
        <v>11</v>
      </c>
      <c r="B1187" s="1" t="s">
        <v>43</v>
      </c>
      <c r="C1187" s="1" t="s">
        <v>44</v>
      </c>
      <c r="D1187">
        <v>12659</v>
      </c>
      <c r="E1187" t="s">
        <v>12</v>
      </c>
      <c r="F1187" t="s">
        <v>42</v>
      </c>
      <c r="G1187">
        <v>3</v>
      </c>
      <c r="H1187">
        <v>7</v>
      </c>
      <c r="I1187" t="s">
        <v>45</v>
      </c>
      <c r="J1187" cm="1">
        <f t="array" ref="J1187">IFERROR(
    _xlfn.XLOOKUP(G1187, 'Wedgewood Pharm-PME-Yr2-2025'!$E$62:$L$62,
        _xlfn.XLOOKUP('Rate Load'!H1187, 'Wedgewood Pharm-PME-Yr2-2025'!$D$63:$D$86,
            'Wedgewood Pharm-PME-Yr2-2025'!$E$63:$L$86, 0, 0),
        0, 0),
    _xlfn.XLOOKUP(G1187, 'Wedgewood Pharm-PME-Yr2-2025'!$E$62:$L$62,
        _xlfn.XLOOKUP('Rate Load'!L1187, 'Wedgewood Pharm-PME-Yr2-2025'!$D$63:$D$86,
            'Wedgewood Pharm-PME-Yr2-2025'!$E$63:$L$86, 0, 0),
        0, 0)
)</f>
        <v>25.96</v>
      </c>
      <c r="K1187" t="s">
        <v>46</v>
      </c>
      <c r="L1187" t="s">
        <v>13</v>
      </c>
      <c r="M1187">
        <v>3</v>
      </c>
      <c r="N1187" t="str">
        <f t="shared" si="18"/>
        <v>INSERT INTO TNL_RATING.dbo.usps_rate_master VALUES ('USPS', '2/13/2025', '2/13/2026', 12659, 'US', 'Priority Mail Express', 3, 7, 'L', 25.96, 'Wedgewood_USPS_2025', 'NonCubic','3');</v>
      </c>
    </row>
    <row r="1188" spans="1:14" x14ac:dyDescent="0.3">
      <c r="A1188" t="s">
        <v>11</v>
      </c>
      <c r="B1188" s="1" t="s">
        <v>43</v>
      </c>
      <c r="C1188" s="1" t="s">
        <v>44</v>
      </c>
      <c r="D1188">
        <v>12659</v>
      </c>
      <c r="E1188" t="s">
        <v>12</v>
      </c>
      <c r="F1188" t="s">
        <v>42</v>
      </c>
      <c r="G1188">
        <v>3</v>
      </c>
      <c r="H1188">
        <v>8</v>
      </c>
      <c r="I1188" t="s">
        <v>45</v>
      </c>
      <c r="J1188" cm="1">
        <f t="array" ref="J1188">IFERROR(
    _xlfn.XLOOKUP(G1188, 'Wedgewood Pharm-PME-Yr2-2025'!$E$62:$L$62,
        _xlfn.XLOOKUP('Rate Load'!H1188, 'Wedgewood Pharm-PME-Yr2-2025'!$D$63:$D$86,
            'Wedgewood Pharm-PME-Yr2-2025'!$E$63:$L$86, 0, 0),
        0, 0),
    _xlfn.XLOOKUP(G1188, 'Wedgewood Pharm-PME-Yr2-2025'!$E$62:$L$62,
        _xlfn.XLOOKUP('Rate Load'!L1188, 'Wedgewood Pharm-PME-Yr2-2025'!$D$63:$D$86,
            'Wedgewood Pharm-PME-Yr2-2025'!$E$63:$L$86, 0, 0),
        0, 0)
)</f>
        <v>28.200000000000003</v>
      </c>
      <c r="K1188" t="s">
        <v>46</v>
      </c>
      <c r="L1188" t="s">
        <v>13</v>
      </c>
      <c r="M1188">
        <v>3</v>
      </c>
      <c r="N1188" t="str">
        <f t="shared" si="18"/>
        <v>INSERT INTO TNL_RATING.dbo.usps_rate_master VALUES ('USPS', '2/13/2025', '2/13/2026', 12659, 'US', 'Priority Mail Express', 3, 8, 'L', 28.2, 'Wedgewood_USPS_2025', 'NonCubic','3');</v>
      </c>
    </row>
    <row r="1189" spans="1:14" x14ac:dyDescent="0.3">
      <c r="A1189" t="s">
        <v>11</v>
      </c>
      <c r="B1189" s="1" t="s">
        <v>43</v>
      </c>
      <c r="C1189" s="1" t="s">
        <v>44</v>
      </c>
      <c r="D1189">
        <v>12659</v>
      </c>
      <c r="E1189" t="s">
        <v>12</v>
      </c>
      <c r="F1189" t="s">
        <v>42</v>
      </c>
      <c r="G1189">
        <v>3</v>
      </c>
      <c r="H1189">
        <v>9</v>
      </c>
      <c r="I1189" t="s">
        <v>45</v>
      </c>
      <c r="J1189" cm="1">
        <f t="array" ref="J1189">IFERROR(
    _xlfn.XLOOKUP(G1189, 'Wedgewood Pharm-PME-Yr2-2025'!$E$62:$L$62,
        _xlfn.XLOOKUP('Rate Load'!H1189, 'Wedgewood Pharm-PME-Yr2-2025'!$D$63:$D$86,
            'Wedgewood Pharm-PME-Yr2-2025'!$E$63:$L$86, 0, 0),
        0, 0),
    _xlfn.XLOOKUP(G1189, 'Wedgewood Pharm-PME-Yr2-2025'!$E$62:$L$62,
        _xlfn.XLOOKUP('Rate Load'!L1189, 'Wedgewood Pharm-PME-Yr2-2025'!$D$63:$D$86,
            'Wedgewood Pharm-PME-Yr2-2025'!$E$63:$L$86, 0, 0),
        0, 0)
)</f>
        <v>30.44</v>
      </c>
      <c r="K1189" t="s">
        <v>46</v>
      </c>
      <c r="L1189" t="s">
        <v>13</v>
      </c>
      <c r="M1189">
        <v>3</v>
      </c>
      <c r="N1189" t="str">
        <f t="shared" si="18"/>
        <v>INSERT INTO TNL_RATING.dbo.usps_rate_master VALUES ('USPS', '2/13/2025', '2/13/2026', 12659, 'US', 'Priority Mail Express', 3, 9, 'L', 30.44, 'Wedgewood_USPS_2025', 'NonCubic','3');</v>
      </c>
    </row>
    <row r="1190" spans="1:14" x14ac:dyDescent="0.3">
      <c r="A1190" t="s">
        <v>11</v>
      </c>
      <c r="B1190" s="1" t="s">
        <v>43</v>
      </c>
      <c r="C1190" s="1" t="s">
        <v>44</v>
      </c>
      <c r="D1190">
        <v>12659</v>
      </c>
      <c r="E1190" t="s">
        <v>12</v>
      </c>
      <c r="F1190" t="s">
        <v>42</v>
      </c>
      <c r="G1190">
        <v>3</v>
      </c>
      <c r="H1190">
        <v>10</v>
      </c>
      <c r="I1190" t="s">
        <v>45</v>
      </c>
      <c r="J1190" cm="1">
        <f t="array" ref="J1190">IFERROR(
    _xlfn.XLOOKUP(G1190, 'Wedgewood Pharm-PME-Yr2-2025'!$E$62:$L$62,
        _xlfn.XLOOKUP('Rate Load'!H1190, 'Wedgewood Pharm-PME-Yr2-2025'!$D$63:$D$86,
            'Wedgewood Pharm-PME-Yr2-2025'!$E$63:$L$86, 0, 0),
        0, 0),
    _xlfn.XLOOKUP(G1190, 'Wedgewood Pharm-PME-Yr2-2025'!$E$62:$L$62,
        _xlfn.XLOOKUP('Rate Load'!L1190, 'Wedgewood Pharm-PME-Yr2-2025'!$D$63:$D$86,
            'Wedgewood Pharm-PME-Yr2-2025'!$E$63:$L$86, 0, 0),
        0, 0)
)</f>
        <v>32.69</v>
      </c>
      <c r="K1190" t="s">
        <v>46</v>
      </c>
      <c r="L1190" t="s">
        <v>13</v>
      </c>
      <c r="M1190">
        <v>3</v>
      </c>
      <c r="N1190" t="str">
        <f t="shared" si="18"/>
        <v>INSERT INTO TNL_RATING.dbo.usps_rate_master VALUES ('USPS', '2/13/2025', '2/13/2026', 12659, 'US', 'Priority Mail Express', 3, 10, 'L', 32.69, 'Wedgewood_USPS_2025', 'NonCubic','3');</v>
      </c>
    </row>
    <row r="1191" spans="1:14" x14ac:dyDescent="0.3">
      <c r="A1191" t="s">
        <v>11</v>
      </c>
      <c r="B1191" s="1" t="s">
        <v>43</v>
      </c>
      <c r="C1191" s="1" t="s">
        <v>44</v>
      </c>
      <c r="D1191">
        <v>12659</v>
      </c>
      <c r="E1191" t="s">
        <v>12</v>
      </c>
      <c r="F1191" t="s">
        <v>42</v>
      </c>
      <c r="G1191">
        <v>3</v>
      </c>
      <c r="H1191">
        <v>11</v>
      </c>
      <c r="I1191" t="s">
        <v>45</v>
      </c>
      <c r="J1191" cm="1">
        <f t="array" ref="J1191">IFERROR(
    _xlfn.XLOOKUP(G1191, 'Wedgewood Pharm-PME-Yr2-2025'!$E$62:$L$62,
        _xlfn.XLOOKUP('Rate Load'!H1191, 'Wedgewood Pharm-PME-Yr2-2025'!$D$63:$D$86,
            'Wedgewood Pharm-PME-Yr2-2025'!$E$63:$L$86, 0, 0),
        0, 0),
    _xlfn.XLOOKUP(G1191, 'Wedgewood Pharm-PME-Yr2-2025'!$E$62:$L$62,
        _xlfn.XLOOKUP('Rate Load'!L1191, 'Wedgewood Pharm-PME-Yr2-2025'!$D$63:$D$86,
            'Wedgewood Pharm-PME-Yr2-2025'!$E$63:$L$86, 0, 0),
        0, 0)
)</f>
        <v>35.07</v>
      </c>
      <c r="K1191" t="s">
        <v>46</v>
      </c>
      <c r="L1191" t="s">
        <v>13</v>
      </c>
      <c r="M1191">
        <v>3</v>
      </c>
      <c r="N1191" t="str">
        <f t="shared" si="18"/>
        <v>INSERT INTO TNL_RATING.dbo.usps_rate_master VALUES ('USPS', '2/13/2025', '2/13/2026', 12659, 'US', 'Priority Mail Express', 3, 11, 'L', 35.07, 'Wedgewood_USPS_2025', 'NonCubic','3');</v>
      </c>
    </row>
    <row r="1192" spans="1:14" x14ac:dyDescent="0.3">
      <c r="A1192" t="s">
        <v>11</v>
      </c>
      <c r="B1192" s="1" t="s">
        <v>43</v>
      </c>
      <c r="C1192" s="1" t="s">
        <v>44</v>
      </c>
      <c r="D1192">
        <v>12659</v>
      </c>
      <c r="E1192" t="s">
        <v>12</v>
      </c>
      <c r="F1192" t="s">
        <v>42</v>
      </c>
      <c r="G1192">
        <v>3</v>
      </c>
      <c r="H1192">
        <v>12</v>
      </c>
      <c r="I1192" t="s">
        <v>45</v>
      </c>
      <c r="J1192" cm="1">
        <f t="array" ref="J1192">IFERROR(
    _xlfn.XLOOKUP(G1192, 'Wedgewood Pharm-PME-Yr2-2025'!$E$62:$L$62,
        _xlfn.XLOOKUP('Rate Load'!H1192, 'Wedgewood Pharm-PME-Yr2-2025'!$D$63:$D$86,
            'Wedgewood Pharm-PME-Yr2-2025'!$E$63:$L$86, 0, 0),
        0, 0),
    _xlfn.XLOOKUP(G1192, 'Wedgewood Pharm-PME-Yr2-2025'!$E$62:$L$62,
        _xlfn.XLOOKUP('Rate Load'!L1192, 'Wedgewood Pharm-PME-Yr2-2025'!$D$63:$D$86,
            'Wedgewood Pharm-PME-Yr2-2025'!$E$63:$L$86, 0, 0),
        0, 0)
)</f>
        <v>37.47</v>
      </c>
      <c r="K1192" t="s">
        <v>46</v>
      </c>
      <c r="L1192" t="s">
        <v>13</v>
      </c>
      <c r="M1192">
        <v>3</v>
      </c>
      <c r="N1192" t="str">
        <f t="shared" si="18"/>
        <v>INSERT INTO TNL_RATING.dbo.usps_rate_master VALUES ('USPS', '2/13/2025', '2/13/2026', 12659, 'US', 'Priority Mail Express', 3, 12, 'L', 37.47, 'Wedgewood_USPS_2025', 'NonCubic','3');</v>
      </c>
    </row>
    <row r="1193" spans="1:14" x14ac:dyDescent="0.3">
      <c r="A1193" t="s">
        <v>11</v>
      </c>
      <c r="B1193" s="1" t="s">
        <v>43</v>
      </c>
      <c r="C1193" s="1" t="s">
        <v>44</v>
      </c>
      <c r="D1193">
        <v>12659</v>
      </c>
      <c r="E1193" t="s">
        <v>12</v>
      </c>
      <c r="F1193" t="s">
        <v>42</v>
      </c>
      <c r="G1193">
        <v>3</v>
      </c>
      <c r="H1193">
        <v>13</v>
      </c>
      <c r="I1193" t="s">
        <v>45</v>
      </c>
      <c r="J1193" cm="1">
        <f t="array" ref="J1193">IFERROR(
    _xlfn.XLOOKUP(G1193, 'Wedgewood Pharm-PME-Yr2-2025'!$E$62:$L$62,
        _xlfn.XLOOKUP('Rate Load'!H1193, 'Wedgewood Pharm-PME-Yr2-2025'!$D$63:$D$86,
            'Wedgewood Pharm-PME-Yr2-2025'!$E$63:$L$86, 0, 0),
        0, 0),
    _xlfn.XLOOKUP(G1193, 'Wedgewood Pharm-PME-Yr2-2025'!$E$62:$L$62,
        _xlfn.XLOOKUP('Rate Load'!L1193, 'Wedgewood Pharm-PME-Yr2-2025'!$D$63:$D$86,
            'Wedgewood Pharm-PME-Yr2-2025'!$E$63:$L$86, 0, 0),
        0, 0)
)</f>
        <v>39.85</v>
      </c>
      <c r="K1193" t="s">
        <v>46</v>
      </c>
      <c r="L1193" t="s">
        <v>13</v>
      </c>
      <c r="M1193">
        <v>3</v>
      </c>
      <c r="N1193" t="str">
        <f t="shared" si="18"/>
        <v>INSERT INTO TNL_RATING.dbo.usps_rate_master VALUES ('USPS', '2/13/2025', '2/13/2026', 12659, 'US', 'Priority Mail Express', 3, 13, 'L', 39.85, 'Wedgewood_USPS_2025', 'NonCubic','3');</v>
      </c>
    </row>
    <row r="1194" spans="1:14" x14ac:dyDescent="0.3">
      <c r="A1194" t="s">
        <v>11</v>
      </c>
      <c r="B1194" s="1" t="s">
        <v>43</v>
      </c>
      <c r="C1194" s="1" t="s">
        <v>44</v>
      </c>
      <c r="D1194">
        <v>12659</v>
      </c>
      <c r="E1194" t="s">
        <v>12</v>
      </c>
      <c r="F1194" t="s">
        <v>42</v>
      </c>
      <c r="G1194">
        <v>3</v>
      </c>
      <c r="H1194">
        <v>14</v>
      </c>
      <c r="I1194" t="s">
        <v>45</v>
      </c>
      <c r="J1194" cm="1">
        <f t="array" ref="J1194">IFERROR(
    _xlfn.XLOOKUP(G1194, 'Wedgewood Pharm-PME-Yr2-2025'!$E$62:$L$62,
        _xlfn.XLOOKUP('Rate Load'!H1194, 'Wedgewood Pharm-PME-Yr2-2025'!$D$63:$D$86,
            'Wedgewood Pharm-PME-Yr2-2025'!$E$63:$L$86, 0, 0),
        0, 0),
    _xlfn.XLOOKUP(G1194, 'Wedgewood Pharm-PME-Yr2-2025'!$E$62:$L$62,
        _xlfn.XLOOKUP('Rate Load'!L1194, 'Wedgewood Pharm-PME-Yr2-2025'!$D$63:$D$86,
            'Wedgewood Pharm-PME-Yr2-2025'!$E$63:$L$86, 0, 0),
        0, 0)
)</f>
        <v>42.26</v>
      </c>
      <c r="K1194" t="s">
        <v>46</v>
      </c>
      <c r="L1194" t="s">
        <v>13</v>
      </c>
      <c r="M1194">
        <v>3</v>
      </c>
      <c r="N1194" t="str">
        <f t="shared" si="18"/>
        <v>INSERT INTO TNL_RATING.dbo.usps_rate_master VALUES ('USPS', '2/13/2025', '2/13/2026', 12659, 'US', 'Priority Mail Express', 3, 14, 'L', 42.26, 'Wedgewood_USPS_2025', 'NonCubic','3');</v>
      </c>
    </row>
    <row r="1195" spans="1:14" x14ac:dyDescent="0.3">
      <c r="A1195" t="s">
        <v>11</v>
      </c>
      <c r="B1195" s="1" t="s">
        <v>43</v>
      </c>
      <c r="C1195" s="1" t="s">
        <v>44</v>
      </c>
      <c r="D1195">
        <v>12659</v>
      </c>
      <c r="E1195" t="s">
        <v>12</v>
      </c>
      <c r="F1195" t="s">
        <v>42</v>
      </c>
      <c r="G1195">
        <v>3</v>
      </c>
      <c r="H1195">
        <v>15</v>
      </c>
      <c r="I1195" t="s">
        <v>45</v>
      </c>
      <c r="J1195" cm="1">
        <f t="array" ref="J1195">IFERROR(
    _xlfn.XLOOKUP(G1195, 'Wedgewood Pharm-PME-Yr2-2025'!$E$62:$L$62,
        _xlfn.XLOOKUP('Rate Load'!H1195, 'Wedgewood Pharm-PME-Yr2-2025'!$D$63:$D$86,
            'Wedgewood Pharm-PME-Yr2-2025'!$E$63:$L$86, 0, 0),
        0, 0),
    _xlfn.XLOOKUP(G1195, 'Wedgewood Pharm-PME-Yr2-2025'!$E$62:$L$62,
        _xlfn.XLOOKUP('Rate Load'!L1195, 'Wedgewood Pharm-PME-Yr2-2025'!$D$63:$D$86,
            'Wedgewood Pharm-PME-Yr2-2025'!$E$63:$L$86, 0, 0),
        0, 0)
)</f>
        <v>44.64</v>
      </c>
      <c r="K1195" t="s">
        <v>46</v>
      </c>
      <c r="L1195" t="s">
        <v>13</v>
      </c>
      <c r="M1195">
        <v>3</v>
      </c>
      <c r="N1195" t="str">
        <f t="shared" si="18"/>
        <v>INSERT INTO TNL_RATING.dbo.usps_rate_master VALUES ('USPS', '2/13/2025', '2/13/2026', 12659, 'US', 'Priority Mail Express', 3, 15, 'L', 44.64, 'Wedgewood_USPS_2025', 'NonCubic','3');</v>
      </c>
    </row>
    <row r="1196" spans="1:14" x14ac:dyDescent="0.3">
      <c r="A1196" t="s">
        <v>11</v>
      </c>
      <c r="B1196" s="1" t="s">
        <v>43</v>
      </c>
      <c r="C1196" s="1" t="s">
        <v>44</v>
      </c>
      <c r="D1196">
        <v>12659</v>
      </c>
      <c r="E1196" t="s">
        <v>12</v>
      </c>
      <c r="F1196" t="s">
        <v>42</v>
      </c>
      <c r="G1196">
        <v>3</v>
      </c>
      <c r="H1196">
        <v>16</v>
      </c>
      <c r="I1196" t="s">
        <v>45</v>
      </c>
      <c r="J1196" cm="1">
        <f t="array" ref="J1196">IFERROR(
    _xlfn.XLOOKUP(G1196, 'Wedgewood Pharm-PME-Yr2-2025'!$E$62:$L$62,
        _xlfn.XLOOKUP('Rate Load'!H1196, 'Wedgewood Pharm-PME-Yr2-2025'!$D$63:$D$86,
            'Wedgewood Pharm-PME-Yr2-2025'!$E$63:$L$86, 0, 0),
        0, 0),
    _xlfn.XLOOKUP(G1196, 'Wedgewood Pharm-PME-Yr2-2025'!$E$62:$L$62,
        _xlfn.XLOOKUP('Rate Load'!L1196, 'Wedgewood Pharm-PME-Yr2-2025'!$D$63:$D$86,
            'Wedgewood Pharm-PME-Yr2-2025'!$E$63:$L$86, 0, 0),
        0, 0)
)</f>
        <v>47.019999999999996</v>
      </c>
      <c r="K1196" t="s">
        <v>46</v>
      </c>
      <c r="L1196" t="s">
        <v>13</v>
      </c>
      <c r="M1196">
        <v>3</v>
      </c>
      <c r="N1196" t="str">
        <f t="shared" si="18"/>
        <v>INSERT INTO TNL_RATING.dbo.usps_rate_master VALUES ('USPS', '2/13/2025', '2/13/2026', 12659, 'US', 'Priority Mail Express', 3, 16, 'L', 47.02, 'Wedgewood_USPS_2025', 'NonCubic','3');</v>
      </c>
    </row>
    <row r="1197" spans="1:14" x14ac:dyDescent="0.3">
      <c r="A1197" t="s">
        <v>11</v>
      </c>
      <c r="B1197" s="1" t="s">
        <v>43</v>
      </c>
      <c r="C1197" s="1" t="s">
        <v>44</v>
      </c>
      <c r="D1197">
        <v>12659</v>
      </c>
      <c r="E1197" t="s">
        <v>12</v>
      </c>
      <c r="F1197" t="s">
        <v>42</v>
      </c>
      <c r="G1197">
        <v>3</v>
      </c>
      <c r="H1197">
        <v>17</v>
      </c>
      <c r="I1197" t="s">
        <v>45</v>
      </c>
      <c r="J1197" cm="1">
        <f t="array" ref="J1197">IFERROR(
    _xlfn.XLOOKUP(G1197, 'Wedgewood Pharm-PME-Yr2-2025'!$E$62:$L$62,
        _xlfn.XLOOKUP('Rate Load'!H1197, 'Wedgewood Pharm-PME-Yr2-2025'!$D$63:$D$86,
            'Wedgewood Pharm-PME-Yr2-2025'!$E$63:$L$86, 0, 0),
        0, 0),
    _xlfn.XLOOKUP(G1197, 'Wedgewood Pharm-PME-Yr2-2025'!$E$62:$L$62,
        _xlfn.XLOOKUP('Rate Load'!L1197, 'Wedgewood Pharm-PME-Yr2-2025'!$D$63:$D$86,
            'Wedgewood Pharm-PME-Yr2-2025'!$E$63:$L$86, 0, 0),
        0, 0)
)</f>
        <v>49.419999999999995</v>
      </c>
      <c r="K1197" t="s">
        <v>46</v>
      </c>
      <c r="L1197" t="s">
        <v>13</v>
      </c>
      <c r="M1197">
        <v>3</v>
      </c>
      <c r="N1197" t="str">
        <f t="shared" si="18"/>
        <v>INSERT INTO TNL_RATING.dbo.usps_rate_master VALUES ('USPS', '2/13/2025', '2/13/2026', 12659, 'US', 'Priority Mail Express', 3, 17, 'L', 49.42, 'Wedgewood_USPS_2025', 'NonCubic','3');</v>
      </c>
    </row>
    <row r="1198" spans="1:14" x14ac:dyDescent="0.3">
      <c r="A1198" t="s">
        <v>11</v>
      </c>
      <c r="B1198" s="1" t="s">
        <v>43</v>
      </c>
      <c r="C1198" s="1" t="s">
        <v>44</v>
      </c>
      <c r="D1198">
        <v>12659</v>
      </c>
      <c r="E1198" t="s">
        <v>12</v>
      </c>
      <c r="F1198" t="s">
        <v>42</v>
      </c>
      <c r="G1198">
        <v>3</v>
      </c>
      <c r="H1198">
        <v>18</v>
      </c>
      <c r="I1198" t="s">
        <v>45</v>
      </c>
      <c r="J1198" cm="1">
        <f t="array" ref="J1198">IFERROR(
    _xlfn.XLOOKUP(G1198, 'Wedgewood Pharm-PME-Yr2-2025'!$E$62:$L$62,
        _xlfn.XLOOKUP('Rate Load'!H1198, 'Wedgewood Pharm-PME-Yr2-2025'!$D$63:$D$86,
            'Wedgewood Pharm-PME-Yr2-2025'!$E$63:$L$86, 0, 0),
        0, 0),
    _xlfn.XLOOKUP(G1198, 'Wedgewood Pharm-PME-Yr2-2025'!$E$62:$L$62,
        _xlfn.XLOOKUP('Rate Load'!L1198, 'Wedgewood Pharm-PME-Yr2-2025'!$D$63:$D$86,
            'Wedgewood Pharm-PME-Yr2-2025'!$E$63:$L$86, 0, 0),
        0, 0)
)</f>
        <v>51.8</v>
      </c>
      <c r="K1198" t="s">
        <v>46</v>
      </c>
      <c r="L1198" t="s">
        <v>13</v>
      </c>
      <c r="M1198">
        <v>3</v>
      </c>
      <c r="N1198" t="str">
        <f t="shared" si="18"/>
        <v>INSERT INTO TNL_RATING.dbo.usps_rate_master VALUES ('USPS', '2/13/2025', '2/13/2026', 12659, 'US', 'Priority Mail Express', 3, 18, 'L', 51.8, 'Wedgewood_USPS_2025', 'NonCubic','3');</v>
      </c>
    </row>
    <row r="1199" spans="1:14" x14ac:dyDescent="0.3">
      <c r="A1199" t="s">
        <v>11</v>
      </c>
      <c r="B1199" s="1" t="s">
        <v>43</v>
      </c>
      <c r="C1199" s="1" t="s">
        <v>44</v>
      </c>
      <c r="D1199">
        <v>12659</v>
      </c>
      <c r="E1199" t="s">
        <v>12</v>
      </c>
      <c r="F1199" t="s">
        <v>42</v>
      </c>
      <c r="G1199">
        <v>3</v>
      </c>
      <c r="H1199">
        <v>19</v>
      </c>
      <c r="I1199" t="s">
        <v>45</v>
      </c>
      <c r="J1199" cm="1">
        <f t="array" ref="J1199">IFERROR(
    _xlfn.XLOOKUP(G1199, 'Wedgewood Pharm-PME-Yr2-2025'!$E$62:$L$62,
        _xlfn.XLOOKUP('Rate Load'!H1199, 'Wedgewood Pharm-PME-Yr2-2025'!$D$63:$D$86,
            'Wedgewood Pharm-PME-Yr2-2025'!$E$63:$L$86, 0, 0),
        0, 0),
    _xlfn.XLOOKUP(G1199, 'Wedgewood Pharm-PME-Yr2-2025'!$E$62:$L$62,
        _xlfn.XLOOKUP('Rate Load'!L1199, 'Wedgewood Pharm-PME-Yr2-2025'!$D$63:$D$86,
            'Wedgewood Pharm-PME-Yr2-2025'!$E$63:$L$86, 0, 0),
        0, 0)
)</f>
        <v>54.199999999999996</v>
      </c>
      <c r="K1199" t="s">
        <v>46</v>
      </c>
      <c r="L1199" t="s">
        <v>13</v>
      </c>
      <c r="M1199">
        <v>3</v>
      </c>
      <c r="N1199" t="str">
        <f t="shared" si="18"/>
        <v>INSERT INTO TNL_RATING.dbo.usps_rate_master VALUES ('USPS', '2/13/2025', '2/13/2026', 12659, 'US', 'Priority Mail Express', 3, 19, 'L', 54.2, 'Wedgewood_USPS_2025', 'NonCubic','3');</v>
      </c>
    </row>
    <row r="1200" spans="1:14" x14ac:dyDescent="0.3">
      <c r="A1200" t="s">
        <v>11</v>
      </c>
      <c r="B1200" s="1" t="s">
        <v>43</v>
      </c>
      <c r="C1200" s="1" t="s">
        <v>44</v>
      </c>
      <c r="D1200">
        <v>12659</v>
      </c>
      <c r="E1200" t="s">
        <v>12</v>
      </c>
      <c r="F1200" t="s">
        <v>42</v>
      </c>
      <c r="G1200">
        <v>3</v>
      </c>
      <c r="H1200">
        <v>20</v>
      </c>
      <c r="I1200" t="s">
        <v>45</v>
      </c>
      <c r="J1200" cm="1">
        <f t="array" ref="J1200">IFERROR(
    _xlfn.XLOOKUP(G1200, 'Wedgewood Pharm-PME-Yr2-2025'!$E$62:$L$62,
        _xlfn.XLOOKUP('Rate Load'!H1200, 'Wedgewood Pharm-PME-Yr2-2025'!$D$63:$D$86,
            'Wedgewood Pharm-PME-Yr2-2025'!$E$63:$L$86, 0, 0),
        0, 0),
    _xlfn.XLOOKUP(G1200, 'Wedgewood Pharm-PME-Yr2-2025'!$E$62:$L$62,
        _xlfn.XLOOKUP('Rate Load'!L1200, 'Wedgewood Pharm-PME-Yr2-2025'!$D$63:$D$86,
            'Wedgewood Pharm-PME-Yr2-2025'!$E$63:$L$86, 0, 0),
        0, 0)
)</f>
        <v>56.58</v>
      </c>
      <c r="K1200" t="s">
        <v>46</v>
      </c>
      <c r="L1200" t="s">
        <v>13</v>
      </c>
      <c r="M1200">
        <v>3</v>
      </c>
      <c r="N1200" t="str">
        <f t="shared" si="18"/>
        <v>INSERT INTO TNL_RATING.dbo.usps_rate_master VALUES ('USPS', '2/13/2025', '2/13/2026', 12659, 'US', 'Priority Mail Express', 3, 20, 'L', 56.58, 'Wedgewood_USPS_2025', 'NonCubic','3');</v>
      </c>
    </row>
    <row r="1201" spans="1:14" x14ac:dyDescent="0.3">
      <c r="A1201" t="s">
        <v>11</v>
      </c>
      <c r="B1201" s="1" t="s">
        <v>43</v>
      </c>
      <c r="C1201" s="1" t="s">
        <v>44</v>
      </c>
      <c r="D1201">
        <v>12659</v>
      </c>
      <c r="E1201" t="s">
        <v>12</v>
      </c>
      <c r="F1201" t="s">
        <v>42</v>
      </c>
      <c r="G1201">
        <v>4</v>
      </c>
      <c r="H1201">
        <v>0.5</v>
      </c>
      <c r="I1201" t="s">
        <v>45</v>
      </c>
      <c r="J1201" cm="1">
        <f t="array" ref="J1201">IFERROR(
    _xlfn.XLOOKUP(G1201, 'Wedgewood Pharm-PME-Yr2-2025'!$E$62:$L$62,
        _xlfn.XLOOKUP('Rate Load'!H1201, 'Wedgewood Pharm-PME-Yr2-2025'!$D$63:$D$86,
            'Wedgewood Pharm-PME-Yr2-2025'!$E$63:$L$86, 0, 0),
        0, 0),
    _xlfn.XLOOKUP(G1201, 'Wedgewood Pharm-PME-Yr2-2025'!$E$62:$L$62,
        _xlfn.XLOOKUP('Rate Load'!L1201, 'Wedgewood Pharm-PME-Yr2-2025'!$D$63:$D$86,
            'Wedgewood Pharm-PME-Yr2-2025'!$E$63:$L$86, 0, 0),
        0, 0)
)</f>
        <v>13.629999999999999</v>
      </c>
      <c r="K1201" t="s">
        <v>46</v>
      </c>
      <c r="L1201" t="s">
        <v>13</v>
      </c>
      <c r="M1201">
        <v>3</v>
      </c>
      <c r="N1201" t="str">
        <f t="shared" si="18"/>
        <v>INSERT INTO TNL_RATING.dbo.usps_rate_master VALUES ('USPS', '2/13/2025', '2/13/2026', 12659, 'US', 'Priority Mail Express', 4, 0.5, 'L', 13.63, 'Wedgewood_USPS_2025', 'NonCubic','3');</v>
      </c>
    </row>
    <row r="1202" spans="1:14" x14ac:dyDescent="0.3">
      <c r="A1202" t="s">
        <v>11</v>
      </c>
      <c r="B1202" s="1" t="s">
        <v>43</v>
      </c>
      <c r="C1202" s="1" t="s">
        <v>44</v>
      </c>
      <c r="D1202">
        <v>12659</v>
      </c>
      <c r="E1202" t="s">
        <v>12</v>
      </c>
      <c r="F1202" t="s">
        <v>42</v>
      </c>
      <c r="G1202">
        <v>4</v>
      </c>
      <c r="H1202">
        <v>1</v>
      </c>
      <c r="I1202" t="s">
        <v>45</v>
      </c>
      <c r="J1202" cm="1">
        <f t="array" ref="J1202">IFERROR(
    _xlfn.XLOOKUP(G1202, 'Wedgewood Pharm-PME-Yr2-2025'!$E$62:$L$62,
        _xlfn.XLOOKUP('Rate Load'!H1202, 'Wedgewood Pharm-PME-Yr2-2025'!$D$63:$D$86,
            'Wedgewood Pharm-PME-Yr2-2025'!$E$63:$L$86, 0, 0),
        0, 0),
    _xlfn.XLOOKUP(G1202, 'Wedgewood Pharm-PME-Yr2-2025'!$E$62:$L$62,
        _xlfn.XLOOKUP('Rate Load'!L1202, 'Wedgewood Pharm-PME-Yr2-2025'!$D$63:$D$86,
            'Wedgewood Pharm-PME-Yr2-2025'!$E$63:$L$86, 0, 0),
        0, 0)
)</f>
        <v>14.79</v>
      </c>
      <c r="K1202" t="s">
        <v>46</v>
      </c>
      <c r="L1202" t="s">
        <v>13</v>
      </c>
      <c r="M1202">
        <v>3</v>
      </c>
      <c r="N1202" t="str">
        <f t="shared" si="18"/>
        <v>INSERT INTO TNL_RATING.dbo.usps_rate_master VALUES ('USPS', '2/13/2025', '2/13/2026', 12659, 'US', 'Priority Mail Express', 4, 1, 'L', 14.79, 'Wedgewood_USPS_2025', 'NonCubic','3');</v>
      </c>
    </row>
    <row r="1203" spans="1:14" x14ac:dyDescent="0.3">
      <c r="A1203" t="s">
        <v>11</v>
      </c>
      <c r="B1203" s="1" t="s">
        <v>43</v>
      </c>
      <c r="C1203" s="1" t="s">
        <v>44</v>
      </c>
      <c r="D1203">
        <v>12659</v>
      </c>
      <c r="E1203" t="s">
        <v>12</v>
      </c>
      <c r="F1203" t="s">
        <v>42</v>
      </c>
      <c r="G1203">
        <v>4</v>
      </c>
      <c r="H1203">
        <v>2</v>
      </c>
      <c r="I1203" t="s">
        <v>45</v>
      </c>
      <c r="J1203" cm="1">
        <f t="array" ref="J1203">IFERROR(
    _xlfn.XLOOKUP(G1203, 'Wedgewood Pharm-PME-Yr2-2025'!$E$62:$L$62,
        _xlfn.XLOOKUP('Rate Load'!H1203, 'Wedgewood Pharm-PME-Yr2-2025'!$D$63:$D$86,
            'Wedgewood Pharm-PME-Yr2-2025'!$E$63:$L$86, 0, 0),
        0, 0),
    _xlfn.XLOOKUP(G1203, 'Wedgewood Pharm-PME-Yr2-2025'!$E$62:$L$62,
        _xlfn.XLOOKUP('Rate Load'!L1203, 'Wedgewood Pharm-PME-Yr2-2025'!$D$63:$D$86,
            'Wedgewood Pharm-PME-Yr2-2025'!$E$63:$L$86, 0, 0),
        0, 0)
)</f>
        <v>16.73</v>
      </c>
      <c r="K1203" t="s">
        <v>46</v>
      </c>
      <c r="L1203" t="s">
        <v>13</v>
      </c>
      <c r="M1203">
        <v>3</v>
      </c>
      <c r="N1203" t="str">
        <f t="shared" si="18"/>
        <v>INSERT INTO TNL_RATING.dbo.usps_rate_master VALUES ('USPS', '2/13/2025', '2/13/2026', 12659, 'US', 'Priority Mail Express', 4, 2, 'L', 16.73, 'Wedgewood_USPS_2025', 'NonCubic','3');</v>
      </c>
    </row>
    <row r="1204" spans="1:14" x14ac:dyDescent="0.3">
      <c r="A1204" t="s">
        <v>11</v>
      </c>
      <c r="B1204" s="1" t="s">
        <v>43</v>
      </c>
      <c r="C1204" s="1" t="s">
        <v>44</v>
      </c>
      <c r="D1204">
        <v>12659</v>
      </c>
      <c r="E1204" t="s">
        <v>12</v>
      </c>
      <c r="F1204" t="s">
        <v>42</v>
      </c>
      <c r="G1204">
        <v>4</v>
      </c>
      <c r="H1204">
        <v>3</v>
      </c>
      <c r="I1204" t="s">
        <v>45</v>
      </c>
      <c r="J1204" cm="1">
        <f t="array" ref="J1204">IFERROR(
    _xlfn.XLOOKUP(G1204, 'Wedgewood Pharm-PME-Yr2-2025'!$E$62:$L$62,
        _xlfn.XLOOKUP('Rate Load'!H1204, 'Wedgewood Pharm-PME-Yr2-2025'!$D$63:$D$86,
            'Wedgewood Pharm-PME-Yr2-2025'!$E$63:$L$86, 0, 0),
        0, 0),
    _xlfn.XLOOKUP(G1204, 'Wedgewood Pharm-PME-Yr2-2025'!$E$62:$L$62,
        _xlfn.XLOOKUP('Rate Load'!L1204, 'Wedgewood Pharm-PME-Yr2-2025'!$D$63:$D$86,
            'Wedgewood Pharm-PME-Yr2-2025'!$E$63:$L$86, 0, 0),
        0, 0)
)</f>
        <v>19.060000000000002</v>
      </c>
      <c r="K1204" t="s">
        <v>46</v>
      </c>
      <c r="L1204" t="s">
        <v>13</v>
      </c>
      <c r="M1204">
        <v>3</v>
      </c>
      <c r="N1204" t="str">
        <f t="shared" si="18"/>
        <v>INSERT INTO TNL_RATING.dbo.usps_rate_master VALUES ('USPS', '2/13/2025', '2/13/2026', 12659, 'US', 'Priority Mail Express', 4, 3, 'L', 19.06, 'Wedgewood_USPS_2025', 'NonCubic','3');</v>
      </c>
    </row>
    <row r="1205" spans="1:14" x14ac:dyDescent="0.3">
      <c r="A1205" t="s">
        <v>11</v>
      </c>
      <c r="B1205" s="1" t="s">
        <v>43</v>
      </c>
      <c r="C1205" s="1" t="s">
        <v>44</v>
      </c>
      <c r="D1205">
        <v>12659</v>
      </c>
      <c r="E1205" t="s">
        <v>12</v>
      </c>
      <c r="F1205" t="s">
        <v>42</v>
      </c>
      <c r="G1205">
        <v>4</v>
      </c>
      <c r="H1205">
        <v>4</v>
      </c>
      <c r="I1205" t="s">
        <v>45</v>
      </c>
      <c r="J1205" cm="1">
        <f t="array" ref="J1205">IFERROR(
    _xlfn.XLOOKUP(G1205, 'Wedgewood Pharm-PME-Yr2-2025'!$E$62:$L$62,
        _xlfn.XLOOKUP('Rate Load'!H1205, 'Wedgewood Pharm-PME-Yr2-2025'!$D$63:$D$86,
            'Wedgewood Pharm-PME-Yr2-2025'!$E$63:$L$86, 0, 0),
        0, 0),
    _xlfn.XLOOKUP(G1205, 'Wedgewood Pharm-PME-Yr2-2025'!$E$62:$L$62,
        _xlfn.XLOOKUP('Rate Load'!L1205, 'Wedgewood Pharm-PME-Yr2-2025'!$D$63:$D$86,
            'Wedgewood Pharm-PME-Yr2-2025'!$E$63:$L$86, 0, 0),
        0, 0)
)</f>
        <v>21.380000000000003</v>
      </c>
      <c r="K1205" t="s">
        <v>46</v>
      </c>
      <c r="L1205" t="s">
        <v>13</v>
      </c>
      <c r="M1205">
        <v>3</v>
      </c>
      <c r="N1205" t="str">
        <f t="shared" si="18"/>
        <v>INSERT INTO TNL_RATING.dbo.usps_rate_master VALUES ('USPS', '2/13/2025', '2/13/2026', 12659, 'US', 'Priority Mail Express', 4, 4, 'L', 21.38, 'Wedgewood_USPS_2025', 'NonCubic','3');</v>
      </c>
    </row>
    <row r="1206" spans="1:14" x14ac:dyDescent="0.3">
      <c r="A1206" t="s">
        <v>11</v>
      </c>
      <c r="B1206" s="1" t="s">
        <v>43</v>
      </c>
      <c r="C1206" s="1" t="s">
        <v>44</v>
      </c>
      <c r="D1206">
        <v>12659</v>
      </c>
      <c r="E1206" t="s">
        <v>12</v>
      </c>
      <c r="F1206" t="s">
        <v>42</v>
      </c>
      <c r="G1206">
        <v>4</v>
      </c>
      <c r="H1206">
        <v>5</v>
      </c>
      <c r="I1206" t="s">
        <v>45</v>
      </c>
      <c r="J1206" cm="1">
        <f t="array" ref="J1206">IFERROR(
    _xlfn.XLOOKUP(G1206, 'Wedgewood Pharm-PME-Yr2-2025'!$E$62:$L$62,
        _xlfn.XLOOKUP('Rate Load'!H1206, 'Wedgewood Pharm-PME-Yr2-2025'!$D$63:$D$86,
            'Wedgewood Pharm-PME-Yr2-2025'!$E$63:$L$86, 0, 0),
        0, 0),
    _xlfn.XLOOKUP(G1206, 'Wedgewood Pharm-PME-Yr2-2025'!$E$62:$L$62,
        _xlfn.XLOOKUP('Rate Load'!L1206, 'Wedgewood Pharm-PME-Yr2-2025'!$D$63:$D$86,
            'Wedgewood Pharm-PME-Yr2-2025'!$E$63:$L$86, 0, 0),
        0, 0)
)</f>
        <v>23.69</v>
      </c>
      <c r="K1206" t="s">
        <v>46</v>
      </c>
      <c r="L1206" t="s">
        <v>13</v>
      </c>
      <c r="M1206">
        <v>3</v>
      </c>
      <c r="N1206" t="str">
        <f t="shared" si="18"/>
        <v>INSERT INTO TNL_RATING.dbo.usps_rate_master VALUES ('USPS', '2/13/2025', '2/13/2026', 12659, 'US', 'Priority Mail Express', 4, 5, 'L', 23.69, 'Wedgewood_USPS_2025', 'NonCubic','3');</v>
      </c>
    </row>
    <row r="1207" spans="1:14" x14ac:dyDescent="0.3">
      <c r="A1207" t="s">
        <v>11</v>
      </c>
      <c r="B1207" s="1" t="s">
        <v>43</v>
      </c>
      <c r="C1207" s="1" t="s">
        <v>44</v>
      </c>
      <c r="D1207">
        <v>12659</v>
      </c>
      <c r="E1207" t="s">
        <v>12</v>
      </c>
      <c r="F1207" t="s">
        <v>42</v>
      </c>
      <c r="G1207">
        <v>4</v>
      </c>
      <c r="H1207">
        <v>6</v>
      </c>
      <c r="I1207" t="s">
        <v>45</v>
      </c>
      <c r="J1207" cm="1">
        <f t="array" ref="J1207">IFERROR(
    _xlfn.XLOOKUP(G1207, 'Wedgewood Pharm-PME-Yr2-2025'!$E$62:$L$62,
        _xlfn.XLOOKUP('Rate Load'!H1207, 'Wedgewood Pharm-PME-Yr2-2025'!$D$63:$D$86,
            'Wedgewood Pharm-PME-Yr2-2025'!$E$63:$L$86, 0, 0),
        0, 0),
    _xlfn.XLOOKUP(G1207, 'Wedgewood Pharm-PME-Yr2-2025'!$E$62:$L$62,
        _xlfn.XLOOKUP('Rate Load'!L1207, 'Wedgewood Pharm-PME-Yr2-2025'!$D$63:$D$86,
            'Wedgewood Pharm-PME-Yr2-2025'!$E$63:$L$86, 0, 0),
        0, 0)
)</f>
        <v>26.26</v>
      </c>
      <c r="K1207" t="s">
        <v>46</v>
      </c>
      <c r="L1207" t="s">
        <v>13</v>
      </c>
      <c r="M1207">
        <v>3</v>
      </c>
      <c r="N1207" t="str">
        <f t="shared" si="18"/>
        <v>INSERT INTO TNL_RATING.dbo.usps_rate_master VALUES ('USPS', '2/13/2025', '2/13/2026', 12659, 'US', 'Priority Mail Express', 4, 6, 'L', 26.26, 'Wedgewood_USPS_2025', 'NonCubic','3');</v>
      </c>
    </row>
    <row r="1208" spans="1:14" x14ac:dyDescent="0.3">
      <c r="A1208" t="s">
        <v>11</v>
      </c>
      <c r="B1208" s="1" t="s">
        <v>43</v>
      </c>
      <c r="C1208" s="1" t="s">
        <v>44</v>
      </c>
      <c r="D1208">
        <v>12659</v>
      </c>
      <c r="E1208" t="s">
        <v>12</v>
      </c>
      <c r="F1208" t="s">
        <v>42</v>
      </c>
      <c r="G1208">
        <v>4</v>
      </c>
      <c r="H1208">
        <v>7</v>
      </c>
      <c r="I1208" t="s">
        <v>45</v>
      </c>
      <c r="J1208" cm="1">
        <f t="array" ref="J1208">IFERROR(
    _xlfn.XLOOKUP(G1208, 'Wedgewood Pharm-PME-Yr2-2025'!$E$62:$L$62,
        _xlfn.XLOOKUP('Rate Load'!H1208, 'Wedgewood Pharm-PME-Yr2-2025'!$D$63:$D$86,
            'Wedgewood Pharm-PME-Yr2-2025'!$E$63:$L$86, 0, 0),
        0, 0),
    _xlfn.XLOOKUP(G1208, 'Wedgewood Pharm-PME-Yr2-2025'!$E$62:$L$62,
        _xlfn.XLOOKUP('Rate Load'!L1208, 'Wedgewood Pharm-PME-Yr2-2025'!$D$63:$D$86,
            'Wedgewood Pharm-PME-Yr2-2025'!$E$63:$L$86, 0, 0),
        0, 0)
)</f>
        <v>28.85</v>
      </c>
      <c r="K1208" t="s">
        <v>46</v>
      </c>
      <c r="L1208" t="s">
        <v>13</v>
      </c>
      <c r="M1208">
        <v>3</v>
      </c>
      <c r="N1208" t="str">
        <f t="shared" si="18"/>
        <v>INSERT INTO TNL_RATING.dbo.usps_rate_master VALUES ('USPS', '2/13/2025', '2/13/2026', 12659, 'US', 'Priority Mail Express', 4, 7, 'L', 28.85, 'Wedgewood_USPS_2025', 'NonCubic','3');</v>
      </c>
    </row>
    <row r="1209" spans="1:14" x14ac:dyDescent="0.3">
      <c r="A1209" t="s">
        <v>11</v>
      </c>
      <c r="B1209" s="1" t="s">
        <v>43</v>
      </c>
      <c r="C1209" s="1" t="s">
        <v>44</v>
      </c>
      <c r="D1209">
        <v>12659</v>
      </c>
      <c r="E1209" t="s">
        <v>12</v>
      </c>
      <c r="F1209" t="s">
        <v>42</v>
      </c>
      <c r="G1209">
        <v>4</v>
      </c>
      <c r="H1209">
        <v>8</v>
      </c>
      <c r="I1209" t="s">
        <v>45</v>
      </c>
      <c r="J1209" cm="1">
        <f t="array" ref="J1209">IFERROR(
    _xlfn.XLOOKUP(G1209, 'Wedgewood Pharm-PME-Yr2-2025'!$E$62:$L$62,
        _xlfn.XLOOKUP('Rate Load'!H1209, 'Wedgewood Pharm-PME-Yr2-2025'!$D$63:$D$86,
            'Wedgewood Pharm-PME-Yr2-2025'!$E$63:$L$86, 0, 0),
        0, 0),
    _xlfn.XLOOKUP(G1209, 'Wedgewood Pharm-PME-Yr2-2025'!$E$62:$L$62,
        _xlfn.XLOOKUP('Rate Load'!L1209, 'Wedgewood Pharm-PME-Yr2-2025'!$D$63:$D$86,
            'Wedgewood Pharm-PME-Yr2-2025'!$E$63:$L$86, 0, 0),
        0, 0)
)</f>
        <v>31.42</v>
      </c>
      <c r="K1209" t="s">
        <v>46</v>
      </c>
      <c r="L1209" t="s">
        <v>13</v>
      </c>
      <c r="M1209">
        <v>3</v>
      </c>
      <c r="N1209" t="str">
        <f t="shared" si="18"/>
        <v>INSERT INTO TNL_RATING.dbo.usps_rate_master VALUES ('USPS', '2/13/2025', '2/13/2026', 12659, 'US', 'Priority Mail Express', 4, 8, 'L', 31.42, 'Wedgewood_USPS_2025', 'NonCubic','3');</v>
      </c>
    </row>
    <row r="1210" spans="1:14" x14ac:dyDescent="0.3">
      <c r="A1210" t="s">
        <v>11</v>
      </c>
      <c r="B1210" s="1" t="s">
        <v>43</v>
      </c>
      <c r="C1210" s="1" t="s">
        <v>44</v>
      </c>
      <c r="D1210">
        <v>12659</v>
      </c>
      <c r="E1210" t="s">
        <v>12</v>
      </c>
      <c r="F1210" t="s">
        <v>42</v>
      </c>
      <c r="G1210">
        <v>4</v>
      </c>
      <c r="H1210">
        <v>9</v>
      </c>
      <c r="I1210" t="s">
        <v>45</v>
      </c>
      <c r="J1210" cm="1">
        <f t="array" ref="J1210">IFERROR(
    _xlfn.XLOOKUP(G1210, 'Wedgewood Pharm-PME-Yr2-2025'!$E$62:$L$62,
        _xlfn.XLOOKUP('Rate Load'!H1210, 'Wedgewood Pharm-PME-Yr2-2025'!$D$63:$D$86,
            'Wedgewood Pharm-PME-Yr2-2025'!$E$63:$L$86, 0, 0),
        0, 0),
    _xlfn.XLOOKUP(G1210, 'Wedgewood Pharm-PME-Yr2-2025'!$E$62:$L$62,
        _xlfn.XLOOKUP('Rate Load'!L1210, 'Wedgewood Pharm-PME-Yr2-2025'!$D$63:$D$86,
            'Wedgewood Pharm-PME-Yr2-2025'!$E$63:$L$86, 0, 0),
        0, 0)
)</f>
        <v>34</v>
      </c>
      <c r="K1210" t="s">
        <v>46</v>
      </c>
      <c r="L1210" t="s">
        <v>13</v>
      </c>
      <c r="M1210">
        <v>3</v>
      </c>
      <c r="N1210" t="str">
        <f t="shared" si="18"/>
        <v>INSERT INTO TNL_RATING.dbo.usps_rate_master VALUES ('USPS', '2/13/2025', '2/13/2026', 12659, 'US', 'Priority Mail Express', 4, 9, 'L', 34, 'Wedgewood_USPS_2025', 'NonCubic','3');</v>
      </c>
    </row>
    <row r="1211" spans="1:14" x14ac:dyDescent="0.3">
      <c r="A1211" t="s">
        <v>11</v>
      </c>
      <c r="B1211" s="1" t="s">
        <v>43</v>
      </c>
      <c r="C1211" s="1" t="s">
        <v>44</v>
      </c>
      <c r="D1211">
        <v>12659</v>
      </c>
      <c r="E1211" t="s">
        <v>12</v>
      </c>
      <c r="F1211" t="s">
        <v>42</v>
      </c>
      <c r="G1211">
        <v>4</v>
      </c>
      <c r="H1211">
        <v>10</v>
      </c>
      <c r="I1211" t="s">
        <v>45</v>
      </c>
      <c r="J1211" cm="1">
        <f t="array" ref="J1211">IFERROR(
    _xlfn.XLOOKUP(G1211, 'Wedgewood Pharm-PME-Yr2-2025'!$E$62:$L$62,
        _xlfn.XLOOKUP('Rate Load'!H1211, 'Wedgewood Pharm-PME-Yr2-2025'!$D$63:$D$86,
            'Wedgewood Pharm-PME-Yr2-2025'!$E$63:$L$86, 0, 0),
        0, 0),
    _xlfn.XLOOKUP(G1211, 'Wedgewood Pharm-PME-Yr2-2025'!$E$62:$L$62,
        _xlfn.XLOOKUP('Rate Load'!L1211, 'Wedgewood Pharm-PME-Yr2-2025'!$D$63:$D$86,
            'Wedgewood Pharm-PME-Yr2-2025'!$E$63:$L$86, 0, 0),
        0, 0)
)</f>
        <v>36.57</v>
      </c>
      <c r="K1211" t="s">
        <v>46</v>
      </c>
      <c r="L1211" t="s">
        <v>13</v>
      </c>
      <c r="M1211">
        <v>3</v>
      </c>
      <c r="N1211" t="str">
        <f t="shared" si="18"/>
        <v>INSERT INTO TNL_RATING.dbo.usps_rate_master VALUES ('USPS', '2/13/2025', '2/13/2026', 12659, 'US', 'Priority Mail Express', 4, 10, 'L', 36.57, 'Wedgewood_USPS_2025', 'NonCubic','3');</v>
      </c>
    </row>
    <row r="1212" spans="1:14" x14ac:dyDescent="0.3">
      <c r="A1212" t="s">
        <v>11</v>
      </c>
      <c r="B1212" s="1" t="s">
        <v>43</v>
      </c>
      <c r="C1212" s="1" t="s">
        <v>44</v>
      </c>
      <c r="D1212">
        <v>12659</v>
      </c>
      <c r="E1212" t="s">
        <v>12</v>
      </c>
      <c r="F1212" t="s">
        <v>42</v>
      </c>
      <c r="G1212">
        <v>4</v>
      </c>
      <c r="H1212">
        <v>11</v>
      </c>
      <c r="I1212" t="s">
        <v>45</v>
      </c>
      <c r="J1212" cm="1">
        <f t="array" ref="J1212">IFERROR(
    _xlfn.XLOOKUP(G1212, 'Wedgewood Pharm-PME-Yr2-2025'!$E$62:$L$62,
        _xlfn.XLOOKUP('Rate Load'!H1212, 'Wedgewood Pharm-PME-Yr2-2025'!$D$63:$D$86,
            'Wedgewood Pharm-PME-Yr2-2025'!$E$63:$L$86, 0, 0),
        0, 0),
    _xlfn.XLOOKUP(G1212, 'Wedgewood Pharm-PME-Yr2-2025'!$E$62:$L$62,
        _xlfn.XLOOKUP('Rate Load'!L1212, 'Wedgewood Pharm-PME-Yr2-2025'!$D$63:$D$86,
            'Wedgewood Pharm-PME-Yr2-2025'!$E$63:$L$86, 0, 0),
        0, 0)
)</f>
        <v>39</v>
      </c>
      <c r="K1212" t="s">
        <v>46</v>
      </c>
      <c r="L1212" t="s">
        <v>13</v>
      </c>
      <c r="M1212">
        <v>3</v>
      </c>
      <c r="N1212" t="str">
        <f t="shared" si="18"/>
        <v>INSERT INTO TNL_RATING.dbo.usps_rate_master VALUES ('USPS', '2/13/2025', '2/13/2026', 12659, 'US', 'Priority Mail Express', 4, 11, 'L', 39, 'Wedgewood_USPS_2025', 'NonCubic','3');</v>
      </c>
    </row>
    <row r="1213" spans="1:14" x14ac:dyDescent="0.3">
      <c r="A1213" t="s">
        <v>11</v>
      </c>
      <c r="B1213" s="1" t="s">
        <v>43</v>
      </c>
      <c r="C1213" s="1" t="s">
        <v>44</v>
      </c>
      <c r="D1213">
        <v>12659</v>
      </c>
      <c r="E1213" t="s">
        <v>12</v>
      </c>
      <c r="F1213" t="s">
        <v>42</v>
      </c>
      <c r="G1213">
        <v>4</v>
      </c>
      <c r="H1213">
        <v>12</v>
      </c>
      <c r="I1213" t="s">
        <v>45</v>
      </c>
      <c r="J1213" cm="1">
        <f t="array" ref="J1213">IFERROR(
    _xlfn.XLOOKUP(G1213, 'Wedgewood Pharm-PME-Yr2-2025'!$E$62:$L$62,
        _xlfn.XLOOKUP('Rate Load'!H1213, 'Wedgewood Pharm-PME-Yr2-2025'!$D$63:$D$86,
            'Wedgewood Pharm-PME-Yr2-2025'!$E$63:$L$86, 0, 0),
        0, 0),
    _xlfn.XLOOKUP(G1213, 'Wedgewood Pharm-PME-Yr2-2025'!$E$62:$L$62,
        _xlfn.XLOOKUP('Rate Load'!L1213, 'Wedgewood Pharm-PME-Yr2-2025'!$D$63:$D$86,
            'Wedgewood Pharm-PME-Yr2-2025'!$E$63:$L$86, 0, 0),
        0, 0)
)</f>
        <v>41.419999999999995</v>
      </c>
      <c r="K1213" t="s">
        <v>46</v>
      </c>
      <c r="L1213" t="s">
        <v>13</v>
      </c>
      <c r="M1213">
        <v>3</v>
      </c>
      <c r="N1213" t="str">
        <f t="shared" si="18"/>
        <v>INSERT INTO TNL_RATING.dbo.usps_rate_master VALUES ('USPS', '2/13/2025', '2/13/2026', 12659, 'US', 'Priority Mail Express', 4, 12, 'L', 41.42, 'Wedgewood_USPS_2025', 'NonCubic','3');</v>
      </c>
    </row>
    <row r="1214" spans="1:14" x14ac:dyDescent="0.3">
      <c r="A1214" t="s">
        <v>11</v>
      </c>
      <c r="B1214" s="1" t="s">
        <v>43</v>
      </c>
      <c r="C1214" s="1" t="s">
        <v>44</v>
      </c>
      <c r="D1214">
        <v>12659</v>
      </c>
      <c r="E1214" t="s">
        <v>12</v>
      </c>
      <c r="F1214" t="s">
        <v>42</v>
      </c>
      <c r="G1214">
        <v>4</v>
      </c>
      <c r="H1214">
        <v>13</v>
      </c>
      <c r="I1214" t="s">
        <v>45</v>
      </c>
      <c r="J1214" cm="1">
        <f t="array" ref="J1214">IFERROR(
    _xlfn.XLOOKUP(G1214, 'Wedgewood Pharm-PME-Yr2-2025'!$E$62:$L$62,
        _xlfn.XLOOKUP('Rate Load'!H1214, 'Wedgewood Pharm-PME-Yr2-2025'!$D$63:$D$86,
            'Wedgewood Pharm-PME-Yr2-2025'!$E$63:$L$86, 0, 0),
        0, 0),
    _xlfn.XLOOKUP(G1214, 'Wedgewood Pharm-PME-Yr2-2025'!$E$62:$L$62,
        _xlfn.XLOOKUP('Rate Load'!L1214, 'Wedgewood Pharm-PME-Yr2-2025'!$D$63:$D$86,
            'Wedgewood Pharm-PME-Yr2-2025'!$E$63:$L$86, 0, 0),
        0, 0)
)</f>
        <v>43.83</v>
      </c>
      <c r="K1214" t="s">
        <v>46</v>
      </c>
      <c r="L1214" t="s">
        <v>13</v>
      </c>
      <c r="M1214">
        <v>3</v>
      </c>
      <c r="N1214" t="str">
        <f t="shared" si="18"/>
        <v>INSERT INTO TNL_RATING.dbo.usps_rate_master VALUES ('USPS', '2/13/2025', '2/13/2026', 12659, 'US', 'Priority Mail Express', 4, 13, 'L', 43.83, 'Wedgewood_USPS_2025', 'NonCubic','3');</v>
      </c>
    </row>
    <row r="1215" spans="1:14" x14ac:dyDescent="0.3">
      <c r="A1215" t="s">
        <v>11</v>
      </c>
      <c r="B1215" s="1" t="s">
        <v>43</v>
      </c>
      <c r="C1215" s="1" t="s">
        <v>44</v>
      </c>
      <c r="D1215">
        <v>12659</v>
      </c>
      <c r="E1215" t="s">
        <v>12</v>
      </c>
      <c r="F1215" t="s">
        <v>42</v>
      </c>
      <c r="G1215">
        <v>4</v>
      </c>
      <c r="H1215">
        <v>14</v>
      </c>
      <c r="I1215" t="s">
        <v>45</v>
      </c>
      <c r="J1215" cm="1">
        <f t="array" ref="J1215">IFERROR(
    _xlfn.XLOOKUP(G1215, 'Wedgewood Pharm-PME-Yr2-2025'!$E$62:$L$62,
        _xlfn.XLOOKUP('Rate Load'!H1215, 'Wedgewood Pharm-PME-Yr2-2025'!$D$63:$D$86,
            'Wedgewood Pharm-PME-Yr2-2025'!$E$63:$L$86, 0, 0),
        0, 0),
    _xlfn.XLOOKUP(G1215, 'Wedgewood Pharm-PME-Yr2-2025'!$E$62:$L$62,
        _xlfn.XLOOKUP('Rate Load'!L1215, 'Wedgewood Pharm-PME-Yr2-2025'!$D$63:$D$86,
            'Wedgewood Pharm-PME-Yr2-2025'!$E$63:$L$86, 0, 0),
        0, 0)
)</f>
        <v>46.26</v>
      </c>
      <c r="K1215" t="s">
        <v>46</v>
      </c>
      <c r="L1215" t="s">
        <v>13</v>
      </c>
      <c r="M1215">
        <v>3</v>
      </c>
      <c r="N1215" t="str">
        <f t="shared" si="18"/>
        <v>INSERT INTO TNL_RATING.dbo.usps_rate_master VALUES ('USPS', '2/13/2025', '2/13/2026', 12659, 'US', 'Priority Mail Express', 4, 14, 'L', 46.26, 'Wedgewood_USPS_2025', 'NonCubic','3');</v>
      </c>
    </row>
    <row r="1216" spans="1:14" x14ac:dyDescent="0.3">
      <c r="A1216" t="s">
        <v>11</v>
      </c>
      <c r="B1216" s="1" t="s">
        <v>43</v>
      </c>
      <c r="C1216" s="1" t="s">
        <v>44</v>
      </c>
      <c r="D1216">
        <v>12659</v>
      </c>
      <c r="E1216" t="s">
        <v>12</v>
      </c>
      <c r="F1216" t="s">
        <v>42</v>
      </c>
      <c r="G1216">
        <v>4</v>
      </c>
      <c r="H1216">
        <v>15</v>
      </c>
      <c r="I1216" t="s">
        <v>45</v>
      </c>
      <c r="J1216" cm="1">
        <f t="array" ref="J1216">IFERROR(
    _xlfn.XLOOKUP(G1216, 'Wedgewood Pharm-PME-Yr2-2025'!$E$62:$L$62,
        _xlfn.XLOOKUP('Rate Load'!H1216, 'Wedgewood Pharm-PME-Yr2-2025'!$D$63:$D$86,
            'Wedgewood Pharm-PME-Yr2-2025'!$E$63:$L$86, 0, 0),
        0, 0),
    _xlfn.XLOOKUP(G1216, 'Wedgewood Pharm-PME-Yr2-2025'!$E$62:$L$62,
        _xlfn.XLOOKUP('Rate Load'!L1216, 'Wedgewood Pharm-PME-Yr2-2025'!$D$63:$D$86,
            'Wedgewood Pharm-PME-Yr2-2025'!$E$63:$L$86, 0, 0),
        0, 0)
)</f>
        <v>48.66</v>
      </c>
      <c r="K1216" t="s">
        <v>46</v>
      </c>
      <c r="L1216" t="s">
        <v>13</v>
      </c>
      <c r="M1216">
        <v>3</v>
      </c>
      <c r="N1216" t="str">
        <f t="shared" si="18"/>
        <v>INSERT INTO TNL_RATING.dbo.usps_rate_master VALUES ('USPS', '2/13/2025', '2/13/2026', 12659, 'US', 'Priority Mail Express', 4, 15, 'L', 48.66, 'Wedgewood_USPS_2025', 'NonCubic','3');</v>
      </c>
    </row>
    <row r="1217" spans="1:14" x14ac:dyDescent="0.3">
      <c r="A1217" t="s">
        <v>11</v>
      </c>
      <c r="B1217" s="1" t="s">
        <v>43</v>
      </c>
      <c r="C1217" s="1" t="s">
        <v>44</v>
      </c>
      <c r="D1217">
        <v>12659</v>
      </c>
      <c r="E1217" t="s">
        <v>12</v>
      </c>
      <c r="F1217" t="s">
        <v>42</v>
      </c>
      <c r="G1217">
        <v>4</v>
      </c>
      <c r="H1217">
        <v>16</v>
      </c>
      <c r="I1217" t="s">
        <v>45</v>
      </c>
      <c r="J1217" cm="1">
        <f t="array" ref="J1217">IFERROR(
    _xlfn.XLOOKUP(G1217, 'Wedgewood Pharm-PME-Yr2-2025'!$E$62:$L$62,
        _xlfn.XLOOKUP('Rate Load'!H1217, 'Wedgewood Pharm-PME-Yr2-2025'!$D$63:$D$86,
            'Wedgewood Pharm-PME-Yr2-2025'!$E$63:$L$86, 0, 0),
        0, 0),
    _xlfn.XLOOKUP(G1217, 'Wedgewood Pharm-PME-Yr2-2025'!$E$62:$L$62,
        _xlfn.XLOOKUP('Rate Load'!L1217, 'Wedgewood Pharm-PME-Yr2-2025'!$D$63:$D$86,
            'Wedgewood Pharm-PME-Yr2-2025'!$E$63:$L$86, 0, 0),
        0, 0)
)</f>
        <v>51.08</v>
      </c>
      <c r="K1217" t="s">
        <v>46</v>
      </c>
      <c r="L1217" t="s">
        <v>13</v>
      </c>
      <c r="M1217">
        <v>3</v>
      </c>
      <c r="N1217" t="str">
        <f t="shared" si="18"/>
        <v>INSERT INTO TNL_RATING.dbo.usps_rate_master VALUES ('USPS', '2/13/2025', '2/13/2026', 12659, 'US', 'Priority Mail Express', 4, 16, 'L', 51.08, 'Wedgewood_USPS_2025', 'NonCubic','3');</v>
      </c>
    </row>
    <row r="1218" spans="1:14" x14ac:dyDescent="0.3">
      <c r="A1218" t="s">
        <v>11</v>
      </c>
      <c r="B1218" s="1" t="s">
        <v>43</v>
      </c>
      <c r="C1218" s="1" t="s">
        <v>44</v>
      </c>
      <c r="D1218">
        <v>12659</v>
      </c>
      <c r="E1218" t="s">
        <v>12</v>
      </c>
      <c r="F1218" t="s">
        <v>42</v>
      </c>
      <c r="G1218">
        <v>4</v>
      </c>
      <c r="H1218">
        <v>17</v>
      </c>
      <c r="I1218" t="s">
        <v>45</v>
      </c>
      <c r="J1218" cm="1">
        <f t="array" ref="J1218">IFERROR(
    _xlfn.XLOOKUP(G1218, 'Wedgewood Pharm-PME-Yr2-2025'!$E$62:$L$62,
        _xlfn.XLOOKUP('Rate Load'!H1218, 'Wedgewood Pharm-PME-Yr2-2025'!$D$63:$D$86,
            'Wedgewood Pharm-PME-Yr2-2025'!$E$63:$L$86, 0, 0),
        0, 0),
    _xlfn.XLOOKUP(G1218, 'Wedgewood Pharm-PME-Yr2-2025'!$E$62:$L$62,
        _xlfn.XLOOKUP('Rate Load'!L1218, 'Wedgewood Pharm-PME-Yr2-2025'!$D$63:$D$86,
            'Wedgewood Pharm-PME-Yr2-2025'!$E$63:$L$86, 0, 0),
        0, 0)
)</f>
        <v>53.51</v>
      </c>
      <c r="K1218" t="s">
        <v>46</v>
      </c>
      <c r="L1218" t="s">
        <v>13</v>
      </c>
      <c r="M1218">
        <v>3</v>
      </c>
      <c r="N1218" t="str">
        <f t="shared" si="18"/>
        <v>INSERT INTO TNL_RATING.dbo.usps_rate_master VALUES ('USPS', '2/13/2025', '2/13/2026', 12659, 'US', 'Priority Mail Express', 4, 17, 'L', 53.51, 'Wedgewood_USPS_2025', 'NonCubic','3');</v>
      </c>
    </row>
    <row r="1219" spans="1:14" x14ac:dyDescent="0.3">
      <c r="A1219" t="s">
        <v>11</v>
      </c>
      <c r="B1219" s="1" t="s">
        <v>43</v>
      </c>
      <c r="C1219" s="1" t="s">
        <v>44</v>
      </c>
      <c r="D1219">
        <v>12659</v>
      </c>
      <c r="E1219" t="s">
        <v>12</v>
      </c>
      <c r="F1219" t="s">
        <v>42</v>
      </c>
      <c r="G1219">
        <v>4</v>
      </c>
      <c r="H1219">
        <v>18</v>
      </c>
      <c r="I1219" t="s">
        <v>45</v>
      </c>
      <c r="J1219" cm="1">
        <f t="array" ref="J1219">IFERROR(
    _xlfn.XLOOKUP(G1219, 'Wedgewood Pharm-PME-Yr2-2025'!$E$62:$L$62,
        _xlfn.XLOOKUP('Rate Load'!H1219, 'Wedgewood Pharm-PME-Yr2-2025'!$D$63:$D$86,
            'Wedgewood Pharm-PME-Yr2-2025'!$E$63:$L$86, 0, 0),
        0, 0),
    _xlfn.XLOOKUP(G1219, 'Wedgewood Pharm-PME-Yr2-2025'!$E$62:$L$62,
        _xlfn.XLOOKUP('Rate Load'!L1219, 'Wedgewood Pharm-PME-Yr2-2025'!$D$63:$D$86,
            'Wedgewood Pharm-PME-Yr2-2025'!$E$63:$L$86, 0, 0),
        0, 0)
)</f>
        <v>55.93</v>
      </c>
      <c r="K1219" t="s">
        <v>46</v>
      </c>
      <c r="L1219" t="s">
        <v>13</v>
      </c>
      <c r="M1219">
        <v>3</v>
      </c>
      <c r="N1219" t="str">
        <f t="shared" ref="N1219:N1282" si="19">"INSERT INTO TNL_RATING.dbo.usps_rate_master VALUES ('" &amp; A1219 &amp; "', '" &amp; B1219 &amp; "', '" &amp; C1219 &amp; "', " &amp; D1219 &amp; ", '" &amp; E1219 &amp; "', '" &amp; F1219 &amp; "', " &amp; G1219 &amp; ", " &amp; H1219 &amp; ", '" &amp; I1219 &amp; "', " &amp; J1219 &amp; ", '" &amp; K1219 &amp; "', '" &amp; L1219 &amp; "','" &amp; M1219 &amp; "');"</f>
        <v>INSERT INTO TNL_RATING.dbo.usps_rate_master VALUES ('USPS', '2/13/2025', '2/13/2026', 12659, 'US', 'Priority Mail Express', 4, 18, 'L', 55.93, 'Wedgewood_USPS_2025', 'NonCubic','3');</v>
      </c>
    </row>
    <row r="1220" spans="1:14" x14ac:dyDescent="0.3">
      <c r="A1220" t="s">
        <v>11</v>
      </c>
      <c r="B1220" s="1" t="s">
        <v>43</v>
      </c>
      <c r="C1220" s="1" t="s">
        <v>44</v>
      </c>
      <c r="D1220">
        <v>12659</v>
      </c>
      <c r="E1220" t="s">
        <v>12</v>
      </c>
      <c r="F1220" t="s">
        <v>42</v>
      </c>
      <c r="G1220">
        <v>4</v>
      </c>
      <c r="H1220">
        <v>19</v>
      </c>
      <c r="I1220" t="s">
        <v>45</v>
      </c>
      <c r="J1220" cm="1">
        <f t="array" ref="J1220">IFERROR(
    _xlfn.XLOOKUP(G1220, 'Wedgewood Pharm-PME-Yr2-2025'!$E$62:$L$62,
        _xlfn.XLOOKUP('Rate Load'!H1220, 'Wedgewood Pharm-PME-Yr2-2025'!$D$63:$D$86,
            'Wedgewood Pharm-PME-Yr2-2025'!$E$63:$L$86, 0, 0),
        0, 0),
    _xlfn.XLOOKUP(G1220, 'Wedgewood Pharm-PME-Yr2-2025'!$E$62:$L$62,
        _xlfn.XLOOKUP('Rate Load'!L1220, 'Wedgewood Pharm-PME-Yr2-2025'!$D$63:$D$86,
            'Wedgewood Pharm-PME-Yr2-2025'!$E$63:$L$86, 0, 0),
        0, 0)
)</f>
        <v>58.35</v>
      </c>
      <c r="K1220" t="s">
        <v>46</v>
      </c>
      <c r="L1220" t="s">
        <v>13</v>
      </c>
      <c r="M1220">
        <v>3</v>
      </c>
      <c r="N1220" t="str">
        <f t="shared" si="19"/>
        <v>INSERT INTO TNL_RATING.dbo.usps_rate_master VALUES ('USPS', '2/13/2025', '2/13/2026', 12659, 'US', 'Priority Mail Express', 4, 19, 'L', 58.35, 'Wedgewood_USPS_2025', 'NonCubic','3');</v>
      </c>
    </row>
    <row r="1221" spans="1:14" x14ac:dyDescent="0.3">
      <c r="A1221" t="s">
        <v>11</v>
      </c>
      <c r="B1221" s="1" t="s">
        <v>43</v>
      </c>
      <c r="C1221" s="1" t="s">
        <v>44</v>
      </c>
      <c r="D1221">
        <v>12659</v>
      </c>
      <c r="E1221" t="s">
        <v>12</v>
      </c>
      <c r="F1221" t="s">
        <v>42</v>
      </c>
      <c r="G1221">
        <v>4</v>
      </c>
      <c r="H1221">
        <v>20</v>
      </c>
      <c r="I1221" t="s">
        <v>45</v>
      </c>
      <c r="J1221" cm="1">
        <f t="array" ref="J1221">IFERROR(
    _xlfn.XLOOKUP(G1221, 'Wedgewood Pharm-PME-Yr2-2025'!$E$62:$L$62,
        _xlfn.XLOOKUP('Rate Load'!H1221, 'Wedgewood Pharm-PME-Yr2-2025'!$D$63:$D$86,
            'Wedgewood Pharm-PME-Yr2-2025'!$E$63:$L$86, 0, 0),
        0, 0),
    _xlfn.XLOOKUP(G1221, 'Wedgewood Pharm-PME-Yr2-2025'!$E$62:$L$62,
        _xlfn.XLOOKUP('Rate Load'!L1221, 'Wedgewood Pharm-PME-Yr2-2025'!$D$63:$D$86,
            'Wedgewood Pharm-PME-Yr2-2025'!$E$63:$L$86, 0, 0),
        0, 0)
)</f>
        <v>60.769999999999996</v>
      </c>
      <c r="K1221" t="s">
        <v>46</v>
      </c>
      <c r="L1221" t="s">
        <v>13</v>
      </c>
      <c r="M1221">
        <v>3</v>
      </c>
      <c r="N1221" t="str">
        <f t="shared" si="19"/>
        <v>INSERT INTO TNL_RATING.dbo.usps_rate_master VALUES ('USPS', '2/13/2025', '2/13/2026', 12659, 'US', 'Priority Mail Express', 4, 20, 'L', 60.77, 'Wedgewood_USPS_2025', 'NonCubic','3');</v>
      </c>
    </row>
    <row r="1222" spans="1:14" x14ac:dyDescent="0.3">
      <c r="A1222" t="s">
        <v>11</v>
      </c>
      <c r="B1222" s="1" t="s">
        <v>43</v>
      </c>
      <c r="C1222" s="1" t="s">
        <v>44</v>
      </c>
      <c r="D1222">
        <v>12659</v>
      </c>
      <c r="E1222" t="s">
        <v>12</v>
      </c>
      <c r="F1222" t="s">
        <v>42</v>
      </c>
      <c r="G1222">
        <v>5</v>
      </c>
      <c r="H1222">
        <v>0.5</v>
      </c>
      <c r="I1222" t="s">
        <v>45</v>
      </c>
      <c r="J1222" cm="1">
        <f t="array" ref="J1222">IFERROR(
    _xlfn.XLOOKUP(G1222, 'Wedgewood Pharm-PME-Yr2-2025'!$E$62:$L$62,
        _xlfn.XLOOKUP('Rate Load'!H1222, 'Wedgewood Pharm-PME-Yr2-2025'!$D$63:$D$86,
            'Wedgewood Pharm-PME-Yr2-2025'!$E$63:$L$86, 0, 0),
        0, 0),
    _xlfn.XLOOKUP(G1222, 'Wedgewood Pharm-PME-Yr2-2025'!$E$62:$L$62,
        _xlfn.XLOOKUP('Rate Load'!L1222, 'Wedgewood Pharm-PME-Yr2-2025'!$D$63:$D$86,
            'Wedgewood Pharm-PME-Yr2-2025'!$E$63:$L$86, 0, 0),
        0, 0)
)</f>
        <v>14.28</v>
      </c>
      <c r="K1222" t="s">
        <v>46</v>
      </c>
      <c r="L1222" t="s">
        <v>13</v>
      </c>
      <c r="M1222">
        <v>3</v>
      </c>
      <c r="N1222" t="str">
        <f t="shared" si="19"/>
        <v>INSERT INTO TNL_RATING.dbo.usps_rate_master VALUES ('USPS', '2/13/2025', '2/13/2026', 12659, 'US', 'Priority Mail Express', 5, 0.5, 'L', 14.28, 'Wedgewood_USPS_2025', 'NonCubic','3');</v>
      </c>
    </row>
    <row r="1223" spans="1:14" x14ac:dyDescent="0.3">
      <c r="A1223" t="s">
        <v>11</v>
      </c>
      <c r="B1223" s="1" t="s">
        <v>43</v>
      </c>
      <c r="C1223" s="1" t="s">
        <v>44</v>
      </c>
      <c r="D1223">
        <v>12659</v>
      </c>
      <c r="E1223" t="s">
        <v>12</v>
      </c>
      <c r="F1223" t="s">
        <v>42</v>
      </c>
      <c r="G1223">
        <v>5</v>
      </c>
      <c r="H1223">
        <v>1</v>
      </c>
      <c r="I1223" t="s">
        <v>45</v>
      </c>
      <c r="J1223" cm="1">
        <f t="array" ref="J1223">IFERROR(
    _xlfn.XLOOKUP(G1223, 'Wedgewood Pharm-PME-Yr2-2025'!$E$62:$L$62,
        _xlfn.XLOOKUP('Rate Load'!H1223, 'Wedgewood Pharm-PME-Yr2-2025'!$D$63:$D$86,
            'Wedgewood Pharm-PME-Yr2-2025'!$E$63:$L$86, 0, 0),
        0, 0),
    _xlfn.XLOOKUP(G1223, 'Wedgewood Pharm-PME-Yr2-2025'!$E$62:$L$62,
        _xlfn.XLOOKUP('Rate Load'!L1223, 'Wedgewood Pharm-PME-Yr2-2025'!$D$63:$D$86,
            'Wedgewood Pharm-PME-Yr2-2025'!$E$63:$L$86, 0, 0),
        0, 0)
)</f>
        <v>15.78</v>
      </c>
      <c r="K1223" t="s">
        <v>46</v>
      </c>
      <c r="L1223" t="s">
        <v>13</v>
      </c>
      <c r="M1223">
        <v>3</v>
      </c>
      <c r="N1223" t="str">
        <f t="shared" si="19"/>
        <v>INSERT INTO TNL_RATING.dbo.usps_rate_master VALUES ('USPS', '2/13/2025', '2/13/2026', 12659, 'US', 'Priority Mail Express', 5, 1, 'L', 15.78, 'Wedgewood_USPS_2025', 'NonCubic','3');</v>
      </c>
    </row>
    <row r="1224" spans="1:14" x14ac:dyDescent="0.3">
      <c r="A1224" t="s">
        <v>11</v>
      </c>
      <c r="B1224" s="1" t="s">
        <v>43</v>
      </c>
      <c r="C1224" s="1" t="s">
        <v>44</v>
      </c>
      <c r="D1224">
        <v>12659</v>
      </c>
      <c r="E1224" t="s">
        <v>12</v>
      </c>
      <c r="F1224" t="s">
        <v>42</v>
      </c>
      <c r="G1224">
        <v>5</v>
      </c>
      <c r="H1224">
        <v>2</v>
      </c>
      <c r="I1224" t="s">
        <v>45</v>
      </c>
      <c r="J1224" cm="1">
        <f t="array" ref="J1224">IFERROR(
    _xlfn.XLOOKUP(G1224, 'Wedgewood Pharm-PME-Yr2-2025'!$E$62:$L$62,
        _xlfn.XLOOKUP('Rate Load'!H1224, 'Wedgewood Pharm-PME-Yr2-2025'!$D$63:$D$86,
            'Wedgewood Pharm-PME-Yr2-2025'!$E$63:$L$86, 0, 0),
        0, 0),
    _xlfn.XLOOKUP(G1224, 'Wedgewood Pharm-PME-Yr2-2025'!$E$62:$L$62,
        _xlfn.XLOOKUP('Rate Load'!L1224, 'Wedgewood Pharm-PME-Yr2-2025'!$D$63:$D$86,
            'Wedgewood Pharm-PME-Yr2-2025'!$E$63:$L$86, 0, 0),
        0, 0)
)</f>
        <v>18.05</v>
      </c>
      <c r="K1224" t="s">
        <v>46</v>
      </c>
      <c r="L1224" t="s">
        <v>13</v>
      </c>
      <c r="M1224">
        <v>3</v>
      </c>
      <c r="N1224" t="str">
        <f t="shared" si="19"/>
        <v>INSERT INTO TNL_RATING.dbo.usps_rate_master VALUES ('USPS', '2/13/2025', '2/13/2026', 12659, 'US', 'Priority Mail Express', 5, 2, 'L', 18.05, 'Wedgewood_USPS_2025', 'NonCubic','3');</v>
      </c>
    </row>
    <row r="1225" spans="1:14" x14ac:dyDescent="0.3">
      <c r="A1225" t="s">
        <v>11</v>
      </c>
      <c r="B1225" s="1" t="s">
        <v>43</v>
      </c>
      <c r="C1225" s="1" t="s">
        <v>44</v>
      </c>
      <c r="D1225">
        <v>12659</v>
      </c>
      <c r="E1225" t="s">
        <v>12</v>
      </c>
      <c r="F1225" t="s">
        <v>42</v>
      </c>
      <c r="G1225">
        <v>5</v>
      </c>
      <c r="H1225">
        <v>3</v>
      </c>
      <c r="I1225" t="s">
        <v>45</v>
      </c>
      <c r="J1225" cm="1">
        <f t="array" ref="J1225">IFERROR(
    _xlfn.XLOOKUP(G1225, 'Wedgewood Pharm-PME-Yr2-2025'!$E$62:$L$62,
        _xlfn.XLOOKUP('Rate Load'!H1225, 'Wedgewood Pharm-PME-Yr2-2025'!$D$63:$D$86,
            'Wedgewood Pharm-PME-Yr2-2025'!$E$63:$L$86, 0, 0),
        0, 0),
    _xlfn.XLOOKUP(G1225, 'Wedgewood Pharm-PME-Yr2-2025'!$E$62:$L$62,
        _xlfn.XLOOKUP('Rate Load'!L1225, 'Wedgewood Pharm-PME-Yr2-2025'!$D$63:$D$86,
            'Wedgewood Pharm-PME-Yr2-2025'!$E$63:$L$86, 0, 0),
        0, 0)
)</f>
        <v>20.71</v>
      </c>
      <c r="K1225" t="s">
        <v>46</v>
      </c>
      <c r="L1225" t="s">
        <v>13</v>
      </c>
      <c r="M1225">
        <v>3</v>
      </c>
      <c r="N1225" t="str">
        <f t="shared" si="19"/>
        <v>INSERT INTO TNL_RATING.dbo.usps_rate_master VALUES ('USPS', '2/13/2025', '2/13/2026', 12659, 'US', 'Priority Mail Express', 5, 3, 'L', 20.71, 'Wedgewood_USPS_2025', 'NonCubic','3');</v>
      </c>
    </row>
    <row r="1226" spans="1:14" x14ac:dyDescent="0.3">
      <c r="A1226" t="s">
        <v>11</v>
      </c>
      <c r="B1226" s="1" t="s">
        <v>43</v>
      </c>
      <c r="C1226" s="1" t="s">
        <v>44</v>
      </c>
      <c r="D1226">
        <v>12659</v>
      </c>
      <c r="E1226" t="s">
        <v>12</v>
      </c>
      <c r="F1226" t="s">
        <v>42</v>
      </c>
      <c r="G1226">
        <v>5</v>
      </c>
      <c r="H1226">
        <v>4</v>
      </c>
      <c r="I1226" t="s">
        <v>45</v>
      </c>
      <c r="J1226" cm="1">
        <f t="array" ref="J1226">IFERROR(
    _xlfn.XLOOKUP(G1226, 'Wedgewood Pharm-PME-Yr2-2025'!$E$62:$L$62,
        _xlfn.XLOOKUP('Rate Load'!H1226, 'Wedgewood Pharm-PME-Yr2-2025'!$D$63:$D$86,
            'Wedgewood Pharm-PME-Yr2-2025'!$E$63:$L$86, 0, 0),
        0, 0),
    _xlfn.XLOOKUP(G1226, 'Wedgewood Pharm-PME-Yr2-2025'!$E$62:$L$62,
        _xlfn.XLOOKUP('Rate Load'!L1226, 'Wedgewood Pharm-PME-Yr2-2025'!$D$63:$D$86,
            'Wedgewood Pharm-PME-Yr2-2025'!$E$63:$L$86, 0, 0),
        0, 0)
)</f>
        <v>23.35</v>
      </c>
      <c r="K1226" t="s">
        <v>46</v>
      </c>
      <c r="L1226" t="s">
        <v>13</v>
      </c>
      <c r="M1226">
        <v>3</v>
      </c>
      <c r="N1226" t="str">
        <f t="shared" si="19"/>
        <v>INSERT INTO TNL_RATING.dbo.usps_rate_master VALUES ('USPS', '2/13/2025', '2/13/2026', 12659, 'US', 'Priority Mail Express', 5, 4, 'L', 23.35, 'Wedgewood_USPS_2025', 'NonCubic','3');</v>
      </c>
    </row>
    <row r="1227" spans="1:14" x14ac:dyDescent="0.3">
      <c r="A1227" t="s">
        <v>11</v>
      </c>
      <c r="B1227" s="1" t="s">
        <v>43</v>
      </c>
      <c r="C1227" s="1" t="s">
        <v>44</v>
      </c>
      <c r="D1227">
        <v>12659</v>
      </c>
      <c r="E1227" t="s">
        <v>12</v>
      </c>
      <c r="F1227" t="s">
        <v>42</v>
      </c>
      <c r="G1227">
        <v>5</v>
      </c>
      <c r="H1227">
        <v>5</v>
      </c>
      <c r="I1227" t="s">
        <v>45</v>
      </c>
      <c r="J1227" cm="1">
        <f t="array" ref="J1227">IFERROR(
    _xlfn.XLOOKUP(G1227, 'Wedgewood Pharm-PME-Yr2-2025'!$E$62:$L$62,
        _xlfn.XLOOKUP('Rate Load'!H1227, 'Wedgewood Pharm-PME-Yr2-2025'!$D$63:$D$86,
            'Wedgewood Pharm-PME-Yr2-2025'!$E$63:$L$86, 0, 0),
        0, 0),
    _xlfn.XLOOKUP(G1227, 'Wedgewood Pharm-PME-Yr2-2025'!$E$62:$L$62,
        _xlfn.XLOOKUP('Rate Load'!L1227, 'Wedgewood Pharm-PME-Yr2-2025'!$D$63:$D$86,
            'Wedgewood Pharm-PME-Yr2-2025'!$E$63:$L$86, 0, 0),
        0, 0)
)</f>
        <v>26.01</v>
      </c>
      <c r="K1227" t="s">
        <v>46</v>
      </c>
      <c r="L1227" t="s">
        <v>13</v>
      </c>
      <c r="M1227">
        <v>3</v>
      </c>
      <c r="N1227" t="str">
        <f t="shared" si="19"/>
        <v>INSERT INTO TNL_RATING.dbo.usps_rate_master VALUES ('USPS', '2/13/2025', '2/13/2026', 12659, 'US', 'Priority Mail Express', 5, 5, 'L', 26.01, 'Wedgewood_USPS_2025', 'NonCubic','3');</v>
      </c>
    </row>
    <row r="1228" spans="1:14" x14ac:dyDescent="0.3">
      <c r="A1228" t="s">
        <v>11</v>
      </c>
      <c r="B1228" s="1" t="s">
        <v>43</v>
      </c>
      <c r="C1228" s="1" t="s">
        <v>44</v>
      </c>
      <c r="D1228">
        <v>12659</v>
      </c>
      <c r="E1228" t="s">
        <v>12</v>
      </c>
      <c r="F1228" t="s">
        <v>42</v>
      </c>
      <c r="G1228">
        <v>5</v>
      </c>
      <c r="H1228">
        <v>6</v>
      </c>
      <c r="I1228" t="s">
        <v>45</v>
      </c>
      <c r="J1228" cm="1">
        <f t="array" ref="J1228">IFERROR(
    _xlfn.XLOOKUP(G1228, 'Wedgewood Pharm-PME-Yr2-2025'!$E$62:$L$62,
        _xlfn.XLOOKUP('Rate Load'!H1228, 'Wedgewood Pharm-PME-Yr2-2025'!$D$63:$D$86,
            'Wedgewood Pharm-PME-Yr2-2025'!$E$63:$L$86, 0, 0),
        0, 0),
    _xlfn.XLOOKUP(G1228, 'Wedgewood Pharm-PME-Yr2-2025'!$E$62:$L$62,
        _xlfn.XLOOKUP('Rate Load'!L1228, 'Wedgewood Pharm-PME-Yr2-2025'!$D$63:$D$86,
            'Wedgewood Pharm-PME-Yr2-2025'!$E$63:$L$86, 0, 0),
        0, 0)
)</f>
        <v>28.720000000000002</v>
      </c>
      <c r="K1228" t="s">
        <v>46</v>
      </c>
      <c r="L1228" t="s">
        <v>13</v>
      </c>
      <c r="M1228">
        <v>3</v>
      </c>
      <c r="N1228" t="str">
        <f t="shared" si="19"/>
        <v>INSERT INTO TNL_RATING.dbo.usps_rate_master VALUES ('USPS', '2/13/2025', '2/13/2026', 12659, 'US', 'Priority Mail Express', 5, 6, 'L', 28.72, 'Wedgewood_USPS_2025', 'NonCubic','3');</v>
      </c>
    </row>
    <row r="1229" spans="1:14" x14ac:dyDescent="0.3">
      <c r="A1229" t="s">
        <v>11</v>
      </c>
      <c r="B1229" s="1" t="s">
        <v>43</v>
      </c>
      <c r="C1229" s="1" t="s">
        <v>44</v>
      </c>
      <c r="D1229">
        <v>12659</v>
      </c>
      <c r="E1229" t="s">
        <v>12</v>
      </c>
      <c r="F1229" t="s">
        <v>42</v>
      </c>
      <c r="G1229">
        <v>5</v>
      </c>
      <c r="H1229">
        <v>7</v>
      </c>
      <c r="I1229" t="s">
        <v>45</v>
      </c>
      <c r="J1229" cm="1">
        <f t="array" ref="J1229">IFERROR(
    _xlfn.XLOOKUP(G1229, 'Wedgewood Pharm-PME-Yr2-2025'!$E$62:$L$62,
        _xlfn.XLOOKUP('Rate Load'!H1229, 'Wedgewood Pharm-PME-Yr2-2025'!$D$63:$D$86,
            'Wedgewood Pharm-PME-Yr2-2025'!$E$63:$L$86, 0, 0),
        0, 0),
    _xlfn.XLOOKUP(G1229, 'Wedgewood Pharm-PME-Yr2-2025'!$E$62:$L$62,
        _xlfn.XLOOKUP('Rate Load'!L1229, 'Wedgewood Pharm-PME-Yr2-2025'!$D$63:$D$86,
            'Wedgewood Pharm-PME-Yr2-2025'!$E$63:$L$86, 0, 0),
        0, 0)
)</f>
        <v>31.41</v>
      </c>
      <c r="K1229" t="s">
        <v>46</v>
      </c>
      <c r="L1229" t="s">
        <v>13</v>
      </c>
      <c r="M1229">
        <v>3</v>
      </c>
      <c r="N1229" t="str">
        <f t="shared" si="19"/>
        <v>INSERT INTO TNL_RATING.dbo.usps_rate_master VALUES ('USPS', '2/13/2025', '2/13/2026', 12659, 'US', 'Priority Mail Express', 5, 7, 'L', 31.41, 'Wedgewood_USPS_2025', 'NonCubic','3');</v>
      </c>
    </row>
    <row r="1230" spans="1:14" x14ac:dyDescent="0.3">
      <c r="A1230" t="s">
        <v>11</v>
      </c>
      <c r="B1230" s="1" t="s">
        <v>43</v>
      </c>
      <c r="C1230" s="1" t="s">
        <v>44</v>
      </c>
      <c r="D1230">
        <v>12659</v>
      </c>
      <c r="E1230" t="s">
        <v>12</v>
      </c>
      <c r="F1230" t="s">
        <v>42</v>
      </c>
      <c r="G1230">
        <v>5</v>
      </c>
      <c r="H1230">
        <v>8</v>
      </c>
      <c r="I1230" t="s">
        <v>45</v>
      </c>
      <c r="J1230" cm="1">
        <f t="array" ref="J1230">IFERROR(
    _xlfn.XLOOKUP(G1230, 'Wedgewood Pharm-PME-Yr2-2025'!$E$62:$L$62,
        _xlfn.XLOOKUP('Rate Load'!H1230, 'Wedgewood Pharm-PME-Yr2-2025'!$D$63:$D$86,
            'Wedgewood Pharm-PME-Yr2-2025'!$E$63:$L$86, 0, 0),
        0, 0),
    _xlfn.XLOOKUP(G1230, 'Wedgewood Pharm-PME-Yr2-2025'!$E$62:$L$62,
        _xlfn.XLOOKUP('Rate Load'!L1230, 'Wedgewood Pharm-PME-Yr2-2025'!$D$63:$D$86,
            'Wedgewood Pharm-PME-Yr2-2025'!$E$63:$L$86, 0, 0),
        0, 0)
)</f>
        <v>34.11</v>
      </c>
      <c r="K1230" t="s">
        <v>46</v>
      </c>
      <c r="L1230" t="s">
        <v>13</v>
      </c>
      <c r="M1230">
        <v>3</v>
      </c>
      <c r="N1230" t="str">
        <f t="shared" si="19"/>
        <v>INSERT INTO TNL_RATING.dbo.usps_rate_master VALUES ('USPS', '2/13/2025', '2/13/2026', 12659, 'US', 'Priority Mail Express', 5, 8, 'L', 34.11, 'Wedgewood_USPS_2025', 'NonCubic','3');</v>
      </c>
    </row>
    <row r="1231" spans="1:14" x14ac:dyDescent="0.3">
      <c r="A1231" t="s">
        <v>11</v>
      </c>
      <c r="B1231" s="1" t="s">
        <v>43</v>
      </c>
      <c r="C1231" s="1" t="s">
        <v>44</v>
      </c>
      <c r="D1231">
        <v>12659</v>
      </c>
      <c r="E1231" t="s">
        <v>12</v>
      </c>
      <c r="F1231" t="s">
        <v>42</v>
      </c>
      <c r="G1231">
        <v>5</v>
      </c>
      <c r="H1231">
        <v>9</v>
      </c>
      <c r="I1231" t="s">
        <v>45</v>
      </c>
      <c r="J1231" cm="1">
        <f t="array" ref="J1231">IFERROR(
    _xlfn.XLOOKUP(G1231, 'Wedgewood Pharm-PME-Yr2-2025'!$E$62:$L$62,
        _xlfn.XLOOKUP('Rate Load'!H1231, 'Wedgewood Pharm-PME-Yr2-2025'!$D$63:$D$86,
            'Wedgewood Pharm-PME-Yr2-2025'!$E$63:$L$86, 0, 0),
        0, 0),
    _xlfn.XLOOKUP(G1231, 'Wedgewood Pharm-PME-Yr2-2025'!$E$62:$L$62,
        _xlfn.XLOOKUP('Rate Load'!L1231, 'Wedgewood Pharm-PME-Yr2-2025'!$D$63:$D$86,
            'Wedgewood Pharm-PME-Yr2-2025'!$E$63:$L$86, 0, 0),
        0, 0)
)</f>
        <v>36.82</v>
      </c>
      <c r="K1231" t="s">
        <v>46</v>
      </c>
      <c r="L1231" t="s">
        <v>13</v>
      </c>
      <c r="M1231">
        <v>3</v>
      </c>
      <c r="N1231" t="str">
        <f t="shared" si="19"/>
        <v>INSERT INTO TNL_RATING.dbo.usps_rate_master VALUES ('USPS', '2/13/2025', '2/13/2026', 12659, 'US', 'Priority Mail Express', 5, 9, 'L', 36.82, 'Wedgewood_USPS_2025', 'NonCubic','3');</v>
      </c>
    </row>
    <row r="1232" spans="1:14" x14ac:dyDescent="0.3">
      <c r="A1232" t="s">
        <v>11</v>
      </c>
      <c r="B1232" s="1" t="s">
        <v>43</v>
      </c>
      <c r="C1232" s="1" t="s">
        <v>44</v>
      </c>
      <c r="D1232">
        <v>12659</v>
      </c>
      <c r="E1232" t="s">
        <v>12</v>
      </c>
      <c r="F1232" t="s">
        <v>42</v>
      </c>
      <c r="G1232">
        <v>5</v>
      </c>
      <c r="H1232">
        <v>10</v>
      </c>
      <c r="I1232" t="s">
        <v>45</v>
      </c>
      <c r="J1232" cm="1">
        <f t="array" ref="J1232">IFERROR(
    _xlfn.XLOOKUP(G1232, 'Wedgewood Pharm-PME-Yr2-2025'!$E$62:$L$62,
        _xlfn.XLOOKUP('Rate Load'!H1232, 'Wedgewood Pharm-PME-Yr2-2025'!$D$63:$D$86,
            'Wedgewood Pharm-PME-Yr2-2025'!$E$63:$L$86, 0, 0),
        0, 0),
    _xlfn.XLOOKUP(G1232, 'Wedgewood Pharm-PME-Yr2-2025'!$E$62:$L$62,
        _xlfn.XLOOKUP('Rate Load'!L1232, 'Wedgewood Pharm-PME-Yr2-2025'!$D$63:$D$86,
            'Wedgewood Pharm-PME-Yr2-2025'!$E$63:$L$86, 0, 0),
        0, 0)
)</f>
        <v>39.519999999999996</v>
      </c>
      <c r="K1232" t="s">
        <v>46</v>
      </c>
      <c r="L1232" t="s">
        <v>13</v>
      </c>
      <c r="M1232">
        <v>3</v>
      </c>
      <c r="N1232" t="str">
        <f t="shared" si="19"/>
        <v>INSERT INTO TNL_RATING.dbo.usps_rate_master VALUES ('USPS', '2/13/2025', '2/13/2026', 12659, 'US', 'Priority Mail Express', 5, 10, 'L', 39.52, 'Wedgewood_USPS_2025', 'NonCubic','3');</v>
      </c>
    </row>
    <row r="1233" spans="1:14" x14ac:dyDescent="0.3">
      <c r="A1233" t="s">
        <v>11</v>
      </c>
      <c r="B1233" s="1" t="s">
        <v>43</v>
      </c>
      <c r="C1233" s="1" t="s">
        <v>44</v>
      </c>
      <c r="D1233">
        <v>12659</v>
      </c>
      <c r="E1233" t="s">
        <v>12</v>
      </c>
      <c r="F1233" t="s">
        <v>42</v>
      </c>
      <c r="G1233">
        <v>5</v>
      </c>
      <c r="H1233">
        <v>11</v>
      </c>
      <c r="I1233" t="s">
        <v>45</v>
      </c>
      <c r="J1233" cm="1">
        <f t="array" ref="J1233">IFERROR(
    _xlfn.XLOOKUP(G1233, 'Wedgewood Pharm-PME-Yr2-2025'!$E$62:$L$62,
        _xlfn.XLOOKUP('Rate Load'!H1233, 'Wedgewood Pharm-PME-Yr2-2025'!$D$63:$D$86,
            'Wedgewood Pharm-PME-Yr2-2025'!$E$63:$L$86, 0, 0),
        0, 0),
    _xlfn.XLOOKUP(G1233, 'Wedgewood Pharm-PME-Yr2-2025'!$E$62:$L$62,
        _xlfn.XLOOKUP('Rate Load'!L1233, 'Wedgewood Pharm-PME-Yr2-2025'!$D$63:$D$86,
            'Wedgewood Pharm-PME-Yr2-2025'!$E$63:$L$86, 0, 0),
        0, 0)
)</f>
        <v>41.97</v>
      </c>
      <c r="K1233" t="s">
        <v>46</v>
      </c>
      <c r="L1233" t="s">
        <v>13</v>
      </c>
      <c r="M1233">
        <v>3</v>
      </c>
      <c r="N1233" t="str">
        <f t="shared" si="19"/>
        <v>INSERT INTO TNL_RATING.dbo.usps_rate_master VALUES ('USPS', '2/13/2025', '2/13/2026', 12659, 'US', 'Priority Mail Express', 5, 11, 'L', 41.97, 'Wedgewood_USPS_2025', 'NonCubic','3');</v>
      </c>
    </row>
    <row r="1234" spans="1:14" x14ac:dyDescent="0.3">
      <c r="A1234" t="s">
        <v>11</v>
      </c>
      <c r="B1234" s="1" t="s">
        <v>43</v>
      </c>
      <c r="C1234" s="1" t="s">
        <v>44</v>
      </c>
      <c r="D1234">
        <v>12659</v>
      </c>
      <c r="E1234" t="s">
        <v>12</v>
      </c>
      <c r="F1234" t="s">
        <v>42</v>
      </c>
      <c r="G1234">
        <v>5</v>
      </c>
      <c r="H1234">
        <v>12</v>
      </c>
      <c r="I1234" t="s">
        <v>45</v>
      </c>
      <c r="J1234" cm="1">
        <f t="array" ref="J1234">IFERROR(
    _xlfn.XLOOKUP(G1234, 'Wedgewood Pharm-PME-Yr2-2025'!$E$62:$L$62,
        _xlfn.XLOOKUP('Rate Load'!H1234, 'Wedgewood Pharm-PME-Yr2-2025'!$D$63:$D$86,
            'Wedgewood Pharm-PME-Yr2-2025'!$E$63:$L$86, 0, 0),
        0, 0),
    _xlfn.XLOOKUP(G1234, 'Wedgewood Pharm-PME-Yr2-2025'!$E$62:$L$62,
        _xlfn.XLOOKUP('Rate Load'!L1234, 'Wedgewood Pharm-PME-Yr2-2025'!$D$63:$D$86,
            'Wedgewood Pharm-PME-Yr2-2025'!$E$63:$L$86, 0, 0),
        0, 0)
)</f>
        <v>44.4</v>
      </c>
      <c r="K1234" t="s">
        <v>46</v>
      </c>
      <c r="L1234" t="s">
        <v>13</v>
      </c>
      <c r="M1234">
        <v>3</v>
      </c>
      <c r="N1234" t="str">
        <f t="shared" si="19"/>
        <v>INSERT INTO TNL_RATING.dbo.usps_rate_master VALUES ('USPS', '2/13/2025', '2/13/2026', 12659, 'US', 'Priority Mail Express', 5, 12, 'L', 44.4, 'Wedgewood_USPS_2025', 'NonCubic','3');</v>
      </c>
    </row>
    <row r="1235" spans="1:14" x14ac:dyDescent="0.3">
      <c r="A1235" t="s">
        <v>11</v>
      </c>
      <c r="B1235" s="1" t="s">
        <v>43</v>
      </c>
      <c r="C1235" s="1" t="s">
        <v>44</v>
      </c>
      <c r="D1235">
        <v>12659</v>
      </c>
      <c r="E1235" t="s">
        <v>12</v>
      </c>
      <c r="F1235" t="s">
        <v>42</v>
      </c>
      <c r="G1235">
        <v>5</v>
      </c>
      <c r="H1235">
        <v>13</v>
      </c>
      <c r="I1235" t="s">
        <v>45</v>
      </c>
      <c r="J1235" cm="1">
        <f t="array" ref="J1235">IFERROR(
    _xlfn.XLOOKUP(G1235, 'Wedgewood Pharm-PME-Yr2-2025'!$E$62:$L$62,
        _xlfn.XLOOKUP('Rate Load'!H1235, 'Wedgewood Pharm-PME-Yr2-2025'!$D$63:$D$86,
            'Wedgewood Pharm-PME-Yr2-2025'!$E$63:$L$86, 0, 0),
        0, 0),
    _xlfn.XLOOKUP(G1235, 'Wedgewood Pharm-PME-Yr2-2025'!$E$62:$L$62,
        _xlfn.XLOOKUP('Rate Load'!L1235, 'Wedgewood Pharm-PME-Yr2-2025'!$D$63:$D$86,
            'Wedgewood Pharm-PME-Yr2-2025'!$E$63:$L$86, 0, 0),
        0, 0)
)</f>
        <v>46.83</v>
      </c>
      <c r="K1235" t="s">
        <v>46</v>
      </c>
      <c r="L1235" t="s">
        <v>13</v>
      </c>
      <c r="M1235">
        <v>3</v>
      </c>
      <c r="N1235" t="str">
        <f t="shared" si="19"/>
        <v>INSERT INTO TNL_RATING.dbo.usps_rate_master VALUES ('USPS', '2/13/2025', '2/13/2026', 12659, 'US', 'Priority Mail Express', 5, 13, 'L', 46.83, 'Wedgewood_USPS_2025', 'NonCubic','3');</v>
      </c>
    </row>
    <row r="1236" spans="1:14" x14ac:dyDescent="0.3">
      <c r="A1236" t="s">
        <v>11</v>
      </c>
      <c r="B1236" s="1" t="s">
        <v>43</v>
      </c>
      <c r="C1236" s="1" t="s">
        <v>44</v>
      </c>
      <c r="D1236">
        <v>12659</v>
      </c>
      <c r="E1236" t="s">
        <v>12</v>
      </c>
      <c r="F1236" t="s">
        <v>42</v>
      </c>
      <c r="G1236">
        <v>5</v>
      </c>
      <c r="H1236">
        <v>14</v>
      </c>
      <c r="I1236" t="s">
        <v>45</v>
      </c>
      <c r="J1236" cm="1">
        <f t="array" ref="J1236">IFERROR(
    _xlfn.XLOOKUP(G1236, 'Wedgewood Pharm-PME-Yr2-2025'!$E$62:$L$62,
        _xlfn.XLOOKUP('Rate Load'!H1236, 'Wedgewood Pharm-PME-Yr2-2025'!$D$63:$D$86,
            'Wedgewood Pharm-PME-Yr2-2025'!$E$63:$L$86, 0, 0),
        0, 0),
    _xlfn.XLOOKUP(G1236, 'Wedgewood Pharm-PME-Yr2-2025'!$E$62:$L$62,
        _xlfn.XLOOKUP('Rate Load'!L1236, 'Wedgewood Pharm-PME-Yr2-2025'!$D$63:$D$86,
            'Wedgewood Pharm-PME-Yr2-2025'!$E$63:$L$86, 0, 0),
        0, 0)
)</f>
        <v>49.28</v>
      </c>
      <c r="K1236" t="s">
        <v>46</v>
      </c>
      <c r="L1236" t="s">
        <v>13</v>
      </c>
      <c r="M1236">
        <v>3</v>
      </c>
      <c r="N1236" t="str">
        <f t="shared" si="19"/>
        <v>INSERT INTO TNL_RATING.dbo.usps_rate_master VALUES ('USPS', '2/13/2025', '2/13/2026', 12659, 'US', 'Priority Mail Express', 5, 14, 'L', 49.28, 'Wedgewood_USPS_2025', 'NonCubic','3');</v>
      </c>
    </row>
    <row r="1237" spans="1:14" x14ac:dyDescent="0.3">
      <c r="A1237" t="s">
        <v>11</v>
      </c>
      <c r="B1237" s="1" t="s">
        <v>43</v>
      </c>
      <c r="C1237" s="1" t="s">
        <v>44</v>
      </c>
      <c r="D1237">
        <v>12659</v>
      </c>
      <c r="E1237" t="s">
        <v>12</v>
      </c>
      <c r="F1237" t="s">
        <v>42</v>
      </c>
      <c r="G1237">
        <v>5</v>
      </c>
      <c r="H1237">
        <v>15</v>
      </c>
      <c r="I1237" t="s">
        <v>45</v>
      </c>
      <c r="J1237" cm="1">
        <f t="array" ref="J1237">IFERROR(
    _xlfn.XLOOKUP(G1237, 'Wedgewood Pharm-PME-Yr2-2025'!$E$62:$L$62,
        _xlfn.XLOOKUP('Rate Load'!H1237, 'Wedgewood Pharm-PME-Yr2-2025'!$D$63:$D$86,
            'Wedgewood Pharm-PME-Yr2-2025'!$E$63:$L$86, 0, 0),
        0, 0),
    _xlfn.XLOOKUP(G1237, 'Wedgewood Pharm-PME-Yr2-2025'!$E$62:$L$62,
        _xlfn.XLOOKUP('Rate Load'!L1237, 'Wedgewood Pharm-PME-Yr2-2025'!$D$63:$D$86,
            'Wedgewood Pharm-PME-Yr2-2025'!$E$63:$L$86, 0, 0),
        0, 0)
)</f>
        <v>51.72</v>
      </c>
      <c r="K1237" t="s">
        <v>46</v>
      </c>
      <c r="L1237" t="s">
        <v>13</v>
      </c>
      <c r="M1237">
        <v>3</v>
      </c>
      <c r="N1237" t="str">
        <f t="shared" si="19"/>
        <v>INSERT INTO TNL_RATING.dbo.usps_rate_master VALUES ('USPS', '2/13/2025', '2/13/2026', 12659, 'US', 'Priority Mail Express', 5, 15, 'L', 51.72, 'Wedgewood_USPS_2025', 'NonCubic','3');</v>
      </c>
    </row>
    <row r="1238" spans="1:14" x14ac:dyDescent="0.3">
      <c r="A1238" t="s">
        <v>11</v>
      </c>
      <c r="B1238" s="1" t="s">
        <v>43</v>
      </c>
      <c r="C1238" s="1" t="s">
        <v>44</v>
      </c>
      <c r="D1238">
        <v>12659</v>
      </c>
      <c r="E1238" t="s">
        <v>12</v>
      </c>
      <c r="F1238" t="s">
        <v>42</v>
      </c>
      <c r="G1238">
        <v>5</v>
      </c>
      <c r="H1238">
        <v>16</v>
      </c>
      <c r="I1238" t="s">
        <v>45</v>
      </c>
      <c r="J1238" cm="1">
        <f t="array" ref="J1238">IFERROR(
    _xlfn.XLOOKUP(G1238, 'Wedgewood Pharm-PME-Yr2-2025'!$E$62:$L$62,
        _xlfn.XLOOKUP('Rate Load'!H1238, 'Wedgewood Pharm-PME-Yr2-2025'!$D$63:$D$86,
            'Wedgewood Pharm-PME-Yr2-2025'!$E$63:$L$86, 0, 0),
        0, 0),
    _xlfn.XLOOKUP(G1238, 'Wedgewood Pharm-PME-Yr2-2025'!$E$62:$L$62,
        _xlfn.XLOOKUP('Rate Load'!L1238, 'Wedgewood Pharm-PME-Yr2-2025'!$D$63:$D$86,
            'Wedgewood Pharm-PME-Yr2-2025'!$E$63:$L$86, 0, 0),
        0, 0)
)</f>
        <v>54.15</v>
      </c>
      <c r="K1238" t="s">
        <v>46</v>
      </c>
      <c r="L1238" t="s">
        <v>13</v>
      </c>
      <c r="M1238">
        <v>3</v>
      </c>
      <c r="N1238" t="str">
        <f t="shared" si="19"/>
        <v>INSERT INTO TNL_RATING.dbo.usps_rate_master VALUES ('USPS', '2/13/2025', '2/13/2026', 12659, 'US', 'Priority Mail Express', 5, 16, 'L', 54.15, 'Wedgewood_USPS_2025', 'NonCubic','3');</v>
      </c>
    </row>
    <row r="1239" spans="1:14" x14ac:dyDescent="0.3">
      <c r="A1239" t="s">
        <v>11</v>
      </c>
      <c r="B1239" s="1" t="s">
        <v>43</v>
      </c>
      <c r="C1239" s="1" t="s">
        <v>44</v>
      </c>
      <c r="D1239">
        <v>12659</v>
      </c>
      <c r="E1239" t="s">
        <v>12</v>
      </c>
      <c r="F1239" t="s">
        <v>42</v>
      </c>
      <c r="G1239">
        <v>5</v>
      </c>
      <c r="H1239">
        <v>17</v>
      </c>
      <c r="I1239" t="s">
        <v>45</v>
      </c>
      <c r="J1239" cm="1">
        <f t="array" ref="J1239">IFERROR(
    _xlfn.XLOOKUP(G1239, 'Wedgewood Pharm-PME-Yr2-2025'!$E$62:$L$62,
        _xlfn.XLOOKUP('Rate Load'!H1239, 'Wedgewood Pharm-PME-Yr2-2025'!$D$63:$D$86,
            'Wedgewood Pharm-PME-Yr2-2025'!$E$63:$L$86, 0, 0),
        0, 0),
    _xlfn.XLOOKUP(G1239, 'Wedgewood Pharm-PME-Yr2-2025'!$E$62:$L$62,
        _xlfn.XLOOKUP('Rate Load'!L1239, 'Wedgewood Pharm-PME-Yr2-2025'!$D$63:$D$86,
            'Wedgewood Pharm-PME-Yr2-2025'!$E$63:$L$86, 0, 0),
        0, 0)
)</f>
        <v>56.589999999999996</v>
      </c>
      <c r="K1239" t="s">
        <v>46</v>
      </c>
      <c r="L1239" t="s">
        <v>13</v>
      </c>
      <c r="M1239">
        <v>3</v>
      </c>
      <c r="N1239" t="str">
        <f t="shared" si="19"/>
        <v>INSERT INTO TNL_RATING.dbo.usps_rate_master VALUES ('USPS', '2/13/2025', '2/13/2026', 12659, 'US', 'Priority Mail Express', 5, 17, 'L', 56.59, 'Wedgewood_USPS_2025', 'NonCubic','3');</v>
      </c>
    </row>
    <row r="1240" spans="1:14" x14ac:dyDescent="0.3">
      <c r="A1240" t="s">
        <v>11</v>
      </c>
      <c r="B1240" s="1" t="s">
        <v>43</v>
      </c>
      <c r="C1240" s="1" t="s">
        <v>44</v>
      </c>
      <c r="D1240">
        <v>12659</v>
      </c>
      <c r="E1240" t="s">
        <v>12</v>
      </c>
      <c r="F1240" t="s">
        <v>42</v>
      </c>
      <c r="G1240">
        <v>5</v>
      </c>
      <c r="H1240">
        <v>18</v>
      </c>
      <c r="I1240" t="s">
        <v>45</v>
      </c>
      <c r="J1240" cm="1">
        <f t="array" ref="J1240">IFERROR(
    _xlfn.XLOOKUP(G1240, 'Wedgewood Pharm-PME-Yr2-2025'!$E$62:$L$62,
        _xlfn.XLOOKUP('Rate Load'!H1240, 'Wedgewood Pharm-PME-Yr2-2025'!$D$63:$D$86,
            'Wedgewood Pharm-PME-Yr2-2025'!$E$63:$L$86, 0, 0),
        0, 0),
    _xlfn.XLOOKUP(G1240, 'Wedgewood Pharm-PME-Yr2-2025'!$E$62:$L$62,
        _xlfn.XLOOKUP('Rate Load'!L1240, 'Wedgewood Pharm-PME-Yr2-2025'!$D$63:$D$86,
            'Wedgewood Pharm-PME-Yr2-2025'!$E$63:$L$86, 0, 0),
        0, 0)
)</f>
        <v>59.03</v>
      </c>
      <c r="K1240" t="s">
        <v>46</v>
      </c>
      <c r="L1240" t="s">
        <v>13</v>
      </c>
      <c r="M1240">
        <v>3</v>
      </c>
      <c r="N1240" t="str">
        <f t="shared" si="19"/>
        <v>INSERT INTO TNL_RATING.dbo.usps_rate_master VALUES ('USPS', '2/13/2025', '2/13/2026', 12659, 'US', 'Priority Mail Express', 5, 18, 'L', 59.03, 'Wedgewood_USPS_2025', 'NonCubic','3');</v>
      </c>
    </row>
    <row r="1241" spans="1:14" x14ac:dyDescent="0.3">
      <c r="A1241" t="s">
        <v>11</v>
      </c>
      <c r="B1241" s="1" t="s">
        <v>43</v>
      </c>
      <c r="C1241" s="1" t="s">
        <v>44</v>
      </c>
      <c r="D1241">
        <v>12659</v>
      </c>
      <c r="E1241" t="s">
        <v>12</v>
      </c>
      <c r="F1241" t="s">
        <v>42</v>
      </c>
      <c r="G1241">
        <v>5</v>
      </c>
      <c r="H1241">
        <v>19</v>
      </c>
      <c r="I1241" t="s">
        <v>45</v>
      </c>
      <c r="J1241" cm="1">
        <f t="array" ref="J1241">IFERROR(
    _xlfn.XLOOKUP(G1241, 'Wedgewood Pharm-PME-Yr2-2025'!$E$62:$L$62,
        _xlfn.XLOOKUP('Rate Load'!H1241, 'Wedgewood Pharm-PME-Yr2-2025'!$D$63:$D$86,
            'Wedgewood Pharm-PME-Yr2-2025'!$E$63:$L$86, 0, 0),
        0, 0),
    _xlfn.XLOOKUP(G1241, 'Wedgewood Pharm-PME-Yr2-2025'!$E$62:$L$62,
        _xlfn.XLOOKUP('Rate Load'!L1241, 'Wedgewood Pharm-PME-Yr2-2025'!$D$63:$D$86,
            'Wedgewood Pharm-PME-Yr2-2025'!$E$63:$L$86, 0, 0),
        0, 0)
)</f>
        <v>61.47</v>
      </c>
      <c r="K1241" t="s">
        <v>46</v>
      </c>
      <c r="L1241" t="s">
        <v>13</v>
      </c>
      <c r="M1241">
        <v>3</v>
      </c>
      <c r="N1241" t="str">
        <f t="shared" si="19"/>
        <v>INSERT INTO TNL_RATING.dbo.usps_rate_master VALUES ('USPS', '2/13/2025', '2/13/2026', 12659, 'US', 'Priority Mail Express', 5, 19, 'L', 61.47, 'Wedgewood_USPS_2025', 'NonCubic','3');</v>
      </c>
    </row>
    <row r="1242" spans="1:14" x14ac:dyDescent="0.3">
      <c r="A1242" t="s">
        <v>11</v>
      </c>
      <c r="B1242" s="1" t="s">
        <v>43</v>
      </c>
      <c r="C1242" s="1" t="s">
        <v>44</v>
      </c>
      <c r="D1242">
        <v>12659</v>
      </c>
      <c r="E1242" t="s">
        <v>12</v>
      </c>
      <c r="F1242" t="s">
        <v>42</v>
      </c>
      <c r="G1242">
        <v>5</v>
      </c>
      <c r="H1242">
        <v>20</v>
      </c>
      <c r="I1242" t="s">
        <v>45</v>
      </c>
      <c r="J1242" cm="1">
        <f t="array" ref="J1242">IFERROR(
    _xlfn.XLOOKUP(G1242, 'Wedgewood Pharm-PME-Yr2-2025'!$E$62:$L$62,
        _xlfn.XLOOKUP('Rate Load'!H1242, 'Wedgewood Pharm-PME-Yr2-2025'!$D$63:$D$86,
            'Wedgewood Pharm-PME-Yr2-2025'!$E$63:$L$86, 0, 0),
        0, 0),
    _xlfn.XLOOKUP(G1242, 'Wedgewood Pharm-PME-Yr2-2025'!$E$62:$L$62,
        _xlfn.XLOOKUP('Rate Load'!L1242, 'Wedgewood Pharm-PME-Yr2-2025'!$D$63:$D$86,
            'Wedgewood Pharm-PME-Yr2-2025'!$E$63:$L$86, 0, 0),
        0, 0)
)</f>
        <v>63.91</v>
      </c>
      <c r="K1242" t="s">
        <v>46</v>
      </c>
      <c r="L1242" t="s">
        <v>13</v>
      </c>
      <c r="M1242">
        <v>3</v>
      </c>
      <c r="N1242" t="str">
        <f t="shared" si="19"/>
        <v>INSERT INTO TNL_RATING.dbo.usps_rate_master VALUES ('USPS', '2/13/2025', '2/13/2026', 12659, 'US', 'Priority Mail Express', 5, 20, 'L', 63.91, 'Wedgewood_USPS_2025', 'NonCubic','3');</v>
      </c>
    </row>
    <row r="1243" spans="1:14" x14ac:dyDescent="0.3">
      <c r="A1243" t="s">
        <v>11</v>
      </c>
      <c r="B1243" s="1" t="s">
        <v>43</v>
      </c>
      <c r="C1243" s="1" t="s">
        <v>44</v>
      </c>
      <c r="D1243">
        <v>12659</v>
      </c>
      <c r="E1243" t="s">
        <v>12</v>
      </c>
      <c r="F1243" t="s">
        <v>42</v>
      </c>
      <c r="G1243">
        <v>6</v>
      </c>
      <c r="H1243">
        <v>0.5</v>
      </c>
      <c r="I1243" t="s">
        <v>45</v>
      </c>
      <c r="J1243" cm="1">
        <f t="array" ref="J1243">IFERROR(
    _xlfn.XLOOKUP(G1243, 'Wedgewood Pharm-PME-Yr2-2025'!$E$62:$L$62,
        _xlfn.XLOOKUP('Rate Load'!H1243, 'Wedgewood Pharm-PME-Yr2-2025'!$D$63:$D$86,
            'Wedgewood Pharm-PME-Yr2-2025'!$E$63:$L$86, 0, 0),
        0, 0),
    _xlfn.XLOOKUP(G1243, 'Wedgewood Pharm-PME-Yr2-2025'!$E$62:$L$62,
        _xlfn.XLOOKUP('Rate Load'!L1243, 'Wedgewood Pharm-PME-Yr2-2025'!$D$63:$D$86,
            'Wedgewood Pharm-PME-Yr2-2025'!$E$63:$L$86, 0, 0),
        0, 0)
)</f>
        <v>14.73</v>
      </c>
      <c r="K1243" t="s">
        <v>46</v>
      </c>
      <c r="L1243" t="s">
        <v>13</v>
      </c>
      <c r="M1243">
        <v>3</v>
      </c>
      <c r="N1243" t="str">
        <f t="shared" si="19"/>
        <v>INSERT INTO TNL_RATING.dbo.usps_rate_master VALUES ('USPS', '2/13/2025', '2/13/2026', 12659, 'US', 'Priority Mail Express', 6, 0.5, 'L', 14.73, 'Wedgewood_USPS_2025', 'NonCubic','3');</v>
      </c>
    </row>
    <row r="1244" spans="1:14" x14ac:dyDescent="0.3">
      <c r="A1244" t="s">
        <v>11</v>
      </c>
      <c r="B1244" s="1" t="s">
        <v>43</v>
      </c>
      <c r="C1244" s="1" t="s">
        <v>44</v>
      </c>
      <c r="D1244">
        <v>12659</v>
      </c>
      <c r="E1244" t="s">
        <v>12</v>
      </c>
      <c r="F1244" t="s">
        <v>42</v>
      </c>
      <c r="G1244">
        <v>6</v>
      </c>
      <c r="H1244">
        <v>1</v>
      </c>
      <c r="I1244" t="s">
        <v>45</v>
      </c>
      <c r="J1244" cm="1">
        <f t="array" ref="J1244">IFERROR(
    _xlfn.XLOOKUP(G1244, 'Wedgewood Pharm-PME-Yr2-2025'!$E$62:$L$62,
        _xlfn.XLOOKUP('Rate Load'!H1244, 'Wedgewood Pharm-PME-Yr2-2025'!$D$63:$D$86,
            'Wedgewood Pharm-PME-Yr2-2025'!$E$63:$L$86, 0, 0),
        0, 0),
    _xlfn.XLOOKUP(G1244, 'Wedgewood Pharm-PME-Yr2-2025'!$E$62:$L$62,
        _xlfn.XLOOKUP('Rate Load'!L1244, 'Wedgewood Pharm-PME-Yr2-2025'!$D$63:$D$86,
            'Wedgewood Pharm-PME-Yr2-2025'!$E$63:$L$86, 0, 0),
        0, 0)
)</f>
        <v>16.37</v>
      </c>
      <c r="K1244" t="s">
        <v>46</v>
      </c>
      <c r="L1244" t="s">
        <v>13</v>
      </c>
      <c r="M1244">
        <v>3</v>
      </c>
      <c r="N1244" t="str">
        <f t="shared" si="19"/>
        <v>INSERT INTO TNL_RATING.dbo.usps_rate_master VALUES ('USPS', '2/13/2025', '2/13/2026', 12659, 'US', 'Priority Mail Express', 6, 1, 'L', 16.37, 'Wedgewood_USPS_2025', 'NonCubic','3');</v>
      </c>
    </row>
    <row r="1245" spans="1:14" x14ac:dyDescent="0.3">
      <c r="A1245" t="s">
        <v>11</v>
      </c>
      <c r="B1245" s="1" t="s">
        <v>43</v>
      </c>
      <c r="C1245" s="1" t="s">
        <v>44</v>
      </c>
      <c r="D1245">
        <v>12659</v>
      </c>
      <c r="E1245" t="s">
        <v>12</v>
      </c>
      <c r="F1245" t="s">
        <v>42</v>
      </c>
      <c r="G1245">
        <v>6</v>
      </c>
      <c r="H1245">
        <v>2</v>
      </c>
      <c r="I1245" t="s">
        <v>45</v>
      </c>
      <c r="J1245" cm="1">
        <f t="array" ref="J1245">IFERROR(
    _xlfn.XLOOKUP(G1245, 'Wedgewood Pharm-PME-Yr2-2025'!$E$62:$L$62,
        _xlfn.XLOOKUP('Rate Load'!H1245, 'Wedgewood Pharm-PME-Yr2-2025'!$D$63:$D$86,
            'Wedgewood Pharm-PME-Yr2-2025'!$E$63:$L$86, 0, 0),
        0, 0),
    _xlfn.XLOOKUP(G1245, 'Wedgewood Pharm-PME-Yr2-2025'!$E$62:$L$62,
        _xlfn.XLOOKUP('Rate Load'!L1245, 'Wedgewood Pharm-PME-Yr2-2025'!$D$63:$D$86,
            'Wedgewood Pharm-PME-Yr2-2025'!$E$63:$L$86, 0, 0),
        0, 0)
)</f>
        <v>18.790000000000003</v>
      </c>
      <c r="K1245" t="s">
        <v>46</v>
      </c>
      <c r="L1245" t="s">
        <v>13</v>
      </c>
      <c r="M1245">
        <v>3</v>
      </c>
      <c r="N1245" t="str">
        <f t="shared" si="19"/>
        <v>INSERT INTO TNL_RATING.dbo.usps_rate_master VALUES ('USPS', '2/13/2025', '2/13/2026', 12659, 'US', 'Priority Mail Express', 6, 2, 'L', 18.79, 'Wedgewood_USPS_2025', 'NonCubic','3');</v>
      </c>
    </row>
    <row r="1246" spans="1:14" x14ac:dyDescent="0.3">
      <c r="A1246" t="s">
        <v>11</v>
      </c>
      <c r="B1246" s="1" t="s">
        <v>43</v>
      </c>
      <c r="C1246" s="1" t="s">
        <v>44</v>
      </c>
      <c r="D1246">
        <v>12659</v>
      </c>
      <c r="E1246" t="s">
        <v>12</v>
      </c>
      <c r="F1246" t="s">
        <v>42</v>
      </c>
      <c r="G1246">
        <v>6</v>
      </c>
      <c r="H1246">
        <v>3</v>
      </c>
      <c r="I1246" t="s">
        <v>45</v>
      </c>
      <c r="J1246" cm="1">
        <f t="array" ref="J1246">IFERROR(
    _xlfn.XLOOKUP(G1246, 'Wedgewood Pharm-PME-Yr2-2025'!$E$62:$L$62,
        _xlfn.XLOOKUP('Rate Load'!H1246, 'Wedgewood Pharm-PME-Yr2-2025'!$D$63:$D$86,
            'Wedgewood Pharm-PME-Yr2-2025'!$E$63:$L$86, 0, 0),
        0, 0),
    _xlfn.XLOOKUP(G1246, 'Wedgewood Pharm-PME-Yr2-2025'!$E$62:$L$62,
        _xlfn.XLOOKUP('Rate Load'!L1246, 'Wedgewood Pharm-PME-Yr2-2025'!$D$63:$D$86,
            'Wedgewood Pharm-PME-Yr2-2025'!$E$63:$L$86, 0, 0),
        0, 0)
)</f>
        <v>21.560000000000002</v>
      </c>
      <c r="K1246" t="s">
        <v>46</v>
      </c>
      <c r="L1246" t="s">
        <v>13</v>
      </c>
      <c r="M1246">
        <v>3</v>
      </c>
      <c r="N1246" t="str">
        <f t="shared" si="19"/>
        <v>INSERT INTO TNL_RATING.dbo.usps_rate_master VALUES ('USPS', '2/13/2025', '2/13/2026', 12659, 'US', 'Priority Mail Express', 6, 3, 'L', 21.56, 'Wedgewood_USPS_2025', 'NonCubic','3');</v>
      </c>
    </row>
    <row r="1247" spans="1:14" x14ac:dyDescent="0.3">
      <c r="A1247" t="s">
        <v>11</v>
      </c>
      <c r="B1247" s="1" t="s">
        <v>43</v>
      </c>
      <c r="C1247" s="1" t="s">
        <v>44</v>
      </c>
      <c r="D1247">
        <v>12659</v>
      </c>
      <c r="E1247" t="s">
        <v>12</v>
      </c>
      <c r="F1247" t="s">
        <v>42</v>
      </c>
      <c r="G1247">
        <v>6</v>
      </c>
      <c r="H1247">
        <v>4</v>
      </c>
      <c r="I1247" t="s">
        <v>45</v>
      </c>
      <c r="J1247" cm="1">
        <f t="array" ref="J1247">IFERROR(
    _xlfn.XLOOKUP(G1247, 'Wedgewood Pharm-PME-Yr2-2025'!$E$62:$L$62,
        _xlfn.XLOOKUP('Rate Load'!H1247, 'Wedgewood Pharm-PME-Yr2-2025'!$D$63:$D$86,
            'Wedgewood Pharm-PME-Yr2-2025'!$E$63:$L$86, 0, 0),
        0, 0),
    _xlfn.XLOOKUP(G1247, 'Wedgewood Pharm-PME-Yr2-2025'!$E$62:$L$62,
        _xlfn.XLOOKUP('Rate Load'!L1247, 'Wedgewood Pharm-PME-Yr2-2025'!$D$63:$D$86,
            'Wedgewood Pharm-PME-Yr2-2025'!$E$63:$L$86, 0, 0),
        0, 0)
)</f>
        <v>24.360000000000003</v>
      </c>
      <c r="K1247" t="s">
        <v>46</v>
      </c>
      <c r="L1247" t="s">
        <v>13</v>
      </c>
      <c r="M1247">
        <v>3</v>
      </c>
      <c r="N1247" t="str">
        <f t="shared" si="19"/>
        <v>INSERT INTO TNL_RATING.dbo.usps_rate_master VALUES ('USPS', '2/13/2025', '2/13/2026', 12659, 'US', 'Priority Mail Express', 6, 4, 'L', 24.36, 'Wedgewood_USPS_2025', 'NonCubic','3');</v>
      </c>
    </row>
    <row r="1248" spans="1:14" x14ac:dyDescent="0.3">
      <c r="A1248" t="s">
        <v>11</v>
      </c>
      <c r="B1248" s="1" t="s">
        <v>43</v>
      </c>
      <c r="C1248" s="1" t="s">
        <v>44</v>
      </c>
      <c r="D1248">
        <v>12659</v>
      </c>
      <c r="E1248" t="s">
        <v>12</v>
      </c>
      <c r="F1248" t="s">
        <v>42</v>
      </c>
      <c r="G1248">
        <v>6</v>
      </c>
      <c r="H1248">
        <v>5</v>
      </c>
      <c r="I1248" t="s">
        <v>45</v>
      </c>
      <c r="J1248" cm="1">
        <f t="array" ref="J1248">IFERROR(
    _xlfn.XLOOKUP(G1248, 'Wedgewood Pharm-PME-Yr2-2025'!$E$62:$L$62,
        _xlfn.XLOOKUP('Rate Load'!H1248, 'Wedgewood Pharm-PME-Yr2-2025'!$D$63:$D$86,
            'Wedgewood Pharm-PME-Yr2-2025'!$E$63:$L$86, 0, 0),
        0, 0),
    _xlfn.XLOOKUP(G1248, 'Wedgewood Pharm-PME-Yr2-2025'!$E$62:$L$62,
        _xlfn.XLOOKUP('Rate Load'!L1248, 'Wedgewood Pharm-PME-Yr2-2025'!$D$63:$D$86,
            'Wedgewood Pharm-PME-Yr2-2025'!$E$63:$L$86, 0, 0),
        0, 0)
)</f>
        <v>27.150000000000002</v>
      </c>
      <c r="K1248" t="s">
        <v>46</v>
      </c>
      <c r="L1248" t="s">
        <v>13</v>
      </c>
      <c r="M1248">
        <v>3</v>
      </c>
      <c r="N1248" t="str">
        <f t="shared" si="19"/>
        <v>INSERT INTO TNL_RATING.dbo.usps_rate_master VALUES ('USPS', '2/13/2025', '2/13/2026', 12659, 'US', 'Priority Mail Express', 6, 5, 'L', 27.15, 'Wedgewood_USPS_2025', 'NonCubic','3');</v>
      </c>
    </row>
    <row r="1249" spans="1:14" x14ac:dyDescent="0.3">
      <c r="A1249" t="s">
        <v>11</v>
      </c>
      <c r="B1249" s="1" t="s">
        <v>43</v>
      </c>
      <c r="C1249" s="1" t="s">
        <v>44</v>
      </c>
      <c r="D1249">
        <v>12659</v>
      </c>
      <c r="E1249" t="s">
        <v>12</v>
      </c>
      <c r="F1249" t="s">
        <v>42</v>
      </c>
      <c r="G1249">
        <v>6</v>
      </c>
      <c r="H1249">
        <v>6</v>
      </c>
      <c r="I1249" t="s">
        <v>45</v>
      </c>
      <c r="J1249" cm="1">
        <f t="array" ref="J1249">IFERROR(
    _xlfn.XLOOKUP(G1249, 'Wedgewood Pharm-PME-Yr2-2025'!$E$62:$L$62,
        _xlfn.XLOOKUP('Rate Load'!H1249, 'Wedgewood Pharm-PME-Yr2-2025'!$D$63:$D$86,
            'Wedgewood Pharm-PME-Yr2-2025'!$E$63:$L$86, 0, 0),
        0, 0),
    _xlfn.XLOOKUP(G1249, 'Wedgewood Pharm-PME-Yr2-2025'!$E$62:$L$62,
        _xlfn.XLOOKUP('Rate Load'!L1249, 'Wedgewood Pharm-PME-Yr2-2025'!$D$63:$D$86,
            'Wedgewood Pharm-PME-Yr2-2025'!$E$63:$L$86, 0, 0),
        0, 0)
)</f>
        <v>29.900000000000002</v>
      </c>
      <c r="K1249" t="s">
        <v>46</v>
      </c>
      <c r="L1249" t="s">
        <v>13</v>
      </c>
      <c r="M1249">
        <v>3</v>
      </c>
      <c r="N1249" t="str">
        <f t="shared" si="19"/>
        <v>INSERT INTO TNL_RATING.dbo.usps_rate_master VALUES ('USPS', '2/13/2025', '2/13/2026', 12659, 'US', 'Priority Mail Express', 6, 6, 'L', 29.9, 'Wedgewood_USPS_2025', 'NonCubic','3');</v>
      </c>
    </row>
    <row r="1250" spans="1:14" x14ac:dyDescent="0.3">
      <c r="A1250" t="s">
        <v>11</v>
      </c>
      <c r="B1250" s="1" t="s">
        <v>43</v>
      </c>
      <c r="C1250" s="1" t="s">
        <v>44</v>
      </c>
      <c r="D1250">
        <v>12659</v>
      </c>
      <c r="E1250" t="s">
        <v>12</v>
      </c>
      <c r="F1250" t="s">
        <v>42</v>
      </c>
      <c r="G1250">
        <v>6</v>
      </c>
      <c r="H1250">
        <v>7</v>
      </c>
      <c r="I1250" t="s">
        <v>45</v>
      </c>
      <c r="J1250" cm="1">
        <f t="array" ref="J1250">IFERROR(
    _xlfn.XLOOKUP(G1250, 'Wedgewood Pharm-PME-Yr2-2025'!$E$62:$L$62,
        _xlfn.XLOOKUP('Rate Load'!H1250, 'Wedgewood Pharm-PME-Yr2-2025'!$D$63:$D$86,
            'Wedgewood Pharm-PME-Yr2-2025'!$E$63:$L$86, 0, 0),
        0, 0),
    _xlfn.XLOOKUP(G1250, 'Wedgewood Pharm-PME-Yr2-2025'!$E$62:$L$62,
        _xlfn.XLOOKUP('Rate Load'!L1250, 'Wedgewood Pharm-PME-Yr2-2025'!$D$63:$D$86,
            'Wedgewood Pharm-PME-Yr2-2025'!$E$63:$L$86, 0, 0),
        0, 0)
)</f>
        <v>32.64</v>
      </c>
      <c r="K1250" t="s">
        <v>46</v>
      </c>
      <c r="L1250" t="s">
        <v>13</v>
      </c>
      <c r="M1250">
        <v>3</v>
      </c>
      <c r="N1250" t="str">
        <f t="shared" si="19"/>
        <v>INSERT INTO TNL_RATING.dbo.usps_rate_master VALUES ('USPS', '2/13/2025', '2/13/2026', 12659, 'US', 'Priority Mail Express', 6, 7, 'L', 32.64, 'Wedgewood_USPS_2025', 'NonCubic','3');</v>
      </c>
    </row>
    <row r="1251" spans="1:14" x14ac:dyDescent="0.3">
      <c r="A1251" t="s">
        <v>11</v>
      </c>
      <c r="B1251" s="1" t="s">
        <v>43</v>
      </c>
      <c r="C1251" s="1" t="s">
        <v>44</v>
      </c>
      <c r="D1251">
        <v>12659</v>
      </c>
      <c r="E1251" t="s">
        <v>12</v>
      </c>
      <c r="F1251" t="s">
        <v>42</v>
      </c>
      <c r="G1251">
        <v>6</v>
      </c>
      <c r="H1251">
        <v>8</v>
      </c>
      <c r="I1251" t="s">
        <v>45</v>
      </c>
      <c r="J1251" cm="1">
        <f t="array" ref="J1251">IFERROR(
    _xlfn.XLOOKUP(G1251, 'Wedgewood Pharm-PME-Yr2-2025'!$E$62:$L$62,
        _xlfn.XLOOKUP('Rate Load'!H1251, 'Wedgewood Pharm-PME-Yr2-2025'!$D$63:$D$86,
            'Wedgewood Pharm-PME-Yr2-2025'!$E$63:$L$86, 0, 0),
        0, 0),
    _xlfn.XLOOKUP(G1251, 'Wedgewood Pharm-PME-Yr2-2025'!$E$62:$L$62,
        _xlfn.XLOOKUP('Rate Load'!L1251, 'Wedgewood Pharm-PME-Yr2-2025'!$D$63:$D$86,
            'Wedgewood Pharm-PME-Yr2-2025'!$E$63:$L$86, 0, 0),
        0, 0)
)</f>
        <v>35.379999999999995</v>
      </c>
      <c r="K1251" t="s">
        <v>46</v>
      </c>
      <c r="L1251" t="s">
        <v>13</v>
      </c>
      <c r="M1251">
        <v>3</v>
      </c>
      <c r="N1251" t="str">
        <f t="shared" si="19"/>
        <v>INSERT INTO TNL_RATING.dbo.usps_rate_master VALUES ('USPS', '2/13/2025', '2/13/2026', 12659, 'US', 'Priority Mail Express', 6, 8, 'L', 35.38, 'Wedgewood_USPS_2025', 'NonCubic','3');</v>
      </c>
    </row>
    <row r="1252" spans="1:14" x14ac:dyDescent="0.3">
      <c r="A1252" t="s">
        <v>11</v>
      </c>
      <c r="B1252" s="1" t="s">
        <v>43</v>
      </c>
      <c r="C1252" s="1" t="s">
        <v>44</v>
      </c>
      <c r="D1252">
        <v>12659</v>
      </c>
      <c r="E1252" t="s">
        <v>12</v>
      </c>
      <c r="F1252" t="s">
        <v>42</v>
      </c>
      <c r="G1252">
        <v>6</v>
      </c>
      <c r="H1252">
        <v>9</v>
      </c>
      <c r="I1252" t="s">
        <v>45</v>
      </c>
      <c r="J1252" cm="1">
        <f t="array" ref="J1252">IFERROR(
    _xlfn.XLOOKUP(G1252, 'Wedgewood Pharm-PME-Yr2-2025'!$E$62:$L$62,
        _xlfn.XLOOKUP('Rate Load'!H1252, 'Wedgewood Pharm-PME-Yr2-2025'!$D$63:$D$86,
            'Wedgewood Pharm-PME-Yr2-2025'!$E$63:$L$86, 0, 0),
        0, 0),
    _xlfn.XLOOKUP(G1252, 'Wedgewood Pharm-PME-Yr2-2025'!$E$62:$L$62,
        _xlfn.XLOOKUP('Rate Load'!L1252, 'Wedgewood Pharm-PME-Yr2-2025'!$D$63:$D$86,
            'Wedgewood Pharm-PME-Yr2-2025'!$E$63:$L$86, 0, 0),
        0, 0)
)</f>
        <v>38.119999999999997</v>
      </c>
      <c r="K1252" t="s">
        <v>46</v>
      </c>
      <c r="L1252" t="s">
        <v>13</v>
      </c>
      <c r="M1252">
        <v>3</v>
      </c>
      <c r="N1252" t="str">
        <f t="shared" si="19"/>
        <v>INSERT INTO TNL_RATING.dbo.usps_rate_master VALUES ('USPS', '2/13/2025', '2/13/2026', 12659, 'US', 'Priority Mail Express', 6, 9, 'L', 38.12, 'Wedgewood_USPS_2025', 'NonCubic','3');</v>
      </c>
    </row>
    <row r="1253" spans="1:14" x14ac:dyDescent="0.3">
      <c r="A1253" t="s">
        <v>11</v>
      </c>
      <c r="B1253" s="1" t="s">
        <v>43</v>
      </c>
      <c r="C1253" s="1" t="s">
        <v>44</v>
      </c>
      <c r="D1253">
        <v>12659</v>
      </c>
      <c r="E1253" t="s">
        <v>12</v>
      </c>
      <c r="F1253" t="s">
        <v>42</v>
      </c>
      <c r="G1253">
        <v>6</v>
      </c>
      <c r="H1253">
        <v>10</v>
      </c>
      <c r="I1253" t="s">
        <v>45</v>
      </c>
      <c r="J1253" cm="1">
        <f t="array" ref="J1253">IFERROR(
    _xlfn.XLOOKUP(G1253, 'Wedgewood Pharm-PME-Yr2-2025'!$E$62:$L$62,
        _xlfn.XLOOKUP('Rate Load'!H1253, 'Wedgewood Pharm-PME-Yr2-2025'!$D$63:$D$86,
            'Wedgewood Pharm-PME-Yr2-2025'!$E$63:$L$86, 0, 0),
        0, 0),
    _xlfn.XLOOKUP(G1253, 'Wedgewood Pharm-PME-Yr2-2025'!$E$62:$L$62,
        _xlfn.XLOOKUP('Rate Load'!L1253, 'Wedgewood Pharm-PME-Yr2-2025'!$D$63:$D$86,
            'Wedgewood Pharm-PME-Yr2-2025'!$E$63:$L$86, 0, 0),
        0, 0)
)</f>
        <v>40.86</v>
      </c>
      <c r="K1253" t="s">
        <v>46</v>
      </c>
      <c r="L1253" t="s">
        <v>13</v>
      </c>
      <c r="M1253">
        <v>3</v>
      </c>
      <c r="N1253" t="str">
        <f t="shared" si="19"/>
        <v>INSERT INTO TNL_RATING.dbo.usps_rate_master VALUES ('USPS', '2/13/2025', '2/13/2026', 12659, 'US', 'Priority Mail Express', 6, 10, 'L', 40.86, 'Wedgewood_USPS_2025', 'NonCubic','3');</v>
      </c>
    </row>
    <row r="1254" spans="1:14" x14ac:dyDescent="0.3">
      <c r="A1254" t="s">
        <v>11</v>
      </c>
      <c r="B1254" s="1" t="s">
        <v>43</v>
      </c>
      <c r="C1254" s="1" t="s">
        <v>44</v>
      </c>
      <c r="D1254">
        <v>12659</v>
      </c>
      <c r="E1254" t="s">
        <v>12</v>
      </c>
      <c r="F1254" t="s">
        <v>42</v>
      </c>
      <c r="G1254">
        <v>6</v>
      </c>
      <c r="H1254">
        <v>11</v>
      </c>
      <c r="I1254" t="s">
        <v>45</v>
      </c>
      <c r="J1254" cm="1">
        <f t="array" ref="J1254">IFERROR(
    _xlfn.XLOOKUP(G1254, 'Wedgewood Pharm-PME-Yr2-2025'!$E$62:$L$62,
        _xlfn.XLOOKUP('Rate Load'!H1254, 'Wedgewood Pharm-PME-Yr2-2025'!$D$63:$D$86,
            'Wedgewood Pharm-PME-Yr2-2025'!$E$63:$L$86, 0, 0),
        0, 0),
    _xlfn.XLOOKUP(G1254, 'Wedgewood Pharm-PME-Yr2-2025'!$E$62:$L$62,
        _xlfn.XLOOKUP('Rate Load'!L1254, 'Wedgewood Pharm-PME-Yr2-2025'!$D$63:$D$86,
            'Wedgewood Pharm-PME-Yr2-2025'!$E$63:$L$86, 0, 0),
        0, 0)
)</f>
        <v>43.269999999999996</v>
      </c>
      <c r="K1254" t="s">
        <v>46</v>
      </c>
      <c r="L1254" t="s">
        <v>13</v>
      </c>
      <c r="M1254">
        <v>3</v>
      </c>
      <c r="N1254" t="str">
        <f t="shared" si="19"/>
        <v>INSERT INTO TNL_RATING.dbo.usps_rate_master VALUES ('USPS', '2/13/2025', '2/13/2026', 12659, 'US', 'Priority Mail Express', 6, 11, 'L', 43.27, 'Wedgewood_USPS_2025', 'NonCubic','3');</v>
      </c>
    </row>
    <row r="1255" spans="1:14" x14ac:dyDescent="0.3">
      <c r="A1255" t="s">
        <v>11</v>
      </c>
      <c r="B1255" s="1" t="s">
        <v>43</v>
      </c>
      <c r="C1255" s="1" t="s">
        <v>44</v>
      </c>
      <c r="D1255">
        <v>12659</v>
      </c>
      <c r="E1255" t="s">
        <v>12</v>
      </c>
      <c r="F1255" t="s">
        <v>42</v>
      </c>
      <c r="G1255">
        <v>6</v>
      </c>
      <c r="H1255">
        <v>12</v>
      </c>
      <c r="I1255" t="s">
        <v>45</v>
      </c>
      <c r="J1255" cm="1">
        <f t="array" ref="J1255">IFERROR(
    _xlfn.XLOOKUP(G1255, 'Wedgewood Pharm-PME-Yr2-2025'!$E$62:$L$62,
        _xlfn.XLOOKUP('Rate Load'!H1255, 'Wedgewood Pharm-PME-Yr2-2025'!$D$63:$D$86,
            'Wedgewood Pharm-PME-Yr2-2025'!$E$63:$L$86, 0, 0),
        0, 0),
    _xlfn.XLOOKUP(G1255, 'Wedgewood Pharm-PME-Yr2-2025'!$E$62:$L$62,
        _xlfn.XLOOKUP('Rate Load'!L1255, 'Wedgewood Pharm-PME-Yr2-2025'!$D$63:$D$86,
            'Wedgewood Pharm-PME-Yr2-2025'!$E$63:$L$86, 0, 0),
        0, 0)
)</f>
        <v>45.669999999999995</v>
      </c>
      <c r="K1255" t="s">
        <v>46</v>
      </c>
      <c r="L1255" t="s">
        <v>13</v>
      </c>
      <c r="M1255">
        <v>3</v>
      </c>
      <c r="N1255" t="str">
        <f t="shared" si="19"/>
        <v>INSERT INTO TNL_RATING.dbo.usps_rate_master VALUES ('USPS', '2/13/2025', '2/13/2026', 12659, 'US', 'Priority Mail Express', 6, 12, 'L', 45.67, 'Wedgewood_USPS_2025', 'NonCubic','3');</v>
      </c>
    </row>
    <row r="1256" spans="1:14" x14ac:dyDescent="0.3">
      <c r="A1256" t="s">
        <v>11</v>
      </c>
      <c r="B1256" s="1" t="s">
        <v>43</v>
      </c>
      <c r="C1256" s="1" t="s">
        <v>44</v>
      </c>
      <c r="D1256">
        <v>12659</v>
      </c>
      <c r="E1256" t="s">
        <v>12</v>
      </c>
      <c r="F1256" t="s">
        <v>42</v>
      </c>
      <c r="G1256">
        <v>6</v>
      </c>
      <c r="H1256">
        <v>13</v>
      </c>
      <c r="I1256" t="s">
        <v>45</v>
      </c>
      <c r="J1256" cm="1">
        <f t="array" ref="J1256">IFERROR(
    _xlfn.XLOOKUP(G1256, 'Wedgewood Pharm-PME-Yr2-2025'!$E$62:$L$62,
        _xlfn.XLOOKUP('Rate Load'!H1256, 'Wedgewood Pharm-PME-Yr2-2025'!$D$63:$D$86,
            'Wedgewood Pharm-PME-Yr2-2025'!$E$63:$L$86, 0, 0),
        0, 0),
    _xlfn.XLOOKUP(G1256, 'Wedgewood Pharm-PME-Yr2-2025'!$E$62:$L$62,
        _xlfn.XLOOKUP('Rate Load'!L1256, 'Wedgewood Pharm-PME-Yr2-2025'!$D$63:$D$86,
            'Wedgewood Pharm-PME-Yr2-2025'!$E$63:$L$86, 0, 0),
        0, 0)
)</f>
        <v>48.08</v>
      </c>
      <c r="K1256" t="s">
        <v>46</v>
      </c>
      <c r="L1256" t="s">
        <v>13</v>
      </c>
      <c r="M1256">
        <v>3</v>
      </c>
      <c r="N1256" t="str">
        <f t="shared" si="19"/>
        <v>INSERT INTO TNL_RATING.dbo.usps_rate_master VALUES ('USPS', '2/13/2025', '2/13/2026', 12659, 'US', 'Priority Mail Express', 6, 13, 'L', 48.08, 'Wedgewood_USPS_2025', 'NonCubic','3');</v>
      </c>
    </row>
    <row r="1257" spans="1:14" x14ac:dyDescent="0.3">
      <c r="A1257" t="s">
        <v>11</v>
      </c>
      <c r="B1257" s="1" t="s">
        <v>43</v>
      </c>
      <c r="C1257" s="1" t="s">
        <v>44</v>
      </c>
      <c r="D1257">
        <v>12659</v>
      </c>
      <c r="E1257" t="s">
        <v>12</v>
      </c>
      <c r="F1257" t="s">
        <v>42</v>
      </c>
      <c r="G1257">
        <v>6</v>
      </c>
      <c r="H1257">
        <v>14</v>
      </c>
      <c r="I1257" t="s">
        <v>45</v>
      </c>
      <c r="J1257" cm="1">
        <f t="array" ref="J1257">IFERROR(
    _xlfn.XLOOKUP(G1257, 'Wedgewood Pharm-PME-Yr2-2025'!$E$62:$L$62,
        _xlfn.XLOOKUP('Rate Load'!H1257, 'Wedgewood Pharm-PME-Yr2-2025'!$D$63:$D$86,
            'Wedgewood Pharm-PME-Yr2-2025'!$E$63:$L$86, 0, 0),
        0, 0),
    _xlfn.XLOOKUP(G1257, 'Wedgewood Pharm-PME-Yr2-2025'!$E$62:$L$62,
        _xlfn.XLOOKUP('Rate Load'!L1257, 'Wedgewood Pharm-PME-Yr2-2025'!$D$63:$D$86,
            'Wedgewood Pharm-PME-Yr2-2025'!$E$63:$L$86, 0, 0),
        0, 0)
)</f>
        <v>50.48</v>
      </c>
      <c r="K1257" t="s">
        <v>46</v>
      </c>
      <c r="L1257" t="s">
        <v>13</v>
      </c>
      <c r="M1257">
        <v>3</v>
      </c>
      <c r="N1257" t="str">
        <f t="shared" si="19"/>
        <v>INSERT INTO TNL_RATING.dbo.usps_rate_master VALUES ('USPS', '2/13/2025', '2/13/2026', 12659, 'US', 'Priority Mail Express', 6, 14, 'L', 50.48, 'Wedgewood_USPS_2025', 'NonCubic','3');</v>
      </c>
    </row>
    <row r="1258" spans="1:14" x14ac:dyDescent="0.3">
      <c r="A1258" t="s">
        <v>11</v>
      </c>
      <c r="B1258" s="1" t="s">
        <v>43</v>
      </c>
      <c r="C1258" s="1" t="s">
        <v>44</v>
      </c>
      <c r="D1258">
        <v>12659</v>
      </c>
      <c r="E1258" t="s">
        <v>12</v>
      </c>
      <c r="F1258" t="s">
        <v>42</v>
      </c>
      <c r="G1258">
        <v>6</v>
      </c>
      <c r="H1258">
        <v>15</v>
      </c>
      <c r="I1258" t="s">
        <v>45</v>
      </c>
      <c r="J1258" cm="1">
        <f t="array" ref="J1258">IFERROR(
    _xlfn.XLOOKUP(G1258, 'Wedgewood Pharm-PME-Yr2-2025'!$E$62:$L$62,
        _xlfn.XLOOKUP('Rate Load'!H1258, 'Wedgewood Pharm-PME-Yr2-2025'!$D$63:$D$86,
            'Wedgewood Pharm-PME-Yr2-2025'!$E$63:$L$86, 0, 0),
        0, 0),
    _xlfn.XLOOKUP(G1258, 'Wedgewood Pharm-PME-Yr2-2025'!$E$62:$L$62,
        _xlfn.XLOOKUP('Rate Load'!L1258, 'Wedgewood Pharm-PME-Yr2-2025'!$D$63:$D$86,
            'Wedgewood Pharm-PME-Yr2-2025'!$E$63:$L$86, 0, 0),
        0, 0)
)</f>
        <v>52.879999999999995</v>
      </c>
      <c r="K1258" t="s">
        <v>46</v>
      </c>
      <c r="L1258" t="s">
        <v>13</v>
      </c>
      <c r="M1258">
        <v>3</v>
      </c>
      <c r="N1258" t="str">
        <f t="shared" si="19"/>
        <v>INSERT INTO TNL_RATING.dbo.usps_rate_master VALUES ('USPS', '2/13/2025', '2/13/2026', 12659, 'US', 'Priority Mail Express', 6, 15, 'L', 52.88, 'Wedgewood_USPS_2025', 'NonCubic','3');</v>
      </c>
    </row>
    <row r="1259" spans="1:14" x14ac:dyDescent="0.3">
      <c r="A1259" t="s">
        <v>11</v>
      </c>
      <c r="B1259" s="1" t="s">
        <v>43</v>
      </c>
      <c r="C1259" s="1" t="s">
        <v>44</v>
      </c>
      <c r="D1259">
        <v>12659</v>
      </c>
      <c r="E1259" t="s">
        <v>12</v>
      </c>
      <c r="F1259" t="s">
        <v>42</v>
      </c>
      <c r="G1259">
        <v>6</v>
      </c>
      <c r="H1259">
        <v>16</v>
      </c>
      <c r="I1259" t="s">
        <v>45</v>
      </c>
      <c r="J1259" cm="1">
        <f t="array" ref="J1259">IFERROR(
    _xlfn.XLOOKUP(G1259, 'Wedgewood Pharm-PME-Yr2-2025'!$E$62:$L$62,
        _xlfn.XLOOKUP('Rate Load'!H1259, 'Wedgewood Pharm-PME-Yr2-2025'!$D$63:$D$86,
            'Wedgewood Pharm-PME-Yr2-2025'!$E$63:$L$86, 0, 0),
        0, 0),
    _xlfn.XLOOKUP(G1259, 'Wedgewood Pharm-PME-Yr2-2025'!$E$62:$L$62,
        _xlfn.XLOOKUP('Rate Load'!L1259, 'Wedgewood Pharm-PME-Yr2-2025'!$D$63:$D$86,
            'Wedgewood Pharm-PME-Yr2-2025'!$E$63:$L$86, 0, 0),
        0, 0)
)</f>
        <v>55.28</v>
      </c>
      <c r="K1259" t="s">
        <v>46</v>
      </c>
      <c r="L1259" t="s">
        <v>13</v>
      </c>
      <c r="M1259">
        <v>3</v>
      </c>
      <c r="N1259" t="str">
        <f t="shared" si="19"/>
        <v>INSERT INTO TNL_RATING.dbo.usps_rate_master VALUES ('USPS', '2/13/2025', '2/13/2026', 12659, 'US', 'Priority Mail Express', 6, 16, 'L', 55.28, 'Wedgewood_USPS_2025', 'NonCubic','3');</v>
      </c>
    </row>
    <row r="1260" spans="1:14" x14ac:dyDescent="0.3">
      <c r="A1260" t="s">
        <v>11</v>
      </c>
      <c r="B1260" s="1" t="s">
        <v>43</v>
      </c>
      <c r="C1260" s="1" t="s">
        <v>44</v>
      </c>
      <c r="D1260">
        <v>12659</v>
      </c>
      <c r="E1260" t="s">
        <v>12</v>
      </c>
      <c r="F1260" t="s">
        <v>42</v>
      </c>
      <c r="G1260">
        <v>6</v>
      </c>
      <c r="H1260">
        <v>17</v>
      </c>
      <c r="I1260" t="s">
        <v>45</v>
      </c>
      <c r="J1260" cm="1">
        <f t="array" ref="J1260">IFERROR(
    _xlfn.XLOOKUP(G1260, 'Wedgewood Pharm-PME-Yr2-2025'!$E$62:$L$62,
        _xlfn.XLOOKUP('Rate Load'!H1260, 'Wedgewood Pharm-PME-Yr2-2025'!$D$63:$D$86,
            'Wedgewood Pharm-PME-Yr2-2025'!$E$63:$L$86, 0, 0),
        0, 0),
    _xlfn.XLOOKUP(G1260, 'Wedgewood Pharm-PME-Yr2-2025'!$E$62:$L$62,
        _xlfn.XLOOKUP('Rate Load'!L1260, 'Wedgewood Pharm-PME-Yr2-2025'!$D$63:$D$86,
            'Wedgewood Pharm-PME-Yr2-2025'!$E$63:$L$86, 0, 0),
        0, 0)
)</f>
        <v>57.68</v>
      </c>
      <c r="K1260" t="s">
        <v>46</v>
      </c>
      <c r="L1260" t="s">
        <v>13</v>
      </c>
      <c r="M1260">
        <v>3</v>
      </c>
      <c r="N1260" t="str">
        <f t="shared" si="19"/>
        <v>INSERT INTO TNL_RATING.dbo.usps_rate_master VALUES ('USPS', '2/13/2025', '2/13/2026', 12659, 'US', 'Priority Mail Express', 6, 17, 'L', 57.68, 'Wedgewood_USPS_2025', 'NonCubic','3');</v>
      </c>
    </row>
    <row r="1261" spans="1:14" x14ac:dyDescent="0.3">
      <c r="A1261" t="s">
        <v>11</v>
      </c>
      <c r="B1261" s="1" t="s">
        <v>43</v>
      </c>
      <c r="C1261" s="1" t="s">
        <v>44</v>
      </c>
      <c r="D1261">
        <v>12659</v>
      </c>
      <c r="E1261" t="s">
        <v>12</v>
      </c>
      <c r="F1261" t="s">
        <v>42</v>
      </c>
      <c r="G1261">
        <v>6</v>
      </c>
      <c r="H1261">
        <v>18</v>
      </c>
      <c r="I1261" t="s">
        <v>45</v>
      </c>
      <c r="J1261" cm="1">
        <f t="array" ref="J1261">IFERROR(
    _xlfn.XLOOKUP(G1261, 'Wedgewood Pharm-PME-Yr2-2025'!$E$62:$L$62,
        _xlfn.XLOOKUP('Rate Load'!H1261, 'Wedgewood Pharm-PME-Yr2-2025'!$D$63:$D$86,
            'Wedgewood Pharm-PME-Yr2-2025'!$E$63:$L$86, 0, 0),
        0, 0),
    _xlfn.XLOOKUP(G1261, 'Wedgewood Pharm-PME-Yr2-2025'!$E$62:$L$62,
        _xlfn.XLOOKUP('Rate Load'!L1261, 'Wedgewood Pharm-PME-Yr2-2025'!$D$63:$D$86,
            'Wedgewood Pharm-PME-Yr2-2025'!$E$63:$L$86, 0, 0),
        0, 0)
)</f>
        <v>60.1</v>
      </c>
      <c r="K1261" t="s">
        <v>46</v>
      </c>
      <c r="L1261" t="s">
        <v>13</v>
      </c>
      <c r="M1261">
        <v>3</v>
      </c>
      <c r="N1261" t="str">
        <f t="shared" si="19"/>
        <v>INSERT INTO TNL_RATING.dbo.usps_rate_master VALUES ('USPS', '2/13/2025', '2/13/2026', 12659, 'US', 'Priority Mail Express', 6, 18, 'L', 60.1, 'Wedgewood_USPS_2025', 'NonCubic','3');</v>
      </c>
    </row>
    <row r="1262" spans="1:14" x14ac:dyDescent="0.3">
      <c r="A1262" t="s">
        <v>11</v>
      </c>
      <c r="B1262" s="1" t="s">
        <v>43</v>
      </c>
      <c r="C1262" s="1" t="s">
        <v>44</v>
      </c>
      <c r="D1262">
        <v>12659</v>
      </c>
      <c r="E1262" t="s">
        <v>12</v>
      </c>
      <c r="F1262" t="s">
        <v>42</v>
      </c>
      <c r="G1262">
        <v>6</v>
      </c>
      <c r="H1262">
        <v>19</v>
      </c>
      <c r="I1262" t="s">
        <v>45</v>
      </c>
      <c r="J1262" cm="1">
        <f t="array" ref="J1262">IFERROR(
    _xlfn.XLOOKUP(G1262, 'Wedgewood Pharm-PME-Yr2-2025'!$E$62:$L$62,
        _xlfn.XLOOKUP('Rate Load'!H1262, 'Wedgewood Pharm-PME-Yr2-2025'!$D$63:$D$86,
            'Wedgewood Pharm-PME-Yr2-2025'!$E$63:$L$86, 0, 0),
        0, 0),
    _xlfn.XLOOKUP(G1262, 'Wedgewood Pharm-PME-Yr2-2025'!$E$62:$L$62,
        _xlfn.XLOOKUP('Rate Load'!L1262, 'Wedgewood Pharm-PME-Yr2-2025'!$D$63:$D$86,
            'Wedgewood Pharm-PME-Yr2-2025'!$E$63:$L$86, 0, 0),
        0, 0)
)</f>
        <v>62.5</v>
      </c>
      <c r="K1262" t="s">
        <v>46</v>
      </c>
      <c r="L1262" t="s">
        <v>13</v>
      </c>
      <c r="M1262">
        <v>3</v>
      </c>
      <c r="N1262" t="str">
        <f t="shared" si="19"/>
        <v>INSERT INTO TNL_RATING.dbo.usps_rate_master VALUES ('USPS', '2/13/2025', '2/13/2026', 12659, 'US', 'Priority Mail Express', 6, 19, 'L', 62.5, 'Wedgewood_USPS_2025', 'NonCubic','3');</v>
      </c>
    </row>
    <row r="1263" spans="1:14" x14ac:dyDescent="0.3">
      <c r="A1263" t="s">
        <v>11</v>
      </c>
      <c r="B1263" s="1" t="s">
        <v>43</v>
      </c>
      <c r="C1263" s="1" t="s">
        <v>44</v>
      </c>
      <c r="D1263">
        <v>12659</v>
      </c>
      <c r="E1263" t="s">
        <v>12</v>
      </c>
      <c r="F1263" t="s">
        <v>42</v>
      </c>
      <c r="G1263">
        <v>6</v>
      </c>
      <c r="H1263">
        <v>20</v>
      </c>
      <c r="I1263" t="s">
        <v>45</v>
      </c>
      <c r="J1263" cm="1">
        <f t="array" ref="J1263">IFERROR(
    _xlfn.XLOOKUP(G1263, 'Wedgewood Pharm-PME-Yr2-2025'!$E$62:$L$62,
        _xlfn.XLOOKUP('Rate Load'!H1263, 'Wedgewood Pharm-PME-Yr2-2025'!$D$63:$D$86,
            'Wedgewood Pharm-PME-Yr2-2025'!$E$63:$L$86, 0, 0),
        0, 0),
    _xlfn.XLOOKUP(G1263, 'Wedgewood Pharm-PME-Yr2-2025'!$E$62:$L$62,
        _xlfn.XLOOKUP('Rate Load'!L1263, 'Wedgewood Pharm-PME-Yr2-2025'!$D$63:$D$86,
            'Wedgewood Pharm-PME-Yr2-2025'!$E$63:$L$86, 0, 0),
        0, 0)
)</f>
        <v>64.910000000000011</v>
      </c>
      <c r="K1263" t="s">
        <v>46</v>
      </c>
      <c r="L1263" t="s">
        <v>13</v>
      </c>
      <c r="M1263">
        <v>3</v>
      </c>
      <c r="N1263" t="str">
        <f t="shared" si="19"/>
        <v>INSERT INTO TNL_RATING.dbo.usps_rate_master VALUES ('USPS', '2/13/2025', '2/13/2026', 12659, 'US', 'Priority Mail Express', 6, 20, 'L', 64.91, 'Wedgewood_USPS_2025', 'NonCubic','3');</v>
      </c>
    </row>
    <row r="1264" spans="1:14" x14ac:dyDescent="0.3">
      <c r="A1264" t="s">
        <v>11</v>
      </c>
      <c r="B1264" s="1" t="s">
        <v>43</v>
      </c>
      <c r="C1264" s="1" t="s">
        <v>44</v>
      </c>
      <c r="D1264">
        <v>12659</v>
      </c>
      <c r="E1264" t="s">
        <v>12</v>
      </c>
      <c r="F1264" t="s">
        <v>42</v>
      </c>
      <c r="G1264">
        <v>7</v>
      </c>
      <c r="H1264">
        <v>0.5</v>
      </c>
      <c r="I1264" t="s">
        <v>45</v>
      </c>
      <c r="J1264" cm="1">
        <f t="array" ref="J1264">IFERROR(
    _xlfn.XLOOKUP(G1264, 'Wedgewood Pharm-PME-Yr2-2025'!$E$62:$L$62,
        _xlfn.XLOOKUP('Rate Load'!H1264, 'Wedgewood Pharm-PME-Yr2-2025'!$D$63:$D$86,
            'Wedgewood Pharm-PME-Yr2-2025'!$E$63:$L$86, 0, 0),
        0, 0),
    _xlfn.XLOOKUP(G1264, 'Wedgewood Pharm-PME-Yr2-2025'!$E$62:$L$62,
        _xlfn.XLOOKUP('Rate Load'!L1264, 'Wedgewood Pharm-PME-Yr2-2025'!$D$63:$D$86,
            'Wedgewood Pharm-PME-Yr2-2025'!$E$63:$L$86, 0, 0),
        0, 0)
)</f>
        <v>15.209999999999999</v>
      </c>
      <c r="K1264" t="s">
        <v>46</v>
      </c>
      <c r="L1264" t="s">
        <v>13</v>
      </c>
      <c r="M1264">
        <v>3</v>
      </c>
      <c r="N1264" t="str">
        <f t="shared" si="19"/>
        <v>INSERT INTO TNL_RATING.dbo.usps_rate_master VALUES ('USPS', '2/13/2025', '2/13/2026', 12659, 'US', 'Priority Mail Express', 7, 0.5, 'L', 15.21, 'Wedgewood_USPS_2025', 'NonCubic','3');</v>
      </c>
    </row>
    <row r="1265" spans="1:14" x14ac:dyDescent="0.3">
      <c r="A1265" t="s">
        <v>11</v>
      </c>
      <c r="B1265" s="1" t="s">
        <v>43</v>
      </c>
      <c r="C1265" s="1" t="s">
        <v>44</v>
      </c>
      <c r="D1265">
        <v>12659</v>
      </c>
      <c r="E1265" t="s">
        <v>12</v>
      </c>
      <c r="F1265" t="s">
        <v>42</v>
      </c>
      <c r="G1265">
        <v>7</v>
      </c>
      <c r="H1265">
        <v>1</v>
      </c>
      <c r="I1265" t="s">
        <v>45</v>
      </c>
      <c r="J1265" cm="1">
        <f t="array" ref="J1265">IFERROR(
    _xlfn.XLOOKUP(G1265, 'Wedgewood Pharm-PME-Yr2-2025'!$E$62:$L$62,
        _xlfn.XLOOKUP('Rate Load'!H1265, 'Wedgewood Pharm-PME-Yr2-2025'!$D$63:$D$86,
            'Wedgewood Pharm-PME-Yr2-2025'!$E$63:$L$86, 0, 0),
        0, 0),
    _xlfn.XLOOKUP(G1265, 'Wedgewood Pharm-PME-Yr2-2025'!$E$62:$L$62,
        _xlfn.XLOOKUP('Rate Load'!L1265, 'Wedgewood Pharm-PME-Yr2-2025'!$D$63:$D$86,
            'Wedgewood Pharm-PME-Yr2-2025'!$E$63:$L$86, 0, 0),
        0, 0)
)</f>
        <v>16.920000000000002</v>
      </c>
      <c r="K1265" t="s">
        <v>46</v>
      </c>
      <c r="L1265" t="s">
        <v>13</v>
      </c>
      <c r="M1265">
        <v>3</v>
      </c>
      <c r="N1265" t="str">
        <f t="shared" si="19"/>
        <v>INSERT INTO TNL_RATING.dbo.usps_rate_master VALUES ('USPS', '2/13/2025', '2/13/2026', 12659, 'US', 'Priority Mail Express', 7, 1, 'L', 16.92, 'Wedgewood_USPS_2025', 'NonCubic','3');</v>
      </c>
    </row>
    <row r="1266" spans="1:14" x14ac:dyDescent="0.3">
      <c r="A1266" t="s">
        <v>11</v>
      </c>
      <c r="B1266" s="1" t="s">
        <v>43</v>
      </c>
      <c r="C1266" s="1" t="s">
        <v>44</v>
      </c>
      <c r="D1266">
        <v>12659</v>
      </c>
      <c r="E1266" t="s">
        <v>12</v>
      </c>
      <c r="F1266" t="s">
        <v>42</v>
      </c>
      <c r="G1266">
        <v>7</v>
      </c>
      <c r="H1266">
        <v>2</v>
      </c>
      <c r="I1266" t="s">
        <v>45</v>
      </c>
      <c r="J1266" cm="1">
        <f t="array" ref="J1266">IFERROR(
    _xlfn.XLOOKUP(G1266, 'Wedgewood Pharm-PME-Yr2-2025'!$E$62:$L$62,
        _xlfn.XLOOKUP('Rate Load'!H1266, 'Wedgewood Pharm-PME-Yr2-2025'!$D$63:$D$86,
            'Wedgewood Pharm-PME-Yr2-2025'!$E$63:$L$86, 0, 0),
        0, 0),
    _xlfn.XLOOKUP(G1266, 'Wedgewood Pharm-PME-Yr2-2025'!$E$62:$L$62,
        _xlfn.XLOOKUP('Rate Load'!L1266, 'Wedgewood Pharm-PME-Yr2-2025'!$D$63:$D$86,
            'Wedgewood Pharm-PME-Yr2-2025'!$E$63:$L$86, 0, 0),
        0, 0)
)</f>
        <v>19.37</v>
      </c>
      <c r="K1266" t="s">
        <v>46</v>
      </c>
      <c r="L1266" t="s">
        <v>13</v>
      </c>
      <c r="M1266">
        <v>3</v>
      </c>
      <c r="N1266" t="str">
        <f t="shared" si="19"/>
        <v>INSERT INTO TNL_RATING.dbo.usps_rate_master VALUES ('USPS', '2/13/2025', '2/13/2026', 12659, 'US', 'Priority Mail Express', 7, 2, 'L', 19.37, 'Wedgewood_USPS_2025', 'NonCubic','3');</v>
      </c>
    </row>
    <row r="1267" spans="1:14" x14ac:dyDescent="0.3">
      <c r="A1267" t="s">
        <v>11</v>
      </c>
      <c r="B1267" s="1" t="s">
        <v>43</v>
      </c>
      <c r="C1267" s="1" t="s">
        <v>44</v>
      </c>
      <c r="D1267">
        <v>12659</v>
      </c>
      <c r="E1267" t="s">
        <v>12</v>
      </c>
      <c r="F1267" t="s">
        <v>42</v>
      </c>
      <c r="G1267">
        <v>7</v>
      </c>
      <c r="H1267">
        <v>3</v>
      </c>
      <c r="I1267" t="s">
        <v>45</v>
      </c>
      <c r="J1267" cm="1">
        <f t="array" ref="J1267">IFERROR(
    _xlfn.XLOOKUP(G1267, 'Wedgewood Pharm-PME-Yr2-2025'!$E$62:$L$62,
        _xlfn.XLOOKUP('Rate Load'!H1267, 'Wedgewood Pharm-PME-Yr2-2025'!$D$63:$D$86,
            'Wedgewood Pharm-PME-Yr2-2025'!$E$63:$L$86, 0, 0),
        0, 0),
    _xlfn.XLOOKUP(G1267, 'Wedgewood Pharm-PME-Yr2-2025'!$E$62:$L$62,
        _xlfn.XLOOKUP('Rate Load'!L1267, 'Wedgewood Pharm-PME-Yr2-2025'!$D$63:$D$86,
            'Wedgewood Pharm-PME-Yr2-2025'!$E$63:$L$86, 0, 0),
        0, 0)
)</f>
        <v>22.21</v>
      </c>
      <c r="K1267" t="s">
        <v>46</v>
      </c>
      <c r="L1267" t="s">
        <v>13</v>
      </c>
      <c r="M1267">
        <v>3</v>
      </c>
      <c r="N1267" t="str">
        <f t="shared" si="19"/>
        <v>INSERT INTO TNL_RATING.dbo.usps_rate_master VALUES ('USPS', '2/13/2025', '2/13/2026', 12659, 'US', 'Priority Mail Express', 7, 3, 'L', 22.21, 'Wedgewood_USPS_2025', 'NonCubic','3');</v>
      </c>
    </row>
    <row r="1268" spans="1:14" x14ac:dyDescent="0.3">
      <c r="A1268" t="s">
        <v>11</v>
      </c>
      <c r="B1268" s="1" t="s">
        <v>43</v>
      </c>
      <c r="C1268" s="1" t="s">
        <v>44</v>
      </c>
      <c r="D1268">
        <v>12659</v>
      </c>
      <c r="E1268" t="s">
        <v>12</v>
      </c>
      <c r="F1268" t="s">
        <v>42</v>
      </c>
      <c r="G1268">
        <v>7</v>
      </c>
      <c r="H1268">
        <v>4</v>
      </c>
      <c r="I1268" t="s">
        <v>45</v>
      </c>
      <c r="J1268" cm="1">
        <f t="array" ref="J1268">IFERROR(
    _xlfn.XLOOKUP(G1268, 'Wedgewood Pharm-PME-Yr2-2025'!$E$62:$L$62,
        _xlfn.XLOOKUP('Rate Load'!H1268, 'Wedgewood Pharm-PME-Yr2-2025'!$D$63:$D$86,
            'Wedgewood Pharm-PME-Yr2-2025'!$E$63:$L$86, 0, 0),
        0, 0),
    _xlfn.XLOOKUP(G1268, 'Wedgewood Pharm-PME-Yr2-2025'!$E$62:$L$62,
        _xlfn.XLOOKUP('Rate Load'!L1268, 'Wedgewood Pharm-PME-Yr2-2025'!$D$63:$D$86,
            'Wedgewood Pharm-PME-Yr2-2025'!$E$63:$L$86, 0, 0),
        0, 0)
)</f>
        <v>25.05</v>
      </c>
      <c r="K1268" t="s">
        <v>46</v>
      </c>
      <c r="L1268" t="s">
        <v>13</v>
      </c>
      <c r="M1268">
        <v>3</v>
      </c>
      <c r="N1268" t="str">
        <f t="shared" si="19"/>
        <v>INSERT INTO TNL_RATING.dbo.usps_rate_master VALUES ('USPS', '2/13/2025', '2/13/2026', 12659, 'US', 'Priority Mail Express', 7, 4, 'L', 25.05, 'Wedgewood_USPS_2025', 'NonCubic','3');</v>
      </c>
    </row>
    <row r="1269" spans="1:14" x14ac:dyDescent="0.3">
      <c r="A1269" t="s">
        <v>11</v>
      </c>
      <c r="B1269" s="1" t="s">
        <v>43</v>
      </c>
      <c r="C1269" s="1" t="s">
        <v>44</v>
      </c>
      <c r="D1269">
        <v>12659</v>
      </c>
      <c r="E1269" t="s">
        <v>12</v>
      </c>
      <c r="F1269" t="s">
        <v>42</v>
      </c>
      <c r="G1269">
        <v>7</v>
      </c>
      <c r="H1269">
        <v>5</v>
      </c>
      <c r="I1269" t="s">
        <v>45</v>
      </c>
      <c r="J1269" cm="1">
        <f t="array" ref="J1269">IFERROR(
    _xlfn.XLOOKUP(G1269, 'Wedgewood Pharm-PME-Yr2-2025'!$E$62:$L$62,
        _xlfn.XLOOKUP('Rate Load'!H1269, 'Wedgewood Pharm-PME-Yr2-2025'!$D$63:$D$86,
            'Wedgewood Pharm-PME-Yr2-2025'!$E$63:$L$86, 0, 0),
        0, 0),
    _xlfn.XLOOKUP(G1269, 'Wedgewood Pharm-PME-Yr2-2025'!$E$62:$L$62,
        _xlfn.XLOOKUP('Rate Load'!L1269, 'Wedgewood Pharm-PME-Yr2-2025'!$D$63:$D$86,
            'Wedgewood Pharm-PME-Yr2-2025'!$E$63:$L$86, 0, 0),
        0, 0)
)</f>
        <v>27.900000000000002</v>
      </c>
      <c r="K1269" t="s">
        <v>46</v>
      </c>
      <c r="L1269" t="s">
        <v>13</v>
      </c>
      <c r="M1269">
        <v>3</v>
      </c>
      <c r="N1269" t="str">
        <f t="shared" si="19"/>
        <v>INSERT INTO TNL_RATING.dbo.usps_rate_master VALUES ('USPS', '2/13/2025', '2/13/2026', 12659, 'US', 'Priority Mail Express', 7, 5, 'L', 27.9, 'Wedgewood_USPS_2025', 'NonCubic','3');</v>
      </c>
    </row>
    <row r="1270" spans="1:14" x14ac:dyDescent="0.3">
      <c r="A1270" t="s">
        <v>11</v>
      </c>
      <c r="B1270" s="1" t="s">
        <v>43</v>
      </c>
      <c r="C1270" s="1" t="s">
        <v>44</v>
      </c>
      <c r="D1270">
        <v>12659</v>
      </c>
      <c r="E1270" t="s">
        <v>12</v>
      </c>
      <c r="F1270" t="s">
        <v>42</v>
      </c>
      <c r="G1270">
        <v>7</v>
      </c>
      <c r="H1270">
        <v>6</v>
      </c>
      <c r="I1270" t="s">
        <v>45</v>
      </c>
      <c r="J1270" cm="1">
        <f t="array" ref="J1270">IFERROR(
    _xlfn.XLOOKUP(G1270, 'Wedgewood Pharm-PME-Yr2-2025'!$E$62:$L$62,
        _xlfn.XLOOKUP('Rate Load'!H1270, 'Wedgewood Pharm-PME-Yr2-2025'!$D$63:$D$86,
            'Wedgewood Pharm-PME-Yr2-2025'!$E$63:$L$86, 0, 0),
        0, 0),
    _xlfn.XLOOKUP(G1270, 'Wedgewood Pharm-PME-Yr2-2025'!$E$62:$L$62,
        _xlfn.XLOOKUP('Rate Load'!L1270, 'Wedgewood Pharm-PME-Yr2-2025'!$D$63:$D$86,
            'Wedgewood Pharm-PME-Yr2-2025'!$E$63:$L$86, 0, 0),
        0, 0)
)</f>
        <v>30.75</v>
      </c>
      <c r="K1270" t="s">
        <v>46</v>
      </c>
      <c r="L1270" t="s">
        <v>13</v>
      </c>
      <c r="M1270">
        <v>3</v>
      </c>
      <c r="N1270" t="str">
        <f t="shared" si="19"/>
        <v>INSERT INTO TNL_RATING.dbo.usps_rate_master VALUES ('USPS', '2/13/2025', '2/13/2026', 12659, 'US', 'Priority Mail Express', 7, 6, 'L', 30.75, 'Wedgewood_USPS_2025', 'NonCubic','3');</v>
      </c>
    </row>
    <row r="1271" spans="1:14" x14ac:dyDescent="0.3">
      <c r="A1271" t="s">
        <v>11</v>
      </c>
      <c r="B1271" s="1" t="s">
        <v>43</v>
      </c>
      <c r="C1271" s="1" t="s">
        <v>44</v>
      </c>
      <c r="D1271">
        <v>12659</v>
      </c>
      <c r="E1271" t="s">
        <v>12</v>
      </c>
      <c r="F1271" t="s">
        <v>42</v>
      </c>
      <c r="G1271">
        <v>7</v>
      </c>
      <c r="H1271">
        <v>7</v>
      </c>
      <c r="I1271" t="s">
        <v>45</v>
      </c>
      <c r="J1271" cm="1">
        <f t="array" ref="J1271">IFERROR(
    _xlfn.XLOOKUP(G1271, 'Wedgewood Pharm-PME-Yr2-2025'!$E$62:$L$62,
        _xlfn.XLOOKUP('Rate Load'!H1271, 'Wedgewood Pharm-PME-Yr2-2025'!$D$63:$D$86,
            'Wedgewood Pharm-PME-Yr2-2025'!$E$63:$L$86, 0, 0),
        0, 0),
    _xlfn.XLOOKUP(G1271, 'Wedgewood Pharm-PME-Yr2-2025'!$E$62:$L$62,
        _xlfn.XLOOKUP('Rate Load'!L1271, 'Wedgewood Pharm-PME-Yr2-2025'!$D$63:$D$86,
            'Wedgewood Pharm-PME-Yr2-2025'!$E$63:$L$86, 0, 0),
        0, 0)
)</f>
        <v>33.58</v>
      </c>
      <c r="K1271" t="s">
        <v>46</v>
      </c>
      <c r="L1271" t="s">
        <v>13</v>
      </c>
      <c r="M1271">
        <v>3</v>
      </c>
      <c r="N1271" t="str">
        <f t="shared" si="19"/>
        <v>INSERT INTO TNL_RATING.dbo.usps_rate_master VALUES ('USPS', '2/13/2025', '2/13/2026', 12659, 'US', 'Priority Mail Express', 7, 7, 'L', 33.58, 'Wedgewood_USPS_2025', 'NonCubic','3');</v>
      </c>
    </row>
    <row r="1272" spans="1:14" x14ac:dyDescent="0.3">
      <c r="A1272" t="s">
        <v>11</v>
      </c>
      <c r="B1272" s="1" t="s">
        <v>43</v>
      </c>
      <c r="C1272" s="1" t="s">
        <v>44</v>
      </c>
      <c r="D1272">
        <v>12659</v>
      </c>
      <c r="E1272" t="s">
        <v>12</v>
      </c>
      <c r="F1272" t="s">
        <v>42</v>
      </c>
      <c r="G1272">
        <v>7</v>
      </c>
      <c r="H1272">
        <v>8</v>
      </c>
      <c r="I1272" t="s">
        <v>45</v>
      </c>
      <c r="J1272" cm="1">
        <f t="array" ref="J1272">IFERROR(
    _xlfn.XLOOKUP(G1272, 'Wedgewood Pharm-PME-Yr2-2025'!$E$62:$L$62,
        _xlfn.XLOOKUP('Rate Load'!H1272, 'Wedgewood Pharm-PME-Yr2-2025'!$D$63:$D$86,
            'Wedgewood Pharm-PME-Yr2-2025'!$E$63:$L$86, 0, 0),
        0, 0),
    _xlfn.XLOOKUP(G1272, 'Wedgewood Pharm-PME-Yr2-2025'!$E$62:$L$62,
        _xlfn.XLOOKUP('Rate Load'!L1272, 'Wedgewood Pharm-PME-Yr2-2025'!$D$63:$D$86,
            'Wedgewood Pharm-PME-Yr2-2025'!$E$63:$L$86, 0, 0),
        0, 0)
)</f>
        <v>36.419999999999995</v>
      </c>
      <c r="K1272" t="s">
        <v>46</v>
      </c>
      <c r="L1272" t="s">
        <v>13</v>
      </c>
      <c r="M1272">
        <v>3</v>
      </c>
      <c r="N1272" t="str">
        <f t="shared" si="19"/>
        <v>INSERT INTO TNL_RATING.dbo.usps_rate_master VALUES ('USPS', '2/13/2025', '2/13/2026', 12659, 'US', 'Priority Mail Express', 7, 8, 'L', 36.42, 'Wedgewood_USPS_2025', 'NonCubic','3');</v>
      </c>
    </row>
    <row r="1273" spans="1:14" x14ac:dyDescent="0.3">
      <c r="A1273" t="s">
        <v>11</v>
      </c>
      <c r="B1273" s="1" t="s">
        <v>43</v>
      </c>
      <c r="C1273" s="1" t="s">
        <v>44</v>
      </c>
      <c r="D1273">
        <v>12659</v>
      </c>
      <c r="E1273" t="s">
        <v>12</v>
      </c>
      <c r="F1273" t="s">
        <v>42</v>
      </c>
      <c r="G1273">
        <v>7</v>
      </c>
      <c r="H1273">
        <v>9</v>
      </c>
      <c r="I1273" t="s">
        <v>45</v>
      </c>
      <c r="J1273" cm="1">
        <f t="array" ref="J1273">IFERROR(
    _xlfn.XLOOKUP(G1273, 'Wedgewood Pharm-PME-Yr2-2025'!$E$62:$L$62,
        _xlfn.XLOOKUP('Rate Load'!H1273, 'Wedgewood Pharm-PME-Yr2-2025'!$D$63:$D$86,
            'Wedgewood Pharm-PME-Yr2-2025'!$E$63:$L$86, 0, 0),
        0, 0),
    _xlfn.XLOOKUP(G1273, 'Wedgewood Pharm-PME-Yr2-2025'!$E$62:$L$62,
        _xlfn.XLOOKUP('Rate Load'!L1273, 'Wedgewood Pharm-PME-Yr2-2025'!$D$63:$D$86,
            'Wedgewood Pharm-PME-Yr2-2025'!$E$63:$L$86, 0, 0),
        0, 0)
)</f>
        <v>39.26</v>
      </c>
      <c r="K1273" t="s">
        <v>46</v>
      </c>
      <c r="L1273" t="s">
        <v>13</v>
      </c>
      <c r="M1273">
        <v>3</v>
      </c>
      <c r="N1273" t="str">
        <f t="shared" si="19"/>
        <v>INSERT INTO TNL_RATING.dbo.usps_rate_master VALUES ('USPS', '2/13/2025', '2/13/2026', 12659, 'US', 'Priority Mail Express', 7, 9, 'L', 39.26, 'Wedgewood_USPS_2025', 'NonCubic','3');</v>
      </c>
    </row>
    <row r="1274" spans="1:14" x14ac:dyDescent="0.3">
      <c r="A1274" t="s">
        <v>11</v>
      </c>
      <c r="B1274" s="1" t="s">
        <v>43</v>
      </c>
      <c r="C1274" s="1" t="s">
        <v>44</v>
      </c>
      <c r="D1274">
        <v>12659</v>
      </c>
      <c r="E1274" t="s">
        <v>12</v>
      </c>
      <c r="F1274" t="s">
        <v>42</v>
      </c>
      <c r="G1274">
        <v>7</v>
      </c>
      <c r="H1274">
        <v>10</v>
      </c>
      <c r="I1274" t="s">
        <v>45</v>
      </c>
      <c r="J1274" cm="1">
        <f t="array" ref="J1274">IFERROR(
    _xlfn.XLOOKUP(G1274, 'Wedgewood Pharm-PME-Yr2-2025'!$E$62:$L$62,
        _xlfn.XLOOKUP('Rate Load'!H1274, 'Wedgewood Pharm-PME-Yr2-2025'!$D$63:$D$86,
            'Wedgewood Pharm-PME-Yr2-2025'!$E$63:$L$86, 0, 0),
        0, 0),
    _xlfn.XLOOKUP(G1274, 'Wedgewood Pharm-PME-Yr2-2025'!$E$62:$L$62,
        _xlfn.XLOOKUP('Rate Load'!L1274, 'Wedgewood Pharm-PME-Yr2-2025'!$D$63:$D$86,
            'Wedgewood Pharm-PME-Yr2-2025'!$E$63:$L$86, 0, 0),
        0, 0)
)</f>
        <v>42.11</v>
      </c>
      <c r="K1274" t="s">
        <v>46</v>
      </c>
      <c r="L1274" t="s">
        <v>13</v>
      </c>
      <c r="M1274">
        <v>3</v>
      </c>
      <c r="N1274" t="str">
        <f t="shared" si="19"/>
        <v>INSERT INTO TNL_RATING.dbo.usps_rate_master VALUES ('USPS', '2/13/2025', '2/13/2026', 12659, 'US', 'Priority Mail Express', 7, 10, 'L', 42.11, 'Wedgewood_USPS_2025', 'NonCubic','3');</v>
      </c>
    </row>
    <row r="1275" spans="1:14" x14ac:dyDescent="0.3">
      <c r="A1275" t="s">
        <v>11</v>
      </c>
      <c r="B1275" s="1" t="s">
        <v>43</v>
      </c>
      <c r="C1275" s="1" t="s">
        <v>44</v>
      </c>
      <c r="D1275">
        <v>12659</v>
      </c>
      <c r="E1275" t="s">
        <v>12</v>
      </c>
      <c r="F1275" t="s">
        <v>42</v>
      </c>
      <c r="G1275">
        <v>7</v>
      </c>
      <c r="H1275">
        <v>11</v>
      </c>
      <c r="I1275" t="s">
        <v>45</v>
      </c>
      <c r="J1275" cm="1">
        <f t="array" ref="J1275">IFERROR(
    _xlfn.XLOOKUP(G1275, 'Wedgewood Pharm-PME-Yr2-2025'!$E$62:$L$62,
        _xlfn.XLOOKUP('Rate Load'!H1275, 'Wedgewood Pharm-PME-Yr2-2025'!$D$63:$D$86,
            'Wedgewood Pharm-PME-Yr2-2025'!$E$63:$L$86, 0, 0),
        0, 0),
    _xlfn.XLOOKUP(G1275, 'Wedgewood Pharm-PME-Yr2-2025'!$E$62:$L$62,
        _xlfn.XLOOKUP('Rate Load'!L1275, 'Wedgewood Pharm-PME-Yr2-2025'!$D$63:$D$86,
            'Wedgewood Pharm-PME-Yr2-2025'!$E$63:$L$86, 0, 0),
        0, 0)
)</f>
        <v>44.559999999999995</v>
      </c>
      <c r="K1275" t="s">
        <v>46</v>
      </c>
      <c r="L1275" t="s">
        <v>13</v>
      </c>
      <c r="M1275">
        <v>3</v>
      </c>
      <c r="N1275" t="str">
        <f t="shared" si="19"/>
        <v>INSERT INTO TNL_RATING.dbo.usps_rate_master VALUES ('USPS', '2/13/2025', '2/13/2026', 12659, 'US', 'Priority Mail Express', 7, 11, 'L', 44.56, 'Wedgewood_USPS_2025', 'NonCubic','3');</v>
      </c>
    </row>
    <row r="1276" spans="1:14" x14ac:dyDescent="0.3">
      <c r="A1276" t="s">
        <v>11</v>
      </c>
      <c r="B1276" s="1" t="s">
        <v>43</v>
      </c>
      <c r="C1276" s="1" t="s">
        <v>44</v>
      </c>
      <c r="D1276">
        <v>12659</v>
      </c>
      <c r="E1276" t="s">
        <v>12</v>
      </c>
      <c r="F1276" t="s">
        <v>42</v>
      </c>
      <c r="G1276">
        <v>7</v>
      </c>
      <c r="H1276">
        <v>12</v>
      </c>
      <c r="I1276" t="s">
        <v>45</v>
      </c>
      <c r="J1276" cm="1">
        <f t="array" ref="J1276">IFERROR(
    _xlfn.XLOOKUP(G1276, 'Wedgewood Pharm-PME-Yr2-2025'!$E$62:$L$62,
        _xlfn.XLOOKUP('Rate Load'!H1276, 'Wedgewood Pharm-PME-Yr2-2025'!$D$63:$D$86,
            'Wedgewood Pharm-PME-Yr2-2025'!$E$63:$L$86, 0, 0),
        0, 0),
    _xlfn.XLOOKUP(G1276, 'Wedgewood Pharm-PME-Yr2-2025'!$E$62:$L$62,
        _xlfn.XLOOKUP('Rate Load'!L1276, 'Wedgewood Pharm-PME-Yr2-2025'!$D$63:$D$86,
            'Wedgewood Pharm-PME-Yr2-2025'!$E$63:$L$86, 0, 0),
        0, 0)
)</f>
        <v>47.019999999999996</v>
      </c>
      <c r="K1276" t="s">
        <v>46</v>
      </c>
      <c r="L1276" t="s">
        <v>13</v>
      </c>
      <c r="M1276">
        <v>3</v>
      </c>
      <c r="N1276" t="str">
        <f t="shared" si="19"/>
        <v>INSERT INTO TNL_RATING.dbo.usps_rate_master VALUES ('USPS', '2/13/2025', '2/13/2026', 12659, 'US', 'Priority Mail Express', 7, 12, 'L', 47.02, 'Wedgewood_USPS_2025', 'NonCubic','3');</v>
      </c>
    </row>
    <row r="1277" spans="1:14" x14ac:dyDescent="0.3">
      <c r="A1277" t="s">
        <v>11</v>
      </c>
      <c r="B1277" s="1" t="s">
        <v>43</v>
      </c>
      <c r="C1277" s="1" t="s">
        <v>44</v>
      </c>
      <c r="D1277">
        <v>12659</v>
      </c>
      <c r="E1277" t="s">
        <v>12</v>
      </c>
      <c r="F1277" t="s">
        <v>42</v>
      </c>
      <c r="G1277">
        <v>7</v>
      </c>
      <c r="H1277">
        <v>13</v>
      </c>
      <c r="I1277" t="s">
        <v>45</v>
      </c>
      <c r="J1277" cm="1">
        <f t="array" ref="J1277">IFERROR(
    _xlfn.XLOOKUP(G1277, 'Wedgewood Pharm-PME-Yr2-2025'!$E$62:$L$62,
        _xlfn.XLOOKUP('Rate Load'!H1277, 'Wedgewood Pharm-PME-Yr2-2025'!$D$63:$D$86,
            'Wedgewood Pharm-PME-Yr2-2025'!$E$63:$L$86, 0, 0),
        0, 0),
    _xlfn.XLOOKUP(G1277, 'Wedgewood Pharm-PME-Yr2-2025'!$E$62:$L$62,
        _xlfn.XLOOKUP('Rate Load'!L1277, 'Wedgewood Pharm-PME-Yr2-2025'!$D$63:$D$86,
            'Wedgewood Pharm-PME-Yr2-2025'!$E$63:$L$86, 0, 0),
        0, 0)
)</f>
        <v>49.48</v>
      </c>
      <c r="K1277" t="s">
        <v>46</v>
      </c>
      <c r="L1277" t="s">
        <v>13</v>
      </c>
      <c r="M1277">
        <v>3</v>
      </c>
      <c r="N1277" t="str">
        <f t="shared" si="19"/>
        <v>INSERT INTO TNL_RATING.dbo.usps_rate_master VALUES ('USPS', '2/13/2025', '2/13/2026', 12659, 'US', 'Priority Mail Express', 7, 13, 'L', 49.48, 'Wedgewood_USPS_2025', 'NonCubic','3');</v>
      </c>
    </row>
    <row r="1278" spans="1:14" x14ac:dyDescent="0.3">
      <c r="A1278" t="s">
        <v>11</v>
      </c>
      <c r="B1278" s="1" t="s">
        <v>43</v>
      </c>
      <c r="C1278" s="1" t="s">
        <v>44</v>
      </c>
      <c r="D1278">
        <v>12659</v>
      </c>
      <c r="E1278" t="s">
        <v>12</v>
      </c>
      <c r="F1278" t="s">
        <v>42</v>
      </c>
      <c r="G1278">
        <v>7</v>
      </c>
      <c r="H1278">
        <v>14</v>
      </c>
      <c r="I1278" t="s">
        <v>45</v>
      </c>
      <c r="J1278" cm="1">
        <f t="array" ref="J1278">IFERROR(
    _xlfn.XLOOKUP(G1278, 'Wedgewood Pharm-PME-Yr2-2025'!$E$62:$L$62,
        _xlfn.XLOOKUP('Rate Load'!H1278, 'Wedgewood Pharm-PME-Yr2-2025'!$D$63:$D$86,
            'Wedgewood Pharm-PME-Yr2-2025'!$E$63:$L$86, 0, 0),
        0, 0),
    _xlfn.XLOOKUP(G1278, 'Wedgewood Pharm-PME-Yr2-2025'!$E$62:$L$62,
        _xlfn.XLOOKUP('Rate Load'!L1278, 'Wedgewood Pharm-PME-Yr2-2025'!$D$63:$D$86,
            'Wedgewood Pharm-PME-Yr2-2025'!$E$63:$L$86, 0, 0),
        0, 0)
)</f>
        <v>51.919999999999995</v>
      </c>
      <c r="K1278" t="s">
        <v>46</v>
      </c>
      <c r="L1278" t="s">
        <v>13</v>
      </c>
      <c r="M1278">
        <v>3</v>
      </c>
      <c r="N1278" t="str">
        <f t="shared" si="19"/>
        <v>INSERT INTO TNL_RATING.dbo.usps_rate_master VALUES ('USPS', '2/13/2025', '2/13/2026', 12659, 'US', 'Priority Mail Express', 7, 14, 'L', 51.92, 'Wedgewood_USPS_2025', 'NonCubic','3');</v>
      </c>
    </row>
    <row r="1279" spans="1:14" x14ac:dyDescent="0.3">
      <c r="A1279" t="s">
        <v>11</v>
      </c>
      <c r="B1279" s="1" t="s">
        <v>43</v>
      </c>
      <c r="C1279" s="1" t="s">
        <v>44</v>
      </c>
      <c r="D1279">
        <v>12659</v>
      </c>
      <c r="E1279" t="s">
        <v>12</v>
      </c>
      <c r="F1279" t="s">
        <v>42</v>
      </c>
      <c r="G1279">
        <v>7</v>
      </c>
      <c r="H1279">
        <v>15</v>
      </c>
      <c r="I1279" t="s">
        <v>45</v>
      </c>
      <c r="J1279" cm="1">
        <f t="array" ref="J1279">IFERROR(
    _xlfn.XLOOKUP(G1279, 'Wedgewood Pharm-PME-Yr2-2025'!$E$62:$L$62,
        _xlfn.XLOOKUP('Rate Load'!H1279, 'Wedgewood Pharm-PME-Yr2-2025'!$D$63:$D$86,
            'Wedgewood Pharm-PME-Yr2-2025'!$E$63:$L$86, 0, 0),
        0, 0),
    _xlfn.XLOOKUP(G1279, 'Wedgewood Pharm-PME-Yr2-2025'!$E$62:$L$62,
        _xlfn.XLOOKUP('Rate Load'!L1279, 'Wedgewood Pharm-PME-Yr2-2025'!$D$63:$D$86,
            'Wedgewood Pharm-PME-Yr2-2025'!$E$63:$L$86, 0, 0),
        0, 0)
)</f>
        <v>54.37</v>
      </c>
      <c r="K1279" t="s">
        <v>46</v>
      </c>
      <c r="L1279" t="s">
        <v>13</v>
      </c>
      <c r="M1279">
        <v>3</v>
      </c>
      <c r="N1279" t="str">
        <f t="shared" si="19"/>
        <v>INSERT INTO TNL_RATING.dbo.usps_rate_master VALUES ('USPS', '2/13/2025', '2/13/2026', 12659, 'US', 'Priority Mail Express', 7, 15, 'L', 54.37, 'Wedgewood_USPS_2025', 'NonCubic','3');</v>
      </c>
    </row>
    <row r="1280" spans="1:14" x14ac:dyDescent="0.3">
      <c r="A1280" t="s">
        <v>11</v>
      </c>
      <c r="B1280" s="1" t="s">
        <v>43</v>
      </c>
      <c r="C1280" s="1" t="s">
        <v>44</v>
      </c>
      <c r="D1280">
        <v>12659</v>
      </c>
      <c r="E1280" t="s">
        <v>12</v>
      </c>
      <c r="F1280" t="s">
        <v>42</v>
      </c>
      <c r="G1280">
        <v>7</v>
      </c>
      <c r="H1280">
        <v>16</v>
      </c>
      <c r="I1280" t="s">
        <v>45</v>
      </c>
      <c r="J1280" cm="1">
        <f t="array" ref="J1280">IFERROR(
    _xlfn.XLOOKUP(G1280, 'Wedgewood Pharm-PME-Yr2-2025'!$E$62:$L$62,
        _xlfn.XLOOKUP('Rate Load'!H1280, 'Wedgewood Pharm-PME-Yr2-2025'!$D$63:$D$86,
            'Wedgewood Pharm-PME-Yr2-2025'!$E$63:$L$86, 0, 0),
        0, 0),
    _xlfn.XLOOKUP(G1280, 'Wedgewood Pharm-PME-Yr2-2025'!$E$62:$L$62,
        _xlfn.XLOOKUP('Rate Load'!L1280, 'Wedgewood Pharm-PME-Yr2-2025'!$D$63:$D$86,
            'Wedgewood Pharm-PME-Yr2-2025'!$E$63:$L$86, 0, 0),
        0, 0)
)</f>
        <v>56.839999999999996</v>
      </c>
      <c r="K1280" t="s">
        <v>46</v>
      </c>
      <c r="L1280" t="s">
        <v>13</v>
      </c>
      <c r="M1280">
        <v>3</v>
      </c>
      <c r="N1280" t="str">
        <f t="shared" si="19"/>
        <v>INSERT INTO TNL_RATING.dbo.usps_rate_master VALUES ('USPS', '2/13/2025', '2/13/2026', 12659, 'US', 'Priority Mail Express', 7, 16, 'L', 56.84, 'Wedgewood_USPS_2025', 'NonCubic','3');</v>
      </c>
    </row>
    <row r="1281" spans="1:14" x14ac:dyDescent="0.3">
      <c r="A1281" t="s">
        <v>11</v>
      </c>
      <c r="B1281" s="1" t="s">
        <v>43</v>
      </c>
      <c r="C1281" s="1" t="s">
        <v>44</v>
      </c>
      <c r="D1281">
        <v>12659</v>
      </c>
      <c r="E1281" t="s">
        <v>12</v>
      </c>
      <c r="F1281" t="s">
        <v>42</v>
      </c>
      <c r="G1281">
        <v>7</v>
      </c>
      <c r="H1281">
        <v>17</v>
      </c>
      <c r="I1281" t="s">
        <v>45</v>
      </c>
      <c r="J1281" cm="1">
        <f t="array" ref="J1281">IFERROR(
    _xlfn.XLOOKUP(G1281, 'Wedgewood Pharm-PME-Yr2-2025'!$E$62:$L$62,
        _xlfn.XLOOKUP('Rate Load'!H1281, 'Wedgewood Pharm-PME-Yr2-2025'!$D$63:$D$86,
            'Wedgewood Pharm-PME-Yr2-2025'!$E$63:$L$86, 0, 0),
        0, 0),
    _xlfn.XLOOKUP(G1281, 'Wedgewood Pharm-PME-Yr2-2025'!$E$62:$L$62,
        _xlfn.XLOOKUP('Rate Load'!L1281, 'Wedgewood Pharm-PME-Yr2-2025'!$D$63:$D$86,
            'Wedgewood Pharm-PME-Yr2-2025'!$E$63:$L$86, 0, 0),
        0, 0)
)</f>
        <v>59.29</v>
      </c>
      <c r="K1281" t="s">
        <v>46</v>
      </c>
      <c r="L1281" t="s">
        <v>13</v>
      </c>
      <c r="M1281">
        <v>3</v>
      </c>
      <c r="N1281" t="str">
        <f t="shared" si="19"/>
        <v>INSERT INTO TNL_RATING.dbo.usps_rate_master VALUES ('USPS', '2/13/2025', '2/13/2026', 12659, 'US', 'Priority Mail Express', 7, 17, 'L', 59.29, 'Wedgewood_USPS_2025', 'NonCubic','3');</v>
      </c>
    </row>
    <row r="1282" spans="1:14" x14ac:dyDescent="0.3">
      <c r="A1282" t="s">
        <v>11</v>
      </c>
      <c r="B1282" s="1" t="s">
        <v>43</v>
      </c>
      <c r="C1282" s="1" t="s">
        <v>44</v>
      </c>
      <c r="D1282">
        <v>12659</v>
      </c>
      <c r="E1282" t="s">
        <v>12</v>
      </c>
      <c r="F1282" t="s">
        <v>42</v>
      </c>
      <c r="G1282">
        <v>7</v>
      </c>
      <c r="H1282">
        <v>18</v>
      </c>
      <c r="I1282" t="s">
        <v>45</v>
      </c>
      <c r="J1282" cm="1">
        <f t="array" ref="J1282">IFERROR(
    _xlfn.XLOOKUP(G1282, 'Wedgewood Pharm-PME-Yr2-2025'!$E$62:$L$62,
        _xlfn.XLOOKUP('Rate Load'!H1282, 'Wedgewood Pharm-PME-Yr2-2025'!$D$63:$D$86,
            'Wedgewood Pharm-PME-Yr2-2025'!$E$63:$L$86, 0, 0),
        0, 0),
    _xlfn.XLOOKUP(G1282, 'Wedgewood Pharm-PME-Yr2-2025'!$E$62:$L$62,
        _xlfn.XLOOKUP('Rate Load'!L1282, 'Wedgewood Pharm-PME-Yr2-2025'!$D$63:$D$86,
            'Wedgewood Pharm-PME-Yr2-2025'!$E$63:$L$86, 0, 0),
        0, 0)
)</f>
        <v>61.739999999999995</v>
      </c>
      <c r="K1282" t="s">
        <v>46</v>
      </c>
      <c r="L1282" t="s">
        <v>13</v>
      </c>
      <c r="M1282">
        <v>3</v>
      </c>
      <c r="N1282" t="str">
        <f t="shared" si="19"/>
        <v>INSERT INTO TNL_RATING.dbo.usps_rate_master VALUES ('USPS', '2/13/2025', '2/13/2026', 12659, 'US', 'Priority Mail Express', 7, 18, 'L', 61.74, 'Wedgewood_USPS_2025', 'NonCubic','3');</v>
      </c>
    </row>
    <row r="1283" spans="1:14" x14ac:dyDescent="0.3">
      <c r="A1283" t="s">
        <v>11</v>
      </c>
      <c r="B1283" s="1" t="s">
        <v>43</v>
      </c>
      <c r="C1283" s="1" t="s">
        <v>44</v>
      </c>
      <c r="D1283">
        <v>12659</v>
      </c>
      <c r="E1283" t="s">
        <v>12</v>
      </c>
      <c r="F1283" t="s">
        <v>42</v>
      </c>
      <c r="G1283">
        <v>7</v>
      </c>
      <c r="H1283">
        <v>19</v>
      </c>
      <c r="I1283" t="s">
        <v>45</v>
      </c>
      <c r="J1283" cm="1">
        <f t="array" ref="J1283">IFERROR(
    _xlfn.XLOOKUP(G1283, 'Wedgewood Pharm-PME-Yr2-2025'!$E$62:$L$62,
        _xlfn.XLOOKUP('Rate Load'!H1283, 'Wedgewood Pharm-PME-Yr2-2025'!$D$63:$D$86,
            'Wedgewood Pharm-PME-Yr2-2025'!$E$63:$L$86, 0, 0),
        0, 0),
    _xlfn.XLOOKUP(G1283, 'Wedgewood Pharm-PME-Yr2-2025'!$E$62:$L$62,
        _xlfn.XLOOKUP('Rate Load'!L1283, 'Wedgewood Pharm-PME-Yr2-2025'!$D$63:$D$86,
            'Wedgewood Pharm-PME-Yr2-2025'!$E$63:$L$86, 0, 0),
        0, 0)
)</f>
        <v>64.2</v>
      </c>
      <c r="K1283" t="s">
        <v>46</v>
      </c>
      <c r="L1283" t="s">
        <v>13</v>
      </c>
      <c r="M1283">
        <v>3</v>
      </c>
      <c r="N1283" t="str">
        <f t="shared" ref="N1283:N1346" si="20">"INSERT INTO TNL_RATING.dbo.usps_rate_master VALUES ('" &amp; A1283 &amp; "', '" &amp; B1283 &amp; "', '" &amp; C1283 &amp; "', " &amp; D1283 &amp; ", '" &amp; E1283 &amp; "', '" &amp; F1283 &amp; "', " &amp; G1283 &amp; ", " &amp; H1283 &amp; ", '" &amp; I1283 &amp; "', " &amp; J1283 &amp; ", '" &amp; K1283 &amp; "', '" &amp; L1283 &amp; "','" &amp; M1283 &amp; "');"</f>
        <v>INSERT INTO TNL_RATING.dbo.usps_rate_master VALUES ('USPS', '2/13/2025', '2/13/2026', 12659, 'US', 'Priority Mail Express', 7, 19, 'L', 64.2, 'Wedgewood_USPS_2025', 'NonCubic','3');</v>
      </c>
    </row>
    <row r="1284" spans="1:14" x14ac:dyDescent="0.3">
      <c r="A1284" t="s">
        <v>11</v>
      </c>
      <c r="B1284" s="1" t="s">
        <v>43</v>
      </c>
      <c r="C1284" s="1" t="s">
        <v>44</v>
      </c>
      <c r="D1284">
        <v>12659</v>
      </c>
      <c r="E1284" t="s">
        <v>12</v>
      </c>
      <c r="F1284" t="s">
        <v>42</v>
      </c>
      <c r="G1284">
        <v>7</v>
      </c>
      <c r="H1284">
        <v>20</v>
      </c>
      <c r="I1284" t="s">
        <v>45</v>
      </c>
      <c r="J1284" cm="1">
        <f t="array" ref="J1284">IFERROR(
    _xlfn.XLOOKUP(G1284, 'Wedgewood Pharm-PME-Yr2-2025'!$E$62:$L$62,
        _xlfn.XLOOKUP('Rate Load'!H1284, 'Wedgewood Pharm-PME-Yr2-2025'!$D$63:$D$86,
            'Wedgewood Pharm-PME-Yr2-2025'!$E$63:$L$86, 0, 0),
        0, 0),
    _xlfn.XLOOKUP(G1284, 'Wedgewood Pharm-PME-Yr2-2025'!$E$62:$L$62,
        _xlfn.XLOOKUP('Rate Load'!L1284, 'Wedgewood Pharm-PME-Yr2-2025'!$D$63:$D$86,
            'Wedgewood Pharm-PME-Yr2-2025'!$E$63:$L$86, 0, 0),
        0, 0)
)</f>
        <v>66.650000000000006</v>
      </c>
      <c r="K1284" t="s">
        <v>46</v>
      </c>
      <c r="L1284" t="s">
        <v>13</v>
      </c>
      <c r="M1284">
        <v>3</v>
      </c>
      <c r="N1284" t="str">
        <f t="shared" si="20"/>
        <v>INSERT INTO TNL_RATING.dbo.usps_rate_master VALUES ('USPS', '2/13/2025', '2/13/2026', 12659, 'US', 'Priority Mail Express', 7, 20, 'L', 66.65, 'Wedgewood_USPS_2025', 'NonCubic','3');</v>
      </c>
    </row>
    <row r="1285" spans="1:14" x14ac:dyDescent="0.3">
      <c r="A1285" t="s">
        <v>11</v>
      </c>
      <c r="B1285" s="1" t="s">
        <v>43</v>
      </c>
      <c r="C1285" s="1" t="s">
        <v>44</v>
      </c>
      <c r="D1285">
        <v>12659</v>
      </c>
      <c r="E1285" t="s">
        <v>12</v>
      </c>
      <c r="F1285" t="s">
        <v>42</v>
      </c>
      <c r="G1285">
        <v>8</v>
      </c>
      <c r="H1285">
        <v>0.5</v>
      </c>
      <c r="I1285" t="s">
        <v>45</v>
      </c>
      <c r="J1285" cm="1">
        <f t="array" ref="J1285">IFERROR(
    _xlfn.XLOOKUP(G1285, 'Wedgewood Pharm-PME-Yr2-2025'!$E$62:$L$62,
        _xlfn.XLOOKUP('Rate Load'!H1285, 'Wedgewood Pharm-PME-Yr2-2025'!$D$63:$D$86,
            'Wedgewood Pharm-PME-Yr2-2025'!$E$63:$L$86, 0, 0),
        0, 0),
    _xlfn.XLOOKUP(G1285, 'Wedgewood Pharm-PME-Yr2-2025'!$E$62:$L$62,
        _xlfn.XLOOKUP('Rate Load'!L1285, 'Wedgewood Pharm-PME-Yr2-2025'!$D$63:$D$86,
            'Wedgewood Pharm-PME-Yr2-2025'!$E$63:$L$86, 0, 0),
        0, 0)
)</f>
        <v>15.799999999999999</v>
      </c>
      <c r="K1285" t="s">
        <v>46</v>
      </c>
      <c r="L1285" t="s">
        <v>13</v>
      </c>
      <c r="M1285">
        <v>3</v>
      </c>
      <c r="N1285" t="str">
        <f t="shared" si="20"/>
        <v>INSERT INTO TNL_RATING.dbo.usps_rate_master VALUES ('USPS', '2/13/2025', '2/13/2026', 12659, 'US', 'Priority Mail Express', 8, 0.5, 'L', 15.8, 'Wedgewood_USPS_2025', 'NonCubic','3');</v>
      </c>
    </row>
    <row r="1286" spans="1:14" x14ac:dyDescent="0.3">
      <c r="A1286" t="s">
        <v>11</v>
      </c>
      <c r="B1286" s="1" t="s">
        <v>43</v>
      </c>
      <c r="C1286" s="1" t="s">
        <v>44</v>
      </c>
      <c r="D1286">
        <v>12659</v>
      </c>
      <c r="E1286" t="s">
        <v>12</v>
      </c>
      <c r="F1286" t="s">
        <v>42</v>
      </c>
      <c r="G1286">
        <v>8</v>
      </c>
      <c r="H1286">
        <v>1</v>
      </c>
      <c r="I1286" t="s">
        <v>45</v>
      </c>
      <c r="J1286" cm="1">
        <f t="array" ref="J1286">IFERROR(
    _xlfn.XLOOKUP(G1286, 'Wedgewood Pharm-PME-Yr2-2025'!$E$62:$L$62,
        _xlfn.XLOOKUP('Rate Load'!H1286, 'Wedgewood Pharm-PME-Yr2-2025'!$D$63:$D$86,
            'Wedgewood Pharm-PME-Yr2-2025'!$E$63:$L$86, 0, 0),
        0, 0),
    _xlfn.XLOOKUP(G1286, 'Wedgewood Pharm-PME-Yr2-2025'!$E$62:$L$62,
        _xlfn.XLOOKUP('Rate Load'!L1286, 'Wedgewood Pharm-PME-Yr2-2025'!$D$63:$D$86,
            'Wedgewood Pharm-PME-Yr2-2025'!$E$63:$L$86, 0, 0),
        0, 0)
)</f>
        <v>17.510000000000002</v>
      </c>
      <c r="K1286" t="s">
        <v>46</v>
      </c>
      <c r="L1286" t="s">
        <v>13</v>
      </c>
      <c r="M1286">
        <v>3</v>
      </c>
      <c r="N1286" t="str">
        <f t="shared" si="20"/>
        <v>INSERT INTO TNL_RATING.dbo.usps_rate_master VALUES ('USPS', '2/13/2025', '2/13/2026', 12659, 'US', 'Priority Mail Express', 8, 1, 'L', 17.51, 'Wedgewood_USPS_2025', 'NonCubic','3');</v>
      </c>
    </row>
    <row r="1287" spans="1:14" x14ac:dyDescent="0.3">
      <c r="A1287" t="s">
        <v>11</v>
      </c>
      <c r="B1287" s="1" t="s">
        <v>43</v>
      </c>
      <c r="C1287" s="1" t="s">
        <v>44</v>
      </c>
      <c r="D1287">
        <v>12659</v>
      </c>
      <c r="E1287" t="s">
        <v>12</v>
      </c>
      <c r="F1287" t="s">
        <v>42</v>
      </c>
      <c r="G1287">
        <v>8</v>
      </c>
      <c r="H1287">
        <v>2</v>
      </c>
      <c r="I1287" t="s">
        <v>45</v>
      </c>
      <c r="J1287" cm="1">
        <f t="array" ref="J1287">IFERROR(
    _xlfn.XLOOKUP(G1287, 'Wedgewood Pharm-PME-Yr2-2025'!$E$62:$L$62,
        _xlfn.XLOOKUP('Rate Load'!H1287, 'Wedgewood Pharm-PME-Yr2-2025'!$D$63:$D$86,
            'Wedgewood Pharm-PME-Yr2-2025'!$E$63:$L$86, 0, 0),
        0, 0),
    _xlfn.XLOOKUP(G1287, 'Wedgewood Pharm-PME-Yr2-2025'!$E$62:$L$62,
        _xlfn.XLOOKUP('Rate Load'!L1287, 'Wedgewood Pharm-PME-Yr2-2025'!$D$63:$D$86,
            'Wedgewood Pharm-PME-Yr2-2025'!$E$63:$L$86, 0, 0),
        0, 0)
)</f>
        <v>19.98</v>
      </c>
      <c r="K1287" t="s">
        <v>46</v>
      </c>
      <c r="L1287" t="s">
        <v>13</v>
      </c>
      <c r="M1287">
        <v>3</v>
      </c>
      <c r="N1287" t="str">
        <f t="shared" si="20"/>
        <v>INSERT INTO TNL_RATING.dbo.usps_rate_master VALUES ('USPS', '2/13/2025', '2/13/2026', 12659, 'US', 'Priority Mail Express', 8, 2, 'L', 19.98, 'Wedgewood_USPS_2025', 'NonCubic','3');</v>
      </c>
    </row>
    <row r="1288" spans="1:14" x14ac:dyDescent="0.3">
      <c r="A1288" t="s">
        <v>11</v>
      </c>
      <c r="B1288" s="1" t="s">
        <v>43</v>
      </c>
      <c r="C1288" s="1" t="s">
        <v>44</v>
      </c>
      <c r="D1288">
        <v>12659</v>
      </c>
      <c r="E1288" t="s">
        <v>12</v>
      </c>
      <c r="F1288" t="s">
        <v>42</v>
      </c>
      <c r="G1288">
        <v>8</v>
      </c>
      <c r="H1288">
        <v>3</v>
      </c>
      <c r="I1288" t="s">
        <v>45</v>
      </c>
      <c r="J1288" cm="1">
        <f t="array" ref="J1288">IFERROR(
    _xlfn.XLOOKUP(G1288, 'Wedgewood Pharm-PME-Yr2-2025'!$E$62:$L$62,
        _xlfn.XLOOKUP('Rate Load'!H1288, 'Wedgewood Pharm-PME-Yr2-2025'!$D$63:$D$86,
            'Wedgewood Pharm-PME-Yr2-2025'!$E$63:$L$86, 0, 0),
        0, 0),
    _xlfn.XLOOKUP(G1288, 'Wedgewood Pharm-PME-Yr2-2025'!$E$62:$L$62,
        _xlfn.XLOOKUP('Rate Load'!L1288, 'Wedgewood Pharm-PME-Yr2-2025'!$D$63:$D$86,
            'Wedgewood Pharm-PME-Yr2-2025'!$E$63:$L$86, 0, 0),
        0, 0)
)</f>
        <v>22.830000000000002</v>
      </c>
      <c r="K1288" t="s">
        <v>46</v>
      </c>
      <c r="L1288" t="s">
        <v>13</v>
      </c>
      <c r="M1288">
        <v>3</v>
      </c>
      <c r="N1288" t="str">
        <f t="shared" si="20"/>
        <v>INSERT INTO TNL_RATING.dbo.usps_rate_master VALUES ('USPS', '2/13/2025', '2/13/2026', 12659, 'US', 'Priority Mail Express', 8, 3, 'L', 22.83, 'Wedgewood_USPS_2025', 'NonCubic','3');</v>
      </c>
    </row>
    <row r="1289" spans="1:14" x14ac:dyDescent="0.3">
      <c r="A1289" t="s">
        <v>11</v>
      </c>
      <c r="B1289" s="1" t="s">
        <v>43</v>
      </c>
      <c r="C1289" s="1" t="s">
        <v>44</v>
      </c>
      <c r="D1289">
        <v>12659</v>
      </c>
      <c r="E1289" t="s">
        <v>12</v>
      </c>
      <c r="F1289" t="s">
        <v>42</v>
      </c>
      <c r="G1289">
        <v>8</v>
      </c>
      <c r="H1289">
        <v>4</v>
      </c>
      <c r="I1289" t="s">
        <v>45</v>
      </c>
      <c r="J1289" cm="1">
        <f t="array" ref="J1289">IFERROR(
    _xlfn.XLOOKUP(G1289, 'Wedgewood Pharm-PME-Yr2-2025'!$E$62:$L$62,
        _xlfn.XLOOKUP('Rate Load'!H1289, 'Wedgewood Pharm-PME-Yr2-2025'!$D$63:$D$86,
            'Wedgewood Pharm-PME-Yr2-2025'!$E$63:$L$86, 0, 0),
        0, 0),
    _xlfn.XLOOKUP(G1289, 'Wedgewood Pharm-PME-Yr2-2025'!$E$62:$L$62,
        _xlfn.XLOOKUP('Rate Load'!L1289, 'Wedgewood Pharm-PME-Yr2-2025'!$D$63:$D$86,
            'Wedgewood Pharm-PME-Yr2-2025'!$E$63:$L$86, 0, 0),
        0, 0)
)</f>
        <v>25.69</v>
      </c>
      <c r="K1289" t="s">
        <v>46</v>
      </c>
      <c r="L1289" t="s">
        <v>13</v>
      </c>
      <c r="M1289">
        <v>3</v>
      </c>
      <c r="N1289" t="str">
        <f t="shared" si="20"/>
        <v>INSERT INTO TNL_RATING.dbo.usps_rate_master VALUES ('USPS', '2/13/2025', '2/13/2026', 12659, 'US', 'Priority Mail Express', 8, 4, 'L', 25.69, 'Wedgewood_USPS_2025', 'NonCubic','3');</v>
      </c>
    </row>
    <row r="1290" spans="1:14" x14ac:dyDescent="0.3">
      <c r="A1290" t="s">
        <v>11</v>
      </c>
      <c r="B1290" s="1" t="s">
        <v>43</v>
      </c>
      <c r="C1290" s="1" t="s">
        <v>44</v>
      </c>
      <c r="D1290">
        <v>12659</v>
      </c>
      <c r="E1290" t="s">
        <v>12</v>
      </c>
      <c r="F1290" t="s">
        <v>42</v>
      </c>
      <c r="G1290">
        <v>8</v>
      </c>
      <c r="H1290">
        <v>5</v>
      </c>
      <c r="I1290" t="s">
        <v>45</v>
      </c>
      <c r="J1290" cm="1">
        <f t="array" ref="J1290">IFERROR(
    _xlfn.XLOOKUP(G1290, 'Wedgewood Pharm-PME-Yr2-2025'!$E$62:$L$62,
        _xlfn.XLOOKUP('Rate Load'!H1290, 'Wedgewood Pharm-PME-Yr2-2025'!$D$63:$D$86,
            'Wedgewood Pharm-PME-Yr2-2025'!$E$63:$L$86, 0, 0),
        0, 0),
    _xlfn.XLOOKUP(G1290, 'Wedgewood Pharm-PME-Yr2-2025'!$E$62:$L$62,
        _xlfn.XLOOKUP('Rate Load'!L1290, 'Wedgewood Pharm-PME-Yr2-2025'!$D$63:$D$86,
            'Wedgewood Pharm-PME-Yr2-2025'!$E$63:$L$86, 0, 0),
        0, 0)
)</f>
        <v>28.53</v>
      </c>
      <c r="K1290" t="s">
        <v>46</v>
      </c>
      <c r="L1290" t="s">
        <v>13</v>
      </c>
      <c r="M1290">
        <v>3</v>
      </c>
      <c r="N1290" t="str">
        <f t="shared" si="20"/>
        <v>INSERT INTO TNL_RATING.dbo.usps_rate_master VALUES ('USPS', '2/13/2025', '2/13/2026', 12659, 'US', 'Priority Mail Express', 8, 5, 'L', 28.53, 'Wedgewood_USPS_2025', 'NonCubic','3');</v>
      </c>
    </row>
    <row r="1291" spans="1:14" x14ac:dyDescent="0.3">
      <c r="A1291" t="s">
        <v>11</v>
      </c>
      <c r="B1291" s="1" t="s">
        <v>43</v>
      </c>
      <c r="C1291" s="1" t="s">
        <v>44</v>
      </c>
      <c r="D1291">
        <v>12659</v>
      </c>
      <c r="E1291" t="s">
        <v>12</v>
      </c>
      <c r="F1291" t="s">
        <v>42</v>
      </c>
      <c r="G1291">
        <v>8</v>
      </c>
      <c r="H1291">
        <v>6</v>
      </c>
      <c r="I1291" t="s">
        <v>45</v>
      </c>
      <c r="J1291" cm="1">
        <f t="array" ref="J1291">IFERROR(
    _xlfn.XLOOKUP(G1291, 'Wedgewood Pharm-PME-Yr2-2025'!$E$62:$L$62,
        _xlfn.XLOOKUP('Rate Load'!H1291, 'Wedgewood Pharm-PME-Yr2-2025'!$D$63:$D$86,
            'Wedgewood Pharm-PME-Yr2-2025'!$E$63:$L$86, 0, 0),
        0, 0),
    _xlfn.XLOOKUP(G1291, 'Wedgewood Pharm-PME-Yr2-2025'!$E$62:$L$62,
        _xlfn.XLOOKUP('Rate Load'!L1291, 'Wedgewood Pharm-PME-Yr2-2025'!$D$63:$D$86,
            'Wedgewood Pharm-PME-Yr2-2025'!$E$63:$L$86, 0, 0),
        0, 0)
)</f>
        <v>31.44</v>
      </c>
      <c r="K1291" t="s">
        <v>46</v>
      </c>
      <c r="L1291" t="s">
        <v>13</v>
      </c>
      <c r="M1291">
        <v>3</v>
      </c>
      <c r="N1291" t="str">
        <f t="shared" si="20"/>
        <v>INSERT INTO TNL_RATING.dbo.usps_rate_master VALUES ('USPS', '2/13/2025', '2/13/2026', 12659, 'US', 'Priority Mail Express', 8, 6, 'L', 31.44, 'Wedgewood_USPS_2025', 'NonCubic','3');</v>
      </c>
    </row>
    <row r="1292" spans="1:14" x14ac:dyDescent="0.3">
      <c r="A1292" t="s">
        <v>11</v>
      </c>
      <c r="B1292" s="1" t="s">
        <v>43</v>
      </c>
      <c r="C1292" s="1" t="s">
        <v>44</v>
      </c>
      <c r="D1292">
        <v>12659</v>
      </c>
      <c r="E1292" t="s">
        <v>12</v>
      </c>
      <c r="F1292" t="s">
        <v>42</v>
      </c>
      <c r="G1292">
        <v>8</v>
      </c>
      <c r="H1292">
        <v>7</v>
      </c>
      <c r="I1292" t="s">
        <v>45</v>
      </c>
      <c r="J1292" cm="1">
        <f t="array" ref="J1292">IFERROR(
    _xlfn.XLOOKUP(G1292, 'Wedgewood Pharm-PME-Yr2-2025'!$E$62:$L$62,
        _xlfn.XLOOKUP('Rate Load'!H1292, 'Wedgewood Pharm-PME-Yr2-2025'!$D$63:$D$86,
            'Wedgewood Pharm-PME-Yr2-2025'!$E$63:$L$86, 0, 0),
        0, 0),
    _xlfn.XLOOKUP(G1292, 'Wedgewood Pharm-PME-Yr2-2025'!$E$62:$L$62,
        _xlfn.XLOOKUP('Rate Load'!L1292, 'Wedgewood Pharm-PME-Yr2-2025'!$D$63:$D$86,
            'Wedgewood Pharm-PME-Yr2-2025'!$E$63:$L$86, 0, 0),
        0, 0)
)</f>
        <v>34.35</v>
      </c>
      <c r="K1292" t="s">
        <v>46</v>
      </c>
      <c r="L1292" t="s">
        <v>13</v>
      </c>
      <c r="M1292">
        <v>3</v>
      </c>
      <c r="N1292" t="str">
        <f t="shared" si="20"/>
        <v>INSERT INTO TNL_RATING.dbo.usps_rate_master VALUES ('USPS', '2/13/2025', '2/13/2026', 12659, 'US', 'Priority Mail Express', 8, 7, 'L', 34.35, 'Wedgewood_USPS_2025', 'NonCubic','3');</v>
      </c>
    </row>
    <row r="1293" spans="1:14" x14ac:dyDescent="0.3">
      <c r="A1293" t="s">
        <v>11</v>
      </c>
      <c r="B1293" s="1" t="s">
        <v>43</v>
      </c>
      <c r="C1293" s="1" t="s">
        <v>44</v>
      </c>
      <c r="D1293">
        <v>12659</v>
      </c>
      <c r="E1293" t="s">
        <v>12</v>
      </c>
      <c r="F1293" t="s">
        <v>42</v>
      </c>
      <c r="G1293">
        <v>8</v>
      </c>
      <c r="H1293">
        <v>8</v>
      </c>
      <c r="I1293" t="s">
        <v>45</v>
      </c>
      <c r="J1293" cm="1">
        <f t="array" ref="J1293">IFERROR(
    _xlfn.XLOOKUP(G1293, 'Wedgewood Pharm-PME-Yr2-2025'!$E$62:$L$62,
        _xlfn.XLOOKUP('Rate Load'!H1293, 'Wedgewood Pharm-PME-Yr2-2025'!$D$63:$D$86,
            'Wedgewood Pharm-PME-Yr2-2025'!$E$63:$L$86, 0, 0),
        0, 0),
    _xlfn.XLOOKUP(G1293, 'Wedgewood Pharm-PME-Yr2-2025'!$E$62:$L$62,
        _xlfn.XLOOKUP('Rate Load'!L1293, 'Wedgewood Pharm-PME-Yr2-2025'!$D$63:$D$86,
            'Wedgewood Pharm-PME-Yr2-2025'!$E$63:$L$86, 0, 0),
        0, 0)
)</f>
        <v>37.239999999999995</v>
      </c>
      <c r="K1293" t="s">
        <v>46</v>
      </c>
      <c r="L1293" t="s">
        <v>13</v>
      </c>
      <c r="M1293">
        <v>3</v>
      </c>
      <c r="N1293" t="str">
        <f t="shared" si="20"/>
        <v>INSERT INTO TNL_RATING.dbo.usps_rate_master VALUES ('USPS', '2/13/2025', '2/13/2026', 12659, 'US', 'Priority Mail Express', 8, 8, 'L', 37.24, 'Wedgewood_USPS_2025', 'NonCubic','3');</v>
      </c>
    </row>
    <row r="1294" spans="1:14" x14ac:dyDescent="0.3">
      <c r="A1294" t="s">
        <v>11</v>
      </c>
      <c r="B1294" s="1" t="s">
        <v>43</v>
      </c>
      <c r="C1294" s="1" t="s">
        <v>44</v>
      </c>
      <c r="D1294">
        <v>12659</v>
      </c>
      <c r="E1294" t="s">
        <v>12</v>
      </c>
      <c r="F1294" t="s">
        <v>42</v>
      </c>
      <c r="G1294">
        <v>8</v>
      </c>
      <c r="H1294">
        <v>9</v>
      </c>
      <c r="I1294" t="s">
        <v>45</v>
      </c>
      <c r="J1294" cm="1">
        <f t="array" ref="J1294">IFERROR(
    _xlfn.XLOOKUP(G1294, 'Wedgewood Pharm-PME-Yr2-2025'!$E$62:$L$62,
        _xlfn.XLOOKUP('Rate Load'!H1294, 'Wedgewood Pharm-PME-Yr2-2025'!$D$63:$D$86,
            'Wedgewood Pharm-PME-Yr2-2025'!$E$63:$L$86, 0, 0),
        0, 0),
    _xlfn.XLOOKUP(G1294, 'Wedgewood Pharm-PME-Yr2-2025'!$E$62:$L$62,
        _xlfn.XLOOKUP('Rate Load'!L1294, 'Wedgewood Pharm-PME-Yr2-2025'!$D$63:$D$86,
            'Wedgewood Pharm-PME-Yr2-2025'!$E$63:$L$86, 0, 0),
        0, 0)
)</f>
        <v>40.15</v>
      </c>
      <c r="K1294" t="s">
        <v>46</v>
      </c>
      <c r="L1294" t="s">
        <v>13</v>
      </c>
      <c r="M1294">
        <v>3</v>
      </c>
      <c r="N1294" t="str">
        <f t="shared" si="20"/>
        <v>INSERT INTO TNL_RATING.dbo.usps_rate_master VALUES ('USPS', '2/13/2025', '2/13/2026', 12659, 'US', 'Priority Mail Express', 8, 9, 'L', 40.15, 'Wedgewood_USPS_2025', 'NonCubic','3');</v>
      </c>
    </row>
    <row r="1295" spans="1:14" x14ac:dyDescent="0.3">
      <c r="A1295" t="s">
        <v>11</v>
      </c>
      <c r="B1295" s="1" t="s">
        <v>43</v>
      </c>
      <c r="C1295" s="1" t="s">
        <v>44</v>
      </c>
      <c r="D1295">
        <v>12659</v>
      </c>
      <c r="E1295" t="s">
        <v>12</v>
      </c>
      <c r="F1295" t="s">
        <v>42</v>
      </c>
      <c r="G1295">
        <v>8</v>
      </c>
      <c r="H1295">
        <v>10</v>
      </c>
      <c r="I1295" t="s">
        <v>45</v>
      </c>
      <c r="J1295" cm="1">
        <f t="array" ref="J1295">IFERROR(
    _xlfn.XLOOKUP(G1295, 'Wedgewood Pharm-PME-Yr2-2025'!$E$62:$L$62,
        _xlfn.XLOOKUP('Rate Load'!H1295, 'Wedgewood Pharm-PME-Yr2-2025'!$D$63:$D$86,
            'Wedgewood Pharm-PME-Yr2-2025'!$E$63:$L$86, 0, 0),
        0, 0),
    _xlfn.XLOOKUP(G1295, 'Wedgewood Pharm-PME-Yr2-2025'!$E$62:$L$62,
        _xlfn.XLOOKUP('Rate Load'!L1295, 'Wedgewood Pharm-PME-Yr2-2025'!$D$63:$D$86,
            'Wedgewood Pharm-PME-Yr2-2025'!$E$63:$L$86, 0, 0),
        0, 0)
)</f>
        <v>43.04</v>
      </c>
      <c r="K1295" t="s">
        <v>46</v>
      </c>
      <c r="L1295" t="s">
        <v>13</v>
      </c>
      <c r="M1295">
        <v>3</v>
      </c>
      <c r="N1295" t="str">
        <f t="shared" si="20"/>
        <v>INSERT INTO TNL_RATING.dbo.usps_rate_master VALUES ('USPS', '2/13/2025', '2/13/2026', 12659, 'US', 'Priority Mail Express', 8, 10, 'L', 43.04, 'Wedgewood_USPS_2025', 'NonCubic','3');</v>
      </c>
    </row>
    <row r="1296" spans="1:14" x14ac:dyDescent="0.3">
      <c r="A1296" t="s">
        <v>11</v>
      </c>
      <c r="B1296" s="1" t="s">
        <v>43</v>
      </c>
      <c r="C1296" s="1" t="s">
        <v>44</v>
      </c>
      <c r="D1296">
        <v>12659</v>
      </c>
      <c r="E1296" t="s">
        <v>12</v>
      </c>
      <c r="F1296" t="s">
        <v>42</v>
      </c>
      <c r="G1296">
        <v>8</v>
      </c>
      <c r="H1296">
        <v>11</v>
      </c>
      <c r="I1296" t="s">
        <v>45</v>
      </c>
      <c r="J1296" cm="1">
        <f t="array" ref="J1296">IFERROR(
    _xlfn.XLOOKUP(G1296, 'Wedgewood Pharm-PME-Yr2-2025'!$E$62:$L$62,
        _xlfn.XLOOKUP('Rate Load'!H1296, 'Wedgewood Pharm-PME-Yr2-2025'!$D$63:$D$86,
            'Wedgewood Pharm-PME-Yr2-2025'!$E$63:$L$86, 0, 0),
        0, 0),
    _xlfn.XLOOKUP(G1296, 'Wedgewood Pharm-PME-Yr2-2025'!$E$62:$L$62,
        _xlfn.XLOOKUP('Rate Load'!L1296, 'Wedgewood Pharm-PME-Yr2-2025'!$D$63:$D$86,
            'Wedgewood Pharm-PME-Yr2-2025'!$E$63:$L$86, 0, 0),
        0, 0)
)</f>
        <v>45.559999999999995</v>
      </c>
      <c r="K1296" t="s">
        <v>46</v>
      </c>
      <c r="L1296" t="s">
        <v>13</v>
      </c>
      <c r="M1296">
        <v>3</v>
      </c>
      <c r="N1296" t="str">
        <f t="shared" si="20"/>
        <v>INSERT INTO TNL_RATING.dbo.usps_rate_master VALUES ('USPS', '2/13/2025', '2/13/2026', 12659, 'US', 'Priority Mail Express', 8, 11, 'L', 45.56, 'Wedgewood_USPS_2025', 'NonCubic','3');</v>
      </c>
    </row>
    <row r="1297" spans="1:14" x14ac:dyDescent="0.3">
      <c r="A1297" t="s">
        <v>11</v>
      </c>
      <c r="B1297" s="1" t="s">
        <v>43</v>
      </c>
      <c r="C1297" s="1" t="s">
        <v>44</v>
      </c>
      <c r="D1297">
        <v>12659</v>
      </c>
      <c r="E1297" t="s">
        <v>12</v>
      </c>
      <c r="F1297" t="s">
        <v>42</v>
      </c>
      <c r="G1297">
        <v>8</v>
      </c>
      <c r="H1297">
        <v>12</v>
      </c>
      <c r="I1297" t="s">
        <v>45</v>
      </c>
      <c r="J1297" cm="1">
        <f t="array" ref="J1297">IFERROR(
    _xlfn.XLOOKUP(G1297, 'Wedgewood Pharm-PME-Yr2-2025'!$E$62:$L$62,
        _xlfn.XLOOKUP('Rate Load'!H1297, 'Wedgewood Pharm-PME-Yr2-2025'!$D$63:$D$86,
            'Wedgewood Pharm-PME-Yr2-2025'!$E$63:$L$86, 0, 0),
        0, 0),
    _xlfn.XLOOKUP(G1297, 'Wedgewood Pharm-PME-Yr2-2025'!$E$62:$L$62,
        _xlfn.XLOOKUP('Rate Load'!L1297, 'Wedgewood Pharm-PME-Yr2-2025'!$D$63:$D$86,
            'Wedgewood Pharm-PME-Yr2-2025'!$E$63:$L$86, 0, 0),
        0, 0)
)</f>
        <v>48.07</v>
      </c>
      <c r="K1297" t="s">
        <v>46</v>
      </c>
      <c r="L1297" t="s">
        <v>13</v>
      </c>
      <c r="M1297">
        <v>3</v>
      </c>
      <c r="N1297" t="str">
        <f t="shared" si="20"/>
        <v>INSERT INTO TNL_RATING.dbo.usps_rate_master VALUES ('USPS', '2/13/2025', '2/13/2026', 12659, 'US', 'Priority Mail Express', 8, 12, 'L', 48.07, 'Wedgewood_USPS_2025', 'NonCubic','3');</v>
      </c>
    </row>
    <row r="1298" spans="1:14" x14ac:dyDescent="0.3">
      <c r="A1298" t="s">
        <v>11</v>
      </c>
      <c r="B1298" s="1" t="s">
        <v>43</v>
      </c>
      <c r="C1298" s="1" t="s">
        <v>44</v>
      </c>
      <c r="D1298">
        <v>12659</v>
      </c>
      <c r="E1298" t="s">
        <v>12</v>
      </c>
      <c r="F1298" t="s">
        <v>42</v>
      </c>
      <c r="G1298">
        <v>8</v>
      </c>
      <c r="H1298">
        <v>13</v>
      </c>
      <c r="I1298" t="s">
        <v>45</v>
      </c>
      <c r="J1298" cm="1">
        <f t="array" ref="J1298">IFERROR(
    _xlfn.XLOOKUP(G1298, 'Wedgewood Pharm-PME-Yr2-2025'!$E$62:$L$62,
        _xlfn.XLOOKUP('Rate Load'!H1298, 'Wedgewood Pharm-PME-Yr2-2025'!$D$63:$D$86,
            'Wedgewood Pharm-PME-Yr2-2025'!$E$63:$L$86, 0, 0),
        0, 0),
    _xlfn.XLOOKUP(G1298, 'Wedgewood Pharm-PME-Yr2-2025'!$E$62:$L$62,
        _xlfn.XLOOKUP('Rate Load'!L1298, 'Wedgewood Pharm-PME-Yr2-2025'!$D$63:$D$86,
            'Wedgewood Pharm-PME-Yr2-2025'!$E$63:$L$86, 0, 0),
        0, 0)
)</f>
        <v>50.57</v>
      </c>
      <c r="K1298" t="s">
        <v>46</v>
      </c>
      <c r="L1298" t="s">
        <v>13</v>
      </c>
      <c r="M1298">
        <v>3</v>
      </c>
      <c r="N1298" t="str">
        <f t="shared" si="20"/>
        <v>INSERT INTO TNL_RATING.dbo.usps_rate_master VALUES ('USPS', '2/13/2025', '2/13/2026', 12659, 'US', 'Priority Mail Express', 8, 13, 'L', 50.57, 'Wedgewood_USPS_2025', 'NonCubic','3');</v>
      </c>
    </row>
    <row r="1299" spans="1:14" x14ac:dyDescent="0.3">
      <c r="A1299" t="s">
        <v>11</v>
      </c>
      <c r="B1299" s="1" t="s">
        <v>43</v>
      </c>
      <c r="C1299" s="1" t="s">
        <v>44</v>
      </c>
      <c r="D1299">
        <v>12659</v>
      </c>
      <c r="E1299" t="s">
        <v>12</v>
      </c>
      <c r="F1299" t="s">
        <v>42</v>
      </c>
      <c r="G1299">
        <v>8</v>
      </c>
      <c r="H1299">
        <v>14</v>
      </c>
      <c r="I1299" t="s">
        <v>45</v>
      </c>
      <c r="J1299" cm="1">
        <f t="array" ref="J1299">IFERROR(
    _xlfn.XLOOKUP(G1299, 'Wedgewood Pharm-PME-Yr2-2025'!$E$62:$L$62,
        _xlfn.XLOOKUP('Rate Load'!H1299, 'Wedgewood Pharm-PME-Yr2-2025'!$D$63:$D$86,
            'Wedgewood Pharm-PME-Yr2-2025'!$E$63:$L$86, 0, 0),
        0, 0),
    _xlfn.XLOOKUP(G1299, 'Wedgewood Pharm-PME-Yr2-2025'!$E$62:$L$62,
        _xlfn.XLOOKUP('Rate Load'!L1299, 'Wedgewood Pharm-PME-Yr2-2025'!$D$63:$D$86,
            'Wedgewood Pharm-PME-Yr2-2025'!$E$63:$L$86, 0, 0),
        0, 0)
)</f>
        <v>53.089999999999996</v>
      </c>
      <c r="K1299" t="s">
        <v>46</v>
      </c>
      <c r="L1299" t="s">
        <v>13</v>
      </c>
      <c r="M1299">
        <v>3</v>
      </c>
      <c r="N1299" t="str">
        <f t="shared" si="20"/>
        <v>INSERT INTO TNL_RATING.dbo.usps_rate_master VALUES ('USPS', '2/13/2025', '2/13/2026', 12659, 'US', 'Priority Mail Express', 8, 14, 'L', 53.09, 'Wedgewood_USPS_2025', 'NonCubic','3');</v>
      </c>
    </row>
    <row r="1300" spans="1:14" x14ac:dyDescent="0.3">
      <c r="A1300" t="s">
        <v>11</v>
      </c>
      <c r="B1300" s="1" t="s">
        <v>43</v>
      </c>
      <c r="C1300" s="1" t="s">
        <v>44</v>
      </c>
      <c r="D1300">
        <v>12659</v>
      </c>
      <c r="E1300" t="s">
        <v>12</v>
      </c>
      <c r="F1300" t="s">
        <v>42</v>
      </c>
      <c r="G1300">
        <v>8</v>
      </c>
      <c r="H1300">
        <v>15</v>
      </c>
      <c r="I1300" t="s">
        <v>45</v>
      </c>
      <c r="J1300" cm="1">
        <f t="array" ref="J1300">IFERROR(
    _xlfn.XLOOKUP(G1300, 'Wedgewood Pharm-PME-Yr2-2025'!$E$62:$L$62,
        _xlfn.XLOOKUP('Rate Load'!H1300, 'Wedgewood Pharm-PME-Yr2-2025'!$D$63:$D$86,
            'Wedgewood Pharm-PME-Yr2-2025'!$E$63:$L$86, 0, 0),
        0, 0),
    _xlfn.XLOOKUP(G1300, 'Wedgewood Pharm-PME-Yr2-2025'!$E$62:$L$62,
        _xlfn.XLOOKUP('Rate Load'!L1300, 'Wedgewood Pharm-PME-Yr2-2025'!$D$63:$D$86,
            'Wedgewood Pharm-PME-Yr2-2025'!$E$63:$L$86, 0, 0),
        0, 0)
)</f>
        <v>55.6</v>
      </c>
      <c r="K1300" t="s">
        <v>46</v>
      </c>
      <c r="L1300" t="s">
        <v>13</v>
      </c>
      <c r="M1300">
        <v>3</v>
      </c>
      <c r="N1300" t="str">
        <f t="shared" si="20"/>
        <v>INSERT INTO TNL_RATING.dbo.usps_rate_master VALUES ('USPS', '2/13/2025', '2/13/2026', 12659, 'US', 'Priority Mail Express', 8, 15, 'L', 55.6, 'Wedgewood_USPS_2025', 'NonCubic','3');</v>
      </c>
    </row>
    <row r="1301" spans="1:14" x14ac:dyDescent="0.3">
      <c r="A1301" t="s">
        <v>11</v>
      </c>
      <c r="B1301" s="1" t="s">
        <v>43</v>
      </c>
      <c r="C1301" s="1" t="s">
        <v>44</v>
      </c>
      <c r="D1301">
        <v>12659</v>
      </c>
      <c r="E1301" t="s">
        <v>12</v>
      </c>
      <c r="F1301" t="s">
        <v>42</v>
      </c>
      <c r="G1301">
        <v>8</v>
      </c>
      <c r="H1301">
        <v>16</v>
      </c>
      <c r="I1301" t="s">
        <v>45</v>
      </c>
      <c r="J1301" cm="1">
        <f t="array" ref="J1301">IFERROR(
    _xlfn.XLOOKUP(G1301, 'Wedgewood Pharm-PME-Yr2-2025'!$E$62:$L$62,
        _xlfn.XLOOKUP('Rate Load'!H1301, 'Wedgewood Pharm-PME-Yr2-2025'!$D$63:$D$86,
            'Wedgewood Pharm-PME-Yr2-2025'!$E$63:$L$86, 0, 0),
        0, 0),
    _xlfn.XLOOKUP(G1301, 'Wedgewood Pharm-PME-Yr2-2025'!$E$62:$L$62,
        _xlfn.XLOOKUP('Rate Load'!L1301, 'Wedgewood Pharm-PME-Yr2-2025'!$D$63:$D$86,
            'Wedgewood Pharm-PME-Yr2-2025'!$E$63:$L$86, 0, 0),
        0, 0)
)</f>
        <v>58.12</v>
      </c>
      <c r="K1301" t="s">
        <v>46</v>
      </c>
      <c r="L1301" t="s">
        <v>13</v>
      </c>
      <c r="M1301">
        <v>3</v>
      </c>
      <c r="N1301" t="str">
        <f t="shared" si="20"/>
        <v>INSERT INTO TNL_RATING.dbo.usps_rate_master VALUES ('USPS', '2/13/2025', '2/13/2026', 12659, 'US', 'Priority Mail Express', 8, 16, 'L', 58.12, 'Wedgewood_USPS_2025', 'NonCubic','3');</v>
      </c>
    </row>
    <row r="1302" spans="1:14" x14ac:dyDescent="0.3">
      <c r="A1302" t="s">
        <v>11</v>
      </c>
      <c r="B1302" s="1" t="s">
        <v>43</v>
      </c>
      <c r="C1302" s="1" t="s">
        <v>44</v>
      </c>
      <c r="D1302">
        <v>12659</v>
      </c>
      <c r="E1302" t="s">
        <v>12</v>
      </c>
      <c r="F1302" t="s">
        <v>42</v>
      </c>
      <c r="G1302">
        <v>8</v>
      </c>
      <c r="H1302">
        <v>17</v>
      </c>
      <c r="I1302" t="s">
        <v>45</v>
      </c>
      <c r="J1302" cm="1">
        <f t="array" ref="J1302">IFERROR(
    _xlfn.XLOOKUP(G1302, 'Wedgewood Pharm-PME-Yr2-2025'!$E$62:$L$62,
        _xlfn.XLOOKUP('Rate Load'!H1302, 'Wedgewood Pharm-PME-Yr2-2025'!$D$63:$D$86,
            'Wedgewood Pharm-PME-Yr2-2025'!$E$63:$L$86, 0, 0),
        0, 0),
    _xlfn.XLOOKUP(G1302, 'Wedgewood Pharm-PME-Yr2-2025'!$E$62:$L$62,
        _xlfn.XLOOKUP('Rate Load'!L1302, 'Wedgewood Pharm-PME-Yr2-2025'!$D$63:$D$86,
            'Wedgewood Pharm-PME-Yr2-2025'!$E$63:$L$86, 0, 0),
        0, 0)
)</f>
        <v>60.63</v>
      </c>
      <c r="K1302" t="s">
        <v>46</v>
      </c>
      <c r="L1302" t="s">
        <v>13</v>
      </c>
      <c r="M1302">
        <v>3</v>
      </c>
      <c r="N1302" t="str">
        <f t="shared" si="20"/>
        <v>INSERT INTO TNL_RATING.dbo.usps_rate_master VALUES ('USPS', '2/13/2025', '2/13/2026', 12659, 'US', 'Priority Mail Express', 8, 17, 'L', 60.63, 'Wedgewood_USPS_2025', 'NonCubic','3');</v>
      </c>
    </row>
    <row r="1303" spans="1:14" x14ac:dyDescent="0.3">
      <c r="A1303" t="s">
        <v>11</v>
      </c>
      <c r="B1303" s="1" t="s">
        <v>43</v>
      </c>
      <c r="C1303" s="1" t="s">
        <v>44</v>
      </c>
      <c r="D1303">
        <v>12659</v>
      </c>
      <c r="E1303" t="s">
        <v>12</v>
      </c>
      <c r="F1303" t="s">
        <v>42</v>
      </c>
      <c r="G1303">
        <v>8</v>
      </c>
      <c r="H1303">
        <v>18</v>
      </c>
      <c r="I1303" t="s">
        <v>45</v>
      </c>
      <c r="J1303" cm="1">
        <f t="array" ref="J1303">IFERROR(
    _xlfn.XLOOKUP(G1303, 'Wedgewood Pharm-PME-Yr2-2025'!$E$62:$L$62,
        _xlfn.XLOOKUP('Rate Load'!H1303, 'Wedgewood Pharm-PME-Yr2-2025'!$D$63:$D$86,
            'Wedgewood Pharm-PME-Yr2-2025'!$E$63:$L$86, 0, 0),
        0, 0),
    _xlfn.XLOOKUP(G1303, 'Wedgewood Pharm-PME-Yr2-2025'!$E$62:$L$62,
        _xlfn.XLOOKUP('Rate Load'!L1303, 'Wedgewood Pharm-PME-Yr2-2025'!$D$63:$D$86,
            'Wedgewood Pharm-PME-Yr2-2025'!$E$63:$L$86, 0, 0),
        0, 0)
)</f>
        <v>63.14</v>
      </c>
      <c r="K1303" t="s">
        <v>46</v>
      </c>
      <c r="L1303" t="s">
        <v>13</v>
      </c>
      <c r="M1303">
        <v>3</v>
      </c>
      <c r="N1303" t="str">
        <f t="shared" si="20"/>
        <v>INSERT INTO TNL_RATING.dbo.usps_rate_master VALUES ('USPS', '2/13/2025', '2/13/2026', 12659, 'US', 'Priority Mail Express', 8, 18, 'L', 63.14, 'Wedgewood_USPS_2025', 'NonCubic','3');</v>
      </c>
    </row>
    <row r="1304" spans="1:14" x14ac:dyDescent="0.3">
      <c r="A1304" t="s">
        <v>11</v>
      </c>
      <c r="B1304" s="1" t="s">
        <v>43</v>
      </c>
      <c r="C1304" s="1" t="s">
        <v>44</v>
      </c>
      <c r="D1304">
        <v>12659</v>
      </c>
      <c r="E1304" t="s">
        <v>12</v>
      </c>
      <c r="F1304" t="s">
        <v>42</v>
      </c>
      <c r="G1304">
        <v>8</v>
      </c>
      <c r="H1304">
        <v>19</v>
      </c>
      <c r="I1304" t="s">
        <v>45</v>
      </c>
      <c r="J1304" cm="1">
        <f t="array" ref="J1304">IFERROR(
    _xlfn.XLOOKUP(G1304, 'Wedgewood Pharm-PME-Yr2-2025'!$E$62:$L$62,
        _xlfn.XLOOKUP('Rate Load'!H1304, 'Wedgewood Pharm-PME-Yr2-2025'!$D$63:$D$86,
            'Wedgewood Pharm-PME-Yr2-2025'!$E$63:$L$86, 0, 0),
        0, 0),
    _xlfn.XLOOKUP(G1304, 'Wedgewood Pharm-PME-Yr2-2025'!$E$62:$L$62,
        _xlfn.XLOOKUP('Rate Load'!L1304, 'Wedgewood Pharm-PME-Yr2-2025'!$D$63:$D$86,
            'Wedgewood Pharm-PME-Yr2-2025'!$E$63:$L$86, 0, 0),
        0, 0)
)</f>
        <v>65.650000000000006</v>
      </c>
      <c r="K1304" t="s">
        <v>46</v>
      </c>
      <c r="L1304" t="s">
        <v>13</v>
      </c>
      <c r="M1304">
        <v>3</v>
      </c>
      <c r="N1304" t="str">
        <f t="shared" si="20"/>
        <v>INSERT INTO TNL_RATING.dbo.usps_rate_master VALUES ('USPS', '2/13/2025', '2/13/2026', 12659, 'US', 'Priority Mail Express', 8, 19, 'L', 65.65, 'Wedgewood_USPS_2025', 'NonCubic','3');</v>
      </c>
    </row>
    <row r="1305" spans="1:14" x14ac:dyDescent="0.3">
      <c r="A1305" t="s">
        <v>11</v>
      </c>
      <c r="B1305" s="1" t="s">
        <v>43</v>
      </c>
      <c r="C1305" s="1" t="s">
        <v>44</v>
      </c>
      <c r="D1305">
        <v>12659</v>
      </c>
      <c r="E1305" t="s">
        <v>12</v>
      </c>
      <c r="F1305" t="s">
        <v>42</v>
      </c>
      <c r="G1305">
        <v>8</v>
      </c>
      <c r="H1305">
        <v>20</v>
      </c>
      <c r="I1305" t="s">
        <v>45</v>
      </c>
      <c r="J1305" cm="1">
        <f t="array" ref="J1305">IFERROR(
    _xlfn.XLOOKUP(G1305, 'Wedgewood Pharm-PME-Yr2-2025'!$E$62:$L$62,
        _xlfn.XLOOKUP('Rate Load'!H1305, 'Wedgewood Pharm-PME-Yr2-2025'!$D$63:$D$86,
            'Wedgewood Pharm-PME-Yr2-2025'!$E$63:$L$86, 0, 0),
        0, 0),
    _xlfn.XLOOKUP(G1305, 'Wedgewood Pharm-PME-Yr2-2025'!$E$62:$L$62,
        _xlfn.XLOOKUP('Rate Load'!L1305, 'Wedgewood Pharm-PME-Yr2-2025'!$D$63:$D$86,
            'Wedgewood Pharm-PME-Yr2-2025'!$E$63:$L$86, 0, 0),
        0, 0)
)</f>
        <v>68.17</v>
      </c>
      <c r="K1305" t="s">
        <v>46</v>
      </c>
      <c r="L1305" t="s">
        <v>13</v>
      </c>
      <c r="M1305">
        <v>3</v>
      </c>
      <c r="N1305" t="str">
        <f t="shared" si="20"/>
        <v>INSERT INTO TNL_RATING.dbo.usps_rate_master VALUES ('USPS', '2/13/2025', '2/13/2026', 12659, 'US', 'Priority Mail Express', 8, 20, 'L', 68.17, 'Wedgewood_USPS_2025', 'NonCubic','3');</v>
      </c>
    </row>
    <row r="1306" spans="1:14" x14ac:dyDescent="0.3">
      <c r="A1306" t="s">
        <v>11</v>
      </c>
      <c r="B1306" s="1" t="s">
        <v>43</v>
      </c>
      <c r="C1306" s="1" t="s">
        <v>44</v>
      </c>
      <c r="D1306">
        <v>12659</v>
      </c>
      <c r="E1306" t="s">
        <v>12</v>
      </c>
      <c r="F1306" t="s">
        <v>42</v>
      </c>
      <c r="G1306">
        <v>1</v>
      </c>
      <c r="H1306">
        <v>0</v>
      </c>
      <c r="I1306" t="s">
        <v>45</v>
      </c>
      <c r="J1306" cm="1">
        <f t="array" ref="J1306">IFERROR(
    _xlfn.XLOOKUP(G1306, 'Wedgewood Pharm-PME-Yr2-2025'!$E$62:$L$62,
        _xlfn.XLOOKUP('Rate Load'!H1306, 'Wedgewood Pharm-PME-Yr2-2025'!$D$63:$D$86,
            'Wedgewood Pharm-PME-Yr2-2025'!$E$63:$L$86, 0, 0),
        0, 0),
    _xlfn.XLOOKUP(G1306, 'Wedgewood Pharm-PME-Yr2-2025'!$E$62:$L$62,
        _xlfn.XLOOKUP('Rate Load'!L1306, 'Wedgewood Pharm-PME-Yr2-2025'!$D$63:$D$86,
            'Wedgewood Pharm-PME-Yr2-2025'!$E$63:$L$86, 0, 0),
        0, 0)
)</f>
        <v>24.16</v>
      </c>
      <c r="K1306" t="s">
        <v>46</v>
      </c>
      <c r="L1306" t="s">
        <v>22</v>
      </c>
      <c r="M1306">
        <v>3</v>
      </c>
      <c r="N1306" t="str">
        <f t="shared" si="20"/>
        <v>INSERT INTO TNL_RATING.dbo.usps_rate_master VALUES ('USPS', '2/13/2025', '2/13/2026', 12659, 'US', 'Priority Mail Express', 1, 0, 'L', 24.16, 'Wedgewood_USPS_2025', 'Flat-Rate Envelope','3');</v>
      </c>
    </row>
    <row r="1307" spans="1:14" x14ac:dyDescent="0.3">
      <c r="A1307" t="s">
        <v>11</v>
      </c>
      <c r="B1307" s="1" t="s">
        <v>43</v>
      </c>
      <c r="C1307" s="1" t="s">
        <v>44</v>
      </c>
      <c r="D1307">
        <v>12659</v>
      </c>
      <c r="E1307" t="s">
        <v>12</v>
      </c>
      <c r="F1307" t="s">
        <v>42</v>
      </c>
      <c r="G1307">
        <v>2</v>
      </c>
      <c r="H1307">
        <v>0</v>
      </c>
      <c r="I1307" t="s">
        <v>45</v>
      </c>
      <c r="J1307" cm="1">
        <f t="array" ref="J1307">IFERROR(
    _xlfn.XLOOKUP(G1307, 'Wedgewood Pharm-PME-Yr2-2025'!$E$62:$L$62,
        _xlfn.XLOOKUP('Rate Load'!H1307, 'Wedgewood Pharm-PME-Yr2-2025'!$D$63:$D$86,
            'Wedgewood Pharm-PME-Yr2-2025'!$E$63:$L$86, 0, 0),
        0, 0),
    _xlfn.XLOOKUP(G1307, 'Wedgewood Pharm-PME-Yr2-2025'!$E$62:$L$62,
        _xlfn.XLOOKUP('Rate Load'!L1307, 'Wedgewood Pharm-PME-Yr2-2025'!$D$63:$D$86,
            'Wedgewood Pharm-PME-Yr2-2025'!$E$63:$L$86, 0, 0),
        0, 0)
)</f>
        <v>24.16</v>
      </c>
      <c r="K1307" t="s">
        <v>46</v>
      </c>
      <c r="L1307" t="s">
        <v>22</v>
      </c>
      <c r="M1307">
        <v>3</v>
      </c>
      <c r="N1307" t="str">
        <f t="shared" si="20"/>
        <v>INSERT INTO TNL_RATING.dbo.usps_rate_master VALUES ('USPS', '2/13/2025', '2/13/2026', 12659, 'US', 'Priority Mail Express', 2, 0, 'L', 24.16, 'Wedgewood_USPS_2025', 'Flat-Rate Envelope','3');</v>
      </c>
    </row>
    <row r="1308" spans="1:14" x14ac:dyDescent="0.3">
      <c r="A1308" t="s">
        <v>11</v>
      </c>
      <c r="B1308" s="1" t="s">
        <v>43</v>
      </c>
      <c r="C1308" s="1" t="s">
        <v>44</v>
      </c>
      <c r="D1308">
        <v>12659</v>
      </c>
      <c r="E1308" t="s">
        <v>12</v>
      </c>
      <c r="F1308" t="s">
        <v>42</v>
      </c>
      <c r="G1308">
        <v>3</v>
      </c>
      <c r="H1308">
        <v>0</v>
      </c>
      <c r="I1308" t="s">
        <v>45</v>
      </c>
      <c r="J1308" cm="1">
        <f t="array" ref="J1308">IFERROR(
    _xlfn.XLOOKUP(G1308, 'Wedgewood Pharm-PME-Yr2-2025'!$E$62:$L$62,
        _xlfn.XLOOKUP('Rate Load'!H1308, 'Wedgewood Pharm-PME-Yr2-2025'!$D$63:$D$86,
            'Wedgewood Pharm-PME-Yr2-2025'!$E$63:$L$86, 0, 0),
        0, 0),
    _xlfn.XLOOKUP(G1308, 'Wedgewood Pharm-PME-Yr2-2025'!$E$62:$L$62,
        _xlfn.XLOOKUP('Rate Load'!L1308, 'Wedgewood Pharm-PME-Yr2-2025'!$D$63:$D$86,
            'Wedgewood Pharm-PME-Yr2-2025'!$E$63:$L$86, 0, 0),
        0, 0)
)</f>
        <v>24.16</v>
      </c>
      <c r="K1308" t="s">
        <v>46</v>
      </c>
      <c r="L1308" t="s">
        <v>22</v>
      </c>
      <c r="M1308">
        <v>3</v>
      </c>
      <c r="N1308" t="str">
        <f t="shared" si="20"/>
        <v>INSERT INTO TNL_RATING.dbo.usps_rate_master VALUES ('USPS', '2/13/2025', '2/13/2026', 12659, 'US', 'Priority Mail Express', 3, 0, 'L', 24.16, 'Wedgewood_USPS_2025', 'Flat-Rate Envelope','3');</v>
      </c>
    </row>
    <row r="1309" spans="1:14" x14ac:dyDescent="0.3">
      <c r="A1309" t="s">
        <v>11</v>
      </c>
      <c r="B1309" s="1" t="s">
        <v>43</v>
      </c>
      <c r="C1309" s="1" t="s">
        <v>44</v>
      </c>
      <c r="D1309">
        <v>12659</v>
      </c>
      <c r="E1309" t="s">
        <v>12</v>
      </c>
      <c r="F1309" t="s">
        <v>42</v>
      </c>
      <c r="G1309">
        <v>4</v>
      </c>
      <c r="H1309">
        <v>0</v>
      </c>
      <c r="I1309" t="s">
        <v>45</v>
      </c>
      <c r="J1309" cm="1">
        <f t="array" ref="J1309">IFERROR(
    _xlfn.XLOOKUP(G1309, 'Wedgewood Pharm-PME-Yr2-2025'!$E$62:$L$62,
        _xlfn.XLOOKUP('Rate Load'!H1309, 'Wedgewood Pharm-PME-Yr2-2025'!$D$63:$D$86,
            'Wedgewood Pharm-PME-Yr2-2025'!$E$63:$L$86, 0, 0),
        0, 0),
    _xlfn.XLOOKUP(G1309, 'Wedgewood Pharm-PME-Yr2-2025'!$E$62:$L$62,
        _xlfn.XLOOKUP('Rate Load'!L1309, 'Wedgewood Pharm-PME-Yr2-2025'!$D$63:$D$86,
            'Wedgewood Pharm-PME-Yr2-2025'!$E$63:$L$86, 0, 0),
        0, 0)
)</f>
        <v>24.16</v>
      </c>
      <c r="K1309" t="s">
        <v>46</v>
      </c>
      <c r="L1309" t="s">
        <v>22</v>
      </c>
      <c r="M1309">
        <v>3</v>
      </c>
      <c r="N1309" t="str">
        <f t="shared" si="20"/>
        <v>INSERT INTO TNL_RATING.dbo.usps_rate_master VALUES ('USPS', '2/13/2025', '2/13/2026', 12659, 'US', 'Priority Mail Express', 4, 0, 'L', 24.16, 'Wedgewood_USPS_2025', 'Flat-Rate Envelope','3');</v>
      </c>
    </row>
    <row r="1310" spans="1:14" x14ac:dyDescent="0.3">
      <c r="A1310" t="s">
        <v>11</v>
      </c>
      <c r="B1310" s="1" t="s">
        <v>43</v>
      </c>
      <c r="C1310" s="1" t="s">
        <v>44</v>
      </c>
      <c r="D1310">
        <v>12659</v>
      </c>
      <c r="E1310" t="s">
        <v>12</v>
      </c>
      <c r="F1310" t="s">
        <v>42</v>
      </c>
      <c r="G1310">
        <v>5</v>
      </c>
      <c r="H1310">
        <v>0</v>
      </c>
      <c r="I1310" t="s">
        <v>45</v>
      </c>
      <c r="J1310" cm="1">
        <f t="array" ref="J1310">IFERROR(
    _xlfn.XLOOKUP(G1310, 'Wedgewood Pharm-PME-Yr2-2025'!$E$62:$L$62,
        _xlfn.XLOOKUP('Rate Load'!H1310, 'Wedgewood Pharm-PME-Yr2-2025'!$D$63:$D$86,
            'Wedgewood Pharm-PME-Yr2-2025'!$E$63:$L$86, 0, 0),
        0, 0),
    _xlfn.XLOOKUP(G1310, 'Wedgewood Pharm-PME-Yr2-2025'!$E$62:$L$62,
        _xlfn.XLOOKUP('Rate Load'!L1310, 'Wedgewood Pharm-PME-Yr2-2025'!$D$63:$D$86,
            'Wedgewood Pharm-PME-Yr2-2025'!$E$63:$L$86, 0, 0),
        0, 0)
)</f>
        <v>24.16</v>
      </c>
      <c r="K1310" t="s">
        <v>46</v>
      </c>
      <c r="L1310" t="s">
        <v>22</v>
      </c>
      <c r="M1310">
        <v>3</v>
      </c>
      <c r="N1310" t="str">
        <f t="shared" si="20"/>
        <v>INSERT INTO TNL_RATING.dbo.usps_rate_master VALUES ('USPS', '2/13/2025', '2/13/2026', 12659, 'US', 'Priority Mail Express', 5, 0, 'L', 24.16, 'Wedgewood_USPS_2025', 'Flat-Rate Envelope','3');</v>
      </c>
    </row>
    <row r="1311" spans="1:14" x14ac:dyDescent="0.3">
      <c r="A1311" t="s">
        <v>11</v>
      </c>
      <c r="B1311" s="1" t="s">
        <v>43</v>
      </c>
      <c r="C1311" s="1" t="s">
        <v>44</v>
      </c>
      <c r="D1311">
        <v>12659</v>
      </c>
      <c r="E1311" t="s">
        <v>12</v>
      </c>
      <c r="F1311" t="s">
        <v>42</v>
      </c>
      <c r="G1311">
        <v>6</v>
      </c>
      <c r="H1311">
        <v>0</v>
      </c>
      <c r="I1311" t="s">
        <v>45</v>
      </c>
      <c r="J1311" cm="1">
        <f t="array" ref="J1311">IFERROR(
    _xlfn.XLOOKUP(G1311, 'Wedgewood Pharm-PME-Yr2-2025'!$E$62:$L$62,
        _xlfn.XLOOKUP('Rate Load'!H1311, 'Wedgewood Pharm-PME-Yr2-2025'!$D$63:$D$86,
            'Wedgewood Pharm-PME-Yr2-2025'!$E$63:$L$86, 0, 0),
        0, 0),
    _xlfn.XLOOKUP(G1311, 'Wedgewood Pharm-PME-Yr2-2025'!$E$62:$L$62,
        _xlfn.XLOOKUP('Rate Load'!L1311, 'Wedgewood Pharm-PME-Yr2-2025'!$D$63:$D$86,
            'Wedgewood Pharm-PME-Yr2-2025'!$E$63:$L$86, 0, 0),
        0, 0)
)</f>
        <v>24.16</v>
      </c>
      <c r="K1311" t="s">
        <v>46</v>
      </c>
      <c r="L1311" t="s">
        <v>22</v>
      </c>
      <c r="M1311">
        <v>3</v>
      </c>
      <c r="N1311" t="str">
        <f t="shared" si="20"/>
        <v>INSERT INTO TNL_RATING.dbo.usps_rate_master VALUES ('USPS', '2/13/2025', '2/13/2026', 12659, 'US', 'Priority Mail Express', 6, 0, 'L', 24.16, 'Wedgewood_USPS_2025', 'Flat-Rate Envelope','3');</v>
      </c>
    </row>
    <row r="1312" spans="1:14" x14ac:dyDescent="0.3">
      <c r="A1312" t="s">
        <v>11</v>
      </c>
      <c r="B1312" s="1" t="s">
        <v>43</v>
      </c>
      <c r="C1312" s="1" t="s">
        <v>44</v>
      </c>
      <c r="D1312">
        <v>12659</v>
      </c>
      <c r="E1312" t="s">
        <v>12</v>
      </c>
      <c r="F1312" t="s">
        <v>42</v>
      </c>
      <c r="G1312">
        <v>7</v>
      </c>
      <c r="H1312">
        <v>0</v>
      </c>
      <c r="I1312" t="s">
        <v>45</v>
      </c>
      <c r="J1312" cm="1">
        <f t="array" ref="J1312">IFERROR(
    _xlfn.XLOOKUP(G1312, 'Wedgewood Pharm-PME-Yr2-2025'!$E$62:$L$62,
        _xlfn.XLOOKUP('Rate Load'!H1312, 'Wedgewood Pharm-PME-Yr2-2025'!$D$63:$D$86,
            'Wedgewood Pharm-PME-Yr2-2025'!$E$63:$L$86, 0, 0),
        0, 0),
    _xlfn.XLOOKUP(G1312, 'Wedgewood Pharm-PME-Yr2-2025'!$E$62:$L$62,
        _xlfn.XLOOKUP('Rate Load'!L1312, 'Wedgewood Pharm-PME-Yr2-2025'!$D$63:$D$86,
            'Wedgewood Pharm-PME-Yr2-2025'!$E$63:$L$86, 0, 0),
        0, 0)
)</f>
        <v>24.16</v>
      </c>
      <c r="K1312" t="s">
        <v>46</v>
      </c>
      <c r="L1312" t="s">
        <v>22</v>
      </c>
      <c r="M1312">
        <v>3</v>
      </c>
      <c r="N1312" t="str">
        <f t="shared" si="20"/>
        <v>INSERT INTO TNL_RATING.dbo.usps_rate_master VALUES ('USPS', '2/13/2025', '2/13/2026', 12659, 'US', 'Priority Mail Express', 7, 0, 'L', 24.16, 'Wedgewood_USPS_2025', 'Flat-Rate Envelope','3');</v>
      </c>
    </row>
    <row r="1313" spans="1:14" x14ac:dyDescent="0.3">
      <c r="A1313" t="s">
        <v>11</v>
      </c>
      <c r="B1313" s="1" t="s">
        <v>43</v>
      </c>
      <c r="C1313" s="1" t="s">
        <v>44</v>
      </c>
      <c r="D1313">
        <v>12659</v>
      </c>
      <c r="E1313" t="s">
        <v>12</v>
      </c>
      <c r="F1313" t="s">
        <v>42</v>
      </c>
      <c r="G1313">
        <v>8</v>
      </c>
      <c r="H1313">
        <v>0</v>
      </c>
      <c r="I1313" t="s">
        <v>45</v>
      </c>
      <c r="J1313" cm="1">
        <f t="array" ref="J1313">IFERROR(
    _xlfn.XLOOKUP(G1313, 'Wedgewood Pharm-PME-Yr2-2025'!$E$62:$L$62,
        _xlfn.XLOOKUP('Rate Load'!H1313, 'Wedgewood Pharm-PME-Yr2-2025'!$D$63:$D$86,
            'Wedgewood Pharm-PME-Yr2-2025'!$E$63:$L$86, 0, 0),
        0, 0),
    _xlfn.XLOOKUP(G1313, 'Wedgewood Pharm-PME-Yr2-2025'!$E$62:$L$62,
        _xlfn.XLOOKUP('Rate Load'!L1313, 'Wedgewood Pharm-PME-Yr2-2025'!$D$63:$D$86,
            'Wedgewood Pharm-PME-Yr2-2025'!$E$63:$L$86, 0, 0),
        0, 0)
)</f>
        <v>24.16</v>
      </c>
      <c r="K1313" t="s">
        <v>46</v>
      </c>
      <c r="L1313" t="s">
        <v>22</v>
      </c>
      <c r="M1313">
        <v>3</v>
      </c>
      <c r="N1313" t="str">
        <f t="shared" si="20"/>
        <v>INSERT INTO TNL_RATING.dbo.usps_rate_master VALUES ('USPS', '2/13/2025', '2/13/2026', 12659, 'US', 'Priority Mail Express', 8, 0, 'L', 24.16, 'Wedgewood_USPS_2025', 'Flat-Rate Envelope','3');</v>
      </c>
    </row>
    <row r="1314" spans="1:14" x14ac:dyDescent="0.3">
      <c r="A1314" t="s">
        <v>11</v>
      </c>
      <c r="B1314" s="1" t="s">
        <v>43</v>
      </c>
      <c r="C1314" s="1" t="s">
        <v>44</v>
      </c>
      <c r="D1314">
        <v>12659</v>
      </c>
      <c r="E1314" t="s">
        <v>12</v>
      </c>
      <c r="F1314" t="s">
        <v>42</v>
      </c>
      <c r="G1314">
        <v>1</v>
      </c>
      <c r="H1314">
        <v>0</v>
      </c>
      <c r="I1314" t="s">
        <v>45</v>
      </c>
      <c r="J1314" cm="1">
        <f t="array" ref="J1314">IFERROR(
    _xlfn.XLOOKUP(G1314, 'Wedgewood Pharm-PME-Yr2-2025'!$E$62:$L$62,
        _xlfn.XLOOKUP('Rate Load'!H1314, 'Wedgewood Pharm-PME-Yr2-2025'!$D$63:$D$86,
            'Wedgewood Pharm-PME-Yr2-2025'!$E$63:$L$86, 0, 0),
        0, 0),
    _xlfn.XLOOKUP(G1314, 'Wedgewood Pharm-PME-Yr2-2025'!$E$62:$L$62,
        _xlfn.XLOOKUP('Rate Load'!L1314, 'Wedgewood Pharm-PME-Yr2-2025'!$D$63:$D$86,
            'Wedgewood Pharm-PME-Yr2-2025'!$E$63:$L$86, 0, 0),
        0, 0)
)</f>
        <v>24.41</v>
      </c>
      <c r="K1314" t="s">
        <v>46</v>
      </c>
      <c r="L1314" t="s">
        <v>23</v>
      </c>
      <c r="M1314">
        <v>3</v>
      </c>
      <c r="N1314" t="str">
        <f t="shared" si="20"/>
        <v>INSERT INTO TNL_RATING.dbo.usps_rate_master VALUES ('USPS', '2/13/2025', '2/13/2026', 12659, 'US', 'Priority Mail Express', 1, 0, 'L', 24.41, 'Wedgewood_USPS_2025', 'Legal Flat-Rate Envelope','3');</v>
      </c>
    </row>
    <row r="1315" spans="1:14" x14ac:dyDescent="0.3">
      <c r="A1315" t="s">
        <v>11</v>
      </c>
      <c r="B1315" s="1" t="s">
        <v>43</v>
      </c>
      <c r="C1315" s="1" t="s">
        <v>44</v>
      </c>
      <c r="D1315">
        <v>12659</v>
      </c>
      <c r="E1315" t="s">
        <v>12</v>
      </c>
      <c r="F1315" t="s">
        <v>42</v>
      </c>
      <c r="G1315">
        <v>2</v>
      </c>
      <c r="H1315">
        <v>0</v>
      </c>
      <c r="I1315" t="s">
        <v>45</v>
      </c>
      <c r="J1315" cm="1">
        <f t="array" ref="J1315">IFERROR(
    _xlfn.XLOOKUP(G1315, 'Wedgewood Pharm-PME-Yr2-2025'!$E$62:$L$62,
        _xlfn.XLOOKUP('Rate Load'!H1315, 'Wedgewood Pharm-PME-Yr2-2025'!$D$63:$D$86,
            'Wedgewood Pharm-PME-Yr2-2025'!$E$63:$L$86, 0, 0),
        0, 0),
    _xlfn.XLOOKUP(G1315, 'Wedgewood Pharm-PME-Yr2-2025'!$E$62:$L$62,
        _xlfn.XLOOKUP('Rate Load'!L1315, 'Wedgewood Pharm-PME-Yr2-2025'!$D$63:$D$86,
            'Wedgewood Pharm-PME-Yr2-2025'!$E$63:$L$86, 0, 0),
        0, 0)
)</f>
        <v>24.41</v>
      </c>
      <c r="K1315" t="s">
        <v>46</v>
      </c>
      <c r="L1315" t="s">
        <v>23</v>
      </c>
      <c r="M1315">
        <v>3</v>
      </c>
      <c r="N1315" t="str">
        <f t="shared" si="20"/>
        <v>INSERT INTO TNL_RATING.dbo.usps_rate_master VALUES ('USPS', '2/13/2025', '2/13/2026', 12659, 'US', 'Priority Mail Express', 2, 0, 'L', 24.41, 'Wedgewood_USPS_2025', 'Legal Flat-Rate Envelope','3');</v>
      </c>
    </row>
    <row r="1316" spans="1:14" x14ac:dyDescent="0.3">
      <c r="A1316" t="s">
        <v>11</v>
      </c>
      <c r="B1316" s="1" t="s">
        <v>43</v>
      </c>
      <c r="C1316" s="1" t="s">
        <v>44</v>
      </c>
      <c r="D1316">
        <v>12659</v>
      </c>
      <c r="E1316" t="s">
        <v>12</v>
      </c>
      <c r="F1316" t="s">
        <v>42</v>
      </c>
      <c r="G1316">
        <v>3</v>
      </c>
      <c r="H1316">
        <v>0</v>
      </c>
      <c r="I1316" t="s">
        <v>45</v>
      </c>
      <c r="J1316" cm="1">
        <f t="array" ref="J1316">IFERROR(
    _xlfn.XLOOKUP(G1316, 'Wedgewood Pharm-PME-Yr2-2025'!$E$62:$L$62,
        _xlfn.XLOOKUP('Rate Load'!H1316, 'Wedgewood Pharm-PME-Yr2-2025'!$D$63:$D$86,
            'Wedgewood Pharm-PME-Yr2-2025'!$E$63:$L$86, 0, 0),
        0, 0),
    _xlfn.XLOOKUP(G1316, 'Wedgewood Pharm-PME-Yr2-2025'!$E$62:$L$62,
        _xlfn.XLOOKUP('Rate Load'!L1316, 'Wedgewood Pharm-PME-Yr2-2025'!$D$63:$D$86,
            'Wedgewood Pharm-PME-Yr2-2025'!$E$63:$L$86, 0, 0),
        0, 0)
)</f>
        <v>24.41</v>
      </c>
      <c r="K1316" t="s">
        <v>46</v>
      </c>
      <c r="L1316" t="s">
        <v>23</v>
      </c>
      <c r="M1316">
        <v>3</v>
      </c>
      <c r="N1316" t="str">
        <f t="shared" si="20"/>
        <v>INSERT INTO TNL_RATING.dbo.usps_rate_master VALUES ('USPS', '2/13/2025', '2/13/2026', 12659, 'US', 'Priority Mail Express', 3, 0, 'L', 24.41, 'Wedgewood_USPS_2025', 'Legal Flat-Rate Envelope','3');</v>
      </c>
    </row>
    <row r="1317" spans="1:14" x14ac:dyDescent="0.3">
      <c r="A1317" t="s">
        <v>11</v>
      </c>
      <c r="B1317" s="1" t="s">
        <v>43</v>
      </c>
      <c r="C1317" s="1" t="s">
        <v>44</v>
      </c>
      <c r="D1317">
        <v>12659</v>
      </c>
      <c r="E1317" t="s">
        <v>12</v>
      </c>
      <c r="F1317" t="s">
        <v>42</v>
      </c>
      <c r="G1317">
        <v>4</v>
      </c>
      <c r="H1317">
        <v>0</v>
      </c>
      <c r="I1317" t="s">
        <v>45</v>
      </c>
      <c r="J1317" cm="1">
        <f t="array" ref="J1317">IFERROR(
    _xlfn.XLOOKUP(G1317, 'Wedgewood Pharm-PME-Yr2-2025'!$E$62:$L$62,
        _xlfn.XLOOKUP('Rate Load'!H1317, 'Wedgewood Pharm-PME-Yr2-2025'!$D$63:$D$86,
            'Wedgewood Pharm-PME-Yr2-2025'!$E$63:$L$86, 0, 0),
        0, 0),
    _xlfn.XLOOKUP(G1317, 'Wedgewood Pharm-PME-Yr2-2025'!$E$62:$L$62,
        _xlfn.XLOOKUP('Rate Load'!L1317, 'Wedgewood Pharm-PME-Yr2-2025'!$D$63:$D$86,
            'Wedgewood Pharm-PME-Yr2-2025'!$E$63:$L$86, 0, 0),
        0, 0)
)</f>
        <v>24.41</v>
      </c>
      <c r="K1317" t="s">
        <v>46</v>
      </c>
      <c r="L1317" t="s">
        <v>23</v>
      </c>
      <c r="M1317">
        <v>3</v>
      </c>
      <c r="N1317" t="str">
        <f t="shared" si="20"/>
        <v>INSERT INTO TNL_RATING.dbo.usps_rate_master VALUES ('USPS', '2/13/2025', '2/13/2026', 12659, 'US', 'Priority Mail Express', 4, 0, 'L', 24.41, 'Wedgewood_USPS_2025', 'Legal Flat-Rate Envelope','3');</v>
      </c>
    </row>
    <row r="1318" spans="1:14" x14ac:dyDescent="0.3">
      <c r="A1318" t="s">
        <v>11</v>
      </c>
      <c r="B1318" s="1" t="s">
        <v>43</v>
      </c>
      <c r="C1318" s="1" t="s">
        <v>44</v>
      </c>
      <c r="D1318">
        <v>12659</v>
      </c>
      <c r="E1318" t="s">
        <v>12</v>
      </c>
      <c r="F1318" t="s">
        <v>42</v>
      </c>
      <c r="G1318">
        <v>5</v>
      </c>
      <c r="H1318">
        <v>0</v>
      </c>
      <c r="I1318" t="s">
        <v>45</v>
      </c>
      <c r="J1318" cm="1">
        <f t="array" ref="J1318">IFERROR(
    _xlfn.XLOOKUP(G1318, 'Wedgewood Pharm-PME-Yr2-2025'!$E$62:$L$62,
        _xlfn.XLOOKUP('Rate Load'!H1318, 'Wedgewood Pharm-PME-Yr2-2025'!$D$63:$D$86,
            'Wedgewood Pharm-PME-Yr2-2025'!$E$63:$L$86, 0, 0),
        0, 0),
    _xlfn.XLOOKUP(G1318, 'Wedgewood Pharm-PME-Yr2-2025'!$E$62:$L$62,
        _xlfn.XLOOKUP('Rate Load'!L1318, 'Wedgewood Pharm-PME-Yr2-2025'!$D$63:$D$86,
            'Wedgewood Pharm-PME-Yr2-2025'!$E$63:$L$86, 0, 0),
        0, 0)
)</f>
        <v>24.41</v>
      </c>
      <c r="K1318" t="s">
        <v>46</v>
      </c>
      <c r="L1318" t="s">
        <v>23</v>
      </c>
      <c r="M1318">
        <v>3</v>
      </c>
      <c r="N1318" t="str">
        <f t="shared" si="20"/>
        <v>INSERT INTO TNL_RATING.dbo.usps_rate_master VALUES ('USPS', '2/13/2025', '2/13/2026', 12659, 'US', 'Priority Mail Express', 5, 0, 'L', 24.41, 'Wedgewood_USPS_2025', 'Legal Flat-Rate Envelope','3');</v>
      </c>
    </row>
    <row r="1319" spans="1:14" x14ac:dyDescent="0.3">
      <c r="A1319" t="s">
        <v>11</v>
      </c>
      <c r="B1319" s="1" t="s">
        <v>43</v>
      </c>
      <c r="C1319" s="1" t="s">
        <v>44</v>
      </c>
      <c r="D1319">
        <v>12659</v>
      </c>
      <c r="E1319" t="s">
        <v>12</v>
      </c>
      <c r="F1319" t="s">
        <v>42</v>
      </c>
      <c r="G1319">
        <v>6</v>
      </c>
      <c r="H1319">
        <v>0</v>
      </c>
      <c r="I1319" t="s">
        <v>45</v>
      </c>
      <c r="J1319" cm="1">
        <f t="array" ref="J1319">IFERROR(
    _xlfn.XLOOKUP(G1319, 'Wedgewood Pharm-PME-Yr2-2025'!$E$62:$L$62,
        _xlfn.XLOOKUP('Rate Load'!H1319, 'Wedgewood Pharm-PME-Yr2-2025'!$D$63:$D$86,
            'Wedgewood Pharm-PME-Yr2-2025'!$E$63:$L$86, 0, 0),
        0, 0),
    _xlfn.XLOOKUP(G1319, 'Wedgewood Pharm-PME-Yr2-2025'!$E$62:$L$62,
        _xlfn.XLOOKUP('Rate Load'!L1319, 'Wedgewood Pharm-PME-Yr2-2025'!$D$63:$D$86,
            'Wedgewood Pharm-PME-Yr2-2025'!$E$63:$L$86, 0, 0),
        0, 0)
)</f>
        <v>24.41</v>
      </c>
      <c r="K1319" t="s">
        <v>46</v>
      </c>
      <c r="L1319" t="s">
        <v>23</v>
      </c>
      <c r="M1319">
        <v>3</v>
      </c>
      <c r="N1319" t="str">
        <f t="shared" si="20"/>
        <v>INSERT INTO TNL_RATING.dbo.usps_rate_master VALUES ('USPS', '2/13/2025', '2/13/2026', 12659, 'US', 'Priority Mail Express', 6, 0, 'L', 24.41, 'Wedgewood_USPS_2025', 'Legal Flat-Rate Envelope','3');</v>
      </c>
    </row>
    <row r="1320" spans="1:14" x14ac:dyDescent="0.3">
      <c r="A1320" t="s">
        <v>11</v>
      </c>
      <c r="B1320" s="1" t="s">
        <v>43</v>
      </c>
      <c r="C1320" s="1" t="s">
        <v>44</v>
      </c>
      <c r="D1320">
        <v>12659</v>
      </c>
      <c r="E1320" t="s">
        <v>12</v>
      </c>
      <c r="F1320" t="s">
        <v>42</v>
      </c>
      <c r="G1320">
        <v>7</v>
      </c>
      <c r="H1320">
        <v>0</v>
      </c>
      <c r="I1320" t="s">
        <v>45</v>
      </c>
      <c r="J1320" cm="1">
        <f t="array" ref="J1320">IFERROR(
    _xlfn.XLOOKUP(G1320, 'Wedgewood Pharm-PME-Yr2-2025'!$E$62:$L$62,
        _xlfn.XLOOKUP('Rate Load'!H1320, 'Wedgewood Pharm-PME-Yr2-2025'!$D$63:$D$86,
            'Wedgewood Pharm-PME-Yr2-2025'!$E$63:$L$86, 0, 0),
        0, 0),
    _xlfn.XLOOKUP(G1320, 'Wedgewood Pharm-PME-Yr2-2025'!$E$62:$L$62,
        _xlfn.XLOOKUP('Rate Load'!L1320, 'Wedgewood Pharm-PME-Yr2-2025'!$D$63:$D$86,
            'Wedgewood Pharm-PME-Yr2-2025'!$E$63:$L$86, 0, 0),
        0, 0)
)</f>
        <v>24.41</v>
      </c>
      <c r="K1320" t="s">
        <v>46</v>
      </c>
      <c r="L1320" t="s">
        <v>23</v>
      </c>
      <c r="M1320">
        <v>3</v>
      </c>
      <c r="N1320" t="str">
        <f t="shared" si="20"/>
        <v>INSERT INTO TNL_RATING.dbo.usps_rate_master VALUES ('USPS', '2/13/2025', '2/13/2026', 12659, 'US', 'Priority Mail Express', 7, 0, 'L', 24.41, 'Wedgewood_USPS_2025', 'Legal Flat-Rate Envelope','3');</v>
      </c>
    </row>
    <row r="1321" spans="1:14" x14ac:dyDescent="0.3">
      <c r="A1321" t="s">
        <v>11</v>
      </c>
      <c r="B1321" s="1" t="s">
        <v>43</v>
      </c>
      <c r="C1321" s="1" t="s">
        <v>44</v>
      </c>
      <c r="D1321">
        <v>12659</v>
      </c>
      <c r="E1321" t="s">
        <v>12</v>
      </c>
      <c r="F1321" t="s">
        <v>42</v>
      </c>
      <c r="G1321">
        <v>8</v>
      </c>
      <c r="H1321">
        <v>0</v>
      </c>
      <c r="I1321" t="s">
        <v>45</v>
      </c>
      <c r="J1321" cm="1">
        <f t="array" ref="J1321">IFERROR(
    _xlfn.XLOOKUP(G1321, 'Wedgewood Pharm-PME-Yr2-2025'!$E$62:$L$62,
        _xlfn.XLOOKUP('Rate Load'!H1321, 'Wedgewood Pharm-PME-Yr2-2025'!$D$63:$D$86,
            'Wedgewood Pharm-PME-Yr2-2025'!$E$63:$L$86, 0, 0),
        0, 0),
    _xlfn.XLOOKUP(G1321, 'Wedgewood Pharm-PME-Yr2-2025'!$E$62:$L$62,
        _xlfn.XLOOKUP('Rate Load'!L1321, 'Wedgewood Pharm-PME-Yr2-2025'!$D$63:$D$86,
            'Wedgewood Pharm-PME-Yr2-2025'!$E$63:$L$86, 0, 0),
        0, 0)
)</f>
        <v>24.41</v>
      </c>
      <c r="K1321" t="s">
        <v>46</v>
      </c>
      <c r="L1321" t="s">
        <v>23</v>
      </c>
      <c r="M1321">
        <v>3</v>
      </c>
      <c r="N1321" t="str">
        <f t="shared" si="20"/>
        <v>INSERT INTO TNL_RATING.dbo.usps_rate_master VALUES ('USPS', '2/13/2025', '2/13/2026', 12659, 'US', 'Priority Mail Express', 8, 0, 'L', 24.41, 'Wedgewood_USPS_2025', 'Legal Flat-Rate Envelope','3');</v>
      </c>
    </row>
    <row r="1322" spans="1:14" x14ac:dyDescent="0.3">
      <c r="A1322" t="s">
        <v>11</v>
      </c>
      <c r="B1322" s="1" t="s">
        <v>43</v>
      </c>
      <c r="C1322" s="1" t="s">
        <v>44</v>
      </c>
      <c r="D1322">
        <v>12659</v>
      </c>
      <c r="E1322" t="s">
        <v>12</v>
      </c>
      <c r="F1322" t="s">
        <v>42</v>
      </c>
      <c r="G1322">
        <v>1</v>
      </c>
      <c r="H1322">
        <v>0</v>
      </c>
      <c r="I1322" t="s">
        <v>45</v>
      </c>
      <c r="J1322" cm="1">
        <f t="array" ref="J1322">IFERROR(
    _xlfn.XLOOKUP(G1322, 'Wedgewood Pharm-PME-Yr2-2025'!$E$62:$L$62,
        _xlfn.XLOOKUP('Rate Load'!H1322, 'Wedgewood Pharm-PME-Yr2-2025'!$D$63:$D$86,
            'Wedgewood Pharm-PME-Yr2-2025'!$E$63:$L$86, 0, 0),
        0, 0),
    _xlfn.XLOOKUP(G1322, 'Wedgewood Pharm-PME-Yr2-2025'!$E$62:$L$62,
        _xlfn.XLOOKUP('Rate Load'!L1322, 'Wedgewood Pharm-PME-Yr2-2025'!$D$63:$D$86,
            'Wedgewood Pharm-PME-Yr2-2025'!$E$63:$L$86, 0, 0),
        0, 0)
)</f>
        <v>24.6</v>
      </c>
      <c r="K1322" t="s">
        <v>46</v>
      </c>
      <c r="L1322" t="s">
        <v>24</v>
      </c>
      <c r="M1322">
        <v>3</v>
      </c>
      <c r="N1322" t="str">
        <f t="shared" si="20"/>
        <v>INSERT INTO TNL_RATING.dbo.usps_rate_master VALUES ('USPS', '2/13/2025', '2/13/2026', 12659, 'US', 'Priority Mail Express', 1, 0, 'L', 24.6, 'Wedgewood_USPS_2025', 'Padded Flat-Rate Envelope','3');</v>
      </c>
    </row>
    <row r="1323" spans="1:14" x14ac:dyDescent="0.3">
      <c r="A1323" t="s">
        <v>11</v>
      </c>
      <c r="B1323" s="1" t="s">
        <v>43</v>
      </c>
      <c r="C1323" s="1" t="s">
        <v>44</v>
      </c>
      <c r="D1323">
        <v>12659</v>
      </c>
      <c r="E1323" t="s">
        <v>12</v>
      </c>
      <c r="F1323" t="s">
        <v>42</v>
      </c>
      <c r="G1323">
        <v>2</v>
      </c>
      <c r="H1323">
        <v>0</v>
      </c>
      <c r="I1323" t="s">
        <v>45</v>
      </c>
      <c r="J1323" cm="1">
        <f t="array" ref="J1323">IFERROR(
    _xlfn.XLOOKUP(G1323, 'Wedgewood Pharm-PME-Yr2-2025'!$E$62:$L$62,
        _xlfn.XLOOKUP('Rate Load'!H1323, 'Wedgewood Pharm-PME-Yr2-2025'!$D$63:$D$86,
            'Wedgewood Pharm-PME-Yr2-2025'!$E$63:$L$86, 0, 0),
        0, 0),
    _xlfn.XLOOKUP(G1323, 'Wedgewood Pharm-PME-Yr2-2025'!$E$62:$L$62,
        _xlfn.XLOOKUP('Rate Load'!L1323, 'Wedgewood Pharm-PME-Yr2-2025'!$D$63:$D$86,
            'Wedgewood Pharm-PME-Yr2-2025'!$E$63:$L$86, 0, 0),
        0, 0)
)</f>
        <v>24.6</v>
      </c>
      <c r="K1323" t="s">
        <v>46</v>
      </c>
      <c r="L1323" t="s">
        <v>24</v>
      </c>
      <c r="M1323">
        <v>3</v>
      </c>
      <c r="N1323" t="str">
        <f t="shared" si="20"/>
        <v>INSERT INTO TNL_RATING.dbo.usps_rate_master VALUES ('USPS', '2/13/2025', '2/13/2026', 12659, 'US', 'Priority Mail Express', 2, 0, 'L', 24.6, 'Wedgewood_USPS_2025', 'Padded Flat-Rate Envelope','3');</v>
      </c>
    </row>
    <row r="1324" spans="1:14" x14ac:dyDescent="0.3">
      <c r="A1324" t="s">
        <v>11</v>
      </c>
      <c r="B1324" s="1" t="s">
        <v>43</v>
      </c>
      <c r="C1324" s="1" t="s">
        <v>44</v>
      </c>
      <c r="D1324">
        <v>12659</v>
      </c>
      <c r="E1324" t="s">
        <v>12</v>
      </c>
      <c r="F1324" t="s">
        <v>42</v>
      </c>
      <c r="G1324">
        <v>3</v>
      </c>
      <c r="H1324">
        <v>0</v>
      </c>
      <c r="I1324" t="s">
        <v>45</v>
      </c>
      <c r="J1324" cm="1">
        <f t="array" ref="J1324">IFERROR(
    _xlfn.XLOOKUP(G1324, 'Wedgewood Pharm-PME-Yr2-2025'!$E$62:$L$62,
        _xlfn.XLOOKUP('Rate Load'!H1324, 'Wedgewood Pharm-PME-Yr2-2025'!$D$63:$D$86,
            'Wedgewood Pharm-PME-Yr2-2025'!$E$63:$L$86, 0, 0),
        0, 0),
    _xlfn.XLOOKUP(G1324, 'Wedgewood Pharm-PME-Yr2-2025'!$E$62:$L$62,
        _xlfn.XLOOKUP('Rate Load'!L1324, 'Wedgewood Pharm-PME-Yr2-2025'!$D$63:$D$86,
            'Wedgewood Pharm-PME-Yr2-2025'!$E$63:$L$86, 0, 0),
        0, 0)
)</f>
        <v>24.6</v>
      </c>
      <c r="K1324" t="s">
        <v>46</v>
      </c>
      <c r="L1324" t="s">
        <v>24</v>
      </c>
      <c r="M1324">
        <v>3</v>
      </c>
      <c r="N1324" t="str">
        <f t="shared" si="20"/>
        <v>INSERT INTO TNL_RATING.dbo.usps_rate_master VALUES ('USPS', '2/13/2025', '2/13/2026', 12659, 'US', 'Priority Mail Express', 3, 0, 'L', 24.6, 'Wedgewood_USPS_2025', 'Padded Flat-Rate Envelope','3');</v>
      </c>
    </row>
    <row r="1325" spans="1:14" x14ac:dyDescent="0.3">
      <c r="A1325" t="s">
        <v>11</v>
      </c>
      <c r="B1325" s="1" t="s">
        <v>43</v>
      </c>
      <c r="C1325" s="1" t="s">
        <v>44</v>
      </c>
      <c r="D1325">
        <v>12659</v>
      </c>
      <c r="E1325" t="s">
        <v>12</v>
      </c>
      <c r="F1325" t="s">
        <v>42</v>
      </c>
      <c r="G1325">
        <v>4</v>
      </c>
      <c r="H1325">
        <v>0</v>
      </c>
      <c r="I1325" t="s">
        <v>45</v>
      </c>
      <c r="J1325" cm="1">
        <f t="array" ref="J1325">IFERROR(
    _xlfn.XLOOKUP(G1325, 'Wedgewood Pharm-PME-Yr2-2025'!$E$62:$L$62,
        _xlfn.XLOOKUP('Rate Load'!H1325, 'Wedgewood Pharm-PME-Yr2-2025'!$D$63:$D$86,
            'Wedgewood Pharm-PME-Yr2-2025'!$E$63:$L$86, 0, 0),
        0, 0),
    _xlfn.XLOOKUP(G1325, 'Wedgewood Pharm-PME-Yr2-2025'!$E$62:$L$62,
        _xlfn.XLOOKUP('Rate Load'!L1325, 'Wedgewood Pharm-PME-Yr2-2025'!$D$63:$D$86,
            'Wedgewood Pharm-PME-Yr2-2025'!$E$63:$L$86, 0, 0),
        0, 0)
)</f>
        <v>24.6</v>
      </c>
      <c r="K1325" t="s">
        <v>46</v>
      </c>
      <c r="L1325" t="s">
        <v>24</v>
      </c>
      <c r="M1325">
        <v>3</v>
      </c>
      <c r="N1325" t="str">
        <f t="shared" si="20"/>
        <v>INSERT INTO TNL_RATING.dbo.usps_rate_master VALUES ('USPS', '2/13/2025', '2/13/2026', 12659, 'US', 'Priority Mail Express', 4, 0, 'L', 24.6, 'Wedgewood_USPS_2025', 'Padded Flat-Rate Envelope','3');</v>
      </c>
    </row>
    <row r="1326" spans="1:14" x14ac:dyDescent="0.3">
      <c r="A1326" t="s">
        <v>11</v>
      </c>
      <c r="B1326" s="1" t="s">
        <v>43</v>
      </c>
      <c r="C1326" s="1" t="s">
        <v>44</v>
      </c>
      <c r="D1326">
        <v>12659</v>
      </c>
      <c r="E1326" t="s">
        <v>12</v>
      </c>
      <c r="F1326" t="s">
        <v>42</v>
      </c>
      <c r="G1326">
        <v>5</v>
      </c>
      <c r="H1326">
        <v>0</v>
      </c>
      <c r="I1326" t="s">
        <v>45</v>
      </c>
      <c r="J1326" cm="1">
        <f t="array" ref="J1326">IFERROR(
    _xlfn.XLOOKUP(G1326, 'Wedgewood Pharm-PME-Yr2-2025'!$E$62:$L$62,
        _xlfn.XLOOKUP('Rate Load'!H1326, 'Wedgewood Pharm-PME-Yr2-2025'!$D$63:$D$86,
            'Wedgewood Pharm-PME-Yr2-2025'!$E$63:$L$86, 0, 0),
        0, 0),
    _xlfn.XLOOKUP(G1326, 'Wedgewood Pharm-PME-Yr2-2025'!$E$62:$L$62,
        _xlfn.XLOOKUP('Rate Load'!L1326, 'Wedgewood Pharm-PME-Yr2-2025'!$D$63:$D$86,
            'Wedgewood Pharm-PME-Yr2-2025'!$E$63:$L$86, 0, 0),
        0, 0)
)</f>
        <v>24.6</v>
      </c>
      <c r="K1326" t="s">
        <v>46</v>
      </c>
      <c r="L1326" t="s">
        <v>24</v>
      </c>
      <c r="M1326">
        <v>3</v>
      </c>
      <c r="N1326" t="str">
        <f t="shared" si="20"/>
        <v>INSERT INTO TNL_RATING.dbo.usps_rate_master VALUES ('USPS', '2/13/2025', '2/13/2026', 12659, 'US', 'Priority Mail Express', 5, 0, 'L', 24.6, 'Wedgewood_USPS_2025', 'Padded Flat-Rate Envelope','3');</v>
      </c>
    </row>
    <row r="1327" spans="1:14" x14ac:dyDescent="0.3">
      <c r="A1327" t="s">
        <v>11</v>
      </c>
      <c r="B1327" s="1" t="s">
        <v>43</v>
      </c>
      <c r="C1327" s="1" t="s">
        <v>44</v>
      </c>
      <c r="D1327">
        <v>12659</v>
      </c>
      <c r="E1327" t="s">
        <v>12</v>
      </c>
      <c r="F1327" t="s">
        <v>42</v>
      </c>
      <c r="G1327">
        <v>6</v>
      </c>
      <c r="H1327">
        <v>0</v>
      </c>
      <c r="I1327" t="s">
        <v>45</v>
      </c>
      <c r="J1327" cm="1">
        <f t="array" ref="J1327">IFERROR(
    _xlfn.XLOOKUP(G1327, 'Wedgewood Pharm-PME-Yr2-2025'!$E$62:$L$62,
        _xlfn.XLOOKUP('Rate Load'!H1327, 'Wedgewood Pharm-PME-Yr2-2025'!$D$63:$D$86,
            'Wedgewood Pharm-PME-Yr2-2025'!$E$63:$L$86, 0, 0),
        0, 0),
    _xlfn.XLOOKUP(G1327, 'Wedgewood Pharm-PME-Yr2-2025'!$E$62:$L$62,
        _xlfn.XLOOKUP('Rate Load'!L1327, 'Wedgewood Pharm-PME-Yr2-2025'!$D$63:$D$86,
            'Wedgewood Pharm-PME-Yr2-2025'!$E$63:$L$86, 0, 0),
        0, 0)
)</f>
        <v>24.6</v>
      </c>
      <c r="K1327" t="s">
        <v>46</v>
      </c>
      <c r="L1327" t="s">
        <v>24</v>
      </c>
      <c r="M1327">
        <v>3</v>
      </c>
      <c r="N1327" t="str">
        <f t="shared" si="20"/>
        <v>INSERT INTO TNL_RATING.dbo.usps_rate_master VALUES ('USPS', '2/13/2025', '2/13/2026', 12659, 'US', 'Priority Mail Express', 6, 0, 'L', 24.6, 'Wedgewood_USPS_2025', 'Padded Flat-Rate Envelope','3');</v>
      </c>
    </row>
    <row r="1328" spans="1:14" x14ac:dyDescent="0.3">
      <c r="A1328" t="s">
        <v>11</v>
      </c>
      <c r="B1328" s="1" t="s">
        <v>43</v>
      </c>
      <c r="C1328" s="1" t="s">
        <v>44</v>
      </c>
      <c r="D1328">
        <v>12659</v>
      </c>
      <c r="E1328" t="s">
        <v>12</v>
      </c>
      <c r="F1328" t="s">
        <v>42</v>
      </c>
      <c r="G1328">
        <v>7</v>
      </c>
      <c r="H1328">
        <v>0</v>
      </c>
      <c r="I1328" t="s">
        <v>45</v>
      </c>
      <c r="J1328" cm="1">
        <f t="array" ref="J1328">IFERROR(
    _xlfn.XLOOKUP(G1328, 'Wedgewood Pharm-PME-Yr2-2025'!$E$62:$L$62,
        _xlfn.XLOOKUP('Rate Load'!H1328, 'Wedgewood Pharm-PME-Yr2-2025'!$D$63:$D$86,
            'Wedgewood Pharm-PME-Yr2-2025'!$E$63:$L$86, 0, 0),
        0, 0),
    _xlfn.XLOOKUP(G1328, 'Wedgewood Pharm-PME-Yr2-2025'!$E$62:$L$62,
        _xlfn.XLOOKUP('Rate Load'!L1328, 'Wedgewood Pharm-PME-Yr2-2025'!$D$63:$D$86,
            'Wedgewood Pharm-PME-Yr2-2025'!$E$63:$L$86, 0, 0),
        0, 0)
)</f>
        <v>24.6</v>
      </c>
      <c r="K1328" t="s">
        <v>46</v>
      </c>
      <c r="L1328" t="s">
        <v>24</v>
      </c>
      <c r="M1328">
        <v>3</v>
      </c>
      <c r="N1328" t="str">
        <f t="shared" si="20"/>
        <v>INSERT INTO TNL_RATING.dbo.usps_rate_master VALUES ('USPS', '2/13/2025', '2/13/2026', 12659, 'US', 'Priority Mail Express', 7, 0, 'L', 24.6, 'Wedgewood_USPS_2025', 'Padded Flat-Rate Envelope','3');</v>
      </c>
    </row>
    <row r="1329" spans="1:14" x14ac:dyDescent="0.3">
      <c r="A1329" t="s">
        <v>11</v>
      </c>
      <c r="B1329" s="1" t="s">
        <v>43</v>
      </c>
      <c r="C1329" s="1" t="s">
        <v>44</v>
      </c>
      <c r="D1329">
        <v>12659</v>
      </c>
      <c r="E1329" t="s">
        <v>12</v>
      </c>
      <c r="F1329" t="s">
        <v>42</v>
      </c>
      <c r="G1329">
        <v>8</v>
      </c>
      <c r="H1329">
        <v>0</v>
      </c>
      <c r="I1329" t="s">
        <v>45</v>
      </c>
      <c r="J1329" cm="1">
        <f t="array" ref="J1329">IFERROR(
    _xlfn.XLOOKUP(G1329, 'Wedgewood Pharm-PME-Yr2-2025'!$E$62:$L$62,
        _xlfn.XLOOKUP('Rate Load'!H1329, 'Wedgewood Pharm-PME-Yr2-2025'!$D$63:$D$86,
            'Wedgewood Pharm-PME-Yr2-2025'!$E$63:$L$86, 0, 0),
        0, 0),
    _xlfn.XLOOKUP(G1329, 'Wedgewood Pharm-PME-Yr2-2025'!$E$62:$L$62,
        _xlfn.XLOOKUP('Rate Load'!L1329, 'Wedgewood Pharm-PME-Yr2-2025'!$D$63:$D$86,
            'Wedgewood Pharm-PME-Yr2-2025'!$E$63:$L$86, 0, 0),
        0, 0)
)</f>
        <v>24.6</v>
      </c>
      <c r="K1329" t="s">
        <v>46</v>
      </c>
      <c r="L1329" t="s">
        <v>24</v>
      </c>
      <c r="M1329">
        <v>3</v>
      </c>
      <c r="N1329" t="str">
        <f t="shared" si="20"/>
        <v>INSERT INTO TNL_RATING.dbo.usps_rate_master VALUES ('USPS', '2/13/2025', '2/13/2026', 12659, 'US', 'Priority Mail Express', 8, 0, 'L', 24.6, 'Wedgewood_USPS_2025', 'Padded Flat-Rate Envelope','3');</v>
      </c>
    </row>
    <row r="1330" spans="1:14" x14ac:dyDescent="0.3">
      <c r="A1330" t="s">
        <v>11</v>
      </c>
      <c r="B1330" s="1" t="s">
        <v>43</v>
      </c>
      <c r="C1330" s="1" t="s">
        <v>44</v>
      </c>
      <c r="D1330">
        <v>12659</v>
      </c>
      <c r="E1330" t="s">
        <v>12</v>
      </c>
      <c r="F1330" t="s">
        <v>47</v>
      </c>
      <c r="G1330">
        <v>1</v>
      </c>
      <c r="H1330">
        <v>0.5</v>
      </c>
      <c r="I1330" t="s">
        <v>45</v>
      </c>
      <c r="J1330" cm="1">
        <f t="array" ref="J1330">IFERROR(
    _xlfn.XLOOKUP(G1330, 'Wedgewood Pharm-PM-Yr2-2025'!$E$78:$L$78,
        _xlfn.XLOOKUP('Rate Load'!H1330, 'Wedgewood Pharm-PM-Yr2-2025'!$D$79:$D$110,
            'Wedgewood Pharm-PM-Yr2-2025'!$E$79:$L$110, 0, 0),
        0, 0),
    _xlfn.XLOOKUP(G1330, 'Wedgewood Pharm-PM-Yr2-2025'!$E$78:$L$78,
        _xlfn.XLOOKUP('Rate Load'!L1330, 'Wedgewood Pharm-PM-Yr2-2025'!$D$79:$D$110,
            'Wedgewood Pharm-PM-Yr2-2025'!$E$79:$L$110, 0, 0),
        0, 0)
)</f>
        <v>6.84</v>
      </c>
      <c r="K1330" t="s">
        <v>46</v>
      </c>
      <c r="L1330" t="s">
        <v>13</v>
      </c>
      <c r="M1330">
        <v>3</v>
      </c>
      <c r="N1330" t="str">
        <f t="shared" si="20"/>
        <v>INSERT INTO TNL_RATING.dbo.usps_rate_master VALUES ('USPS', '2/13/2025', '2/13/2026', 12659, 'US', 'Priority Mail', 1, 0.5, 'L', 6.84, 'Wedgewood_USPS_2025', 'NonCubic','3');</v>
      </c>
    </row>
    <row r="1331" spans="1:14" x14ac:dyDescent="0.3">
      <c r="A1331" t="s">
        <v>11</v>
      </c>
      <c r="B1331" s="1" t="s">
        <v>43</v>
      </c>
      <c r="C1331" s="1" t="s">
        <v>44</v>
      </c>
      <c r="D1331">
        <v>12659</v>
      </c>
      <c r="E1331" t="s">
        <v>12</v>
      </c>
      <c r="F1331" t="s">
        <v>47</v>
      </c>
      <c r="G1331">
        <v>1</v>
      </c>
      <c r="H1331">
        <v>1</v>
      </c>
      <c r="I1331" t="s">
        <v>45</v>
      </c>
      <c r="J1331" cm="1">
        <f t="array" ref="J1331">IFERROR(
    _xlfn.XLOOKUP(G1331, 'Wedgewood Pharm-PM-Yr2-2025'!$E$78:$L$78,
        _xlfn.XLOOKUP('Rate Load'!H1331, 'Wedgewood Pharm-PM-Yr2-2025'!$D$79:$D$110,
            'Wedgewood Pharm-PM-Yr2-2025'!$E$79:$L$110, 0, 0),
        0, 0),
    _xlfn.XLOOKUP(G1331, 'Wedgewood Pharm-PM-Yr2-2025'!$E$78:$L$78,
        _xlfn.XLOOKUP('Rate Load'!L1331, 'Wedgewood Pharm-PM-Yr2-2025'!$D$79:$D$110,
            'Wedgewood Pharm-PM-Yr2-2025'!$E$79:$L$110, 0, 0),
        0, 0)
)</f>
        <v>6.84</v>
      </c>
      <c r="K1331" t="s">
        <v>46</v>
      </c>
      <c r="L1331" t="s">
        <v>13</v>
      </c>
      <c r="M1331">
        <v>3</v>
      </c>
      <c r="N1331" t="str">
        <f t="shared" si="20"/>
        <v>INSERT INTO TNL_RATING.dbo.usps_rate_master VALUES ('USPS', '2/13/2025', '2/13/2026', 12659, 'US', 'Priority Mail', 1, 1, 'L', 6.84, 'Wedgewood_USPS_2025', 'NonCubic','3');</v>
      </c>
    </row>
    <row r="1332" spans="1:14" x14ac:dyDescent="0.3">
      <c r="A1332" t="s">
        <v>11</v>
      </c>
      <c r="B1332" s="1" t="s">
        <v>43</v>
      </c>
      <c r="C1332" s="1" t="s">
        <v>44</v>
      </c>
      <c r="D1332">
        <v>12659</v>
      </c>
      <c r="E1332" t="s">
        <v>12</v>
      </c>
      <c r="F1332" t="s">
        <v>47</v>
      </c>
      <c r="G1332">
        <v>1</v>
      </c>
      <c r="H1332">
        <v>2</v>
      </c>
      <c r="I1332" t="s">
        <v>45</v>
      </c>
      <c r="J1332" cm="1">
        <f t="array" ref="J1332">IFERROR(
    _xlfn.XLOOKUP(G1332, 'Wedgewood Pharm-PM-Yr2-2025'!$E$78:$L$78,
        _xlfn.XLOOKUP('Rate Load'!H1332, 'Wedgewood Pharm-PM-Yr2-2025'!$D$79:$D$110,
            'Wedgewood Pharm-PM-Yr2-2025'!$E$79:$L$110, 0, 0),
        0, 0),
    _xlfn.XLOOKUP(G1332, 'Wedgewood Pharm-PM-Yr2-2025'!$E$78:$L$78,
        _xlfn.XLOOKUP('Rate Load'!L1332, 'Wedgewood Pharm-PM-Yr2-2025'!$D$79:$D$110,
            'Wedgewood Pharm-PM-Yr2-2025'!$E$79:$L$110, 0, 0),
        0, 0)
)</f>
        <v>6.8599999999999994</v>
      </c>
      <c r="K1332" t="s">
        <v>46</v>
      </c>
      <c r="L1332" t="s">
        <v>13</v>
      </c>
      <c r="M1332">
        <v>3</v>
      </c>
      <c r="N1332" t="str">
        <f t="shared" si="20"/>
        <v>INSERT INTO TNL_RATING.dbo.usps_rate_master VALUES ('USPS', '2/13/2025', '2/13/2026', 12659, 'US', 'Priority Mail', 1, 2, 'L', 6.86, 'Wedgewood_USPS_2025', 'NonCubic','3');</v>
      </c>
    </row>
    <row r="1333" spans="1:14" x14ac:dyDescent="0.3">
      <c r="A1333" t="s">
        <v>11</v>
      </c>
      <c r="B1333" s="1" t="s">
        <v>43</v>
      </c>
      <c r="C1333" s="1" t="s">
        <v>44</v>
      </c>
      <c r="D1333">
        <v>12659</v>
      </c>
      <c r="E1333" t="s">
        <v>12</v>
      </c>
      <c r="F1333" t="s">
        <v>47</v>
      </c>
      <c r="G1333">
        <v>1</v>
      </c>
      <c r="H1333">
        <v>3</v>
      </c>
      <c r="I1333" t="s">
        <v>45</v>
      </c>
      <c r="J1333" cm="1">
        <f t="array" ref="J1333">IFERROR(
    _xlfn.XLOOKUP(G1333, 'Wedgewood Pharm-PM-Yr2-2025'!$E$78:$L$78,
        _xlfn.XLOOKUP('Rate Load'!H1333, 'Wedgewood Pharm-PM-Yr2-2025'!$D$79:$D$110,
            'Wedgewood Pharm-PM-Yr2-2025'!$E$79:$L$110, 0, 0),
        0, 0),
    _xlfn.XLOOKUP(G1333, 'Wedgewood Pharm-PM-Yr2-2025'!$E$78:$L$78,
        _xlfn.XLOOKUP('Rate Load'!L1333, 'Wedgewood Pharm-PM-Yr2-2025'!$D$79:$D$110,
            'Wedgewood Pharm-PM-Yr2-2025'!$E$79:$L$110, 0, 0),
        0, 0)
)</f>
        <v>6.96</v>
      </c>
      <c r="K1333" t="s">
        <v>46</v>
      </c>
      <c r="L1333" t="s">
        <v>13</v>
      </c>
      <c r="M1333">
        <v>3</v>
      </c>
      <c r="N1333" t="str">
        <f t="shared" si="20"/>
        <v>INSERT INTO TNL_RATING.dbo.usps_rate_master VALUES ('USPS', '2/13/2025', '2/13/2026', 12659, 'US', 'Priority Mail', 1, 3, 'L', 6.96, 'Wedgewood_USPS_2025', 'NonCubic','3');</v>
      </c>
    </row>
    <row r="1334" spans="1:14" x14ac:dyDescent="0.3">
      <c r="A1334" t="s">
        <v>11</v>
      </c>
      <c r="B1334" s="1" t="s">
        <v>43</v>
      </c>
      <c r="C1334" s="1" t="s">
        <v>44</v>
      </c>
      <c r="D1334">
        <v>12659</v>
      </c>
      <c r="E1334" t="s">
        <v>12</v>
      </c>
      <c r="F1334" t="s">
        <v>47</v>
      </c>
      <c r="G1334">
        <v>1</v>
      </c>
      <c r="H1334">
        <v>4</v>
      </c>
      <c r="I1334" t="s">
        <v>45</v>
      </c>
      <c r="J1334" cm="1">
        <f t="array" ref="J1334">IFERROR(
    _xlfn.XLOOKUP(G1334, 'Wedgewood Pharm-PM-Yr2-2025'!$E$78:$L$78,
        _xlfn.XLOOKUP('Rate Load'!H1334, 'Wedgewood Pharm-PM-Yr2-2025'!$D$79:$D$110,
            'Wedgewood Pharm-PM-Yr2-2025'!$E$79:$L$110, 0, 0),
        0, 0),
    _xlfn.XLOOKUP(G1334, 'Wedgewood Pharm-PM-Yr2-2025'!$E$78:$L$78,
        _xlfn.XLOOKUP('Rate Load'!L1334, 'Wedgewood Pharm-PM-Yr2-2025'!$D$79:$D$110,
            'Wedgewood Pharm-PM-Yr2-2025'!$E$79:$L$110, 0, 0),
        0, 0)
)</f>
        <v>7.1099999999999994</v>
      </c>
      <c r="K1334" t="s">
        <v>46</v>
      </c>
      <c r="L1334" t="s">
        <v>13</v>
      </c>
      <c r="M1334">
        <v>3</v>
      </c>
      <c r="N1334" t="str">
        <f t="shared" si="20"/>
        <v>INSERT INTO TNL_RATING.dbo.usps_rate_master VALUES ('USPS', '2/13/2025', '2/13/2026', 12659, 'US', 'Priority Mail', 1, 4, 'L', 7.11, 'Wedgewood_USPS_2025', 'NonCubic','3');</v>
      </c>
    </row>
    <row r="1335" spans="1:14" x14ac:dyDescent="0.3">
      <c r="A1335" t="s">
        <v>11</v>
      </c>
      <c r="B1335" s="1" t="s">
        <v>43</v>
      </c>
      <c r="C1335" s="1" t="s">
        <v>44</v>
      </c>
      <c r="D1335">
        <v>12659</v>
      </c>
      <c r="E1335" t="s">
        <v>12</v>
      </c>
      <c r="F1335" t="s">
        <v>47</v>
      </c>
      <c r="G1335">
        <v>1</v>
      </c>
      <c r="H1335">
        <v>5</v>
      </c>
      <c r="I1335" t="s">
        <v>45</v>
      </c>
      <c r="J1335" cm="1">
        <f t="array" ref="J1335">IFERROR(
    _xlfn.XLOOKUP(G1335, 'Wedgewood Pharm-PM-Yr2-2025'!$E$78:$L$78,
        _xlfn.XLOOKUP('Rate Load'!H1335, 'Wedgewood Pharm-PM-Yr2-2025'!$D$79:$D$110,
            'Wedgewood Pharm-PM-Yr2-2025'!$E$79:$L$110, 0, 0),
        0, 0),
    _xlfn.XLOOKUP(G1335, 'Wedgewood Pharm-PM-Yr2-2025'!$E$78:$L$78,
        _xlfn.XLOOKUP('Rate Load'!L1335, 'Wedgewood Pharm-PM-Yr2-2025'!$D$79:$D$110,
            'Wedgewood Pharm-PM-Yr2-2025'!$E$79:$L$110, 0, 0),
        0, 0)
)</f>
        <v>7.1099999999999994</v>
      </c>
      <c r="K1335" t="s">
        <v>46</v>
      </c>
      <c r="L1335" t="s">
        <v>13</v>
      </c>
      <c r="M1335">
        <v>3</v>
      </c>
      <c r="N1335" t="str">
        <f t="shared" si="20"/>
        <v>INSERT INTO TNL_RATING.dbo.usps_rate_master VALUES ('USPS', '2/13/2025', '2/13/2026', 12659, 'US', 'Priority Mail', 1, 5, 'L', 7.11, 'Wedgewood_USPS_2025', 'NonCubic','3');</v>
      </c>
    </row>
    <row r="1336" spans="1:14" x14ac:dyDescent="0.3">
      <c r="A1336" t="s">
        <v>11</v>
      </c>
      <c r="B1336" s="1" t="s">
        <v>43</v>
      </c>
      <c r="C1336" s="1" t="s">
        <v>44</v>
      </c>
      <c r="D1336">
        <v>12659</v>
      </c>
      <c r="E1336" t="s">
        <v>12</v>
      </c>
      <c r="F1336" t="s">
        <v>47</v>
      </c>
      <c r="G1336">
        <v>1</v>
      </c>
      <c r="H1336">
        <v>6</v>
      </c>
      <c r="I1336" t="s">
        <v>45</v>
      </c>
      <c r="J1336" cm="1">
        <f t="array" ref="J1336">IFERROR(
    _xlfn.XLOOKUP(G1336, 'Wedgewood Pharm-PM-Yr2-2025'!$E$78:$L$78,
        _xlfn.XLOOKUP('Rate Load'!H1336, 'Wedgewood Pharm-PM-Yr2-2025'!$D$79:$D$110,
            'Wedgewood Pharm-PM-Yr2-2025'!$E$79:$L$110, 0, 0),
        0, 0),
    _xlfn.XLOOKUP(G1336, 'Wedgewood Pharm-PM-Yr2-2025'!$E$78:$L$78,
        _xlfn.XLOOKUP('Rate Load'!L1336, 'Wedgewood Pharm-PM-Yr2-2025'!$D$79:$D$110,
            'Wedgewood Pharm-PM-Yr2-2025'!$E$79:$L$110, 0, 0),
        0, 0)
)</f>
        <v>7.21</v>
      </c>
      <c r="K1336" t="s">
        <v>46</v>
      </c>
      <c r="L1336" t="s">
        <v>13</v>
      </c>
      <c r="M1336">
        <v>3</v>
      </c>
      <c r="N1336" t="str">
        <f t="shared" si="20"/>
        <v>INSERT INTO TNL_RATING.dbo.usps_rate_master VALUES ('USPS', '2/13/2025', '2/13/2026', 12659, 'US', 'Priority Mail', 1, 6, 'L', 7.21, 'Wedgewood_USPS_2025', 'NonCubic','3');</v>
      </c>
    </row>
    <row r="1337" spans="1:14" x14ac:dyDescent="0.3">
      <c r="A1337" t="s">
        <v>11</v>
      </c>
      <c r="B1337" s="1" t="s">
        <v>43</v>
      </c>
      <c r="C1337" s="1" t="s">
        <v>44</v>
      </c>
      <c r="D1337">
        <v>12659</v>
      </c>
      <c r="E1337" t="s">
        <v>12</v>
      </c>
      <c r="F1337" t="s">
        <v>47</v>
      </c>
      <c r="G1337">
        <v>1</v>
      </c>
      <c r="H1337">
        <v>7</v>
      </c>
      <c r="I1337" t="s">
        <v>45</v>
      </c>
      <c r="J1337" cm="1">
        <f t="array" ref="J1337">IFERROR(
    _xlfn.XLOOKUP(G1337, 'Wedgewood Pharm-PM-Yr2-2025'!$E$78:$L$78,
        _xlfn.XLOOKUP('Rate Load'!H1337, 'Wedgewood Pharm-PM-Yr2-2025'!$D$79:$D$110,
            'Wedgewood Pharm-PM-Yr2-2025'!$E$79:$L$110, 0, 0),
        0, 0),
    _xlfn.XLOOKUP(G1337, 'Wedgewood Pharm-PM-Yr2-2025'!$E$78:$L$78,
        _xlfn.XLOOKUP('Rate Load'!L1337, 'Wedgewood Pharm-PM-Yr2-2025'!$D$79:$D$110,
            'Wedgewood Pharm-PM-Yr2-2025'!$E$79:$L$110, 0, 0),
        0, 0)
)</f>
        <v>8.2999999999999989</v>
      </c>
      <c r="K1337" t="s">
        <v>46</v>
      </c>
      <c r="L1337" t="s">
        <v>13</v>
      </c>
      <c r="M1337">
        <v>3</v>
      </c>
      <c r="N1337" t="str">
        <f t="shared" si="20"/>
        <v>INSERT INTO TNL_RATING.dbo.usps_rate_master VALUES ('USPS', '2/13/2025', '2/13/2026', 12659, 'US', 'Priority Mail', 1, 7, 'L', 8.3, 'Wedgewood_USPS_2025', 'NonCubic','3');</v>
      </c>
    </row>
    <row r="1338" spans="1:14" x14ac:dyDescent="0.3">
      <c r="A1338" t="s">
        <v>11</v>
      </c>
      <c r="B1338" s="1" t="s">
        <v>43</v>
      </c>
      <c r="C1338" s="1" t="s">
        <v>44</v>
      </c>
      <c r="D1338">
        <v>12659</v>
      </c>
      <c r="E1338" t="s">
        <v>12</v>
      </c>
      <c r="F1338" t="s">
        <v>47</v>
      </c>
      <c r="G1338">
        <v>1</v>
      </c>
      <c r="H1338">
        <v>8</v>
      </c>
      <c r="I1338" t="s">
        <v>45</v>
      </c>
      <c r="J1338" cm="1">
        <f t="array" ref="J1338">IFERROR(
    _xlfn.XLOOKUP(G1338, 'Wedgewood Pharm-PM-Yr2-2025'!$E$78:$L$78,
        _xlfn.XLOOKUP('Rate Load'!H1338, 'Wedgewood Pharm-PM-Yr2-2025'!$D$79:$D$110,
            'Wedgewood Pharm-PM-Yr2-2025'!$E$79:$L$110, 0, 0),
        0, 0),
    _xlfn.XLOOKUP(G1338, 'Wedgewood Pharm-PM-Yr2-2025'!$E$78:$L$78,
        _xlfn.XLOOKUP('Rate Load'!L1338, 'Wedgewood Pharm-PM-Yr2-2025'!$D$79:$D$110,
            'Wedgewood Pharm-PM-Yr2-2025'!$E$79:$L$110, 0, 0),
        0, 0)
)</f>
        <v>8.57</v>
      </c>
      <c r="K1338" t="s">
        <v>46</v>
      </c>
      <c r="L1338" t="s">
        <v>13</v>
      </c>
      <c r="M1338">
        <v>3</v>
      </c>
      <c r="N1338" t="str">
        <f t="shared" si="20"/>
        <v>INSERT INTO TNL_RATING.dbo.usps_rate_master VALUES ('USPS', '2/13/2025', '2/13/2026', 12659, 'US', 'Priority Mail', 1, 8, 'L', 8.57, 'Wedgewood_USPS_2025', 'NonCubic','3');</v>
      </c>
    </row>
    <row r="1339" spans="1:14" x14ac:dyDescent="0.3">
      <c r="A1339" t="s">
        <v>11</v>
      </c>
      <c r="B1339" s="1" t="s">
        <v>43</v>
      </c>
      <c r="C1339" s="1" t="s">
        <v>44</v>
      </c>
      <c r="D1339">
        <v>12659</v>
      </c>
      <c r="E1339" t="s">
        <v>12</v>
      </c>
      <c r="F1339" t="s">
        <v>47</v>
      </c>
      <c r="G1339">
        <v>1</v>
      </c>
      <c r="H1339">
        <v>9</v>
      </c>
      <c r="I1339" t="s">
        <v>45</v>
      </c>
      <c r="J1339" cm="1">
        <f t="array" ref="J1339">IFERROR(
    _xlfn.XLOOKUP(G1339, 'Wedgewood Pharm-PM-Yr2-2025'!$E$78:$L$78,
        _xlfn.XLOOKUP('Rate Load'!H1339, 'Wedgewood Pharm-PM-Yr2-2025'!$D$79:$D$110,
            'Wedgewood Pharm-PM-Yr2-2025'!$E$79:$L$110, 0, 0),
        0, 0),
    _xlfn.XLOOKUP(G1339, 'Wedgewood Pharm-PM-Yr2-2025'!$E$78:$L$78,
        _xlfn.XLOOKUP('Rate Load'!L1339, 'Wedgewood Pharm-PM-Yr2-2025'!$D$79:$D$110,
            'Wedgewood Pharm-PM-Yr2-2025'!$E$79:$L$110, 0, 0),
        0, 0)
)</f>
        <v>8.98</v>
      </c>
      <c r="K1339" t="s">
        <v>46</v>
      </c>
      <c r="L1339" t="s">
        <v>13</v>
      </c>
      <c r="M1339">
        <v>3</v>
      </c>
      <c r="N1339" t="str">
        <f t="shared" si="20"/>
        <v>INSERT INTO TNL_RATING.dbo.usps_rate_master VALUES ('USPS', '2/13/2025', '2/13/2026', 12659, 'US', 'Priority Mail', 1, 9, 'L', 8.98, 'Wedgewood_USPS_2025', 'NonCubic','3');</v>
      </c>
    </row>
    <row r="1340" spans="1:14" x14ac:dyDescent="0.3">
      <c r="A1340" t="s">
        <v>11</v>
      </c>
      <c r="B1340" s="1" t="s">
        <v>43</v>
      </c>
      <c r="C1340" s="1" t="s">
        <v>44</v>
      </c>
      <c r="D1340">
        <v>12659</v>
      </c>
      <c r="E1340" t="s">
        <v>12</v>
      </c>
      <c r="F1340" t="s">
        <v>47</v>
      </c>
      <c r="G1340">
        <v>1</v>
      </c>
      <c r="H1340">
        <v>10</v>
      </c>
      <c r="I1340" t="s">
        <v>45</v>
      </c>
      <c r="J1340" cm="1">
        <f t="array" ref="J1340">IFERROR(
    _xlfn.XLOOKUP(G1340, 'Wedgewood Pharm-PM-Yr2-2025'!$E$78:$L$78,
        _xlfn.XLOOKUP('Rate Load'!H1340, 'Wedgewood Pharm-PM-Yr2-2025'!$D$79:$D$110,
            'Wedgewood Pharm-PM-Yr2-2025'!$E$79:$L$110, 0, 0),
        0, 0),
    _xlfn.XLOOKUP(G1340, 'Wedgewood Pharm-PM-Yr2-2025'!$E$78:$L$78,
        _xlfn.XLOOKUP('Rate Load'!L1340, 'Wedgewood Pharm-PM-Yr2-2025'!$D$79:$D$110,
            'Wedgewood Pharm-PM-Yr2-2025'!$E$79:$L$110, 0, 0),
        0, 0)
)</f>
        <v>9.31</v>
      </c>
      <c r="K1340" t="s">
        <v>46</v>
      </c>
      <c r="L1340" t="s">
        <v>13</v>
      </c>
      <c r="M1340">
        <v>3</v>
      </c>
      <c r="N1340" t="str">
        <f t="shared" si="20"/>
        <v>INSERT INTO TNL_RATING.dbo.usps_rate_master VALUES ('USPS', '2/13/2025', '2/13/2026', 12659, 'US', 'Priority Mail', 1, 10, 'L', 9.31, 'Wedgewood_USPS_2025', 'NonCubic','3');</v>
      </c>
    </row>
    <row r="1341" spans="1:14" x14ac:dyDescent="0.3">
      <c r="A1341" t="s">
        <v>11</v>
      </c>
      <c r="B1341" s="1" t="s">
        <v>43</v>
      </c>
      <c r="C1341" s="1" t="s">
        <v>44</v>
      </c>
      <c r="D1341">
        <v>12659</v>
      </c>
      <c r="E1341" t="s">
        <v>12</v>
      </c>
      <c r="F1341" t="s">
        <v>47</v>
      </c>
      <c r="G1341">
        <v>1</v>
      </c>
      <c r="H1341">
        <v>11</v>
      </c>
      <c r="I1341" t="s">
        <v>45</v>
      </c>
      <c r="J1341" cm="1">
        <f t="array" ref="J1341">IFERROR(
    _xlfn.XLOOKUP(G1341, 'Wedgewood Pharm-PM-Yr2-2025'!$E$78:$L$78,
        _xlfn.XLOOKUP('Rate Load'!H1341, 'Wedgewood Pharm-PM-Yr2-2025'!$D$79:$D$110,
            'Wedgewood Pharm-PM-Yr2-2025'!$E$79:$L$110, 0, 0),
        0, 0),
    _xlfn.XLOOKUP(G1341, 'Wedgewood Pharm-PM-Yr2-2025'!$E$78:$L$78,
        _xlfn.XLOOKUP('Rate Load'!L1341, 'Wedgewood Pharm-PM-Yr2-2025'!$D$79:$D$110,
            'Wedgewood Pharm-PM-Yr2-2025'!$E$79:$L$110, 0, 0),
        0, 0)
)</f>
        <v>10.01</v>
      </c>
      <c r="K1341" t="s">
        <v>46</v>
      </c>
      <c r="L1341" t="s">
        <v>13</v>
      </c>
      <c r="M1341">
        <v>3</v>
      </c>
      <c r="N1341" t="str">
        <f t="shared" si="20"/>
        <v>INSERT INTO TNL_RATING.dbo.usps_rate_master VALUES ('USPS', '2/13/2025', '2/13/2026', 12659, 'US', 'Priority Mail', 1, 11, 'L', 10.01, 'Wedgewood_USPS_2025', 'NonCubic','3');</v>
      </c>
    </row>
    <row r="1342" spans="1:14" x14ac:dyDescent="0.3">
      <c r="A1342" t="s">
        <v>11</v>
      </c>
      <c r="B1342" s="1" t="s">
        <v>43</v>
      </c>
      <c r="C1342" s="1" t="s">
        <v>44</v>
      </c>
      <c r="D1342">
        <v>12659</v>
      </c>
      <c r="E1342" t="s">
        <v>12</v>
      </c>
      <c r="F1342" t="s">
        <v>47</v>
      </c>
      <c r="G1342">
        <v>1</v>
      </c>
      <c r="H1342">
        <v>12</v>
      </c>
      <c r="I1342" t="s">
        <v>45</v>
      </c>
      <c r="J1342" cm="1">
        <f t="array" ref="J1342">IFERROR(
    _xlfn.XLOOKUP(G1342, 'Wedgewood Pharm-PM-Yr2-2025'!$E$78:$L$78,
        _xlfn.XLOOKUP('Rate Load'!H1342, 'Wedgewood Pharm-PM-Yr2-2025'!$D$79:$D$110,
            'Wedgewood Pharm-PM-Yr2-2025'!$E$79:$L$110, 0, 0),
        0, 0),
    _xlfn.XLOOKUP(G1342, 'Wedgewood Pharm-PM-Yr2-2025'!$E$78:$L$78,
        _xlfn.XLOOKUP('Rate Load'!L1342, 'Wedgewood Pharm-PM-Yr2-2025'!$D$79:$D$110,
            'Wedgewood Pharm-PM-Yr2-2025'!$E$79:$L$110, 0, 0),
        0, 0)
)</f>
        <v>10.36</v>
      </c>
      <c r="K1342" t="s">
        <v>46</v>
      </c>
      <c r="L1342" t="s">
        <v>13</v>
      </c>
      <c r="M1342">
        <v>3</v>
      </c>
      <c r="N1342" t="str">
        <f t="shared" si="20"/>
        <v>INSERT INTO TNL_RATING.dbo.usps_rate_master VALUES ('USPS', '2/13/2025', '2/13/2026', 12659, 'US', 'Priority Mail', 1, 12, 'L', 10.36, 'Wedgewood_USPS_2025', 'NonCubic','3');</v>
      </c>
    </row>
    <row r="1343" spans="1:14" x14ac:dyDescent="0.3">
      <c r="A1343" t="s">
        <v>11</v>
      </c>
      <c r="B1343" s="1" t="s">
        <v>43</v>
      </c>
      <c r="C1343" s="1" t="s">
        <v>44</v>
      </c>
      <c r="D1343">
        <v>12659</v>
      </c>
      <c r="E1343" t="s">
        <v>12</v>
      </c>
      <c r="F1343" t="s">
        <v>47</v>
      </c>
      <c r="G1343">
        <v>1</v>
      </c>
      <c r="H1343">
        <v>13</v>
      </c>
      <c r="I1343" t="s">
        <v>45</v>
      </c>
      <c r="J1343" cm="1">
        <f t="array" ref="J1343">IFERROR(
    _xlfn.XLOOKUP(G1343, 'Wedgewood Pharm-PM-Yr2-2025'!$E$78:$L$78,
        _xlfn.XLOOKUP('Rate Load'!H1343, 'Wedgewood Pharm-PM-Yr2-2025'!$D$79:$D$110,
            'Wedgewood Pharm-PM-Yr2-2025'!$E$79:$L$110, 0, 0),
        0, 0),
    _xlfn.XLOOKUP(G1343, 'Wedgewood Pharm-PM-Yr2-2025'!$E$78:$L$78,
        _xlfn.XLOOKUP('Rate Load'!L1343, 'Wedgewood Pharm-PM-Yr2-2025'!$D$79:$D$110,
            'Wedgewood Pharm-PM-Yr2-2025'!$E$79:$L$110, 0, 0),
        0, 0)
)</f>
        <v>10.73</v>
      </c>
      <c r="K1343" t="s">
        <v>46</v>
      </c>
      <c r="L1343" t="s">
        <v>13</v>
      </c>
      <c r="M1343">
        <v>3</v>
      </c>
      <c r="N1343" t="str">
        <f t="shared" si="20"/>
        <v>INSERT INTO TNL_RATING.dbo.usps_rate_master VALUES ('USPS', '2/13/2025', '2/13/2026', 12659, 'US', 'Priority Mail', 1, 13, 'L', 10.73, 'Wedgewood_USPS_2025', 'NonCubic','3');</v>
      </c>
    </row>
    <row r="1344" spans="1:14" x14ac:dyDescent="0.3">
      <c r="A1344" t="s">
        <v>11</v>
      </c>
      <c r="B1344" s="1" t="s">
        <v>43</v>
      </c>
      <c r="C1344" s="1" t="s">
        <v>44</v>
      </c>
      <c r="D1344">
        <v>12659</v>
      </c>
      <c r="E1344" t="s">
        <v>12</v>
      </c>
      <c r="F1344" t="s">
        <v>47</v>
      </c>
      <c r="G1344">
        <v>1</v>
      </c>
      <c r="H1344">
        <v>14</v>
      </c>
      <c r="I1344" t="s">
        <v>45</v>
      </c>
      <c r="J1344" cm="1">
        <f t="array" ref="J1344">IFERROR(
    _xlfn.XLOOKUP(G1344, 'Wedgewood Pharm-PM-Yr2-2025'!$E$78:$L$78,
        _xlfn.XLOOKUP('Rate Load'!H1344, 'Wedgewood Pharm-PM-Yr2-2025'!$D$79:$D$110,
            'Wedgewood Pharm-PM-Yr2-2025'!$E$79:$L$110, 0, 0),
        0, 0),
    _xlfn.XLOOKUP(G1344, 'Wedgewood Pharm-PM-Yr2-2025'!$E$78:$L$78,
        _xlfn.XLOOKUP('Rate Load'!L1344, 'Wedgewood Pharm-PM-Yr2-2025'!$D$79:$D$110,
            'Wedgewood Pharm-PM-Yr2-2025'!$E$79:$L$110, 0, 0),
        0, 0)
)</f>
        <v>11.12</v>
      </c>
      <c r="K1344" t="s">
        <v>46</v>
      </c>
      <c r="L1344" t="s">
        <v>13</v>
      </c>
      <c r="M1344">
        <v>3</v>
      </c>
      <c r="N1344" t="str">
        <f t="shared" si="20"/>
        <v>INSERT INTO TNL_RATING.dbo.usps_rate_master VALUES ('USPS', '2/13/2025', '2/13/2026', 12659, 'US', 'Priority Mail', 1, 14, 'L', 11.12, 'Wedgewood_USPS_2025', 'NonCubic','3');</v>
      </c>
    </row>
    <row r="1345" spans="1:14" x14ac:dyDescent="0.3">
      <c r="A1345" t="s">
        <v>11</v>
      </c>
      <c r="B1345" s="1" t="s">
        <v>43</v>
      </c>
      <c r="C1345" s="1" t="s">
        <v>44</v>
      </c>
      <c r="D1345">
        <v>12659</v>
      </c>
      <c r="E1345" t="s">
        <v>12</v>
      </c>
      <c r="F1345" t="s">
        <v>47</v>
      </c>
      <c r="G1345">
        <v>1</v>
      </c>
      <c r="H1345">
        <v>15</v>
      </c>
      <c r="I1345" t="s">
        <v>45</v>
      </c>
      <c r="J1345" cm="1">
        <f t="array" ref="J1345">IFERROR(
    _xlfn.XLOOKUP(G1345, 'Wedgewood Pharm-PM-Yr2-2025'!$E$78:$L$78,
        _xlfn.XLOOKUP('Rate Load'!H1345, 'Wedgewood Pharm-PM-Yr2-2025'!$D$79:$D$110,
            'Wedgewood Pharm-PM-Yr2-2025'!$E$79:$L$110, 0, 0),
        0, 0),
    _xlfn.XLOOKUP(G1345, 'Wedgewood Pharm-PM-Yr2-2025'!$E$78:$L$78,
        _xlfn.XLOOKUP('Rate Load'!L1345, 'Wedgewood Pharm-PM-Yr2-2025'!$D$79:$D$110,
            'Wedgewood Pharm-PM-Yr2-2025'!$E$79:$L$110, 0, 0),
        0, 0)
)</f>
        <v>11.43</v>
      </c>
      <c r="K1345" t="s">
        <v>46</v>
      </c>
      <c r="L1345" t="s">
        <v>13</v>
      </c>
      <c r="M1345">
        <v>3</v>
      </c>
      <c r="N1345" t="str">
        <f t="shared" si="20"/>
        <v>INSERT INTO TNL_RATING.dbo.usps_rate_master VALUES ('USPS', '2/13/2025', '2/13/2026', 12659, 'US', 'Priority Mail', 1, 15, 'L', 11.43, 'Wedgewood_USPS_2025', 'NonCubic','3');</v>
      </c>
    </row>
    <row r="1346" spans="1:14" x14ac:dyDescent="0.3">
      <c r="A1346" t="s">
        <v>11</v>
      </c>
      <c r="B1346" s="1" t="s">
        <v>43</v>
      </c>
      <c r="C1346" s="1" t="s">
        <v>44</v>
      </c>
      <c r="D1346">
        <v>12659</v>
      </c>
      <c r="E1346" t="s">
        <v>12</v>
      </c>
      <c r="F1346" t="s">
        <v>47</v>
      </c>
      <c r="G1346">
        <v>1</v>
      </c>
      <c r="H1346">
        <v>16</v>
      </c>
      <c r="I1346" t="s">
        <v>45</v>
      </c>
      <c r="J1346" cm="1">
        <f t="array" ref="J1346">IFERROR(
    _xlfn.XLOOKUP(G1346, 'Wedgewood Pharm-PM-Yr2-2025'!$E$78:$L$78,
        _xlfn.XLOOKUP('Rate Load'!H1346, 'Wedgewood Pharm-PM-Yr2-2025'!$D$79:$D$110,
            'Wedgewood Pharm-PM-Yr2-2025'!$E$79:$L$110, 0, 0),
        0, 0),
    _xlfn.XLOOKUP(G1346, 'Wedgewood Pharm-PM-Yr2-2025'!$E$78:$L$78,
        _xlfn.XLOOKUP('Rate Load'!L1346, 'Wedgewood Pharm-PM-Yr2-2025'!$D$79:$D$110,
            'Wedgewood Pharm-PM-Yr2-2025'!$E$79:$L$110, 0, 0),
        0, 0)
)</f>
        <v>11.879999999999999</v>
      </c>
      <c r="K1346" t="s">
        <v>46</v>
      </c>
      <c r="L1346" t="s">
        <v>13</v>
      </c>
      <c r="M1346">
        <v>3</v>
      </c>
      <c r="N1346" t="str">
        <f t="shared" si="20"/>
        <v>INSERT INTO TNL_RATING.dbo.usps_rate_master VALUES ('USPS', '2/13/2025', '2/13/2026', 12659, 'US', 'Priority Mail', 1, 16, 'L', 11.88, 'Wedgewood_USPS_2025', 'NonCubic','3');</v>
      </c>
    </row>
    <row r="1347" spans="1:14" x14ac:dyDescent="0.3">
      <c r="A1347" t="s">
        <v>11</v>
      </c>
      <c r="B1347" s="1" t="s">
        <v>43</v>
      </c>
      <c r="C1347" s="1" t="s">
        <v>44</v>
      </c>
      <c r="D1347">
        <v>12659</v>
      </c>
      <c r="E1347" t="s">
        <v>12</v>
      </c>
      <c r="F1347" t="s">
        <v>47</v>
      </c>
      <c r="G1347">
        <v>1</v>
      </c>
      <c r="H1347">
        <v>17</v>
      </c>
      <c r="I1347" t="s">
        <v>45</v>
      </c>
      <c r="J1347" cm="1">
        <f t="array" ref="J1347">IFERROR(
    _xlfn.XLOOKUP(G1347, 'Wedgewood Pharm-PM-Yr2-2025'!$E$78:$L$78,
        _xlfn.XLOOKUP('Rate Load'!H1347, 'Wedgewood Pharm-PM-Yr2-2025'!$D$79:$D$110,
            'Wedgewood Pharm-PM-Yr2-2025'!$E$79:$L$110, 0, 0),
        0, 0),
    _xlfn.XLOOKUP(G1347, 'Wedgewood Pharm-PM-Yr2-2025'!$E$78:$L$78,
        _xlfn.XLOOKUP('Rate Load'!L1347, 'Wedgewood Pharm-PM-Yr2-2025'!$D$79:$D$110,
            'Wedgewood Pharm-PM-Yr2-2025'!$E$79:$L$110, 0, 0),
        0, 0)
)</f>
        <v>12.23</v>
      </c>
      <c r="K1347" t="s">
        <v>46</v>
      </c>
      <c r="L1347" t="s">
        <v>13</v>
      </c>
      <c r="M1347">
        <v>3</v>
      </c>
      <c r="N1347" t="str">
        <f t="shared" ref="N1347:N1410" si="21">"INSERT INTO TNL_RATING.dbo.usps_rate_master VALUES ('" &amp; A1347 &amp; "', '" &amp; B1347 &amp; "', '" &amp; C1347 &amp; "', " &amp; D1347 &amp; ", '" &amp; E1347 &amp; "', '" &amp; F1347 &amp; "', " &amp; G1347 &amp; ", " &amp; H1347 &amp; ", '" &amp; I1347 &amp; "', " &amp; J1347 &amp; ", '" &amp; K1347 &amp; "', '" &amp; L1347 &amp; "','" &amp; M1347 &amp; "');"</f>
        <v>INSERT INTO TNL_RATING.dbo.usps_rate_master VALUES ('USPS', '2/13/2025', '2/13/2026', 12659, 'US', 'Priority Mail', 1, 17, 'L', 12.23, 'Wedgewood_USPS_2025', 'NonCubic','3');</v>
      </c>
    </row>
    <row r="1348" spans="1:14" x14ac:dyDescent="0.3">
      <c r="A1348" t="s">
        <v>11</v>
      </c>
      <c r="B1348" s="1" t="s">
        <v>43</v>
      </c>
      <c r="C1348" s="1" t="s">
        <v>44</v>
      </c>
      <c r="D1348">
        <v>12659</v>
      </c>
      <c r="E1348" t="s">
        <v>12</v>
      </c>
      <c r="F1348" t="s">
        <v>47</v>
      </c>
      <c r="G1348">
        <v>1</v>
      </c>
      <c r="H1348">
        <v>18</v>
      </c>
      <c r="I1348" t="s">
        <v>45</v>
      </c>
      <c r="J1348" cm="1">
        <f t="array" ref="J1348">IFERROR(
    _xlfn.XLOOKUP(G1348, 'Wedgewood Pharm-PM-Yr2-2025'!$E$78:$L$78,
        _xlfn.XLOOKUP('Rate Load'!H1348, 'Wedgewood Pharm-PM-Yr2-2025'!$D$79:$D$110,
            'Wedgewood Pharm-PM-Yr2-2025'!$E$79:$L$110, 0, 0),
        0, 0),
    _xlfn.XLOOKUP(G1348, 'Wedgewood Pharm-PM-Yr2-2025'!$E$78:$L$78,
        _xlfn.XLOOKUP('Rate Load'!L1348, 'Wedgewood Pharm-PM-Yr2-2025'!$D$79:$D$110,
            'Wedgewood Pharm-PM-Yr2-2025'!$E$79:$L$110, 0, 0),
        0, 0)
)</f>
        <v>12.65</v>
      </c>
      <c r="K1348" t="s">
        <v>46</v>
      </c>
      <c r="L1348" t="s">
        <v>13</v>
      </c>
      <c r="M1348">
        <v>3</v>
      </c>
      <c r="N1348" t="str">
        <f t="shared" si="21"/>
        <v>INSERT INTO TNL_RATING.dbo.usps_rate_master VALUES ('USPS', '2/13/2025', '2/13/2026', 12659, 'US', 'Priority Mail', 1, 18, 'L', 12.65, 'Wedgewood_USPS_2025', 'NonCubic','3');</v>
      </c>
    </row>
    <row r="1349" spans="1:14" x14ac:dyDescent="0.3">
      <c r="A1349" t="s">
        <v>11</v>
      </c>
      <c r="B1349" s="1" t="s">
        <v>43</v>
      </c>
      <c r="C1349" s="1" t="s">
        <v>44</v>
      </c>
      <c r="D1349">
        <v>12659</v>
      </c>
      <c r="E1349" t="s">
        <v>12</v>
      </c>
      <c r="F1349" t="s">
        <v>47</v>
      </c>
      <c r="G1349">
        <v>1</v>
      </c>
      <c r="H1349">
        <v>19</v>
      </c>
      <c r="I1349" t="s">
        <v>45</v>
      </c>
      <c r="J1349" cm="1">
        <f t="array" ref="J1349">IFERROR(
    _xlfn.XLOOKUP(G1349, 'Wedgewood Pharm-PM-Yr2-2025'!$E$78:$L$78,
        _xlfn.XLOOKUP('Rate Load'!H1349, 'Wedgewood Pharm-PM-Yr2-2025'!$D$79:$D$110,
            'Wedgewood Pharm-PM-Yr2-2025'!$E$79:$L$110, 0, 0),
        0, 0),
    _xlfn.XLOOKUP(G1349, 'Wedgewood Pharm-PM-Yr2-2025'!$E$78:$L$78,
        _xlfn.XLOOKUP('Rate Load'!L1349, 'Wedgewood Pharm-PM-Yr2-2025'!$D$79:$D$110,
            'Wedgewood Pharm-PM-Yr2-2025'!$E$79:$L$110, 0, 0),
        0, 0)
)</f>
        <v>13</v>
      </c>
      <c r="K1349" t="s">
        <v>46</v>
      </c>
      <c r="L1349" t="s">
        <v>13</v>
      </c>
      <c r="M1349">
        <v>3</v>
      </c>
      <c r="N1349" t="str">
        <f t="shared" si="21"/>
        <v>INSERT INTO TNL_RATING.dbo.usps_rate_master VALUES ('USPS', '2/13/2025', '2/13/2026', 12659, 'US', 'Priority Mail', 1, 19, 'L', 13, 'Wedgewood_USPS_2025', 'NonCubic','3');</v>
      </c>
    </row>
    <row r="1350" spans="1:14" x14ac:dyDescent="0.3">
      <c r="A1350" t="s">
        <v>11</v>
      </c>
      <c r="B1350" s="1" t="s">
        <v>43</v>
      </c>
      <c r="C1350" s="1" t="s">
        <v>44</v>
      </c>
      <c r="D1350">
        <v>12659</v>
      </c>
      <c r="E1350" t="s">
        <v>12</v>
      </c>
      <c r="F1350" t="s">
        <v>47</v>
      </c>
      <c r="G1350">
        <v>1</v>
      </c>
      <c r="H1350">
        <v>20</v>
      </c>
      <c r="I1350" t="s">
        <v>45</v>
      </c>
      <c r="J1350" cm="1">
        <f t="array" ref="J1350">IFERROR(
    _xlfn.XLOOKUP(G1350, 'Wedgewood Pharm-PM-Yr2-2025'!$E$78:$L$78,
        _xlfn.XLOOKUP('Rate Load'!H1350, 'Wedgewood Pharm-PM-Yr2-2025'!$D$79:$D$110,
            'Wedgewood Pharm-PM-Yr2-2025'!$E$79:$L$110, 0, 0),
        0, 0),
    _xlfn.XLOOKUP(G1350, 'Wedgewood Pharm-PM-Yr2-2025'!$E$78:$L$78,
        _xlfn.XLOOKUP('Rate Load'!L1350, 'Wedgewood Pharm-PM-Yr2-2025'!$D$79:$D$110,
            'Wedgewood Pharm-PM-Yr2-2025'!$E$79:$L$110, 0, 0),
        0, 0)
)</f>
        <v>13.33</v>
      </c>
      <c r="K1350" t="s">
        <v>46</v>
      </c>
      <c r="L1350" t="s">
        <v>13</v>
      </c>
      <c r="M1350">
        <v>3</v>
      </c>
      <c r="N1350" t="str">
        <f t="shared" si="21"/>
        <v>INSERT INTO TNL_RATING.dbo.usps_rate_master VALUES ('USPS', '2/13/2025', '2/13/2026', 12659, 'US', 'Priority Mail', 1, 20, 'L', 13.33, 'Wedgewood_USPS_2025', 'NonCubic','3');</v>
      </c>
    </row>
    <row r="1351" spans="1:14" x14ac:dyDescent="0.3">
      <c r="A1351" t="s">
        <v>11</v>
      </c>
      <c r="B1351" s="1" t="s">
        <v>43</v>
      </c>
      <c r="C1351" s="1" t="s">
        <v>44</v>
      </c>
      <c r="D1351">
        <v>12659</v>
      </c>
      <c r="E1351" t="s">
        <v>12</v>
      </c>
      <c r="F1351" t="s">
        <v>47</v>
      </c>
      <c r="G1351">
        <v>2</v>
      </c>
      <c r="H1351">
        <v>0.5</v>
      </c>
      <c r="I1351" t="s">
        <v>45</v>
      </c>
      <c r="J1351" cm="1">
        <f t="array" ref="J1351">IFERROR(
    _xlfn.XLOOKUP(G1351, 'Wedgewood Pharm-PM-Yr2-2025'!$E$78:$L$78,
        _xlfn.XLOOKUP('Rate Load'!H1351, 'Wedgewood Pharm-PM-Yr2-2025'!$D$79:$D$110,
            'Wedgewood Pharm-PM-Yr2-2025'!$E$79:$L$110, 0, 0),
        0, 0),
    _xlfn.XLOOKUP(G1351, 'Wedgewood Pharm-PM-Yr2-2025'!$E$78:$L$78,
        _xlfn.XLOOKUP('Rate Load'!L1351, 'Wedgewood Pharm-PM-Yr2-2025'!$D$79:$D$110,
            'Wedgewood Pharm-PM-Yr2-2025'!$E$79:$L$110, 0, 0),
        0, 0)
)</f>
        <v>6.8599999999999994</v>
      </c>
      <c r="K1351" t="s">
        <v>46</v>
      </c>
      <c r="L1351" t="s">
        <v>13</v>
      </c>
      <c r="M1351">
        <v>3</v>
      </c>
      <c r="N1351" t="str">
        <f t="shared" si="21"/>
        <v>INSERT INTO TNL_RATING.dbo.usps_rate_master VALUES ('USPS', '2/13/2025', '2/13/2026', 12659, 'US', 'Priority Mail', 2, 0.5, 'L', 6.86, 'Wedgewood_USPS_2025', 'NonCubic','3');</v>
      </c>
    </row>
    <row r="1352" spans="1:14" x14ac:dyDescent="0.3">
      <c r="A1352" t="s">
        <v>11</v>
      </c>
      <c r="B1352" s="1" t="s">
        <v>43</v>
      </c>
      <c r="C1352" s="1" t="s">
        <v>44</v>
      </c>
      <c r="D1352">
        <v>12659</v>
      </c>
      <c r="E1352" t="s">
        <v>12</v>
      </c>
      <c r="F1352" t="s">
        <v>47</v>
      </c>
      <c r="G1352">
        <v>2</v>
      </c>
      <c r="H1352">
        <v>1</v>
      </c>
      <c r="I1352" t="s">
        <v>45</v>
      </c>
      <c r="J1352" cm="1">
        <f t="array" ref="J1352">IFERROR(
    _xlfn.XLOOKUP(G1352, 'Wedgewood Pharm-PM-Yr2-2025'!$E$78:$L$78,
        _xlfn.XLOOKUP('Rate Load'!H1352, 'Wedgewood Pharm-PM-Yr2-2025'!$D$79:$D$110,
            'Wedgewood Pharm-PM-Yr2-2025'!$E$79:$L$110, 0, 0),
        0, 0),
    _xlfn.XLOOKUP(G1352, 'Wedgewood Pharm-PM-Yr2-2025'!$E$78:$L$78,
        _xlfn.XLOOKUP('Rate Load'!L1352, 'Wedgewood Pharm-PM-Yr2-2025'!$D$79:$D$110,
            'Wedgewood Pharm-PM-Yr2-2025'!$E$79:$L$110, 0, 0),
        0, 0)
)</f>
        <v>6.8599999999999994</v>
      </c>
      <c r="K1352" t="s">
        <v>46</v>
      </c>
      <c r="L1352" t="s">
        <v>13</v>
      </c>
      <c r="M1352">
        <v>3</v>
      </c>
      <c r="N1352" t="str">
        <f t="shared" si="21"/>
        <v>INSERT INTO TNL_RATING.dbo.usps_rate_master VALUES ('USPS', '2/13/2025', '2/13/2026', 12659, 'US', 'Priority Mail', 2, 1, 'L', 6.86, 'Wedgewood_USPS_2025', 'NonCubic','3');</v>
      </c>
    </row>
    <row r="1353" spans="1:14" x14ac:dyDescent="0.3">
      <c r="A1353" t="s">
        <v>11</v>
      </c>
      <c r="B1353" s="1" t="s">
        <v>43</v>
      </c>
      <c r="C1353" s="1" t="s">
        <v>44</v>
      </c>
      <c r="D1353">
        <v>12659</v>
      </c>
      <c r="E1353" t="s">
        <v>12</v>
      </c>
      <c r="F1353" t="s">
        <v>47</v>
      </c>
      <c r="G1353">
        <v>2</v>
      </c>
      <c r="H1353">
        <v>2</v>
      </c>
      <c r="I1353" t="s">
        <v>45</v>
      </c>
      <c r="J1353" cm="1">
        <f t="array" ref="J1353">IFERROR(
    _xlfn.XLOOKUP(G1353, 'Wedgewood Pharm-PM-Yr2-2025'!$E$78:$L$78,
        _xlfn.XLOOKUP('Rate Load'!H1353, 'Wedgewood Pharm-PM-Yr2-2025'!$D$79:$D$110,
            'Wedgewood Pharm-PM-Yr2-2025'!$E$79:$L$110, 0, 0),
        0, 0),
    _xlfn.XLOOKUP(G1353, 'Wedgewood Pharm-PM-Yr2-2025'!$E$78:$L$78,
        _xlfn.XLOOKUP('Rate Load'!L1353, 'Wedgewood Pharm-PM-Yr2-2025'!$D$79:$D$110,
            'Wedgewood Pharm-PM-Yr2-2025'!$E$79:$L$110, 0, 0),
        0, 0)
)</f>
        <v>6.8599999999999994</v>
      </c>
      <c r="K1353" t="s">
        <v>46</v>
      </c>
      <c r="L1353" t="s">
        <v>13</v>
      </c>
      <c r="M1353">
        <v>3</v>
      </c>
      <c r="N1353" t="str">
        <f t="shared" si="21"/>
        <v>INSERT INTO TNL_RATING.dbo.usps_rate_master VALUES ('USPS', '2/13/2025', '2/13/2026', 12659, 'US', 'Priority Mail', 2, 2, 'L', 6.86, 'Wedgewood_USPS_2025', 'NonCubic','3');</v>
      </c>
    </row>
    <row r="1354" spans="1:14" x14ac:dyDescent="0.3">
      <c r="A1354" t="s">
        <v>11</v>
      </c>
      <c r="B1354" s="1" t="s">
        <v>43</v>
      </c>
      <c r="C1354" s="1" t="s">
        <v>44</v>
      </c>
      <c r="D1354">
        <v>12659</v>
      </c>
      <c r="E1354" t="s">
        <v>12</v>
      </c>
      <c r="F1354" t="s">
        <v>47</v>
      </c>
      <c r="G1354">
        <v>2</v>
      </c>
      <c r="H1354">
        <v>3</v>
      </c>
      <c r="I1354" t="s">
        <v>45</v>
      </c>
      <c r="J1354" cm="1">
        <f t="array" ref="J1354">IFERROR(
    _xlfn.XLOOKUP(G1354, 'Wedgewood Pharm-PM-Yr2-2025'!$E$78:$L$78,
        _xlfn.XLOOKUP('Rate Load'!H1354, 'Wedgewood Pharm-PM-Yr2-2025'!$D$79:$D$110,
            'Wedgewood Pharm-PM-Yr2-2025'!$E$79:$L$110, 0, 0),
        0, 0),
    _xlfn.XLOOKUP(G1354, 'Wedgewood Pharm-PM-Yr2-2025'!$E$78:$L$78,
        _xlfn.XLOOKUP('Rate Load'!L1354, 'Wedgewood Pharm-PM-Yr2-2025'!$D$79:$D$110,
            'Wedgewood Pharm-PM-Yr2-2025'!$E$79:$L$110, 0, 0),
        0, 0)
)</f>
        <v>7.02</v>
      </c>
      <c r="K1354" t="s">
        <v>46</v>
      </c>
      <c r="L1354" t="s">
        <v>13</v>
      </c>
      <c r="M1354">
        <v>3</v>
      </c>
      <c r="N1354" t="str">
        <f t="shared" si="21"/>
        <v>INSERT INTO TNL_RATING.dbo.usps_rate_master VALUES ('USPS', '2/13/2025', '2/13/2026', 12659, 'US', 'Priority Mail', 2, 3, 'L', 7.02, 'Wedgewood_USPS_2025', 'NonCubic','3');</v>
      </c>
    </row>
    <row r="1355" spans="1:14" x14ac:dyDescent="0.3">
      <c r="A1355" t="s">
        <v>11</v>
      </c>
      <c r="B1355" s="1" t="s">
        <v>43</v>
      </c>
      <c r="C1355" s="1" t="s">
        <v>44</v>
      </c>
      <c r="D1355">
        <v>12659</v>
      </c>
      <c r="E1355" t="s">
        <v>12</v>
      </c>
      <c r="F1355" t="s">
        <v>47</v>
      </c>
      <c r="G1355">
        <v>2</v>
      </c>
      <c r="H1355">
        <v>4</v>
      </c>
      <c r="I1355" t="s">
        <v>45</v>
      </c>
      <c r="J1355" cm="1">
        <f t="array" ref="J1355">IFERROR(
    _xlfn.XLOOKUP(G1355, 'Wedgewood Pharm-PM-Yr2-2025'!$E$78:$L$78,
        _xlfn.XLOOKUP('Rate Load'!H1355, 'Wedgewood Pharm-PM-Yr2-2025'!$D$79:$D$110,
            'Wedgewood Pharm-PM-Yr2-2025'!$E$79:$L$110, 0, 0),
        0, 0),
    _xlfn.XLOOKUP(G1355, 'Wedgewood Pharm-PM-Yr2-2025'!$E$78:$L$78,
        _xlfn.XLOOKUP('Rate Load'!L1355, 'Wedgewood Pharm-PM-Yr2-2025'!$D$79:$D$110,
            'Wedgewood Pharm-PM-Yr2-2025'!$E$79:$L$110, 0, 0),
        0, 0)
)</f>
        <v>7.21</v>
      </c>
      <c r="K1355" t="s">
        <v>46</v>
      </c>
      <c r="L1355" t="s">
        <v>13</v>
      </c>
      <c r="M1355">
        <v>3</v>
      </c>
      <c r="N1355" t="str">
        <f t="shared" si="21"/>
        <v>INSERT INTO TNL_RATING.dbo.usps_rate_master VALUES ('USPS', '2/13/2025', '2/13/2026', 12659, 'US', 'Priority Mail', 2, 4, 'L', 7.21, 'Wedgewood_USPS_2025', 'NonCubic','3');</v>
      </c>
    </row>
    <row r="1356" spans="1:14" x14ac:dyDescent="0.3">
      <c r="A1356" t="s">
        <v>11</v>
      </c>
      <c r="B1356" s="1" t="s">
        <v>43</v>
      </c>
      <c r="C1356" s="1" t="s">
        <v>44</v>
      </c>
      <c r="D1356">
        <v>12659</v>
      </c>
      <c r="E1356" t="s">
        <v>12</v>
      </c>
      <c r="F1356" t="s">
        <v>47</v>
      </c>
      <c r="G1356">
        <v>2</v>
      </c>
      <c r="H1356">
        <v>5</v>
      </c>
      <c r="I1356" t="s">
        <v>45</v>
      </c>
      <c r="J1356" cm="1">
        <f t="array" ref="J1356">IFERROR(
    _xlfn.XLOOKUP(G1356, 'Wedgewood Pharm-PM-Yr2-2025'!$E$78:$L$78,
        _xlfn.XLOOKUP('Rate Load'!H1356, 'Wedgewood Pharm-PM-Yr2-2025'!$D$79:$D$110,
            'Wedgewood Pharm-PM-Yr2-2025'!$E$79:$L$110, 0, 0),
        0, 0),
    _xlfn.XLOOKUP(G1356, 'Wedgewood Pharm-PM-Yr2-2025'!$E$78:$L$78,
        _xlfn.XLOOKUP('Rate Load'!L1356, 'Wedgewood Pharm-PM-Yr2-2025'!$D$79:$D$110,
            'Wedgewood Pharm-PM-Yr2-2025'!$E$79:$L$110, 0, 0),
        0, 0)
)</f>
        <v>7.25</v>
      </c>
      <c r="K1356" t="s">
        <v>46</v>
      </c>
      <c r="L1356" t="s">
        <v>13</v>
      </c>
      <c r="M1356">
        <v>3</v>
      </c>
      <c r="N1356" t="str">
        <f t="shared" si="21"/>
        <v>INSERT INTO TNL_RATING.dbo.usps_rate_master VALUES ('USPS', '2/13/2025', '2/13/2026', 12659, 'US', 'Priority Mail', 2, 5, 'L', 7.25, 'Wedgewood_USPS_2025', 'NonCubic','3');</v>
      </c>
    </row>
    <row r="1357" spans="1:14" x14ac:dyDescent="0.3">
      <c r="A1357" t="s">
        <v>11</v>
      </c>
      <c r="B1357" s="1" t="s">
        <v>43</v>
      </c>
      <c r="C1357" s="1" t="s">
        <v>44</v>
      </c>
      <c r="D1357">
        <v>12659</v>
      </c>
      <c r="E1357" t="s">
        <v>12</v>
      </c>
      <c r="F1357" t="s">
        <v>47</v>
      </c>
      <c r="G1357">
        <v>2</v>
      </c>
      <c r="H1357">
        <v>6</v>
      </c>
      <c r="I1357" t="s">
        <v>45</v>
      </c>
      <c r="J1357" cm="1">
        <f t="array" ref="J1357">IFERROR(
    _xlfn.XLOOKUP(G1357, 'Wedgewood Pharm-PM-Yr2-2025'!$E$78:$L$78,
        _xlfn.XLOOKUP('Rate Load'!H1357, 'Wedgewood Pharm-PM-Yr2-2025'!$D$79:$D$110,
            'Wedgewood Pharm-PM-Yr2-2025'!$E$79:$L$110, 0, 0),
        0, 0),
    _xlfn.XLOOKUP(G1357, 'Wedgewood Pharm-PM-Yr2-2025'!$E$78:$L$78,
        _xlfn.XLOOKUP('Rate Load'!L1357, 'Wedgewood Pharm-PM-Yr2-2025'!$D$79:$D$110,
            'Wedgewood Pharm-PM-Yr2-2025'!$E$79:$L$110, 0, 0),
        0, 0)
)</f>
        <v>7.7</v>
      </c>
      <c r="K1357" t="s">
        <v>46</v>
      </c>
      <c r="L1357" t="s">
        <v>13</v>
      </c>
      <c r="M1357">
        <v>3</v>
      </c>
      <c r="N1357" t="str">
        <f t="shared" si="21"/>
        <v>INSERT INTO TNL_RATING.dbo.usps_rate_master VALUES ('USPS', '2/13/2025', '2/13/2026', 12659, 'US', 'Priority Mail', 2, 6, 'L', 7.7, 'Wedgewood_USPS_2025', 'NonCubic','3');</v>
      </c>
    </row>
    <row r="1358" spans="1:14" x14ac:dyDescent="0.3">
      <c r="A1358" t="s">
        <v>11</v>
      </c>
      <c r="B1358" s="1" t="s">
        <v>43</v>
      </c>
      <c r="C1358" s="1" t="s">
        <v>44</v>
      </c>
      <c r="D1358">
        <v>12659</v>
      </c>
      <c r="E1358" t="s">
        <v>12</v>
      </c>
      <c r="F1358" t="s">
        <v>47</v>
      </c>
      <c r="G1358">
        <v>2</v>
      </c>
      <c r="H1358">
        <v>7</v>
      </c>
      <c r="I1358" t="s">
        <v>45</v>
      </c>
      <c r="J1358" cm="1">
        <f t="array" ref="J1358">IFERROR(
    _xlfn.XLOOKUP(G1358, 'Wedgewood Pharm-PM-Yr2-2025'!$E$78:$L$78,
        _xlfn.XLOOKUP('Rate Load'!H1358, 'Wedgewood Pharm-PM-Yr2-2025'!$D$79:$D$110,
            'Wedgewood Pharm-PM-Yr2-2025'!$E$79:$L$110, 0, 0),
        0, 0),
    _xlfn.XLOOKUP(G1358, 'Wedgewood Pharm-PM-Yr2-2025'!$E$78:$L$78,
        _xlfn.XLOOKUP('Rate Load'!L1358, 'Wedgewood Pharm-PM-Yr2-2025'!$D$79:$D$110,
            'Wedgewood Pharm-PM-Yr2-2025'!$E$79:$L$110, 0, 0),
        0, 0)
)</f>
        <v>8.4</v>
      </c>
      <c r="K1358" t="s">
        <v>46</v>
      </c>
      <c r="L1358" t="s">
        <v>13</v>
      </c>
      <c r="M1358">
        <v>3</v>
      </c>
      <c r="N1358" t="str">
        <f t="shared" si="21"/>
        <v>INSERT INTO TNL_RATING.dbo.usps_rate_master VALUES ('USPS', '2/13/2025', '2/13/2026', 12659, 'US', 'Priority Mail', 2, 7, 'L', 8.4, 'Wedgewood_USPS_2025', 'NonCubic','3');</v>
      </c>
    </row>
    <row r="1359" spans="1:14" x14ac:dyDescent="0.3">
      <c r="A1359" t="s">
        <v>11</v>
      </c>
      <c r="B1359" s="1" t="s">
        <v>43</v>
      </c>
      <c r="C1359" s="1" t="s">
        <v>44</v>
      </c>
      <c r="D1359">
        <v>12659</v>
      </c>
      <c r="E1359" t="s">
        <v>12</v>
      </c>
      <c r="F1359" t="s">
        <v>47</v>
      </c>
      <c r="G1359">
        <v>2</v>
      </c>
      <c r="H1359">
        <v>8</v>
      </c>
      <c r="I1359" t="s">
        <v>45</v>
      </c>
      <c r="J1359" cm="1">
        <f t="array" ref="J1359">IFERROR(
    _xlfn.XLOOKUP(G1359, 'Wedgewood Pharm-PM-Yr2-2025'!$E$78:$L$78,
        _xlfn.XLOOKUP('Rate Load'!H1359, 'Wedgewood Pharm-PM-Yr2-2025'!$D$79:$D$110,
            'Wedgewood Pharm-PM-Yr2-2025'!$E$79:$L$110, 0, 0),
        0, 0),
    _xlfn.XLOOKUP(G1359, 'Wedgewood Pharm-PM-Yr2-2025'!$E$78:$L$78,
        _xlfn.XLOOKUP('Rate Load'!L1359, 'Wedgewood Pharm-PM-Yr2-2025'!$D$79:$D$110,
            'Wedgewood Pharm-PM-Yr2-2025'!$E$79:$L$110, 0, 0),
        0, 0)
)</f>
        <v>8.6</v>
      </c>
      <c r="K1359" t="s">
        <v>46</v>
      </c>
      <c r="L1359" t="s">
        <v>13</v>
      </c>
      <c r="M1359">
        <v>3</v>
      </c>
      <c r="N1359" t="str">
        <f t="shared" si="21"/>
        <v>INSERT INTO TNL_RATING.dbo.usps_rate_master VALUES ('USPS', '2/13/2025', '2/13/2026', 12659, 'US', 'Priority Mail', 2, 8, 'L', 8.6, 'Wedgewood_USPS_2025', 'NonCubic','3');</v>
      </c>
    </row>
    <row r="1360" spans="1:14" x14ac:dyDescent="0.3">
      <c r="A1360" t="s">
        <v>11</v>
      </c>
      <c r="B1360" s="1" t="s">
        <v>43</v>
      </c>
      <c r="C1360" s="1" t="s">
        <v>44</v>
      </c>
      <c r="D1360">
        <v>12659</v>
      </c>
      <c r="E1360" t="s">
        <v>12</v>
      </c>
      <c r="F1360" t="s">
        <v>47</v>
      </c>
      <c r="G1360">
        <v>2</v>
      </c>
      <c r="H1360">
        <v>9</v>
      </c>
      <c r="I1360" t="s">
        <v>45</v>
      </c>
      <c r="J1360" cm="1">
        <f t="array" ref="J1360">IFERROR(
    _xlfn.XLOOKUP(G1360, 'Wedgewood Pharm-PM-Yr2-2025'!$E$78:$L$78,
        _xlfn.XLOOKUP('Rate Load'!H1360, 'Wedgewood Pharm-PM-Yr2-2025'!$D$79:$D$110,
            'Wedgewood Pharm-PM-Yr2-2025'!$E$79:$L$110, 0, 0),
        0, 0),
    _xlfn.XLOOKUP(G1360, 'Wedgewood Pharm-PM-Yr2-2025'!$E$78:$L$78,
        _xlfn.XLOOKUP('Rate Load'!L1360, 'Wedgewood Pharm-PM-Yr2-2025'!$D$79:$D$110,
            'Wedgewood Pharm-PM-Yr2-2025'!$E$79:$L$110, 0, 0),
        0, 0)
)</f>
        <v>9.17</v>
      </c>
      <c r="K1360" t="s">
        <v>46</v>
      </c>
      <c r="L1360" t="s">
        <v>13</v>
      </c>
      <c r="M1360">
        <v>3</v>
      </c>
      <c r="N1360" t="str">
        <f t="shared" si="21"/>
        <v>INSERT INTO TNL_RATING.dbo.usps_rate_master VALUES ('USPS', '2/13/2025', '2/13/2026', 12659, 'US', 'Priority Mail', 2, 9, 'L', 9.17, 'Wedgewood_USPS_2025', 'NonCubic','3');</v>
      </c>
    </row>
    <row r="1361" spans="1:14" x14ac:dyDescent="0.3">
      <c r="A1361" t="s">
        <v>11</v>
      </c>
      <c r="B1361" s="1" t="s">
        <v>43</v>
      </c>
      <c r="C1361" s="1" t="s">
        <v>44</v>
      </c>
      <c r="D1361">
        <v>12659</v>
      </c>
      <c r="E1361" t="s">
        <v>12</v>
      </c>
      <c r="F1361" t="s">
        <v>47</v>
      </c>
      <c r="G1361">
        <v>2</v>
      </c>
      <c r="H1361">
        <v>10</v>
      </c>
      <c r="I1361" t="s">
        <v>45</v>
      </c>
      <c r="J1361" cm="1">
        <f t="array" ref="J1361">IFERROR(
    _xlfn.XLOOKUP(G1361, 'Wedgewood Pharm-PM-Yr2-2025'!$E$78:$L$78,
        _xlfn.XLOOKUP('Rate Load'!H1361, 'Wedgewood Pharm-PM-Yr2-2025'!$D$79:$D$110,
            'Wedgewood Pharm-PM-Yr2-2025'!$E$79:$L$110, 0, 0),
        0, 0),
    _xlfn.XLOOKUP(G1361, 'Wedgewood Pharm-PM-Yr2-2025'!$E$78:$L$78,
        _xlfn.XLOOKUP('Rate Load'!L1361, 'Wedgewood Pharm-PM-Yr2-2025'!$D$79:$D$110,
            'Wedgewood Pharm-PM-Yr2-2025'!$E$79:$L$110, 0, 0),
        0, 0)
)</f>
        <v>9.64</v>
      </c>
      <c r="K1361" t="s">
        <v>46</v>
      </c>
      <c r="L1361" t="s">
        <v>13</v>
      </c>
      <c r="M1361">
        <v>3</v>
      </c>
      <c r="N1361" t="str">
        <f t="shared" si="21"/>
        <v>INSERT INTO TNL_RATING.dbo.usps_rate_master VALUES ('USPS', '2/13/2025', '2/13/2026', 12659, 'US', 'Priority Mail', 2, 10, 'L', 9.64, 'Wedgewood_USPS_2025', 'NonCubic','3');</v>
      </c>
    </row>
    <row r="1362" spans="1:14" x14ac:dyDescent="0.3">
      <c r="A1362" t="s">
        <v>11</v>
      </c>
      <c r="B1362" s="1" t="s">
        <v>43</v>
      </c>
      <c r="C1362" s="1" t="s">
        <v>44</v>
      </c>
      <c r="D1362">
        <v>12659</v>
      </c>
      <c r="E1362" t="s">
        <v>12</v>
      </c>
      <c r="F1362" t="s">
        <v>47</v>
      </c>
      <c r="G1362">
        <v>2</v>
      </c>
      <c r="H1362">
        <v>11</v>
      </c>
      <c r="I1362" t="s">
        <v>45</v>
      </c>
      <c r="J1362" cm="1">
        <f t="array" ref="J1362">IFERROR(
    _xlfn.XLOOKUP(G1362, 'Wedgewood Pharm-PM-Yr2-2025'!$E$78:$L$78,
        _xlfn.XLOOKUP('Rate Load'!H1362, 'Wedgewood Pharm-PM-Yr2-2025'!$D$79:$D$110,
            'Wedgewood Pharm-PM-Yr2-2025'!$E$79:$L$110, 0, 0),
        0, 0),
    _xlfn.XLOOKUP(G1362, 'Wedgewood Pharm-PM-Yr2-2025'!$E$78:$L$78,
        _xlfn.XLOOKUP('Rate Load'!L1362, 'Wedgewood Pharm-PM-Yr2-2025'!$D$79:$D$110,
            'Wedgewood Pharm-PM-Yr2-2025'!$E$79:$L$110, 0, 0),
        0, 0)
)</f>
        <v>10.74</v>
      </c>
      <c r="K1362" t="s">
        <v>46</v>
      </c>
      <c r="L1362" t="s">
        <v>13</v>
      </c>
      <c r="M1362">
        <v>3</v>
      </c>
      <c r="N1362" t="str">
        <f t="shared" si="21"/>
        <v>INSERT INTO TNL_RATING.dbo.usps_rate_master VALUES ('USPS', '2/13/2025', '2/13/2026', 12659, 'US', 'Priority Mail', 2, 11, 'L', 10.74, 'Wedgewood_USPS_2025', 'NonCubic','3');</v>
      </c>
    </row>
    <row r="1363" spans="1:14" x14ac:dyDescent="0.3">
      <c r="A1363" t="s">
        <v>11</v>
      </c>
      <c r="B1363" s="1" t="s">
        <v>43</v>
      </c>
      <c r="C1363" s="1" t="s">
        <v>44</v>
      </c>
      <c r="D1363">
        <v>12659</v>
      </c>
      <c r="E1363" t="s">
        <v>12</v>
      </c>
      <c r="F1363" t="s">
        <v>47</v>
      </c>
      <c r="G1363">
        <v>2</v>
      </c>
      <c r="H1363">
        <v>12</v>
      </c>
      <c r="I1363" t="s">
        <v>45</v>
      </c>
      <c r="J1363" cm="1">
        <f t="array" ref="J1363">IFERROR(
    _xlfn.XLOOKUP(G1363, 'Wedgewood Pharm-PM-Yr2-2025'!$E$78:$L$78,
        _xlfn.XLOOKUP('Rate Load'!H1363, 'Wedgewood Pharm-PM-Yr2-2025'!$D$79:$D$110,
            'Wedgewood Pharm-PM-Yr2-2025'!$E$79:$L$110, 0, 0),
        0, 0),
    _xlfn.XLOOKUP(G1363, 'Wedgewood Pharm-PM-Yr2-2025'!$E$78:$L$78,
        _xlfn.XLOOKUP('Rate Load'!L1363, 'Wedgewood Pharm-PM-Yr2-2025'!$D$79:$D$110,
            'Wedgewood Pharm-PM-Yr2-2025'!$E$79:$L$110, 0, 0),
        0, 0)
)</f>
        <v>11.129999999999999</v>
      </c>
      <c r="K1363" t="s">
        <v>46</v>
      </c>
      <c r="L1363" t="s">
        <v>13</v>
      </c>
      <c r="M1363">
        <v>3</v>
      </c>
      <c r="N1363" t="str">
        <f t="shared" si="21"/>
        <v>INSERT INTO TNL_RATING.dbo.usps_rate_master VALUES ('USPS', '2/13/2025', '2/13/2026', 12659, 'US', 'Priority Mail', 2, 12, 'L', 11.13, 'Wedgewood_USPS_2025', 'NonCubic','3');</v>
      </c>
    </row>
    <row r="1364" spans="1:14" x14ac:dyDescent="0.3">
      <c r="A1364" t="s">
        <v>11</v>
      </c>
      <c r="B1364" s="1" t="s">
        <v>43</v>
      </c>
      <c r="C1364" s="1" t="s">
        <v>44</v>
      </c>
      <c r="D1364">
        <v>12659</v>
      </c>
      <c r="E1364" t="s">
        <v>12</v>
      </c>
      <c r="F1364" t="s">
        <v>47</v>
      </c>
      <c r="G1364">
        <v>2</v>
      </c>
      <c r="H1364">
        <v>13</v>
      </c>
      <c r="I1364" t="s">
        <v>45</v>
      </c>
      <c r="J1364" cm="1">
        <f t="array" ref="J1364">IFERROR(
    _xlfn.XLOOKUP(G1364, 'Wedgewood Pharm-PM-Yr2-2025'!$E$78:$L$78,
        _xlfn.XLOOKUP('Rate Load'!H1364, 'Wedgewood Pharm-PM-Yr2-2025'!$D$79:$D$110,
            'Wedgewood Pharm-PM-Yr2-2025'!$E$79:$L$110, 0, 0),
        0, 0),
    _xlfn.XLOOKUP(G1364, 'Wedgewood Pharm-PM-Yr2-2025'!$E$78:$L$78,
        _xlfn.XLOOKUP('Rate Load'!L1364, 'Wedgewood Pharm-PM-Yr2-2025'!$D$79:$D$110,
            'Wedgewood Pharm-PM-Yr2-2025'!$E$79:$L$110, 0, 0),
        0, 0)
)</f>
        <v>11.57</v>
      </c>
      <c r="K1364" t="s">
        <v>46</v>
      </c>
      <c r="L1364" t="s">
        <v>13</v>
      </c>
      <c r="M1364">
        <v>3</v>
      </c>
      <c r="N1364" t="str">
        <f t="shared" si="21"/>
        <v>INSERT INTO TNL_RATING.dbo.usps_rate_master VALUES ('USPS', '2/13/2025', '2/13/2026', 12659, 'US', 'Priority Mail', 2, 13, 'L', 11.57, 'Wedgewood_USPS_2025', 'NonCubic','3');</v>
      </c>
    </row>
    <row r="1365" spans="1:14" x14ac:dyDescent="0.3">
      <c r="A1365" t="s">
        <v>11</v>
      </c>
      <c r="B1365" s="1" t="s">
        <v>43</v>
      </c>
      <c r="C1365" s="1" t="s">
        <v>44</v>
      </c>
      <c r="D1365">
        <v>12659</v>
      </c>
      <c r="E1365" t="s">
        <v>12</v>
      </c>
      <c r="F1365" t="s">
        <v>47</v>
      </c>
      <c r="G1365">
        <v>2</v>
      </c>
      <c r="H1365">
        <v>14</v>
      </c>
      <c r="I1365" t="s">
        <v>45</v>
      </c>
      <c r="J1365" cm="1">
        <f t="array" ref="J1365">IFERROR(
    _xlfn.XLOOKUP(G1365, 'Wedgewood Pharm-PM-Yr2-2025'!$E$78:$L$78,
        _xlfn.XLOOKUP('Rate Load'!H1365, 'Wedgewood Pharm-PM-Yr2-2025'!$D$79:$D$110,
            'Wedgewood Pharm-PM-Yr2-2025'!$E$79:$L$110, 0, 0),
        0, 0),
    _xlfn.XLOOKUP(G1365, 'Wedgewood Pharm-PM-Yr2-2025'!$E$78:$L$78,
        _xlfn.XLOOKUP('Rate Load'!L1365, 'Wedgewood Pharm-PM-Yr2-2025'!$D$79:$D$110,
            'Wedgewood Pharm-PM-Yr2-2025'!$E$79:$L$110, 0, 0),
        0, 0)
)</f>
        <v>12.04</v>
      </c>
      <c r="K1365" t="s">
        <v>46</v>
      </c>
      <c r="L1365" t="s">
        <v>13</v>
      </c>
      <c r="M1365">
        <v>3</v>
      </c>
      <c r="N1365" t="str">
        <f t="shared" si="21"/>
        <v>INSERT INTO TNL_RATING.dbo.usps_rate_master VALUES ('USPS', '2/13/2025', '2/13/2026', 12659, 'US', 'Priority Mail', 2, 14, 'L', 12.04, 'Wedgewood_USPS_2025', 'NonCubic','3');</v>
      </c>
    </row>
    <row r="1366" spans="1:14" x14ac:dyDescent="0.3">
      <c r="A1366" t="s">
        <v>11</v>
      </c>
      <c r="B1366" s="1" t="s">
        <v>43</v>
      </c>
      <c r="C1366" s="1" t="s">
        <v>44</v>
      </c>
      <c r="D1366">
        <v>12659</v>
      </c>
      <c r="E1366" t="s">
        <v>12</v>
      </c>
      <c r="F1366" t="s">
        <v>47</v>
      </c>
      <c r="G1366">
        <v>2</v>
      </c>
      <c r="H1366">
        <v>15</v>
      </c>
      <c r="I1366" t="s">
        <v>45</v>
      </c>
      <c r="J1366" cm="1">
        <f t="array" ref="J1366">IFERROR(
    _xlfn.XLOOKUP(G1366, 'Wedgewood Pharm-PM-Yr2-2025'!$E$78:$L$78,
        _xlfn.XLOOKUP('Rate Load'!H1366, 'Wedgewood Pharm-PM-Yr2-2025'!$D$79:$D$110,
            'Wedgewood Pharm-PM-Yr2-2025'!$E$79:$L$110, 0, 0),
        0, 0),
    _xlfn.XLOOKUP(G1366, 'Wedgewood Pharm-PM-Yr2-2025'!$E$78:$L$78,
        _xlfn.XLOOKUP('Rate Load'!L1366, 'Wedgewood Pharm-PM-Yr2-2025'!$D$79:$D$110,
            'Wedgewood Pharm-PM-Yr2-2025'!$E$79:$L$110, 0, 0),
        0, 0)
)</f>
        <v>12.4</v>
      </c>
      <c r="K1366" t="s">
        <v>46</v>
      </c>
      <c r="L1366" t="s">
        <v>13</v>
      </c>
      <c r="M1366">
        <v>3</v>
      </c>
      <c r="N1366" t="str">
        <f t="shared" si="21"/>
        <v>INSERT INTO TNL_RATING.dbo.usps_rate_master VALUES ('USPS', '2/13/2025', '2/13/2026', 12659, 'US', 'Priority Mail', 2, 15, 'L', 12.4, 'Wedgewood_USPS_2025', 'NonCubic','3');</v>
      </c>
    </row>
    <row r="1367" spans="1:14" x14ac:dyDescent="0.3">
      <c r="A1367" t="s">
        <v>11</v>
      </c>
      <c r="B1367" s="1" t="s">
        <v>43</v>
      </c>
      <c r="C1367" s="1" t="s">
        <v>44</v>
      </c>
      <c r="D1367">
        <v>12659</v>
      </c>
      <c r="E1367" t="s">
        <v>12</v>
      </c>
      <c r="F1367" t="s">
        <v>47</v>
      </c>
      <c r="G1367">
        <v>2</v>
      </c>
      <c r="H1367">
        <v>16</v>
      </c>
      <c r="I1367" t="s">
        <v>45</v>
      </c>
      <c r="J1367" cm="1">
        <f t="array" ref="J1367">IFERROR(
    _xlfn.XLOOKUP(G1367, 'Wedgewood Pharm-PM-Yr2-2025'!$E$78:$L$78,
        _xlfn.XLOOKUP('Rate Load'!H1367, 'Wedgewood Pharm-PM-Yr2-2025'!$D$79:$D$110,
            'Wedgewood Pharm-PM-Yr2-2025'!$E$79:$L$110, 0, 0),
        0, 0),
    _xlfn.XLOOKUP(G1367, 'Wedgewood Pharm-PM-Yr2-2025'!$E$78:$L$78,
        _xlfn.XLOOKUP('Rate Load'!L1367, 'Wedgewood Pharm-PM-Yr2-2025'!$D$79:$D$110,
            'Wedgewood Pharm-PM-Yr2-2025'!$E$79:$L$110, 0, 0),
        0, 0)
)</f>
        <v>12.92</v>
      </c>
      <c r="K1367" t="s">
        <v>46</v>
      </c>
      <c r="L1367" t="s">
        <v>13</v>
      </c>
      <c r="M1367">
        <v>3</v>
      </c>
      <c r="N1367" t="str">
        <f t="shared" si="21"/>
        <v>INSERT INTO TNL_RATING.dbo.usps_rate_master VALUES ('USPS', '2/13/2025', '2/13/2026', 12659, 'US', 'Priority Mail', 2, 16, 'L', 12.92, 'Wedgewood_USPS_2025', 'NonCubic','3');</v>
      </c>
    </row>
    <row r="1368" spans="1:14" x14ac:dyDescent="0.3">
      <c r="A1368" t="s">
        <v>11</v>
      </c>
      <c r="B1368" s="1" t="s">
        <v>43</v>
      </c>
      <c r="C1368" s="1" t="s">
        <v>44</v>
      </c>
      <c r="D1368">
        <v>12659</v>
      </c>
      <c r="E1368" t="s">
        <v>12</v>
      </c>
      <c r="F1368" t="s">
        <v>47</v>
      </c>
      <c r="G1368">
        <v>2</v>
      </c>
      <c r="H1368">
        <v>17</v>
      </c>
      <c r="I1368" t="s">
        <v>45</v>
      </c>
      <c r="J1368" cm="1">
        <f t="array" ref="J1368">IFERROR(
    _xlfn.XLOOKUP(G1368, 'Wedgewood Pharm-PM-Yr2-2025'!$E$78:$L$78,
        _xlfn.XLOOKUP('Rate Load'!H1368, 'Wedgewood Pharm-PM-Yr2-2025'!$D$79:$D$110,
            'Wedgewood Pharm-PM-Yr2-2025'!$E$79:$L$110, 0, 0),
        0, 0),
    _xlfn.XLOOKUP(G1368, 'Wedgewood Pharm-PM-Yr2-2025'!$E$78:$L$78,
        _xlfn.XLOOKUP('Rate Load'!L1368, 'Wedgewood Pharm-PM-Yr2-2025'!$D$79:$D$110,
            'Wedgewood Pharm-PM-Yr2-2025'!$E$79:$L$110, 0, 0),
        0, 0)
)</f>
        <v>13.34</v>
      </c>
      <c r="K1368" t="s">
        <v>46</v>
      </c>
      <c r="L1368" t="s">
        <v>13</v>
      </c>
      <c r="M1368">
        <v>3</v>
      </c>
      <c r="N1368" t="str">
        <f t="shared" si="21"/>
        <v>INSERT INTO TNL_RATING.dbo.usps_rate_master VALUES ('USPS', '2/13/2025', '2/13/2026', 12659, 'US', 'Priority Mail', 2, 17, 'L', 13.34, 'Wedgewood_USPS_2025', 'NonCubic','3');</v>
      </c>
    </row>
    <row r="1369" spans="1:14" x14ac:dyDescent="0.3">
      <c r="A1369" t="s">
        <v>11</v>
      </c>
      <c r="B1369" s="1" t="s">
        <v>43</v>
      </c>
      <c r="C1369" s="1" t="s">
        <v>44</v>
      </c>
      <c r="D1369">
        <v>12659</v>
      </c>
      <c r="E1369" t="s">
        <v>12</v>
      </c>
      <c r="F1369" t="s">
        <v>47</v>
      </c>
      <c r="G1369">
        <v>2</v>
      </c>
      <c r="H1369">
        <v>18</v>
      </c>
      <c r="I1369" t="s">
        <v>45</v>
      </c>
      <c r="J1369" cm="1">
        <f t="array" ref="J1369">IFERROR(
    _xlfn.XLOOKUP(G1369, 'Wedgewood Pharm-PM-Yr2-2025'!$E$78:$L$78,
        _xlfn.XLOOKUP('Rate Load'!H1369, 'Wedgewood Pharm-PM-Yr2-2025'!$D$79:$D$110,
            'Wedgewood Pharm-PM-Yr2-2025'!$E$79:$L$110, 0, 0),
        0, 0),
    _xlfn.XLOOKUP(G1369, 'Wedgewood Pharm-PM-Yr2-2025'!$E$78:$L$78,
        _xlfn.XLOOKUP('Rate Load'!L1369, 'Wedgewood Pharm-PM-Yr2-2025'!$D$79:$D$110,
            'Wedgewood Pharm-PM-Yr2-2025'!$E$79:$L$110, 0, 0),
        0, 0)
)</f>
        <v>13.52</v>
      </c>
      <c r="K1369" t="s">
        <v>46</v>
      </c>
      <c r="L1369" t="s">
        <v>13</v>
      </c>
      <c r="M1369">
        <v>3</v>
      </c>
      <c r="N1369" t="str">
        <f t="shared" si="21"/>
        <v>INSERT INTO TNL_RATING.dbo.usps_rate_master VALUES ('USPS', '2/13/2025', '2/13/2026', 12659, 'US', 'Priority Mail', 2, 18, 'L', 13.52, 'Wedgewood_USPS_2025', 'NonCubic','3');</v>
      </c>
    </row>
    <row r="1370" spans="1:14" x14ac:dyDescent="0.3">
      <c r="A1370" t="s">
        <v>11</v>
      </c>
      <c r="B1370" s="1" t="s">
        <v>43</v>
      </c>
      <c r="C1370" s="1" t="s">
        <v>44</v>
      </c>
      <c r="D1370">
        <v>12659</v>
      </c>
      <c r="E1370" t="s">
        <v>12</v>
      </c>
      <c r="F1370" t="s">
        <v>47</v>
      </c>
      <c r="G1370">
        <v>2</v>
      </c>
      <c r="H1370">
        <v>19</v>
      </c>
      <c r="I1370" t="s">
        <v>45</v>
      </c>
      <c r="J1370" cm="1">
        <f t="array" ref="J1370">IFERROR(
    _xlfn.XLOOKUP(G1370, 'Wedgewood Pharm-PM-Yr2-2025'!$E$78:$L$78,
        _xlfn.XLOOKUP('Rate Load'!H1370, 'Wedgewood Pharm-PM-Yr2-2025'!$D$79:$D$110,
            'Wedgewood Pharm-PM-Yr2-2025'!$E$79:$L$110, 0, 0),
        0, 0),
    _xlfn.XLOOKUP(G1370, 'Wedgewood Pharm-PM-Yr2-2025'!$E$78:$L$78,
        _xlfn.XLOOKUP('Rate Load'!L1370, 'Wedgewood Pharm-PM-Yr2-2025'!$D$79:$D$110,
            'Wedgewood Pharm-PM-Yr2-2025'!$E$79:$L$110, 0, 0),
        0, 0)
)</f>
        <v>13.84</v>
      </c>
      <c r="K1370" t="s">
        <v>46</v>
      </c>
      <c r="L1370" t="s">
        <v>13</v>
      </c>
      <c r="M1370">
        <v>3</v>
      </c>
      <c r="N1370" t="str">
        <f t="shared" si="21"/>
        <v>INSERT INTO TNL_RATING.dbo.usps_rate_master VALUES ('USPS', '2/13/2025', '2/13/2026', 12659, 'US', 'Priority Mail', 2, 19, 'L', 13.84, 'Wedgewood_USPS_2025', 'NonCubic','3');</v>
      </c>
    </row>
    <row r="1371" spans="1:14" x14ac:dyDescent="0.3">
      <c r="A1371" t="s">
        <v>11</v>
      </c>
      <c r="B1371" s="1" t="s">
        <v>43</v>
      </c>
      <c r="C1371" s="1" t="s">
        <v>44</v>
      </c>
      <c r="D1371">
        <v>12659</v>
      </c>
      <c r="E1371" t="s">
        <v>12</v>
      </c>
      <c r="F1371" t="s">
        <v>47</v>
      </c>
      <c r="G1371">
        <v>2</v>
      </c>
      <c r="H1371">
        <v>20</v>
      </c>
      <c r="I1371" t="s">
        <v>45</v>
      </c>
      <c r="J1371" cm="1">
        <f t="array" ref="J1371">IFERROR(
    _xlfn.XLOOKUP(G1371, 'Wedgewood Pharm-PM-Yr2-2025'!$E$78:$L$78,
        _xlfn.XLOOKUP('Rate Load'!H1371, 'Wedgewood Pharm-PM-Yr2-2025'!$D$79:$D$110,
            'Wedgewood Pharm-PM-Yr2-2025'!$E$79:$L$110, 0, 0),
        0, 0),
    _xlfn.XLOOKUP(G1371, 'Wedgewood Pharm-PM-Yr2-2025'!$E$78:$L$78,
        _xlfn.XLOOKUP('Rate Load'!L1371, 'Wedgewood Pharm-PM-Yr2-2025'!$D$79:$D$110,
            'Wedgewood Pharm-PM-Yr2-2025'!$E$79:$L$110, 0, 0),
        0, 0)
)</f>
        <v>14.1</v>
      </c>
      <c r="K1371" t="s">
        <v>46</v>
      </c>
      <c r="L1371" t="s">
        <v>13</v>
      </c>
      <c r="M1371">
        <v>3</v>
      </c>
      <c r="N1371" t="str">
        <f t="shared" si="21"/>
        <v>INSERT INTO TNL_RATING.dbo.usps_rate_master VALUES ('USPS', '2/13/2025', '2/13/2026', 12659, 'US', 'Priority Mail', 2, 20, 'L', 14.1, 'Wedgewood_USPS_2025', 'NonCubic','3');</v>
      </c>
    </row>
    <row r="1372" spans="1:14" x14ac:dyDescent="0.3">
      <c r="A1372" t="s">
        <v>11</v>
      </c>
      <c r="B1372" s="1" t="s">
        <v>43</v>
      </c>
      <c r="C1372" s="1" t="s">
        <v>44</v>
      </c>
      <c r="D1372">
        <v>12659</v>
      </c>
      <c r="E1372" t="s">
        <v>12</v>
      </c>
      <c r="F1372" t="s">
        <v>47</v>
      </c>
      <c r="G1372">
        <v>3</v>
      </c>
      <c r="H1372">
        <v>0.5</v>
      </c>
      <c r="I1372" t="s">
        <v>45</v>
      </c>
      <c r="J1372" cm="1">
        <f t="array" ref="J1372">IFERROR(
    _xlfn.XLOOKUP(G1372, 'Wedgewood Pharm-PM-Yr2-2025'!$E$78:$L$78,
        _xlfn.XLOOKUP('Rate Load'!H1372, 'Wedgewood Pharm-PM-Yr2-2025'!$D$79:$D$110,
            'Wedgewood Pharm-PM-Yr2-2025'!$E$79:$L$110, 0, 0),
        0, 0),
    _xlfn.XLOOKUP(G1372, 'Wedgewood Pharm-PM-Yr2-2025'!$E$78:$L$78,
        _xlfn.XLOOKUP('Rate Load'!L1372, 'Wedgewood Pharm-PM-Yr2-2025'!$D$79:$D$110,
            'Wedgewood Pharm-PM-Yr2-2025'!$E$79:$L$110, 0, 0),
        0, 0)
)</f>
        <v>6.8599999999999994</v>
      </c>
      <c r="K1372" t="s">
        <v>46</v>
      </c>
      <c r="L1372" t="s">
        <v>13</v>
      </c>
      <c r="M1372">
        <v>3</v>
      </c>
      <c r="N1372" t="str">
        <f t="shared" si="21"/>
        <v>INSERT INTO TNL_RATING.dbo.usps_rate_master VALUES ('USPS', '2/13/2025', '2/13/2026', 12659, 'US', 'Priority Mail', 3, 0.5, 'L', 6.86, 'Wedgewood_USPS_2025', 'NonCubic','3');</v>
      </c>
    </row>
    <row r="1373" spans="1:14" x14ac:dyDescent="0.3">
      <c r="A1373" t="s">
        <v>11</v>
      </c>
      <c r="B1373" s="1" t="s">
        <v>43</v>
      </c>
      <c r="C1373" s="1" t="s">
        <v>44</v>
      </c>
      <c r="D1373">
        <v>12659</v>
      </c>
      <c r="E1373" t="s">
        <v>12</v>
      </c>
      <c r="F1373" t="s">
        <v>47</v>
      </c>
      <c r="G1373">
        <v>3</v>
      </c>
      <c r="H1373">
        <v>1</v>
      </c>
      <c r="I1373" t="s">
        <v>45</v>
      </c>
      <c r="J1373" cm="1">
        <f t="array" ref="J1373">IFERROR(
    _xlfn.XLOOKUP(G1373, 'Wedgewood Pharm-PM-Yr2-2025'!$E$78:$L$78,
        _xlfn.XLOOKUP('Rate Load'!H1373, 'Wedgewood Pharm-PM-Yr2-2025'!$D$79:$D$110,
            'Wedgewood Pharm-PM-Yr2-2025'!$E$79:$L$110, 0, 0),
        0, 0),
    _xlfn.XLOOKUP(G1373, 'Wedgewood Pharm-PM-Yr2-2025'!$E$78:$L$78,
        _xlfn.XLOOKUP('Rate Load'!L1373, 'Wedgewood Pharm-PM-Yr2-2025'!$D$79:$D$110,
            'Wedgewood Pharm-PM-Yr2-2025'!$E$79:$L$110, 0, 0),
        0, 0)
)</f>
        <v>6.8599999999999994</v>
      </c>
      <c r="K1373" t="s">
        <v>46</v>
      </c>
      <c r="L1373" t="s">
        <v>13</v>
      </c>
      <c r="M1373">
        <v>3</v>
      </c>
      <c r="N1373" t="str">
        <f t="shared" si="21"/>
        <v>INSERT INTO TNL_RATING.dbo.usps_rate_master VALUES ('USPS', '2/13/2025', '2/13/2026', 12659, 'US', 'Priority Mail', 3, 1, 'L', 6.86, 'Wedgewood_USPS_2025', 'NonCubic','3');</v>
      </c>
    </row>
    <row r="1374" spans="1:14" x14ac:dyDescent="0.3">
      <c r="A1374" t="s">
        <v>11</v>
      </c>
      <c r="B1374" s="1" t="s">
        <v>43</v>
      </c>
      <c r="C1374" s="1" t="s">
        <v>44</v>
      </c>
      <c r="D1374">
        <v>12659</v>
      </c>
      <c r="E1374" t="s">
        <v>12</v>
      </c>
      <c r="F1374" t="s">
        <v>47</v>
      </c>
      <c r="G1374">
        <v>3</v>
      </c>
      <c r="H1374">
        <v>2</v>
      </c>
      <c r="I1374" t="s">
        <v>45</v>
      </c>
      <c r="J1374" cm="1">
        <f t="array" ref="J1374">IFERROR(
    _xlfn.XLOOKUP(G1374, 'Wedgewood Pharm-PM-Yr2-2025'!$E$78:$L$78,
        _xlfn.XLOOKUP('Rate Load'!H1374, 'Wedgewood Pharm-PM-Yr2-2025'!$D$79:$D$110,
            'Wedgewood Pharm-PM-Yr2-2025'!$E$79:$L$110, 0, 0),
        0, 0),
    _xlfn.XLOOKUP(G1374, 'Wedgewood Pharm-PM-Yr2-2025'!$E$78:$L$78,
        _xlfn.XLOOKUP('Rate Load'!L1374, 'Wedgewood Pharm-PM-Yr2-2025'!$D$79:$D$110,
            'Wedgewood Pharm-PM-Yr2-2025'!$E$79:$L$110, 0, 0),
        0, 0)
)</f>
        <v>6.8599999999999994</v>
      </c>
      <c r="K1374" t="s">
        <v>46</v>
      </c>
      <c r="L1374" t="s">
        <v>13</v>
      </c>
      <c r="M1374">
        <v>3</v>
      </c>
      <c r="N1374" t="str">
        <f t="shared" si="21"/>
        <v>INSERT INTO TNL_RATING.dbo.usps_rate_master VALUES ('USPS', '2/13/2025', '2/13/2026', 12659, 'US', 'Priority Mail', 3, 2, 'L', 6.86, 'Wedgewood_USPS_2025', 'NonCubic','3');</v>
      </c>
    </row>
    <row r="1375" spans="1:14" x14ac:dyDescent="0.3">
      <c r="A1375" t="s">
        <v>11</v>
      </c>
      <c r="B1375" s="1" t="s">
        <v>43</v>
      </c>
      <c r="C1375" s="1" t="s">
        <v>44</v>
      </c>
      <c r="D1375">
        <v>12659</v>
      </c>
      <c r="E1375" t="s">
        <v>12</v>
      </c>
      <c r="F1375" t="s">
        <v>47</v>
      </c>
      <c r="G1375">
        <v>3</v>
      </c>
      <c r="H1375">
        <v>3</v>
      </c>
      <c r="I1375" t="s">
        <v>45</v>
      </c>
      <c r="J1375" cm="1">
        <f t="array" ref="J1375">IFERROR(
    _xlfn.XLOOKUP(G1375, 'Wedgewood Pharm-PM-Yr2-2025'!$E$78:$L$78,
        _xlfn.XLOOKUP('Rate Load'!H1375, 'Wedgewood Pharm-PM-Yr2-2025'!$D$79:$D$110,
            'Wedgewood Pharm-PM-Yr2-2025'!$E$79:$L$110, 0, 0),
        0, 0),
    _xlfn.XLOOKUP(G1375, 'Wedgewood Pharm-PM-Yr2-2025'!$E$78:$L$78,
        _xlfn.XLOOKUP('Rate Load'!L1375, 'Wedgewood Pharm-PM-Yr2-2025'!$D$79:$D$110,
            'Wedgewood Pharm-PM-Yr2-2025'!$E$79:$L$110, 0, 0),
        0, 0)
)</f>
        <v>7.16</v>
      </c>
      <c r="K1375" t="s">
        <v>46</v>
      </c>
      <c r="L1375" t="s">
        <v>13</v>
      </c>
      <c r="M1375">
        <v>3</v>
      </c>
      <c r="N1375" t="str">
        <f t="shared" si="21"/>
        <v>INSERT INTO TNL_RATING.dbo.usps_rate_master VALUES ('USPS', '2/13/2025', '2/13/2026', 12659, 'US', 'Priority Mail', 3, 3, 'L', 7.16, 'Wedgewood_USPS_2025', 'NonCubic','3');</v>
      </c>
    </row>
    <row r="1376" spans="1:14" x14ac:dyDescent="0.3">
      <c r="A1376" t="s">
        <v>11</v>
      </c>
      <c r="B1376" s="1" t="s">
        <v>43</v>
      </c>
      <c r="C1376" s="1" t="s">
        <v>44</v>
      </c>
      <c r="D1376">
        <v>12659</v>
      </c>
      <c r="E1376" t="s">
        <v>12</v>
      </c>
      <c r="F1376" t="s">
        <v>47</v>
      </c>
      <c r="G1376">
        <v>3</v>
      </c>
      <c r="H1376">
        <v>4</v>
      </c>
      <c r="I1376" t="s">
        <v>45</v>
      </c>
      <c r="J1376" cm="1">
        <f t="array" ref="J1376">IFERROR(
    _xlfn.XLOOKUP(G1376, 'Wedgewood Pharm-PM-Yr2-2025'!$E$78:$L$78,
        _xlfn.XLOOKUP('Rate Load'!H1376, 'Wedgewood Pharm-PM-Yr2-2025'!$D$79:$D$110,
            'Wedgewood Pharm-PM-Yr2-2025'!$E$79:$L$110, 0, 0),
        0, 0),
    _xlfn.XLOOKUP(G1376, 'Wedgewood Pharm-PM-Yr2-2025'!$E$78:$L$78,
        _xlfn.XLOOKUP('Rate Load'!L1376, 'Wedgewood Pharm-PM-Yr2-2025'!$D$79:$D$110,
            'Wedgewood Pharm-PM-Yr2-2025'!$E$79:$L$110, 0, 0),
        0, 0)
)</f>
        <v>7.2299999999999995</v>
      </c>
      <c r="K1376" t="s">
        <v>46</v>
      </c>
      <c r="L1376" t="s">
        <v>13</v>
      </c>
      <c r="M1376">
        <v>3</v>
      </c>
      <c r="N1376" t="str">
        <f t="shared" si="21"/>
        <v>INSERT INTO TNL_RATING.dbo.usps_rate_master VALUES ('USPS', '2/13/2025', '2/13/2026', 12659, 'US', 'Priority Mail', 3, 4, 'L', 7.23, 'Wedgewood_USPS_2025', 'NonCubic','3');</v>
      </c>
    </row>
    <row r="1377" spans="1:14" x14ac:dyDescent="0.3">
      <c r="A1377" t="s">
        <v>11</v>
      </c>
      <c r="B1377" s="1" t="s">
        <v>43</v>
      </c>
      <c r="C1377" s="1" t="s">
        <v>44</v>
      </c>
      <c r="D1377">
        <v>12659</v>
      </c>
      <c r="E1377" t="s">
        <v>12</v>
      </c>
      <c r="F1377" t="s">
        <v>47</v>
      </c>
      <c r="G1377">
        <v>3</v>
      </c>
      <c r="H1377">
        <v>5</v>
      </c>
      <c r="I1377" t="s">
        <v>45</v>
      </c>
      <c r="J1377" cm="1">
        <f t="array" ref="J1377">IFERROR(
    _xlfn.XLOOKUP(G1377, 'Wedgewood Pharm-PM-Yr2-2025'!$E$78:$L$78,
        _xlfn.XLOOKUP('Rate Load'!H1377, 'Wedgewood Pharm-PM-Yr2-2025'!$D$79:$D$110,
            'Wedgewood Pharm-PM-Yr2-2025'!$E$79:$L$110, 0, 0),
        0, 0),
    _xlfn.XLOOKUP(G1377, 'Wedgewood Pharm-PM-Yr2-2025'!$E$78:$L$78,
        _xlfn.XLOOKUP('Rate Load'!L1377, 'Wedgewood Pharm-PM-Yr2-2025'!$D$79:$D$110,
            'Wedgewood Pharm-PM-Yr2-2025'!$E$79:$L$110, 0, 0),
        0, 0)
)</f>
        <v>7.2799999999999994</v>
      </c>
      <c r="K1377" t="s">
        <v>46</v>
      </c>
      <c r="L1377" t="s">
        <v>13</v>
      </c>
      <c r="M1377">
        <v>3</v>
      </c>
      <c r="N1377" t="str">
        <f t="shared" si="21"/>
        <v>INSERT INTO TNL_RATING.dbo.usps_rate_master VALUES ('USPS', '2/13/2025', '2/13/2026', 12659, 'US', 'Priority Mail', 3, 5, 'L', 7.28, 'Wedgewood_USPS_2025', 'NonCubic','3');</v>
      </c>
    </row>
    <row r="1378" spans="1:14" x14ac:dyDescent="0.3">
      <c r="A1378" t="s">
        <v>11</v>
      </c>
      <c r="B1378" s="1" t="s">
        <v>43</v>
      </c>
      <c r="C1378" s="1" t="s">
        <v>44</v>
      </c>
      <c r="D1378">
        <v>12659</v>
      </c>
      <c r="E1378" t="s">
        <v>12</v>
      </c>
      <c r="F1378" t="s">
        <v>47</v>
      </c>
      <c r="G1378">
        <v>3</v>
      </c>
      <c r="H1378">
        <v>6</v>
      </c>
      <c r="I1378" t="s">
        <v>45</v>
      </c>
      <c r="J1378" cm="1">
        <f t="array" ref="J1378">IFERROR(
    _xlfn.XLOOKUP(G1378, 'Wedgewood Pharm-PM-Yr2-2025'!$E$78:$L$78,
        _xlfn.XLOOKUP('Rate Load'!H1378, 'Wedgewood Pharm-PM-Yr2-2025'!$D$79:$D$110,
            'Wedgewood Pharm-PM-Yr2-2025'!$E$79:$L$110, 0, 0),
        0, 0),
    _xlfn.XLOOKUP(G1378, 'Wedgewood Pharm-PM-Yr2-2025'!$E$78:$L$78,
        _xlfn.XLOOKUP('Rate Load'!L1378, 'Wedgewood Pharm-PM-Yr2-2025'!$D$79:$D$110,
            'Wedgewood Pharm-PM-Yr2-2025'!$E$79:$L$110, 0, 0),
        0, 0)
)</f>
        <v>7.85</v>
      </c>
      <c r="K1378" t="s">
        <v>46</v>
      </c>
      <c r="L1378" t="s">
        <v>13</v>
      </c>
      <c r="M1378">
        <v>3</v>
      </c>
      <c r="N1378" t="str">
        <f t="shared" si="21"/>
        <v>INSERT INTO TNL_RATING.dbo.usps_rate_master VALUES ('USPS', '2/13/2025', '2/13/2026', 12659, 'US', 'Priority Mail', 3, 6, 'L', 7.85, 'Wedgewood_USPS_2025', 'NonCubic','3');</v>
      </c>
    </row>
    <row r="1379" spans="1:14" x14ac:dyDescent="0.3">
      <c r="A1379" t="s">
        <v>11</v>
      </c>
      <c r="B1379" s="1" t="s">
        <v>43</v>
      </c>
      <c r="C1379" s="1" t="s">
        <v>44</v>
      </c>
      <c r="D1379">
        <v>12659</v>
      </c>
      <c r="E1379" t="s">
        <v>12</v>
      </c>
      <c r="F1379" t="s">
        <v>47</v>
      </c>
      <c r="G1379">
        <v>3</v>
      </c>
      <c r="H1379">
        <v>7</v>
      </c>
      <c r="I1379" t="s">
        <v>45</v>
      </c>
      <c r="J1379" cm="1">
        <f t="array" ref="J1379">IFERROR(
    _xlfn.XLOOKUP(G1379, 'Wedgewood Pharm-PM-Yr2-2025'!$E$78:$L$78,
        _xlfn.XLOOKUP('Rate Load'!H1379, 'Wedgewood Pharm-PM-Yr2-2025'!$D$79:$D$110,
            'Wedgewood Pharm-PM-Yr2-2025'!$E$79:$L$110, 0, 0),
        0, 0),
    _xlfn.XLOOKUP(G1379, 'Wedgewood Pharm-PM-Yr2-2025'!$E$78:$L$78,
        _xlfn.XLOOKUP('Rate Load'!L1379, 'Wedgewood Pharm-PM-Yr2-2025'!$D$79:$D$110,
            'Wedgewood Pharm-PM-Yr2-2025'!$E$79:$L$110, 0, 0),
        0, 0)
)</f>
        <v>9.48</v>
      </c>
      <c r="K1379" t="s">
        <v>46</v>
      </c>
      <c r="L1379" t="s">
        <v>13</v>
      </c>
      <c r="M1379">
        <v>3</v>
      </c>
      <c r="N1379" t="str">
        <f t="shared" si="21"/>
        <v>INSERT INTO TNL_RATING.dbo.usps_rate_master VALUES ('USPS', '2/13/2025', '2/13/2026', 12659, 'US', 'Priority Mail', 3, 7, 'L', 9.48, 'Wedgewood_USPS_2025', 'NonCubic','3');</v>
      </c>
    </row>
    <row r="1380" spans="1:14" x14ac:dyDescent="0.3">
      <c r="A1380" t="s">
        <v>11</v>
      </c>
      <c r="B1380" s="1" t="s">
        <v>43</v>
      </c>
      <c r="C1380" s="1" t="s">
        <v>44</v>
      </c>
      <c r="D1380">
        <v>12659</v>
      </c>
      <c r="E1380" t="s">
        <v>12</v>
      </c>
      <c r="F1380" t="s">
        <v>47</v>
      </c>
      <c r="G1380">
        <v>3</v>
      </c>
      <c r="H1380">
        <v>8</v>
      </c>
      <c r="I1380" t="s">
        <v>45</v>
      </c>
      <c r="J1380" cm="1">
        <f t="array" ref="J1380">IFERROR(
    _xlfn.XLOOKUP(G1380, 'Wedgewood Pharm-PM-Yr2-2025'!$E$78:$L$78,
        _xlfn.XLOOKUP('Rate Load'!H1380, 'Wedgewood Pharm-PM-Yr2-2025'!$D$79:$D$110,
            'Wedgewood Pharm-PM-Yr2-2025'!$E$79:$L$110, 0, 0),
        0, 0),
    _xlfn.XLOOKUP(G1380, 'Wedgewood Pharm-PM-Yr2-2025'!$E$78:$L$78,
        _xlfn.XLOOKUP('Rate Load'!L1380, 'Wedgewood Pharm-PM-Yr2-2025'!$D$79:$D$110,
            'Wedgewood Pharm-PM-Yr2-2025'!$E$79:$L$110, 0, 0),
        0, 0)
)</f>
        <v>9.94</v>
      </c>
      <c r="K1380" t="s">
        <v>46</v>
      </c>
      <c r="L1380" t="s">
        <v>13</v>
      </c>
      <c r="M1380">
        <v>3</v>
      </c>
      <c r="N1380" t="str">
        <f t="shared" si="21"/>
        <v>INSERT INTO TNL_RATING.dbo.usps_rate_master VALUES ('USPS', '2/13/2025', '2/13/2026', 12659, 'US', 'Priority Mail', 3, 8, 'L', 9.94, 'Wedgewood_USPS_2025', 'NonCubic','3');</v>
      </c>
    </row>
    <row r="1381" spans="1:14" x14ac:dyDescent="0.3">
      <c r="A1381" t="s">
        <v>11</v>
      </c>
      <c r="B1381" s="1" t="s">
        <v>43</v>
      </c>
      <c r="C1381" s="1" t="s">
        <v>44</v>
      </c>
      <c r="D1381">
        <v>12659</v>
      </c>
      <c r="E1381" t="s">
        <v>12</v>
      </c>
      <c r="F1381" t="s">
        <v>47</v>
      </c>
      <c r="G1381">
        <v>3</v>
      </c>
      <c r="H1381">
        <v>9</v>
      </c>
      <c r="I1381" t="s">
        <v>45</v>
      </c>
      <c r="J1381" cm="1">
        <f t="array" ref="J1381">IFERROR(
    _xlfn.XLOOKUP(G1381, 'Wedgewood Pharm-PM-Yr2-2025'!$E$78:$L$78,
        _xlfn.XLOOKUP('Rate Load'!H1381, 'Wedgewood Pharm-PM-Yr2-2025'!$D$79:$D$110,
            'Wedgewood Pharm-PM-Yr2-2025'!$E$79:$L$110, 0, 0),
        0, 0),
    _xlfn.XLOOKUP(G1381, 'Wedgewood Pharm-PM-Yr2-2025'!$E$78:$L$78,
        _xlfn.XLOOKUP('Rate Load'!L1381, 'Wedgewood Pharm-PM-Yr2-2025'!$D$79:$D$110,
            'Wedgewood Pharm-PM-Yr2-2025'!$E$79:$L$110, 0, 0),
        0, 0)
)</f>
        <v>10.39</v>
      </c>
      <c r="K1381" t="s">
        <v>46</v>
      </c>
      <c r="L1381" t="s">
        <v>13</v>
      </c>
      <c r="M1381">
        <v>3</v>
      </c>
      <c r="N1381" t="str">
        <f t="shared" si="21"/>
        <v>INSERT INTO TNL_RATING.dbo.usps_rate_master VALUES ('USPS', '2/13/2025', '2/13/2026', 12659, 'US', 'Priority Mail', 3, 9, 'L', 10.39, 'Wedgewood_USPS_2025', 'NonCubic','3');</v>
      </c>
    </row>
    <row r="1382" spans="1:14" x14ac:dyDescent="0.3">
      <c r="A1382" t="s">
        <v>11</v>
      </c>
      <c r="B1382" s="1" t="s">
        <v>43</v>
      </c>
      <c r="C1382" s="1" t="s">
        <v>44</v>
      </c>
      <c r="D1382">
        <v>12659</v>
      </c>
      <c r="E1382" t="s">
        <v>12</v>
      </c>
      <c r="F1382" t="s">
        <v>47</v>
      </c>
      <c r="G1382">
        <v>3</v>
      </c>
      <c r="H1382">
        <v>10</v>
      </c>
      <c r="I1382" t="s">
        <v>45</v>
      </c>
      <c r="J1382" cm="1">
        <f t="array" ref="J1382">IFERROR(
    _xlfn.XLOOKUP(G1382, 'Wedgewood Pharm-PM-Yr2-2025'!$E$78:$L$78,
        _xlfn.XLOOKUP('Rate Load'!H1382, 'Wedgewood Pharm-PM-Yr2-2025'!$D$79:$D$110,
            'Wedgewood Pharm-PM-Yr2-2025'!$E$79:$L$110, 0, 0),
        0, 0),
    _xlfn.XLOOKUP(G1382, 'Wedgewood Pharm-PM-Yr2-2025'!$E$78:$L$78,
        _xlfn.XLOOKUP('Rate Load'!L1382, 'Wedgewood Pharm-PM-Yr2-2025'!$D$79:$D$110,
            'Wedgewood Pharm-PM-Yr2-2025'!$E$79:$L$110, 0, 0),
        0, 0)
)</f>
        <v>10.86</v>
      </c>
      <c r="K1382" t="s">
        <v>46</v>
      </c>
      <c r="L1382" t="s">
        <v>13</v>
      </c>
      <c r="M1382">
        <v>3</v>
      </c>
      <c r="N1382" t="str">
        <f t="shared" si="21"/>
        <v>INSERT INTO TNL_RATING.dbo.usps_rate_master VALUES ('USPS', '2/13/2025', '2/13/2026', 12659, 'US', 'Priority Mail', 3, 10, 'L', 10.86, 'Wedgewood_USPS_2025', 'NonCubic','3');</v>
      </c>
    </row>
    <row r="1383" spans="1:14" x14ac:dyDescent="0.3">
      <c r="A1383" t="s">
        <v>11</v>
      </c>
      <c r="B1383" s="1" t="s">
        <v>43</v>
      </c>
      <c r="C1383" s="1" t="s">
        <v>44</v>
      </c>
      <c r="D1383">
        <v>12659</v>
      </c>
      <c r="E1383" t="s">
        <v>12</v>
      </c>
      <c r="F1383" t="s">
        <v>47</v>
      </c>
      <c r="G1383">
        <v>3</v>
      </c>
      <c r="H1383">
        <v>11</v>
      </c>
      <c r="I1383" t="s">
        <v>45</v>
      </c>
      <c r="J1383" cm="1">
        <f t="array" ref="J1383">IFERROR(
    _xlfn.XLOOKUP(G1383, 'Wedgewood Pharm-PM-Yr2-2025'!$E$78:$L$78,
        _xlfn.XLOOKUP('Rate Load'!H1383, 'Wedgewood Pharm-PM-Yr2-2025'!$D$79:$D$110,
            'Wedgewood Pharm-PM-Yr2-2025'!$E$79:$L$110, 0, 0),
        0, 0),
    _xlfn.XLOOKUP(G1383, 'Wedgewood Pharm-PM-Yr2-2025'!$E$78:$L$78,
        _xlfn.XLOOKUP('Rate Load'!L1383, 'Wedgewood Pharm-PM-Yr2-2025'!$D$79:$D$110,
            'Wedgewood Pharm-PM-Yr2-2025'!$E$79:$L$110, 0, 0),
        0, 0)
)</f>
        <v>11.549999999999999</v>
      </c>
      <c r="K1383" t="s">
        <v>46</v>
      </c>
      <c r="L1383" t="s">
        <v>13</v>
      </c>
      <c r="M1383">
        <v>3</v>
      </c>
      <c r="N1383" t="str">
        <f t="shared" si="21"/>
        <v>INSERT INTO TNL_RATING.dbo.usps_rate_master VALUES ('USPS', '2/13/2025', '2/13/2026', 12659, 'US', 'Priority Mail', 3, 11, 'L', 11.55, 'Wedgewood_USPS_2025', 'NonCubic','3');</v>
      </c>
    </row>
    <row r="1384" spans="1:14" x14ac:dyDescent="0.3">
      <c r="A1384" t="s">
        <v>11</v>
      </c>
      <c r="B1384" s="1" t="s">
        <v>43</v>
      </c>
      <c r="C1384" s="1" t="s">
        <v>44</v>
      </c>
      <c r="D1384">
        <v>12659</v>
      </c>
      <c r="E1384" t="s">
        <v>12</v>
      </c>
      <c r="F1384" t="s">
        <v>47</v>
      </c>
      <c r="G1384">
        <v>3</v>
      </c>
      <c r="H1384">
        <v>12</v>
      </c>
      <c r="I1384" t="s">
        <v>45</v>
      </c>
      <c r="J1384" cm="1">
        <f t="array" ref="J1384">IFERROR(
    _xlfn.XLOOKUP(G1384, 'Wedgewood Pharm-PM-Yr2-2025'!$E$78:$L$78,
        _xlfn.XLOOKUP('Rate Load'!H1384, 'Wedgewood Pharm-PM-Yr2-2025'!$D$79:$D$110,
            'Wedgewood Pharm-PM-Yr2-2025'!$E$79:$L$110, 0, 0),
        0, 0),
    _xlfn.XLOOKUP(G1384, 'Wedgewood Pharm-PM-Yr2-2025'!$E$78:$L$78,
        _xlfn.XLOOKUP('Rate Load'!L1384, 'Wedgewood Pharm-PM-Yr2-2025'!$D$79:$D$110,
            'Wedgewood Pharm-PM-Yr2-2025'!$E$79:$L$110, 0, 0),
        0, 0)
)</f>
        <v>12.049999999999999</v>
      </c>
      <c r="K1384" t="s">
        <v>46</v>
      </c>
      <c r="L1384" t="s">
        <v>13</v>
      </c>
      <c r="M1384">
        <v>3</v>
      </c>
      <c r="N1384" t="str">
        <f t="shared" si="21"/>
        <v>INSERT INTO TNL_RATING.dbo.usps_rate_master VALUES ('USPS', '2/13/2025', '2/13/2026', 12659, 'US', 'Priority Mail', 3, 12, 'L', 12.05, 'Wedgewood_USPS_2025', 'NonCubic','3');</v>
      </c>
    </row>
    <row r="1385" spans="1:14" x14ac:dyDescent="0.3">
      <c r="A1385" t="s">
        <v>11</v>
      </c>
      <c r="B1385" s="1" t="s">
        <v>43</v>
      </c>
      <c r="C1385" s="1" t="s">
        <v>44</v>
      </c>
      <c r="D1385">
        <v>12659</v>
      </c>
      <c r="E1385" t="s">
        <v>12</v>
      </c>
      <c r="F1385" t="s">
        <v>47</v>
      </c>
      <c r="G1385">
        <v>3</v>
      </c>
      <c r="H1385">
        <v>13</v>
      </c>
      <c r="I1385" t="s">
        <v>45</v>
      </c>
      <c r="J1385" cm="1">
        <f t="array" ref="J1385">IFERROR(
    _xlfn.XLOOKUP(G1385, 'Wedgewood Pharm-PM-Yr2-2025'!$E$78:$L$78,
        _xlfn.XLOOKUP('Rate Load'!H1385, 'Wedgewood Pharm-PM-Yr2-2025'!$D$79:$D$110,
            'Wedgewood Pharm-PM-Yr2-2025'!$E$79:$L$110, 0, 0),
        0, 0),
    _xlfn.XLOOKUP(G1385, 'Wedgewood Pharm-PM-Yr2-2025'!$E$78:$L$78,
        _xlfn.XLOOKUP('Rate Load'!L1385, 'Wedgewood Pharm-PM-Yr2-2025'!$D$79:$D$110,
            'Wedgewood Pharm-PM-Yr2-2025'!$E$79:$L$110, 0, 0),
        0, 0)
)</f>
        <v>12.549999999999999</v>
      </c>
      <c r="K1385" t="s">
        <v>46</v>
      </c>
      <c r="L1385" t="s">
        <v>13</v>
      </c>
      <c r="M1385">
        <v>3</v>
      </c>
      <c r="N1385" t="str">
        <f t="shared" si="21"/>
        <v>INSERT INTO TNL_RATING.dbo.usps_rate_master VALUES ('USPS', '2/13/2025', '2/13/2026', 12659, 'US', 'Priority Mail', 3, 13, 'L', 12.55, 'Wedgewood_USPS_2025', 'NonCubic','3');</v>
      </c>
    </row>
    <row r="1386" spans="1:14" x14ac:dyDescent="0.3">
      <c r="A1386" t="s">
        <v>11</v>
      </c>
      <c r="B1386" s="1" t="s">
        <v>43</v>
      </c>
      <c r="C1386" s="1" t="s">
        <v>44</v>
      </c>
      <c r="D1386">
        <v>12659</v>
      </c>
      <c r="E1386" t="s">
        <v>12</v>
      </c>
      <c r="F1386" t="s">
        <v>47</v>
      </c>
      <c r="G1386">
        <v>3</v>
      </c>
      <c r="H1386">
        <v>14</v>
      </c>
      <c r="I1386" t="s">
        <v>45</v>
      </c>
      <c r="J1386" cm="1">
        <f t="array" ref="J1386">IFERROR(
    _xlfn.XLOOKUP(G1386, 'Wedgewood Pharm-PM-Yr2-2025'!$E$78:$L$78,
        _xlfn.XLOOKUP('Rate Load'!H1386, 'Wedgewood Pharm-PM-Yr2-2025'!$D$79:$D$110,
            'Wedgewood Pharm-PM-Yr2-2025'!$E$79:$L$110, 0, 0),
        0, 0),
    _xlfn.XLOOKUP(G1386, 'Wedgewood Pharm-PM-Yr2-2025'!$E$78:$L$78,
        _xlfn.XLOOKUP('Rate Load'!L1386, 'Wedgewood Pharm-PM-Yr2-2025'!$D$79:$D$110,
            'Wedgewood Pharm-PM-Yr2-2025'!$E$79:$L$110, 0, 0),
        0, 0)
)</f>
        <v>13.049999999999999</v>
      </c>
      <c r="K1386" t="s">
        <v>46</v>
      </c>
      <c r="L1386" t="s">
        <v>13</v>
      </c>
      <c r="M1386">
        <v>3</v>
      </c>
      <c r="N1386" t="str">
        <f t="shared" si="21"/>
        <v>INSERT INTO TNL_RATING.dbo.usps_rate_master VALUES ('USPS', '2/13/2025', '2/13/2026', 12659, 'US', 'Priority Mail', 3, 14, 'L', 13.05, 'Wedgewood_USPS_2025', 'NonCubic','3');</v>
      </c>
    </row>
    <row r="1387" spans="1:14" x14ac:dyDescent="0.3">
      <c r="A1387" t="s">
        <v>11</v>
      </c>
      <c r="B1387" s="1" t="s">
        <v>43</v>
      </c>
      <c r="C1387" s="1" t="s">
        <v>44</v>
      </c>
      <c r="D1387">
        <v>12659</v>
      </c>
      <c r="E1387" t="s">
        <v>12</v>
      </c>
      <c r="F1387" t="s">
        <v>47</v>
      </c>
      <c r="G1387">
        <v>3</v>
      </c>
      <c r="H1387">
        <v>15</v>
      </c>
      <c r="I1387" t="s">
        <v>45</v>
      </c>
      <c r="J1387" cm="1">
        <f t="array" ref="J1387">IFERROR(
    _xlfn.XLOOKUP(G1387, 'Wedgewood Pharm-PM-Yr2-2025'!$E$78:$L$78,
        _xlfn.XLOOKUP('Rate Load'!H1387, 'Wedgewood Pharm-PM-Yr2-2025'!$D$79:$D$110,
            'Wedgewood Pharm-PM-Yr2-2025'!$E$79:$L$110, 0, 0),
        0, 0),
    _xlfn.XLOOKUP(G1387, 'Wedgewood Pharm-PM-Yr2-2025'!$E$78:$L$78,
        _xlfn.XLOOKUP('Rate Load'!L1387, 'Wedgewood Pharm-PM-Yr2-2025'!$D$79:$D$110,
            'Wedgewood Pharm-PM-Yr2-2025'!$E$79:$L$110, 0, 0),
        0, 0)
)</f>
        <v>13.54</v>
      </c>
      <c r="K1387" t="s">
        <v>46</v>
      </c>
      <c r="L1387" t="s">
        <v>13</v>
      </c>
      <c r="M1387">
        <v>3</v>
      </c>
      <c r="N1387" t="str">
        <f t="shared" si="21"/>
        <v>INSERT INTO TNL_RATING.dbo.usps_rate_master VALUES ('USPS', '2/13/2025', '2/13/2026', 12659, 'US', 'Priority Mail', 3, 15, 'L', 13.54, 'Wedgewood_USPS_2025', 'NonCubic','3');</v>
      </c>
    </row>
    <row r="1388" spans="1:14" x14ac:dyDescent="0.3">
      <c r="A1388" t="s">
        <v>11</v>
      </c>
      <c r="B1388" s="1" t="s">
        <v>43</v>
      </c>
      <c r="C1388" s="1" t="s">
        <v>44</v>
      </c>
      <c r="D1388">
        <v>12659</v>
      </c>
      <c r="E1388" t="s">
        <v>12</v>
      </c>
      <c r="F1388" t="s">
        <v>47</v>
      </c>
      <c r="G1388">
        <v>3</v>
      </c>
      <c r="H1388">
        <v>16</v>
      </c>
      <c r="I1388" t="s">
        <v>45</v>
      </c>
      <c r="J1388" cm="1">
        <f t="array" ref="J1388">IFERROR(
    _xlfn.XLOOKUP(G1388, 'Wedgewood Pharm-PM-Yr2-2025'!$E$78:$L$78,
        _xlfn.XLOOKUP('Rate Load'!H1388, 'Wedgewood Pharm-PM-Yr2-2025'!$D$79:$D$110,
            'Wedgewood Pharm-PM-Yr2-2025'!$E$79:$L$110, 0, 0),
        0, 0),
    _xlfn.XLOOKUP(G1388, 'Wedgewood Pharm-PM-Yr2-2025'!$E$78:$L$78,
        _xlfn.XLOOKUP('Rate Load'!L1388, 'Wedgewood Pharm-PM-Yr2-2025'!$D$79:$D$110,
            'Wedgewood Pharm-PM-Yr2-2025'!$E$79:$L$110, 0, 0),
        0, 0)
)</f>
        <v>14.04</v>
      </c>
      <c r="K1388" t="s">
        <v>46</v>
      </c>
      <c r="L1388" t="s">
        <v>13</v>
      </c>
      <c r="M1388">
        <v>3</v>
      </c>
      <c r="N1388" t="str">
        <f t="shared" si="21"/>
        <v>INSERT INTO TNL_RATING.dbo.usps_rate_master VALUES ('USPS', '2/13/2025', '2/13/2026', 12659, 'US', 'Priority Mail', 3, 16, 'L', 14.04, 'Wedgewood_USPS_2025', 'NonCubic','3');</v>
      </c>
    </row>
    <row r="1389" spans="1:14" x14ac:dyDescent="0.3">
      <c r="A1389" t="s">
        <v>11</v>
      </c>
      <c r="B1389" s="1" t="s">
        <v>43</v>
      </c>
      <c r="C1389" s="1" t="s">
        <v>44</v>
      </c>
      <c r="D1389">
        <v>12659</v>
      </c>
      <c r="E1389" t="s">
        <v>12</v>
      </c>
      <c r="F1389" t="s">
        <v>47</v>
      </c>
      <c r="G1389">
        <v>3</v>
      </c>
      <c r="H1389">
        <v>17</v>
      </c>
      <c r="I1389" t="s">
        <v>45</v>
      </c>
      <c r="J1389" cm="1">
        <f t="array" ref="J1389">IFERROR(
    _xlfn.XLOOKUP(G1389, 'Wedgewood Pharm-PM-Yr2-2025'!$E$78:$L$78,
        _xlfn.XLOOKUP('Rate Load'!H1389, 'Wedgewood Pharm-PM-Yr2-2025'!$D$79:$D$110,
            'Wedgewood Pharm-PM-Yr2-2025'!$E$79:$L$110, 0, 0),
        0, 0),
    _xlfn.XLOOKUP(G1389, 'Wedgewood Pharm-PM-Yr2-2025'!$E$78:$L$78,
        _xlfn.XLOOKUP('Rate Load'!L1389, 'Wedgewood Pharm-PM-Yr2-2025'!$D$79:$D$110,
            'Wedgewood Pharm-PM-Yr2-2025'!$E$79:$L$110, 0, 0),
        0, 0)
)</f>
        <v>14.45</v>
      </c>
      <c r="K1389" t="s">
        <v>46</v>
      </c>
      <c r="L1389" t="s">
        <v>13</v>
      </c>
      <c r="M1389">
        <v>3</v>
      </c>
      <c r="N1389" t="str">
        <f t="shared" si="21"/>
        <v>INSERT INTO TNL_RATING.dbo.usps_rate_master VALUES ('USPS', '2/13/2025', '2/13/2026', 12659, 'US', 'Priority Mail', 3, 17, 'L', 14.45, 'Wedgewood_USPS_2025', 'NonCubic','3');</v>
      </c>
    </row>
    <row r="1390" spans="1:14" x14ac:dyDescent="0.3">
      <c r="A1390" t="s">
        <v>11</v>
      </c>
      <c r="B1390" s="1" t="s">
        <v>43</v>
      </c>
      <c r="C1390" s="1" t="s">
        <v>44</v>
      </c>
      <c r="D1390">
        <v>12659</v>
      </c>
      <c r="E1390" t="s">
        <v>12</v>
      </c>
      <c r="F1390" t="s">
        <v>47</v>
      </c>
      <c r="G1390">
        <v>3</v>
      </c>
      <c r="H1390">
        <v>18</v>
      </c>
      <c r="I1390" t="s">
        <v>45</v>
      </c>
      <c r="J1390" cm="1">
        <f t="array" ref="J1390">IFERROR(
    _xlfn.XLOOKUP(G1390, 'Wedgewood Pharm-PM-Yr2-2025'!$E$78:$L$78,
        _xlfn.XLOOKUP('Rate Load'!H1390, 'Wedgewood Pharm-PM-Yr2-2025'!$D$79:$D$110,
            'Wedgewood Pharm-PM-Yr2-2025'!$E$79:$L$110, 0, 0),
        0, 0),
    _xlfn.XLOOKUP(G1390, 'Wedgewood Pharm-PM-Yr2-2025'!$E$78:$L$78,
        _xlfn.XLOOKUP('Rate Load'!L1390, 'Wedgewood Pharm-PM-Yr2-2025'!$D$79:$D$110,
            'Wedgewood Pharm-PM-Yr2-2025'!$E$79:$L$110, 0, 0),
        0, 0)
)</f>
        <v>14.67</v>
      </c>
      <c r="K1390" t="s">
        <v>46</v>
      </c>
      <c r="L1390" t="s">
        <v>13</v>
      </c>
      <c r="M1390">
        <v>3</v>
      </c>
      <c r="N1390" t="str">
        <f t="shared" si="21"/>
        <v>INSERT INTO TNL_RATING.dbo.usps_rate_master VALUES ('USPS', '2/13/2025', '2/13/2026', 12659, 'US', 'Priority Mail', 3, 18, 'L', 14.67, 'Wedgewood_USPS_2025', 'NonCubic','3');</v>
      </c>
    </row>
    <row r="1391" spans="1:14" x14ac:dyDescent="0.3">
      <c r="A1391" t="s">
        <v>11</v>
      </c>
      <c r="B1391" s="1" t="s">
        <v>43</v>
      </c>
      <c r="C1391" s="1" t="s">
        <v>44</v>
      </c>
      <c r="D1391">
        <v>12659</v>
      </c>
      <c r="E1391" t="s">
        <v>12</v>
      </c>
      <c r="F1391" t="s">
        <v>47</v>
      </c>
      <c r="G1391">
        <v>3</v>
      </c>
      <c r="H1391">
        <v>19</v>
      </c>
      <c r="I1391" t="s">
        <v>45</v>
      </c>
      <c r="J1391" cm="1">
        <f t="array" ref="J1391">IFERROR(
    _xlfn.XLOOKUP(G1391, 'Wedgewood Pharm-PM-Yr2-2025'!$E$78:$L$78,
        _xlfn.XLOOKUP('Rate Load'!H1391, 'Wedgewood Pharm-PM-Yr2-2025'!$D$79:$D$110,
            'Wedgewood Pharm-PM-Yr2-2025'!$E$79:$L$110, 0, 0),
        0, 0),
    _xlfn.XLOOKUP(G1391, 'Wedgewood Pharm-PM-Yr2-2025'!$E$78:$L$78,
        _xlfn.XLOOKUP('Rate Load'!L1391, 'Wedgewood Pharm-PM-Yr2-2025'!$D$79:$D$110,
            'Wedgewood Pharm-PM-Yr2-2025'!$E$79:$L$110, 0, 0),
        0, 0)
)</f>
        <v>15.15</v>
      </c>
      <c r="K1391" t="s">
        <v>46</v>
      </c>
      <c r="L1391" t="s">
        <v>13</v>
      </c>
      <c r="M1391">
        <v>3</v>
      </c>
      <c r="N1391" t="str">
        <f t="shared" si="21"/>
        <v>INSERT INTO TNL_RATING.dbo.usps_rate_master VALUES ('USPS', '2/13/2025', '2/13/2026', 12659, 'US', 'Priority Mail', 3, 19, 'L', 15.15, 'Wedgewood_USPS_2025', 'NonCubic','3');</v>
      </c>
    </row>
    <row r="1392" spans="1:14" x14ac:dyDescent="0.3">
      <c r="A1392" t="s">
        <v>11</v>
      </c>
      <c r="B1392" s="1" t="s">
        <v>43</v>
      </c>
      <c r="C1392" s="1" t="s">
        <v>44</v>
      </c>
      <c r="D1392">
        <v>12659</v>
      </c>
      <c r="E1392" t="s">
        <v>12</v>
      </c>
      <c r="F1392" t="s">
        <v>47</v>
      </c>
      <c r="G1392">
        <v>3</v>
      </c>
      <c r="H1392">
        <v>20</v>
      </c>
      <c r="I1392" t="s">
        <v>45</v>
      </c>
      <c r="J1392" cm="1">
        <f t="array" ref="J1392">IFERROR(
    _xlfn.XLOOKUP(G1392, 'Wedgewood Pharm-PM-Yr2-2025'!$E$78:$L$78,
        _xlfn.XLOOKUP('Rate Load'!H1392, 'Wedgewood Pharm-PM-Yr2-2025'!$D$79:$D$110,
            'Wedgewood Pharm-PM-Yr2-2025'!$E$79:$L$110, 0, 0),
        0, 0),
    _xlfn.XLOOKUP(G1392, 'Wedgewood Pharm-PM-Yr2-2025'!$E$78:$L$78,
        _xlfn.XLOOKUP('Rate Load'!L1392, 'Wedgewood Pharm-PM-Yr2-2025'!$D$79:$D$110,
            'Wedgewood Pharm-PM-Yr2-2025'!$E$79:$L$110, 0, 0),
        0, 0)
)</f>
        <v>15.47</v>
      </c>
      <c r="K1392" t="s">
        <v>46</v>
      </c>
      <c r="L1392" t="s">
        <v>13</v>
      </c>
      <c r="M1392">
        <v>3</v>
      </c>
      <c r="N1392" t="str">
        <f t="shared" si="21"/>
        <v>INSERT INTO TNL_RATING.dbo.usps_rate_master VALUES ('USPS', '2/13/2025', '2/13/2026', 12659, 'US', 'Priority Mail', 3, 20, 'L', 15.47, 'Wedgewood_USPS_2025', 'NonCubic','3');</v>
      </c>
    </row>
    <row r="1393" spans="1:14" x14ac:dyDescent="0.3">
      <c r="A1393" t="s">
        <v>11</v>
      </c>
      <c r="B1393" s="1" t="s">
        <v>43</v>
      </c>
      <c r="C1393" s="1" t="s">
        <v>44</v>
      </c>
      <c r="D1393">
        <v>12659</v>
      </c>
      <c r="E1393" t="s">
        <v>12</v>
      </c>
      <c r="F1393" t="s">
        <v>47</v>
      </c>
      <c r="G1393">
        <v>4</v>
      </c>
      <c r="H1393">
        <v>0.5</v>
      </c>
      <c r="I1393" t="s">
        <v>45</v>
      </c>
      <c r="J1393" cm="1">
        <f t="array" ref="J1393">IFERROR(
    _xlfn.XLOOKUP(G1393, 'Wedgewood Pharm-PM-Yr2-2025'!$E$78:$L$78,
        _xlfn.XLOOKUP('Rate Load'!H1393, 'Wedgewood Pharm-PM-Yr2-2025'!$D$79:$D$110,
            'Wedgewood Pharm-PM-Yr2-2025'!$E$79:$L$110, 0, 0),
        0, 0),
    _xlfn.XLOOKUP(G1393, 'Wedgewood Pharm-PM-Yr2-2025'!$E$78:$L$78,
        _xlfn.XLOOKUP('Rate Load'!L1393, 'Wedgewood Pharm-PM-Yr2-2025'!$D$79:$D$110,
            'Wedgewood Pharm-PM-Yr2-2025'!$E$79:$L$110, 0, 0),
        0, 0)
)</f>
        <v>6.8599999999999994</v>
      </c>
      <c r="K1393" t="s">
        <v>46</v>
      </c>
      <c r="L1393" t="s">
        <v>13</v>
      </c>
      <c r="M1393">
        <v>3</v>
      </c>
      <c r="N1393" t="str">
        <f t="shared" si="21"/>
        <v>INSERT INTO TNL_RATING.dbo.usps_rate_master VALUES ('USPS', '2/13/2025', '2/13/2026', 12659, 'US', 'Priority Mail', 4, 0.5, 'L', 6.86, 'Wedgewood_USPS_2025', 'NonCubic','3');</v>
      </c>
    </row>
    <row r="1394" spans="1:14" x14ac:dyDescent="0.3">
      <c r="A1394" t="s">
        <v>11</v>
      </c>
      <c r="B1394" s="1" t="s">
        <v>43</v>
      </c>
      <c r="C1394" s="1" t="s">
        <v>44</v>
      </c>
      <c r="D1394">
        <v>12659</v>
      </c>
      <c r="E1394" t="s">
        <v>12</v>
      </c>
      <c r="F1394" t="s">
        <v>47</v>
      </c>
      <c r="G1394">
        <v>4</v>
      </c>
      <c r="H1394">
        <v>1</v>
      </c>
      <c r="I1394" t="s">
        <v>45</v>
      </c>
      <c r="J1394" cm="1">
        <f t="array" ref="J1394">IFERROR(
    _xlfn.XLOOKUP(G1394, 'Wedgewood Pharm-PM-Yr2-2025'!$E$78:$L$78,
        _xlfn.XLOOKUP('Rate Load'!H1394, 'Wedgewood Pharm-PM-Yr2-2025'!$D$79:$D$110,
            'Wedgewood Pharm-PM-Yr2-2025'!$E$79:$L$110, 0, 0),
        0, 0),
    _xlfn.XLOOKUP(G1394, 'Wedgewood Pharm-PM-Yr2-2025'!$E$78:$L$78,
        _xlfn.XLOOKUP('Rate Load'!L1394, 'Wedgewood Pharm-PM-Yr2-2025'!$D$79:$D$110,
            'Wedgewood Pharm-PM-Yr2-2025'!$E$79:$L$110, 0, 0),
        0, 0)
)</f>
        <v>6.8599999999999994</v>
      </c>
      <c r="K1394" t="s">
        <v>46</v>
      </c>
      <c r="L1394" t="s">
        <v>13</v>
      </c>
      <c r="M1394">
        <v>3</v>
      </c>
      <c r="N1394" t="str">
        <f t="shared" si="21"/>
        <v>INSERT INTO TNL_RATING.dbo.usps_rate_master VALUES ('USPS', '2/13/2025', '2/13/2026', 12659, 'US', 'Priority Mail', 4, 1, 'L', 6.86, 'Wedgewood_USPS_2025', 'NonCubic','3');</v>
      </c>
    </row>
    <row r="1395" spans="1:14" x14ac:dyDescent="0.3">
      <c r="A1395" t="s">
        <v>11</v>
      </c>
      <c r="B1395" s="1" t="s">
        <v>43</v>
      </c>
      <c r="C1395" s="1" t="s">
        <v>44</v>
      </c>
      <c r="D1395">
        <v>12659</v>
      </c>
      <c r="E1395" t="s">
        <v>12</v>
      </c>
      <c r="F1395" t="s">
        <v>47</v>
      </c>
      <c r="G1395">
        <v>4</v>
      </c>
      <c r="H1395">
        <v>2</v>
      </c>
      <c r="I1395" t="s">
        <v>45</v>
      </c>
      <c r="J1395" cm="1">
        <f t="array" ref="J1395">IFERROR(
    _xlfn.XLOOKUP(G1395, 'Wedgewood Pharm-PM-Yr2-2025'!$E$78:$L$78,
        _xlfn.XLOOKUP('Rate Load'!H1395, 'Wedgewood Pharm-PM-Yr2-2025'!$D$79:$D$110,
            'Wedgewood Pharm-PM-Yr2-2025'!$E$79:$L$110, 0, 0),
        0, 0),
    _xlfn.XLOOKUP(G1395, 'Wedgewood Pharm-PM-Yr2-2025'!$E$78:$L$78,
        _xlfn.XLOOKUP('Rate Load'!L1395, 'Wedgewood Pharm-PM-Yr2-2025'!$D$79:$D$110,
            'Wedgewood Pharm-PM-Yr2-2025'!$E$79:$L$110, 0, 0),
        0, 0)
)</f>
        <v>6.97</v>
      </c>
      <c r="K1395" t="s">
        <v>46</v>
      </c>
      <c r="L1395" t="s">
        <v>13</v>
      </c>
      <c r="M1395">
        <v>3</v>
      </c>
      <c r="N1395" t="str">
        <f t="shared" si="21"/>
        <v>INSERT INTO TNL_RATING.dbo.usps_rate_master VALUES ('USPS', '2/13/2025', '2/13/2026', 12659, 'US', 'Priority Mail', 4, 2, 'L', 6.97, 'Wedgewood_USPS_2025', 'NonCubic','3');</v>
      </c>
    </row>
    <row r="1396" spans="1:14" x14ac:dyDescent="0.3">
      <c r="A1396" t="s">
        <v>11</v>
      </c>
      <c r="B1396" s="1" t="s">
        <v>43</v>
      </c>
      <c r="C1396" s="1" t="s">
        <v>44</v>
      </c>
      <c r="D1396">
        <v>12659</v>
      </c>
      <c r="E1396" t="s">
        <v>12</v>
      </c>
      <c r="F1396" t="s">
        <v>47</v>
      </c>
      <c r="G1396">
        <v>4</v>
      </c>
      <c r="H1396">
        <v>3</v>
      </c>
      <c r="I1396" t="s">
        <v>45</v>
      </c>
      <c r="J1396" cm="1">
        <f t="array" ref="J1396">IFERROR(
    _xlfn.XLOOKUP(G1396, 'Wedgewood Pharm-PM-Yr2-2025'!$E$78:$L$78,
        _xlfn.XLOOKUP('Rate Load'!H1396, 'Wedgewood Pharm-PM-Yr2-2025'!$D$79:$D$110,
            'Wedgewood Pharm-PM-Yr2-2025'!$E$79:$L$110, 0, 0),
        0, 0),
    _xlfn.XLOOKUP(G1396, 'Wedgewood Pharm-PM-Yr2-2025'!$E$78:$L$78,
        _xlfn.XLOOKUP('Rate Load'!L1396, 'Wedgewood Pharm-PM-Yr2-2025'!$D$79:$D$110,
            'Wedgewood Pharm-PM-Yr2-2025'!$E$79:$L$110, 0, 0),
        0, 0)
)</f>
        <v>7.24</v>
      </c>
      <c r="K1396" t="s">
        <v>46</v>
      </c>
      <c r="L1396" t="s">
        <v>13</v>
      </c>
      <c r="M1396">
        <v>3</v>
      </c>
      <c r="N1396" t="str">
        <f t="shared" si="21"/>
        <v>INSERT INTO TNL_RATING.dbo.usps_rate_master VALUES ('USPS', '2/13/2025', '2/13/2026', 12659, 'US', 'Priority Mail', 4, 3, 'L', 7.24, 'Wedgewood_USPS_2025', 'NonCubic','3');</v>
      </c>
    </row>
    <row r="1397" spans="1:14" x14ac:dyDescent="0.3">
      <c r="A1397" t="s">
        <v>11</v>
      </c>
      <c r="B1397" s="1" t="s">
        <v>43</v>
      </c>
      <c r="C1397" s="1" t="s">
        <v>44</v>
      </c>
      <c r="D1397">
        <v>12659</v>
      </c>
      <c r="E1397" t="s">
        <v>12</v>
      </c>
      <c r="F1397" t="s">
        <v>47</v>
      </c>
      <c r="G1397">
        <v>4</v>
      </c>
      <c r="H1397">
        <v>4</v>
      </c>
      <c r="I1397" t="s">
        <v>45</v>
      </c>
      <c r="J1397" cm="1">
        <f t="array" ref="J1397">IFERROR(
    _xlfn.XLOOKUP(G1397, 'Wedgewood Pharm-PM-Yr2-2025'!$E$78:$L$78,
        _xlfn.XLOOKUP('Rate Load'!H1397, 'Wedgewood Pharm-PM-Yr2-2025'!$D$79:$D$110,
            'Wedgewood Pharm-PM-Yr2-2025'!$E$79:$L$110, 0, 0),
        0, 0),
    _xlfn.XLOOKUP(G1397, 'Wedgewood Pharm-PM-Yr2-2025'!$E$78:$L$78,
        _xlfn.XLOOKUP('Rate Load'!L1397, 'Wedgewood Pharm-PM-Yr2-2025'!$D$79:$D$110,
            'Wedgewood Pharm-PM-Yr2-2025'!$E$79:$L$110, 0, 0),
        0, 0)
)</f>
        <v>7.2799999999999994</v>
      </c>
      <c r="K1397" t="s">
        <v>46</v>
      </c>
      <c r="L1397" t="s">
        <v>13</v>
      </c>
      <c r="M1397">
        <v>3</v>
      </c>
      <c r="N1397" t="str">
        <f t="shared" si="21"/>
        <v>INSERT INTO TNL_RATING.dbo.usps_rate_master VALUES ('USPS', '2/13/2025', '2/13/2026', 12659, 'US', 'Priority Mail', 4, 4, 'L', 7.28, 'Wedgewood_USPS_2025', 'NonCubic','3');</v>
      </c>
    </row>
    <row r="1398" spans="1:14" x14ac:dyDescent="0.3">
      <c r="A1398" t="s">
        <v>11</v>
      </c>
      <c r="B1398" s="1" t="s">
        <v>43</v>
      </c>
      <c r="C1398" s="1" t="s">
        <v>44</v>
      </c>
      <c r="D1398">
        <v>12659</v>
      </c>
      <c r="E1398" t="s">
        <v>12</v>
      </c>
      <c r="F1398" t="s">
        <v>47</v>
      </c>
      <c r="G1398">
        <v>4</v>
      </c>
      <c r="H1398">
        <v>5</v>
      </c>
      <c r="I1398" t="s">
        <v>45</v>
      </c>
      <c r="J1398" cm="1">
        <f t="array" ref="J1398">IFERROR(
    _xlfn.XLOOKUP(G1398, 'Wedgewood Pharm-PM-Yr2-2025'!$E$78:$L$78,
        _xlfn.XLOOKUP('Rate Load'!H1398, 'Wedgewood Pharm-PM-Yr2-2025'!$D$79:$D$110,
            'Wedgewood Pharm-PM-Yr2-2025'!$E$79:$L$110, 0, 0),
        0, 0),
    _xlfn.XLOOKUP(G1398, 'Wedgewood Pharm-PM-Yr2-2025'!$E$78:$L$78,
        _xlfn.XLOOKUP('Rate Load'!L1398, 'Wedgewood Pharm-PM-Yr2-2025'!$D$79:$D$110,
            'Wedgewood Pharm-PM-Yr2-2025'!$E$79:$L$110, 0, 0),
        0, 0)
)</f>
        <v>7.49</v>
      </c>
      <c r="K1398" t="s">
        <v>46</v>
      </c>
      <c r="L1398" t="s">
        <v>13</v>
      </c>
      <c r="M1398">
        <v>3</v>
      </c>
      <c r="N1398" t="str">
        <f t="shared" si="21"/>
        <v>INSERT INTO TNL_RATING.dbo.usps_rate_master VALUES ('USPS', '2/13/2025', '2/13/2026', 12659, 'US', 'Priority Mail', 4, 5, 'L', 7.49, 'Wedgewood_USPS_2025', 'NonCubic','3');</v>
      </c>
    </row>
    <row r="1399" spans="1:14" x14ac:dyDescent="0.3">
      <c r="A1399" t="s">
        <v>11</v>
      </c>
      <c r="B1399" s="1" t="s">
        <v>43</v>
      </c>
      <c r="C1399" s="1" t="s">
        <v>44</v>
      </c>
      <c r="D1399">
        <v>12659</v>
      </c>
      <c r="E1399" t="s">
        <v>12</v>
      </c>
      <c r="F1399" t="s">
        <v>47</v>
      </c>
      <c r="G1399">
        <v>4</v>
      </c>
      <c r="H1399">
        <v>6</v>
      </c>
      <c r="I1399" t="s">
        <v>45</v>
      </c>
      <c r="J1399" cm="1">
        <f t="array" ref="J1399">IFERROR(
    _xlfn.XLOOKUP(G1399, 'Wedgewood Pharm-PM-Yr2-2025'!$E$78:$L$78,
        _xlfn.XLOOKUP('Rate Load'!H1399, 'Wedgewood Pharm-PM-Yr2-2025'!$D$79:$D$110,
            'Wedgewood Pharm-PM-Yr2-2025'!$E$79:$L$110, 0, 0),
        0, 0),
    _xlfn.XLOOKUP(G1399, 'Wedgewood Pharm-PM-Yr2-2025'!$E$78:$L$78,
        _xlfn.XLOOKUP('Rate Load'!L1399, 'Wedgewood Pharm-PM-Yr2-2025'!$D$79:$D$110,
            'Wedgewood Pharm-PM-Yr2-2025'!$E$79:$L$110, 0, 0),
        0, 0)
)</f>
        <v>7.93</v>
      </c>
      <c r="K1399" t="s">
        <v>46</v>
      </c>
      <c r="L1399" t="s">
        <v>13</v>
      </c>
      <c r="M1399">
        <v>3</v>
      </c>
      <c r="N1399" t="str">
        <f t="shared" si="21"/>
        <v>INSERT INTO TNL_RATING.dbo.usps_rate_master VALUES ('USPS', '2/13/2025', '2/13/2026', 12659, 'US', 'Priority Mail', 4, 6, 'L', 7.93, 'Wedgewood_USPS_2025', 'NonCubic','3');</v>
      </c>
    </row>
    <row r="1400" spans="1:14" x14ac:dyDescent="0.3">
      <c r="A1400" t="s">
        <v>11</v>
      </c>
      <c r="B1400" s="1" t="s">
        <v>43</v>
      </c>
      <c r="C1400" s="1" t="s">
        <v>44</v>
      </c>
      <c r="D1400">
        <v>12659</v>
      </c>
      <c r="E1400" t="s">
        <v>12</v>
      </c>
      <c r="F1400" t="s">
        <v>47</v>
      </c>
      <c r="G1400">
        <v>4</v>
      </c>
      <c r="H1400">
        <v>7</v>
      </c>
      <c r="I1400" t="s">
        <v>45</v>
      </c>
      <c r="J1400" cm="1">
        <f t="array" ref="J1400">IFERROR(
    _xlfn.XLOOKUP(G1400, 'Wedgewood Pharm-PM-Yr2-2025'!$E$78:$L$78,
        _xlfn.XLOOKUP('Rate Load'!H1400, 'Wedgewood Pharm-PM-Yr2-2025'!$D$79:$D$110,
            'Wedgewood Pharm-PM-Yr2-2025'!$E$79:$L$110, 0, 0),
        0, 0),
    _xlfn.XLOOKUP(G1400, 'Wedgewood Pharm-PM-Yr2-2025'!$E$78:$L$78,
        _xlfn.XLOOKUP('Rate Load'!L1400, 'Wedgewood Pharm-PM-Yr2-2025'!$D$79:$D$110,
            'Wedgewood Pharm-PM-Yr2-2025'!$E$79:$L$110, 0, 0),
        0, 0)
)</f>
        <v>9.9700000000000006</v>
      </c>
      <c r="K1400" t="s">
        <v>46</v>
      </c>
      <c r="L1400" t="s">
        <v>13</v>
      </c>
      <c r="M1400">
        <v>3</v>
      </c>
      <c r="N1400" t="str">
        <f t="shared" si="21"/>
        <v>INSERT INTO TNL_RATING.dbo.usps_rate_master VALUES ('USPS', '2/13/2025', '2/13/2026', 12659, 'US', 'Priority Mail', 4, 7, 'L', 9.97, 'Wedgewood_USPS_2025', 'NonCubic','3');</v>
      </c>
    </row>
    <row r="1401" spans="1:14" x14ac:dyDescent="0.3">
      <c r="A1401" t="s">
        <v>11</v>
      </c>
      <c r="B1401" s="1" t="s">
        <v>43</v>
      </c>
      <c r="C1401" s="1" t="s">
        <v>44</v>
      </c>
      <c r="D1401">
        <v>12659</v>
      </c>
      <c r="E1401" t="s">
        <v>12</v>
      </c>
      <c r="F1401" t="s">
        <v>47</v>
      </c>
      <c r="G1401">
        <v>4</v>
      </c>
      <c r="H1401">
        <v>8</v>
      </c>
      <c r="I1401" t="s">
        <v>45</v>
      </c>
      <c r="J1401" cm="1">
        <f t="array" ref="J1401">IFERROR(
    _xlfn.XLOOKUP(G1401, 'Wedgewood Pharm-PM-Yr2-2025'!$E$78:$L$78,
        _xlfn.XLOOKUP('Rate Load'!H1401, 'Wedgewood Pharm-PM-Yr2-2025'!$D$79:$D$110,
            'Wedgewood Pharm-PM-Yr2-2025'!$E$79:$L$110, 0, 0),
        0, 0),
    _xlfn.XLOOKUP(G1401, 'Wedgewood Pharm-PM-Yr2-2025'!$E$78:$L$78,
        _xlfn.XLOOKUP('Rate Load'!L1401, 'Wedgewood Pharm-PM-Yr2-2025'!$D$79:$D$110,
            'Wedgewood Pharm-PM-Yr2-2025'!$E$79:$L$110, 0, 0),
        0, 0)
)</f>
        <v>11.01</v>
      </c>
      <c r="K1401" t="s">
        <v>46</v>
      </c>
      <c r="L1401" t="s">
        <v>13</v>
      </c>
      <c r="M1401">
        <v>3</v>
      </c>
      <c r="N1401" t="str">
        <f t="shared" si="21"/>
        <v>INSERT INTO TNL_RATING.dbo.usps_rate_master VALUES ('USPS', '2/13/2025', '2/13/2026', 12659, 'US', 'Priority Mail', 4, 8, 'L', 11.01, 'Wedgewood_USPS_2025', 'NonCubic','3');</v>
      </c>
    </row>
    <row r="1402" spans="1:14" x14ac:dyDescent="0.3">
      <c r="A1402" t="s">
        <v>11</v>
      </c>
      <c r="B1402" s="1" t="s">
        <v>43</v>
      </c>
      <c r="C1402" s="1" t="s">
        <v>44</v>
      </c>
      <c r="D1402">
        <v>12659</v>
      </c>
      <c r="E1402" t="s">
        <v>12</v>
      </c>
      <c r="F1402" t="s">
        <v>47</v>
      </c>
      <c r="G1402">
        <v>4</v>
      </c>
      <c r="H1402">
        <v>9</v>
      </c>
      <c r="I1402" t="s">
        <v>45</v>
      </c>
      <c r="J1402" cm="1">
        <f t="array" ref="J1402">IFERROR(
    _xlfn.XLOOKUP(G1402, 'Wedgewood Pharm-PM-Yr2-2025'!$E$78:$L$78,
        _xlfn.XLOOKUP('Rate Load'!H1402, 'Wedgewood Pharm-PM-Yr2-2025'!$D$79:$D$110,
            'Wedgewood Pharm-PM-Yr2-2025'!$E$79:$L$110, 0, 0),
        0, 0),
    _xlfn.XLOOKUP(G1402, 'Wedgewood Pharm-PM-Yr2-2025'!$E$78:$L$78,
        _xlfn.XLOOKUP('Rate Load'!L1402, 'Wedgewood Pharm-PM-Yr2-2025'!$D$79:$D$110,
            'Wedgewood Pharm-PM-Yr2-2025'!$E$79:$L$110, 0, 0),
        0, 0)
)</f>
        <v>11.53</v>
      </c>
      <c r="K1402" t="s">
        <v>46</v>
      </c>
      <c r="L1402" t="s">
        <v>13</v>
      </c>
      <c r="M1402">
        <v>3</v>
      </c>
      <c r="N1402" t="str">
        <f t="shared" si="21"/>
        <v>INSERT INTO TNL_RATING.dbo.usps_rate_master VALUES ('USPS', '2/13/2025', '2/13/2026', 12659, 'US', 'Priority Mail', 4, 9, 'L', 11.53, 'Wedgewood_USPS_2025', 'NonCubic','3');</v>
      </c>
    </row>
    <row r="1403" spans="1:14" x14ac:dyDescent="0.3">
      <c r="A1403" t="s">
        <v>11</v>
      </c>
      <c r="B1403" s="1" t="s">
        <v>43</v>
      </c>
      <c r="C1403" s="1" t="s">
        <v>44</v>
      </c>
      <c r="D1403">
        <v>12659</v>
      </c>
      <c r="E1403" t="s">
        <v>12</v>
      </c>
      <c r="F1403" t="s">
        <v>47</v>
      </c>
      <c r="G1403">
        <v>4</v>
      </c>
      <c r="H1403">
        <v>10</v>
      </c>
      <c r="I1403" t="s">
        <v>45</v>
      </c>
      <c r="J1403" cm="1">
        <f t="array" ref="J1403">IFERROR(
    _xlfn.XLOOKUP(G1403, 'Wedgewood Pharm-PM-Yr2-2025'!$E$78:$L$78,
        _xlfn.XLOOKUP('Rate Load'!H1403, 'Wedgewood Pharm-PM-Yr2-2025'!$D$79:$D$110,
            'Wedgewood Pharm-PM-Yr2-2025'!$E$79:$L$110, 0, 0),
        0, 0),
    _xlfn.XLOOKUP(G1403, 'Wedgewood Pharm-PM-Yr2-2025'!$E$78:$L$78,
        _xlfn.XLOOKUP('Rate Load'!L1403, 'Wedgewood Pharm-PM-Yr2-2025'!$D$79:$D$110,
            'Wedgewood Pharm-PM-Yr2-2025'!$E$79:$L$110, 0, 0),
        0, 0)
)</f>
        <v>11.87</v>
      </c>
      <c r="K1403" t="s">
        <v>46</v>
      </c>
      <c r="L1403" t="s">
        <v>13</v>
      </c>
      <c r="M1403">
        <v>3</v>
      </c>
      <c r="N1403" t="str">
        <f t="shared" si="21"/>
        <v>INSERT INTO TNL_RATING.dbo.usps_rate_master VALUES ('USPS', '2/13/2025', '2/13/2026', 12659, 'US', 'Priority Mail', 4, 10, 'L', 11.87, 'Wedgewood_USPS_2025', 'NonCubic','3');</v>
      </c>
    </row>
    <row r="1404" spans="1:14" x14ac:dyDescent="0.3">
      <c r="A1404" t="s">
        <v>11</v>
      </c>
      <c r="B1404" s="1" t="s">
        <v>43</v>
      </c>
      <c r="C1404" s="1" t="s">
        <v>44</v>
      </c>
      <c r="D1404">
        <v>12659</v>
      </c>
      <c r="E1404" t="s">
        <v>12</v>
      </c>
      <c r="F1404" t="s">
        <v>47</v>
      </c>
      <c r="G1404">
        <v>4</v>
      </c>
      <c r="H1404">
        <v>11</v>
      </c>
      <c r="I1404" t="s">
        <v>45</v>
      </c>
      <c r="J1404" cm="1">
        <f t="array" ref="J1404">IFERROR(
    _xlfn.XLOOKUP(G1404, 'Wedgewood Pharm-PM-Yr2-2025'!$E$78:$L$78,
        _xlfn.XLOOKUP('Rate Load'!H1404, 'Wedgewood Pharm-PM-Yr2-2025'!$D$79:$D$110,
            'Wedgewood Pharm-PM-Yr2-2025'!$E$79:$L$110, 0, 0),
        0, 0),
    _xlfn.XLOOKUP(G1404, 'Wedgewood Pharm-PM-Yr2-2025'!$E$78:$L$78,
        _xlfn.XLOOKUP('Rate Load'!L1404, 'Wedgewood Pharm-PM-Yr2-2025'!$D$79:$D$110,
            'Wedgewood Pharm-PM-Yr2-2025'!$E$79:$L$110, 0, 0),
        0, 0)
)</f>
        <v>12.93</v>
      </c>
      <c r="K1404" t="s">
        <v>46</v>
      </c>
      <c r="L1404" t="s">
        <v>13</v>
      </c>
      <c r="M1404">
        <v>3</v>
      </c>
      <c r="N1404" t="str">
        <f t="shared" si="21"/>
        <v>INSERT INTO TNL_RATING.dbo.usps_rate_master VALUES ('USPS', '2/13/2025', '2/13/2026', 12659, 'US', 'Priority Mail', 4, 11, 'L', 12.93, 'Wedgewood_USPS_2025', 'NonCubic','3');</v>
      </c>
    </row>
    <row r="1405" spans="1:14" x14ac:dyDescent="0.3">
      <c r="A1405" t="s">
        <v>11</v>
      </c>
      <c r="B1405" s="1" t="s">
        <v>43</v>
      </c>
      <c r="C1405" s="1" t="s">
        <v>44</v>
      </c>
      <c r="D1405">
        <v>12659</v>
      </c>
      <c r="E1405" t="s">
        <v>12</v>
      </c>
      <c r="F1405" t="s">
        <v>47</v>
      </c>
      <c r="G1405">
        <v>4</v>
      </c>
      <c r="H1405">
        <v>12</v>
      </c>
      <c r="I1405" t="s">
        <v>45</v>
      </c>
      <c r="J1405" cm="1">
        <f t="array" ref="J1405">IFERROR(
    _xlfn.XLOOKUP(G1405, 'Wedgewood Pharm-PM-Yr2-2025'!$E$78:$L$78,
        _xlfn.XLOOKUP('Rate Load'!H1405, 'Wedgewood Pharm-PM-Yr2-2025'!$D$79:$D$110,
            'Wedgewood Pharm-PM-Yr2-2025'!$E$79:$L$110, 0, 0),
        0, 0),
    _xlfn.XLOOKUP(G1405, 'Wedgewood Pharm-PM-Yr2-2025'!$E$78:$L$78,
        _xlfn.XLOOKUP('Rate Load'!L1405, 'Wedgewood Pharm-PM-Yr2-2025'!$D$79:$D$110,
            'Wedgewood Pharm-PM-Yr2-2025'!$E$79:$L$110, 0, 0),
        0, 0)
)</f>
        <v>13.52</v>
      </c>
      <c r="K1405" t="s">
        <v>46</v>
      </c>
      <c r="L1405" t="s">
        <v>13</v>
      </c>
      <c r="M1405">
        <v>3</v>
      </c>
      <c r="N1405" t="str">
        <f t="shared" si="21"/>
        <v>INSERT INTO TNL_RATING.dbo.usps_rate_master VALUES ('USPS', '2/13/2025', '2/13/2026', 12659, 'US', 'Priority Mail', 4, 12, 'L', 13.52, 'Wedgewood_USPS_2025', 'NonCubic','3');</v>
      </c>
    </row>
    <row r="1406" spans="1:14" x14ac:dyDescent="0.3">
      <c r="A1406" t="s">
        <v>11</v>
      </c>
      <c r="B1406" s="1" t="s">
        <v>43</v>
      </c>
      <c r="C1406" s="1" t="s">
        <v>44</v>
      </c>
      <c r="D1406">
        <v>12659</v>
      </c>
      <c r="E1406" t="s">
        <v>12</v>
      </c>
      <c r="F1406" t="s">
        <v>47</v>
      </c>
      <c r="G1406">
        <v>4</v>
      </c>
      <c r="H1406">
        <v>13</v>
      </c>
      <c r="I1406" t="s">
        <v>45</v>
      </c>
      <c r="J1406" cm="1">
        <f t="array" ref="J1406">IFERROR(
    _xlfn.XLOOKUP(G1406, 'Wedgewood Pharm-PM-Yr2-2025'!$E$78:$L$78,
        _xlfn.XLOOKUP('Rate Load'!H1406, 'Wedgewood Pharm-PM-Yr2-2025'!$D$79:$D$110,
            'Wedgewood Pharm-PM-Yr2-2025'!$E$79:$L$110, 0, 0),
        0, 0),
    _xlfn.XLOOKUP(G1406, 'Wedgewood Pharm-PM-Yr2-2025'!$E$78:$L$78,
        _xlfn.XLOOKUP('Rate Load'!L1406, 'Wedgewood Pharm-PM-Yr2-2025'!$D$79:$D$110,
            'Wedgewood Pharm-PM-Yr2-2025'!$E$79:$L$110, 0, 0),
        0, 0)
)</f>
        <v>13.959999999999999</v>
      </c>
      <c r="K1406" t="s">
        <v>46</v>
      </c>
      <c r="L1406" t="s">
        <v>13</v>
      </c>
      <c r="M1406">
        <v>3</v>
      </c>
      <c r="N1406" t="str">
        <f t="shared" si="21"/>
        <v>INSERT INTO TNL_RATING.dbo.usps_rate_master VALUES ('USPS', '2/13/2025', '2/13/2026', 12659, 'US', 'Priority Mail', 4, 13, 'L', 13.96, 'Wedgewood_USPS_2025', 'NonCubic','3');</v>
      </c>
    </row>
    <row r="1407" spans="1:14" x14ac:dyDescent="0.3">
      <c r="A1407" t="s">
        <v>11</v>
      </c>
      <c r="B1407" s="1" t="s">
        <v>43</v>
      </c>
      <c r="C1407" s="1" t="s">
        <v>44</v>
      </c>
      <c r="D1407">
        <v>12659</v>
      </c>
      <c r="E1407" t="s">
        <v>12</v>
      </c>
      <c r="F1407" t="s">
        <v>47</v>
      </c>
      <c r="G1407">
        <v>4</v>
      </c>
      <c r="H1407">
        <v>14</v>
      </c>
      <c r="I1407" t="s">
        <v>45</v>
      </c>
      <c r="J1407" cm="1">
        <f t="array" ref="J1407">IFERROR(
    _xlfn.XLOOKUP(G1407, 'Wedgewood Pharm-PM-Yr2-2025'!$E$78:$L$78,
        _xlfn.XLOOKUP('Rate Load'!H1407, 'Wedgewood Pharm-PM-Yr2-2025'!$D$79:$D$110,
            'Wedgewood Pharm-PM-Yr2-2025'!$E$79:$L$110, 0, 0),
        0, 0),
    _xlfn.XLOOKUP(G1407, 'Wedgewood Pharm-PM-Yr2-2025'!$E$78:$L$78,
        _xlfn.XLOOKUP('Rate Load'!L1407, 'Wedgewood Pharm-PM-Yr2-2025'!$D$79:$D$110,
            'Wedgewood Pharm-PM-Yr2-2025'!$E$79:$L$110, 0, 0),
        0, 0)
)</f>
        <v>14.22</v>
      </c>
      <c r="K1407" t="s">
        <v>46</v>
      </c>
      <c r="L1407" t="s">
        <v>13</v>
      </c>
      <c r="M1407">
        <v>3</v>
      </c>
      <c r="N1407" t="str">
        <f t="shared" si="21"/>
        <v>INSERT INTO TNL_RATING.dbo.usps_rate_master VALUES ('USPS', '2/13/2025', '2/13/2026', 12659, 'US', 'Priority Mail', 4, 14, 'L', 14.22, 'Wedgewood_USPS_2025', 'NonCubic','3');</v>
      </c>
    </row>
    <row r="1408" spans="1:14" x14ac:dyDescent="0.3">
      <c r="A1408" t="s">
        <v>11</v>
      </c>
      <c r="B1408" s="1" t="s">
        <v>43</v>
      </c>
      <c r="C1408" s="1" t="s">
        <v>44</v>
      </c>
      <c r="D1408">
        <v>12659</v>
      </c>
      <c r="E1408" t="s">
        <v>12</v>
      </c>
      <c r="F1408" t="s">
        <v>47</v>
      </c>
      <c r="G1408">
        <v>4</v>
      </c>
      <c r="H1408">
        <v>15</v>
      </c>
      <c r="I1408" t="s">
        <v>45</v>
      </c>
      <c r="J1408" cm="1">
        <f t="array" ref="J1408">IFERROR(
    _xlfn.XLOOKUP(G1408, 'Wedgewood Pharm-PM-Yr2-2025'!$E$78:$L$78,
        _xlfn.XLOOKUP('Rate Load'!H1408, 'Wedgewood Pharm-PM-Yr2-2025'!$D$79:$D$110,
            'Wedgewood Pharm-PM-Yr2-2025'!$E$79:$L$110, 0, 0),
        0, 0),
    _xlfn.XLOOKUP(G1408, 'Wedgewood Pharm-PM-Yr2-2025'!$E$78:$L$78,
        _xlfn.XLOOKUP('Rate Load'!L1408, 'Wedgewood Pharm-PM-Yr2-2025'!$D$79:$D$110,
            'Wedgewood Pharm-PM-Yr2-2025'!$E$79:$L$110, 0, 0),
        0, 0)
)</f>
        <v>14.62</v>
      </c>
      <c r="K1408" t="s">
        <v>46</v>
      </c>
      <c r="L1408" t="s">
        <v>13</v>
      </c>
      <c r="M1408">
        <v>3</v>
      </c>
      <c r="N1408" t="str">
        <f t="shared" si="21"/>
        <v>INSERT INTO TNL_RATING.dbo.usps_rate_master VALUES ('USPS', '2/13/2025', '2/13/2026', 12659, 'US', 'Priority Mail', 4, 15, 'L', 14.62, 'Wedgewood_USPS_2025', 'NonCubic','3');</v>
      </c>
    </row>
    <row r="1409" spans="1:14" x14ac:dyDescent="0.3">
      <c r="A1409" t="s">
        <v>11</v>
      </c>
      <c r="B1409" s="1" t="s">
        <v>43</v>
      </c>
      <c r="C1409" s="1" t="s">
        <v>44</v>
      </c>
      <c r="D1409">
        <v>12659</v>
      </c>
      <c r="E1409" t="s">
        <v>12</v>
      </c>
      <c r="F1409" t="s">
        <v>47</v>
      </c>
      <c r="G1409">
        <v>4</v>
      </c>
      <c r="H1409">
        <v>16</v>
      </c>
      <c r="I1409" t="s">
        <v>45</v>
      </c>
      <c r="J1409" cm="1">
        <f t="array" ref="J1409">IFERROR(
    _xlfn.XLOOKUP(G1409, 'Wedgewood Pharm-PM-Yr2-2025'!$E$78:$L$78,
        _xlfn.XLOOKUP('Rate Load'!H1409, 'Wedgewood Pharm-PM-Yr2-2025'!$D$79:$D$110,
            'Wedgewood Pharm-PM-Yr2-2025'!$E$79:$L$110, 0, 0),
        0, 0),
    _xlfn.XLOOKUP(G1409, 'Wedgewood Pharm-PM-Yr2-2025'!$E$78:$L$78,
        _xlfn.XLOOKUP('Rate Load'!L1409, 'Wedgewood Pharm-PM-Yr2-2025'!$D$79:$D$110,
            'Wedgewood Pharm-PM-Yr2-2025'!$E$79:$L$110, 0, 0),
        0, 0)
)</f>
        <v>14.879999999999999</v>
      </c>
      <c r="K1409" t="s">
        <v>46</v>
      </c>
      <c r="L1409" t="s">
        <v>13</v>
      </c>
      <c r="M1409">
        <v>3</v>
      </c>
      <c r="N1409" t="str">
        <f t="shared" si="21"/>
        <v>INSERT INTO TNL_RATING.dbo.usps_rate_master VALUES ('USPS', '2/13/2025', '2/13/2026', 12659, 'US', 'Priority Mail', 4, 16, 'L', 14.88, 'Wedgewood_USPS_2025', 'NonCubic','3');</v>
      </c>
    </row>
    <row r="1410" spans="1:14" x14ac:dyDescent="0.3">
      <c r="A1410" t="s">
        <v>11</v>
      </c>
      <c r="B1410" s="1" t="s">
        <v>43</v>
      </c>
      <c r="C1410" s="1" t="s">
        <v>44</v>
      </c>
      <c r="D1410">
        <v>12659</v>
      </c>
      <c r="E1410" t="s">
        <v>12</v>
      </c>
      <c r="F1410" t="s">
        <v>47</v>
      </c>
      <c r="G1410">
        <v>4</v>
      </c>
      <c r="H1410">
        <v>17</v>
      </c>
      <c r="I1410" t="s">
        <v>45</v>
      </c>
      <c r="J1410" cm="1">
        <f t="array" ref="J1410">IFERROR(
    _xlfn.XLOOKUP(G1410, 'Wedgewood Pharm-PM-Yr2-2025'!$E$78:$L$78,
        _xlfn.XLOOKUP('Rate Load'!H1410, 'Wedgewood Pharm-PM-Yr2-2025'!$D$79:$D$110,
            'Wedgewood Pharm-PM-Yr2-2025'!$E$79:$L$110, 0, 0),
        0, 0),
    _xlfn.XLOOKUP(G1410, 'Wedgewood Pharm-PM-Yr2-2025'!$E$78:$L$78,
        _xlfn.XLOOKUP('Rate Load'!L1410, 'Wedgewood Pharm-PM-Yr2-2025'!$D$79:$D$110,
            'Wedgewood Pharm-PM-Yr2-2025'!$E$79:$L$110, 0, 0),
        0, 0)
)</f>
        <v>15.26</v>
      </c>
      <c r="K1410" t="s">
        <v>46</v>
      </c>
      <c r="L1410" t="s">
        <v>13</v>
      </c>
      <c r="M1410">
        <v>3</v>
      </c>
      <c r="N1410" t="str">
        <f t="shared" si="21"/>
        <v>INSERT INTO TNL_RATING.dbo.usps_rate_master VALUES ('USPS', '2/13/2025', '2/13/2026', 12659, 'US', 'Priority Mail', 4, 17, 'L', 15.26, 'Wedgewood_USPS_2025', 'NonCubic','3');</v>
      </c>
    </row>
    <row r="1411" spans="1:14" x14ac:dyDescent="0.3">
      <c r="A1411" t="s">
        <v>11</v>
      </c>
      <c r="B1411" s="1" t="s">
        <v>43</v>
      </c>
      <c r="C1411" s="1" t="s">
        <v>44</v>
      </c>
      <c r="D1411">
        <v>12659</v>
      </c>
      <c r="E1411" t="s">
        <v>12</v>
      </c>
      <c r="F1411" t="s">
        <v>47</v>
      </c>
      <c r="G1411">
        <v>4</v>
      </c>
      <c r="H1411">
        <v>18</v>
      </c>
      <c r="I1411" t="s">
        <v>45</v>
      </c>
      <c r="J1411" cm="1">
        <f t="array" ref="J1411">IFERROR(
    _xlfn.XLOOKUP(G1411, 'Wedgewood Pharm-PM-Yr2-2025'!$E$78:$L$78,
        _xlfn.XLOOKUP('Rate Load'!H1411, 'Wedgewood Pharm-PM-Yr2-2025'!$D$79:$D$110,
            'Wedgewood Pharm-PM-Yr2-2025'!$E$79:$L$110, 0, 0),
        0, 0),
    _xlfn.XLOOKUP(G1411, 'Wedgewood Pharm-PM-Yr2-2025'!$E$78:$L$78,
        _xlfn.XLOOKUP('Rate Load'!L1411, 'Wedgewood Pharm-PM-Yr2-2025'!$D$79:$D$110,
            'Wedgewood Pharm-PM-Yr2-2025'!$E$79:$L$110, 0, 0),
        0, 0)
)</f>
        <v>15.54</v>
      </c>
      <c r="K1411" t="s">
        <v>46</v>
      </c>
      <c r="L1411" t="s">
        <v>13</v>
      </c>
      <c r="M1411">
        <v>3</v>
      </c>
      <c r="N1411" t="str">
        <f t="shared" ref="N1411:N1474" si="22">"INSERT INTO TNL_RATING.dbo.usps_rate_master VALUES ('" &amp; A1411 &amp; "', '" &amp; B1411 &amp; "', '" &amp; C1411 &amp; "', " &amp; D1411 &amp; ", '" &amp; E1411 &amp; "', '" &amp; F1411 &amp; "', " &amp; G1411 &amp; ", " &amp; H1411 &amp; ", '" &amp; I1411 &amp; "', " &amp; J1411 &amp; ", '" &amp; K1411 &amp; "', '" &amp; L1411 &amp; "','" &amp; M1411 &amp; "');"</f>
        <v>INSERT INTO TNL_RATING.dbo.usps_rate_master VALUES ('USPS', '2/13/2025', '2/13/2026', 12659, 'US', 'Priority Mail', 4, 18, 'L', 15.54, 'Wedgewood_USPS_2025', 'NonCubic','3');</v>
      </c>
    </row>
    <row r="1412" spans="1:14" x14ac:dyDescent="0.3">
      <c r="A1412" t="s">
        <v>11</v>
      </c>
      <c r="B1412" s="1" t="s">
        <v>43</v>
      </c>
      <c r="C1412" s="1" t="s">
        <v>44</v>
      </c>
      <c r="D1412">
        <v>12659</v>
      </c>
      <c r="E1412" t="s">
        <v>12</v>
      </c>
      <c r="F1412" t="s">
        <v>47</v>
      </c>
      <c r="G1412">
        <v>4</v>
      </c>
      <c r="H1412">
        <v>19</v>
      </c>
      <c r="I1412" t="s">
        <v>45</v>
      </c>
      <c r="J1412" cm="1">
        <f t="array" ref="J1412">IFERROR(
    _xlfn.XLOOKUP(G1412, 'Wedgewood Pharm-PM-Yr2-2025'!$E$78:$L$78,
        _xlfn.XLOOKUP('Rate Load'!H1412, 'Wedgewood Pharm-PM-Yr2-2025'!$D$79:$D$110,
            'Wedgewood Pharm-PM-Yr2-2025'!$E$79:$L$110, 0, 0),
        0, 0),
    _xlfn.XLOOKUP(G1412, 'Wedgewood Pharm-PM-Yr2-2025'!$E$78:$L$78,
        _xlfn.XLOOKUP('Rate Load'!L1412, 'Wedgewood Pharm-PM-Yr2-2025'!$D$79:$D$110,
            'Wedgewood Pharm-PM-Yr2-2025'!$E$79:$L$110, 0, 0),
        0, 0)
)</f>
        <v>16.010000000000002</v>
      </c>
      <c r="K1412" t="s">
        <v>46</v>
      </c>
      <c r="L1412" t="s">
        <v>13</v>
      </c>
      <c r="M1412">
        <v>3</v>
      </c>
      <c r="N1412" t="str">
        <f t="shared" si="22"/>
        <v>INSERT INTO TNL_RATING.dbo.usps_rate_master VALUES ('USPS', '2/13/2025', '2/13/2026', 12659, 'US', 'Priority Mail', 4, 19, 'L', 16.01, 'Wedgewood_USPS_2025', 'NonCubic','3');</v>
      </c>
    </row>
    <row r="1413" spans="1:14" x14ac:dyDescent="0.3">
      <c r="A1413" t="s">
        <v>11</v>
      </c>
      <c r="B1413" s="1" t="s">
        <v>43</v>
      </c>
      <c r="C1413" s="1" t="s">
        <v>44</v>
      </c>
      <c r="D1413">
        <v>12659</v>
      </c>
      <c r="E1413" t="s">
        <v>12</v>
      </c>
      <c r="F1413" t="s">
        <v>47</v>
      </c>
      <c r="G1413">
        <v>4</v>
      </c>
      <c r="H1413">
        <v>20</v>
      </c>
      <c r="I1413" t="s">
        <v>45</v>
      </c>
      <c r="J1413" cm="1">
        <f t="array" ref="J1413">IFERROR(
    _xlfn.XLOOKUP(G1413, 'Wedgewood Pharm-PM-Yr2-2025'!$E$78:$L$78,
        _xlfn.XLOOKUP('Rate Load'!H1413, 'Wedgewood Pharm-PM-Yr2-2025'!$D$79:$D$110,
            'Wedgewood Pharm-PM-Yr2-2025'!$E$79:$L$110, 0, 0),
        0, 0),
    _xlfn.XLOOKUP(G1413, 'Wedgewood Pharm-PM-Yr2-2025'!$E$78:$L$78,
        _xlfn.XLOOKUP('Rate Load'!L1413, 'Wedgewood Pharm-PM-Yr2-2025'!$D$79:$D$110,
            'Wedgewood Pharm-PM-Yr2-2025'!$E$79:$L$110, 0, 0),
        0, 0)
)</f>
        <v>16.400000000000002</v>
      </c>
      <c r="K1413" t="s">
        <v>46</v>
      </c>
      <c r="L1413" t="s">
        <v>13</v>
      </c>
      <c r="M1413">
        <v>3</v>
      </c>
      <c r="N1413" t="str">
        <f t="shared" si="22"/>
        <v>INSERT INTO TNL_RATING.dbo.usps_rate_master VALUES ('USPS', '2/13/2025', '2/13/2026', 12659, 'US', 'Priority Mail', 4, 20, 'L', 16.4, 'Wedgewood_USPS_2025', 'NonCubic','3');</v>
      </c>
    </row>
    <row r="1414" spans="1:14" x14ac:dyDescent="0.3">
      <c r="A1414" t="s">
        <v>11</v>
      </c>
      <c r="B1414" s="1" t="s">
        <v>43</v>
      </c>
      <c r="C1414" s="1" t="s">
        <v>44</v>
      </c>
      <c r="D1414">
        <v>12659</v>
      </c>
      <c r="E1414" t="s">
        <v>12</v>
      </c>
      <c r="F1414" t="s">
        <v>47</v>
      </c>
      <c r="G1414">
        <v>5</v>
      </c>
      <c r="H1414">
        <v>0.5</v>
      </c>
      <c r="I1414" t="s">
        <v>45</v>
      </c>
      <c r="J1414" cm="1">
        <f t="array" ref="J1414">IFERROR(
    _xlfn.XLOOKUP(G1414, 'Wedgewood Pharm-PM-Yr2-2025'!$E$78:$L$78,
        _xlfn.XLOOKUP('Rate Load'!H1414, 'Wedgewood Pharm-PM-Yr2-2025'!$D$79:$D$110,
            'Wedgewood Pharm-PM-Yr2-2025'!$E$79:$L$110, 0, 0),
        0, 0),
    _xlfn.XLOOKUP(G1414, 'Wedgewood Pharm-PM-Yr2-2025'!$E$78:$L$78,
        _xlfn.XLOOKUP('Rate Load'!L1414, 'Wedgewood Pharm-PM-Yr2-2025'!$D$79:$D$110,
            'Wedgewood Pharm-PM-Yr2-2025'!$E$79:$L$110, 0, 0),
        0, 0)
)</f>
        <v>6.8599999999999994</v>
      </c>
      <c r="K1414" t="s">
        <v>46</v>
      </c>
      <c r="L1414" t="s">
        <v>13</v>
      </c>
      <c r="M1414">
        <v>3</v>
      </c>
      <c r="N1414" t="str">
        <f t="shared" si="22"/>
        <v>INSERT INTO TNL_RATING.dbo.usps_rate_master VALUES ('USPS', '2/13/2025', '2/13/2026', 12659, 'US', 'Priority Mail', 5, 0.5, 'L', 6.86, 'Wedgewood_USPS_2025', 'NonCubic','3');</v>
      </c>
    </row>
    <row r="1415" spans="1:14" x14ac:dyDescent="0.3">
      <c r="A1415" t="s">
        <v>11</v>
      </c>
      <c r="B1415" s="1" t="s">
        <v>43</v>
      </c>
      <c r="C1415" s="1" t="s">
        <v>44</v>
      </c>
      <c r="D1415">
        <v>12659</v>
      </c>
      <c r="E1415" t="s">
        <v>12</v>
      </c>
      <c r="F1415" t="s">
        <v>47</v>
      </c>
      <c r="G1415">
        <v>5</v>
      </c>
      <c r="H1415">
        <v>1</v>
      </c>
      <c r="I1415" t="s">
        <v>45</v>
      </c>
      <c r="J1415" cm="1">
        <f t="array" ref="J1415">IFERROR(
    _xlfn.XLOOKUP(G1415, 'Wedgewood Pharm-PM-Yr2-2025'!$E$78:$L$78,
        _xlfn.XLOOKUP('Rate Load'!H1415, 'Wedgewood Pharm-PM-Yr2-2025'!$D$79:$D$110,
            'Wedgewood Pharm-PM-Yr2-2025'!$E$79:$L$110, 0, 0),
        0, 0),
    _xlfn.XLOOKUP(G1415, 'Wedgewood Pharm-PM-Yr2-2025'!$E$78:$L$78,
        _xlfn.XLOOKUP('Rate Load'!L1415, 'Wedgewood Pharm-PM-Yr2-2025'!$D$79:$D$110,
            'Wedgewood Pharm-PM-Yr2-2025'!$E$79:$L$110, 0, 0),
        0, 0)
)</f>
        <v>6.9799999999999995</v>
      </c>
      <c r="K1415" t="s">
        <v>46</v>
      </c>
      <c r="L1415" t="s">
        <v>13</v>
      </c>
      <c r="M1415">
        <v>3</v>
      </c>
      <c r="N1415" t="str">
        <f t="shared" si="22"/>
        <v>INSERT INTO TNL_RATING.dbo.usps_rate_master VALUES ('USPS', '2/13/2025', '2/13/2026', 12659, 'US', 'Priority Mail', 5, 1, 'L', 6.98, 'Wedgewood_USPS_2025', 'NonCubic','3');</v>
      </c>
    </row>
    <row r="1416" spans="1:14" x14ac:dyDescent="0.3">
      <c r="A1416" t="s">
        <v>11</v>
      </c>
      <c r="B1416" s="1" t="s">
        <v>43</v>
      </c>
      <c r="C1416" s="1" t="s">
        <v>44</v>
      </c>
      <c r="D1416">
        <v>12659</v>
      </c>
      <c r="E1416" t="s">
        <v>12</v>
      </c>
      <c r="F1416" t="s">
        <v>47</v>
      </c>
      <c r="G1416">
        <v>5</v>
      </c>
      <c r="H1416">
        <v>2</v>
      </c>
      <c r="I1416" t="s">
        <v>45</v>
      </c>
      <c r="J1416" cm="1">
        <f t="array" ref="J1416">IFERROR(
    _xlfn.XLOOKUP(G1416, 'Wedgewood Pharm-PM-Yr2-2025'!$E$78:$L$78,
        _xlfn.XLOOKUP('Rate Load'!H1416, 'Wedgewood Pharm-PM-Yr2-2025'!$D$79:$D$110,
            'Wedgewood Pharm-PM-Yr2-2025'!$E$79:$L$110, 0, 0),
        0, 0),
    _xlfn.XLOOKUP(G1416, 'Wedgewood Pharm-PM-Yr2-2025'!$E$78:$L$78,
        _xlfn.XLOOKUP('Rate Load'!L1416, 'Wedgewood Pharm-PM-Yr2-2025'!$D$79:$D$110,
            'Wedgewood Pharm-PM-Yr2-2025'!$E$79:$L$110, 0, 0),
        0, 0)
)</f>
        <v>7.9799999999999995</v>
      </c>
      <c r="K1416" t="s">
        <v>46</v>
      </c>
      <c r="L1416" t="s">
        <v>13</v>
      </c>
      <c r="M1416">
        <v>3</v>
      </c>
      <c r="N1416" t="str">
        <f t="shared" si="22"/>
        <v>INSERT INTO TNL_RATING.dbo.usps_rate_master VALUES ('USPS', '2/13/2025', '2/13/2026', 12659, 'US', 'Priority Mail', 5, 2, 'L', 7.98, 'Wedgewood_USPS_2025', 'NonCubic','3');</v>
      </c>
    </row>
    <row r="1417" spans="1:14" x14ac:dyDescent="0.3">
      <c r="A1417" t="s">
        <v>11</v>
      </c>
      <c r="B1417" s="1" t="s">
        <v>43</v>
      </c>
      <c r="C1417" s="1" t="s">
        <v>44</v>
      </c>
      <c r="D1417">
        <v>12659</v>
      </c>
      <c r="E1417" t="s">
        <v>12</v>
      </c>
      <c r="F1417" t="s">
        <v>47</v>
      </c>
      <c r="G1417">
        <v>5</v>
      </c>
      <c r="H1417">
        <v>3</v>
      </c>
      <c r="I1417" t="s">
        <v>45</v>
      </c>
      <c r="J1417" cm="1">
        <f t="array" ref="J1417">IFERROR(
    _xlfn.XLOOKUP(G1417, 'Wedgewood Pharm-PM-Yr2-2025'!$E$78:$L$78,
        _xlfn.XLOOKUP('Rate Load'!H1417, 'Wedgewood Pharm-PM-Yr2-2025'!$D$79:$D$110,
            'Wedgewood Pharm-PM-Yr2-2025'!$E$79:$L$110, 0, 0),
        0, 0),
    _xlfn.XLOOKUP(G1417, 'Wedgewood Pharm-PM-Yr2-2025'!$E$78:$L$78,
        _xlfn.XLOOKUP('Rate Load'!L1417, 'Wedgewood Pharm-PM-Yr2-2025'!$D$79:$D$110,
            'Wedgewood Pharm-PM-Yr2-2025'!$E$79:$L$110, 0, 0),
        0, 0)
)</f>
        <v>9.65</v>
      </c>
      <c r="K1417" t="s">
        <v>46</v>
      </c>
      <c r="L1417" t="s">
        <v>13</v>
      </c>
      <c r="M1417">
        <v>3</v>
      </c>
      <c r="N1417" t="str">
        <f t="shared" si="22"/>
        <v>INSERT INTO TNL_RATING.dbo.usps_rate_master VALUES ('USPS', '2/13/2025', '2/13/2026', 12659, 'US', 'Priority Mail', 5, 3, 'L', 9.65, 'Wedgewood_USPS_2025', 'NonCubic','3');</v>
      </c>
    </row>
    <row r="1418" spans="1:14" x14ac:dyDescent="0.3">
      <c r="A1418" t="s">
        <v>11</v>
      </c>
      <c r="B1418" s="1" t="s">
        <v>43</v>
      </c>
      <c r="C1418" s="1" t="s">
        <v>44</v>
      </c>
      <c r="D1418">
        <v>12659</v>
      </c>
      <c r="E1418" t="s">
        <v>12</v>
      </c>
      <c r="F1418" t="s">
        <v>47</v>
      </c>
      <c r="G1418">
        <v>5</v>
      </c>
      <c r="H1418">
        <v>4</v>
      </c>
      <c r="I1418" t="s">
        <v>45</v>
      </c>
      <c r="J1418" cm="1">
        <f t="array" ref="J1418">IFERROR(
    _xlfn.XLOOKUP(G1418, 'Wedgewood Pharm-PM-Yr2-2025'!$E$78:$L$78,
        _xlfn.XLOOKUP('Rate Load'!H1418, 'Wedgewood Pharm-PM-Yr2-2025'!$D$79:$D$110,
            'Wedgewood Pharm-PM-Yr2-2025'!$E$79:$L$110, 0, 0),
        0, 0),
    _xlfn.XLOOKUP(G1418, 'Wedgewood Pharm-PM-Yr2-2025'!$E$78:$L$78,
        _xlfn.XLOOKUP('Rate Load'!L1418, 'Wedgewood Pharm-PM-Yr2-2025'!$D$79:$D$110,
            'Wedgewood Pharm-PM-Yr2-2025'!$E$79:$L$110, 0, 0),
        0, 0)
)</f>
        <v>11.27</v>
      </c>
      <c r="K1418" t="s">
        <v>46</v>
      </c>
      <c r="L1418" t="s">
        <v>13</v>
      </c>
      <c r="M1418">
        <v>3</v>
      </c>
      <c r="N1418" t="str">
        <f t="shared" si="22"/>
        <v>INSERT INTO TNL_RATING.dbo.usps_rate_master VALUES ('USPS', '2/13/2025', '2/13/2026', 12659, 'US', 'Priority Mail', 5, 4, 'L', 11.27, 'Wedgewood_USPS_2025', 'NonCubic','3');</v>
      </c>
    </row>
    <row r="1419" spans="1:14" x14ac:dyDescent="0.3">
      <c r="A1419" t="s">
        <v>11</v>
      </c>
      <c r="B1419" s="1" t="s">
        <v>43</v>
      </c>
      <c r="C1419" s="1" t="s">
        <v>44</v>
      </c>
      <c r="D1419">
        <v>12659</v>
      </c>
      <c r="E1419" t="s">
        <v>12</v>
      </c>
      <c r="F1419" t="s">
        <v>47</v>
      </c>
      <c r="G1419">
        <v>5</v>
      </c>
      <c r="H1419">
        <v>5</v>
      </c>
      <c r="I1419" t="s">
        <v>45</v>
      </c>
      <c r="J1419" cm="1">
        <f t="array" ref="J1419">IFERROR(
    _xlfn.XLOOKUP(G1419, 'Wedgewood Pharm-PM-Yr2-2025'!$E$78:$L$78,
        _xlfn.XLOOKUP('Rate Load'!H1419, 'Wedgewood Pharm-PM-Yr2-2025'!$D$79:$D$110,
            'Wedgewood Pharm-PM-Yr2-2025'!$E$79:$L$110, 0, 0),
        0, 0),
    _xlfn.XLOOKUP(G1419, 'Wedgewood Pharm-PM-Yr2-2025'!$E$78:$L$78,
        _xlfn.XLOOKUP('Rate Load'!L1419, 'Wedgewood Pharm-PM-Yr2-2025'!$D$79:$D$110,
            'Wedgewood Pharm-PM-Yr2-2025'!$E$79:$L$110, 0, 0),
        0, 0)
)</f>
        <v>12.45</v>
      </c>
      <c r="K1419" t="s">
        <v>46</v>
      </c>
      <c r="L1419" t="s">
        <v>13</v>
      </c>
      <c r="M1419">
        <v>3</v>
      </c>
      <c r="N1419" t="str">
        <f t="shared" si="22"/>
        <v>INSERT INTO TNL_RATING.dbo.usps_rate_master VALUES ('USPS', '2/13/2025', '2/13/2026', 12659, 'US', 'Priority Mail', 5, 5, 'L', 12.45, 'Wedgewood_USPS_2025', 'NonCubic','3');</v>
      </c>
    </row>
    <row r="1420" spans="1:14" x14ac:dyDescent="0.3">
      <c r="A1420" t="s">
        <v>11</v>
      </c>
      <c r="B1420" s="1" t="s">
        <v>43</v>
      </c>
      <c r="C1420" s="1" t="s">
        <v>44</v>
      </c>
      <c r="D1420">
        <v>12659</v>
      </c>
      <c r="E1420" t="s">
        <v>12</v>
      </c>
      <c r="F1420" t="s">
        <v>47</v>
      </c>
      <c r="G1420">
        <v>5</v>
      </c>
      <c r="H1420">
        <v>6</v>
      </c>
      <c r="I1420" t="s">
        <v>45</v>
      </c>
      <c r="J1420" cm="1">
        <f t="array" ref="J1420">IFERROR(
    _xlfn.XLOOKUP(G1420, 'Wedgewood Pharm-PM-Yr2-2025'!$E$78:$L$78,
        _xlfn.XLOOKUP('Rate Load'!H1420, 'Wedgewood Pharm-PM-Yr2-2025'!$D$79:$D$110,
            'Wedgewood Pharm-PM-Yr2-2025'!$E$79:$L$110, 0, 0),
        0, 0),
    _xlfn.XLOOKUP(G1420, 'Wedgewood Pharm-PM-Yr2-2025'!$E$78:$L$78,
        _xlfn.XLOOKUP('Rate Load'!L1420, 'Wedgewood Pharm-PM-Yr2-2025'!$D$79:$D$110,
            'Wedgewood Pharm-PM-Yr2-2025'!$E$79:$L$110, 0, 0),
        0, 0)
)</f>
        <v>13.9</v>
      </c>
      <c r="K1420" t="s">
        <v>46</v>
      </c>
      <c r="L1420" t="s">
        <v>13</v>
      </c>
      <c r="M1420">
        <v>3</v>
      </c>
      <c r="N1420" t="str">
        <f t="shared" si="22"/>
        <v>INSERT INTO TNL_RATING.dbo.usps_rate_master VALUES ('USPS', '2/13/2025', '2/13/2026', 12659, 'US', 'Priority Mail', 5, 6, 'L', 13.9, 'Wedgewood_USPS_2025', 'NonCubic','3');</v>
      </c>
    </row>
    <row r="1421" spans="1:14" x14ac:dyDescent="0.3">
      <c r="A1421" t="s">
        <v>11</v>
      </c>
      <c r="B1421" s="1" t="s">
        <v>43</v>
      </c>
      <c r="C1421" s="1" t="s">
        <v>44</v>
      </c>
      <c r="D1421">
        <v>12659</v>
      </c>
      <c r="E1421" t="s">
        <v>12</v>
      </c>
      <c r="F1421" t="s">
        <v>47</v>
      </c>
      <c r="G1421">
        <v>5</v>
      </c>
      <c r="H1421">
        <v>7</v>
      </c>
      <c r="I1421" t="s">
        <v>45</v>
      </c>
      <c r="J1421" cm="1">
        <f t="array" ref="J1421">IFERROR(
    _xlfn.XLOOKUP(G1421, 'Wedgewood Pharm-PM-Yr2-2025'!$E$78:$L$78,
        _xlfn.XLOOKUP('Rate Load'!H1421, 'Wedgewood Pharm-PM-Yr2-2025'!$D$79:$D$110,
            'Wedgewood Pharm-PM-Yr2-2025'!$E$79:$L$110, 0, 0),
        0, 0),
    _xlfn.XLOOKUP(G1421, 'Wedgewood Pharm-PM-Yr2-2025'!$E$78:$L$78,
        _xlfn.XLOOKUP('Rate Load'!L1421, 'Wedgewood Pharm-PM-Yr2-2025'!$D$79:$D$110,
            'Wedgewood Pharm-PM-Yr2-2025'!$E$79:$L$110, 0, 0),
        0, 0)
)</f>
        <v>14.82</v>
      </c>
      <c r="K1421" t="s">
        <v>46</v>
      </c>
      <c r="L1421" t="s">
        <v>13</v>
      </c>
      <c r="M1421">
        <v>3</v>
      </c>
      <c r="N1421" t="str">
        <f t="shared" si="22"/>
        <v>INSERT INTO TNL_RATING.dbo.usps_rate_master VALUES ('USPS', '2/13/2025', '2/13/2026', 12659, 'US', 'Priority Mail', 5, 7, 'L', 14.82, 'Wedgewood_USPS_2025', 'NonCubic','3');</v>
      </c>
    </row>
    <row r="1422" spans="1:14" x14ac:dyDescent="0.3">
      <c r="A1422" t="s">
        <v>11</v>
      </c>
      <c r="B1422" s="1" t="s">
        <v>43</v>
      </c>
      <c r="C1422" s="1" t="s">
        <v>44</v>
      </c>
      <c r="D1422">
        <v>12659</v>
      </c>
      <c r="E1422" t="s">
        <v>12</v>
      </c>
      <c r="F1422" t="s">
        <v>47</v>
      </c>
      <c r="G1422">
        <v>5</v>
      </c>
      <c r="H1422">
        <v>8</v>
      </c>
      <c r="I1422" t="s">
        <v>45</v>
      </c>
      <c r="J1422" cm="1">
        <f t="array" ref="J1422">IFERROR(
    _xlfn.XLOOKUP(G1422, 'Wedgewood Pharm-PM-Yr2-2025'!$E$78:$L$78,
        _xlfn.XLOOKUP('Rate Load'!H1422, 'Wedgewood Pharm-PM-Yr2-2025'!$D$79:$D$110,
            'Wedgewood Pharm-PM-Yr2-2025'!$E$79:$L$110, 0, 0),
        0, 0),
    _xlfn.XLOOKUP(G1422, 'Wedgewood Pharm-PM-Yr2-2025'!$E$78:$L$78,
        _xlfn.XLOOKUP('Rate Load'!L1422, 'Wedgewood Pharm-PM-Yr2-2025'!$D$79:$D$110,
            'Wedgewood Pharm-PM-Yr2-2025'!$E$79:$L$110, 0, 0),
        0, 0)
)</f>
        <v>15.72</v>
      </c>
      <c r="K1422" t="s">
        <v>46</v>
      </c>
      <c r="L1422" t="s">
        <v>13</v>
      </c>
      <c r="M1422">
        <v>3</v>
      </c>
      <c r="N1422" t="str">
        <f t="shared" si="22"/>
        <v>INSERT INTO TNL_RATING.dbo.usps_rate_master VALUES ('USPS', '2/13/2025', '2/13/2026', 12659, 'US', 'Priority Mail', 5, 8, 'L', 15.72, 'Wedgewood_USPS_2025', 'NonCubic','3');</v>
      </c>
    </row>
    <row r="1423" spans="1:14" x14ac:dyDescent="0.3">
      <c r="A1423" t="s">
        <v>11</v>
      </c>
      <c r="B1423" s="1" t="s">
        <v>43</v>
      </c>
      <c r="C1423" s="1" t="s">
        <v>44</v>
      </c>
      <c r="D1423">
        <v>12659</v>
      </c>
      <c r="E1423" t="s">
        <v>12</v>
      </c>
      <c r="F1423" t="s">
        <v>47</v>
      </c>
      <c r="G1423">
        <v>5</v>
      </c>
      <c r="H1423">
        <v>9</v>
      </c>
      <c r="I1423" t="s">
        <v>45</v>
      </c>
      <c r="J1423" cm="1">
        <f t="array" ref="J1423">IFERROR(
    _xlfn.XLOOKUP(G1423, 'Wedgewood Pharm-PM-Yr2-2025'!$E$78:$L$78,
        _xlfn.XLOOKUP('Rate Load'!H1423, 'Wedgewood Pharm-PM-Yr2-2025'!$D$79:$D$110,
            'Wedgewood Pharm-PM-Yr2-2025'!$E$79:$L$110, 0, 0),
        0, 0),
    _xlfn.XLOOKUP(G1423, 'Wedgewood Pharm-PM-Yr2-2025'!$E$78:$L$78,
        _xlfn.XLOOKUP('Rate Load'!L1423, 'Wedgewood Pharm-PM-Yr2-2025'!$D$79:$D$110,
            'Wedgewood Pharm-PM-Yr2-2025'!$E$79:$L$110, 0, 0),
        0, 0)
)</f>
        <v>16.610000000000003</v>
      </c>
      <c r="K1423" t="s">
        <v>46</v>
      </c>
      <c r="L1423" t="s">
        <v>13</v>
      </c>
      <c r="M1423">
        <v>3</v>
      </c>
      <c r="N1423" t="str">
        <f t="shared" si="22"/>
        <v>INSERT INTO TNL_RATING.dbo.usps_rate_master VALUES ('USPS', '2/13/2025', '2/13/2026', 12659, 'US', 'Priority Mail', 5, 9, 'L', 16.61, 'Wedgewood_USPS_2025', 'NonCubic','3');</v>
      </c>
    </row>
    <row r="1424" spans="1:14" x14ac:dyDescent="0.3">
      <c r="A1424" t="s">
        <v>11</v>
      </c>
      <c r="B1424" s="1" t="s">
        <v>43</v>
      </c>
      <c r="C1424" s="1" t="s">
        <v>44</v>
      </c>
      <c r="D1424">
        <v>12659</v>
      </c>
      <c r="E1424" t="s">
        <v>12</v>
      </c>
      <c r="F1424" t="s">
        <v>47</v>
      </c>
      <c r="G1424">
        <v>5</v>
      </c>
      <c r="H1424">
        <v>10</v>
      </c>
      <c r="I1424" t="s">
        <v>45</v>
      </c>
      <c r="J1424" cm="1">
        <f t="array" ref="J1424">IFERROR(
    _xlfn.XLOOKUP(G1424, 'Wedgewood Pharm-PM-Yr2-2025'!$E$78:$L$78,
        _xlfn.XLOOKUP('Rate Load'!H1424, 'Wedgewood Pharm-PM-Yr2-2025'!$D$79:$D$110,
            'Wedgewood Pharm-PM-Yr2-2025'!$E$79:$L$110, 0, 0),
        0, 0),
    _xlfn.XLOOKUP(G1424, 'Wedgewood Pharm-PM-Yr2-2025'!$E$78:$L$78,
        _xlfn.XLOOKUP('Rate Load'!L1424, 'Wedgewood Pharm-PM-Yr2-2025'!$D$79:$D$110,
            'Wedgewood Pharm-PM-Yr2-2025'!$E$79:$L$110, 0, 0),
        0, 0)
)</f>
        <v>17.48</v>
      </c>
      <c r="K1424" t="s">
        <v>46</v>
      </c>
      <c r="L1424" t="s">
        <v>13</v>
      </c>
      <c r="M1424">
        <v>3</v>
      </c>
      <c r="N1424" t="str">
        <f t="shared" si="22"/>
        <v>INSERT INTO TNL_RATING.dbo.usps_rate_master VALUES ('USPS', '2/13/2025', '2/13/2026', 12659, 'US', 'Priority Mail', 5, 10, 'L', 17.48, 'Wedgewood_USPS_2025', 'NonCubic','3');</v>
      </c>
    </row>
    <row r="1425" spans="1:14" x14ac:dyDescent="0.3">
      <c r="A1425" t="s">
        <v>11</v>
      </c>
      <c r="B1425" s="1" t="s">
        <v>43</v>
      </c>
      <c r="C1425" s="1" t="s">
        <v>44</v>
      </c>
      <c r="D1425">
        <v>12659</v>
      </c>
      <c r="E1425" t="s">
        <v>12</v>
      </c>
      <c r="F1425" t="s">
        <v>47</v>
      </c>
      <c r="G1425">
        <v>5</v>
      </c>
      <c r="H1425">
        <v>11</v>
      </c>
      <c r="I1425" t="s">
        <v>45</v>
      </c>
      <c r="J1425" cm="1">
        <f t="array" ref="J1425">IFERROR(
    _xlfn.XLOOKUP(G1425, 'Wedgewood Pharm-PM-Yr2-2025'!$E$78:$L$78,
        _xlfn.XLOOKUP('Rate Load'!H1425, 'Wedgewood Pharm-PM-Yr2-2025'!$D$79:$D$110,
            'Wedgewood Pharm-PM-Yr2-2025'!$E$79:$L$110, 0, 0),
        0, 0),
    _xlfn.XLOOKUP(G1425, 'Wedgewood Pharm-PM-Yr2-2025'!$E$78:$L$78,
        _xlfn.XLOOKUP('Rate Load'!L1425, 'Wedgewood Pharm-PM-Yr2-2025'!$D$79:$D$110,
            'Wedgewood Pharm-PM-Yr2-2025'!$E$79:$L$110, 0, 0),
        0, 0)
)</f>
        <v>18.380000000000003</v>
      </c>
      <c r="K1425" t="s">
        <v>46</v>
      </c>
      <c r="L1425" t="s">
        <v>13</v>
      </c>
      <c r="M1425">
        <v>3</v>
      </c>
      <c r="N1425" t="str">
        <f t="shared" si="22"/>
        <v>INSERT INTO TNL_RATING.dbo.usps_rate_master VALUES ('USPS', '2/13/2025', '2/13/2026', 12659, 'US', 'Priority Mail', 5, 11, 'L', 18.38, 'Wedgewood_USPS_2025', 'NonCubic','3');</v>
      </c>
    </row>
    <row r="1426" spans="1:14" x14ac:dyDescent="0.3">
      <c r="A1426" t="s">
        <v>11</v>
      </c>
      <c r="B1426" s="1" t="s">
        <v>43</v>
      </c>
      <c r="C1426" s="1" t="s">
        <v>44</v>
      </c>
      <c r="D1426">
        <v>12659</v>
      </c>
      <c r="E1426" t="s">
        <v>12</v>
      </c>
      <c r="F1426" t="s">
        <v>47</v>
      </c>
      <c r="G1426">
        <v>5</v>
      </c>
      <c r="H1426">
        <v>12</v>
      </c>
      <c r="I1426" t="s">
        <v>45</v>
      </c>
      <c r="J1426" cm="1">
        <f t="array" ref="J1426">IFERROR(
    _xlfn.XLOOKUP(G1426, 'Wedgewood Pharm-PM-Yr2-2025'!$E$78:$L$78,
        _xlfn.XLOOKUP('Rate Load'!H1426, 'Wedgewood Pharm-PM-Yr2-2025'!$D$79:$D$110,
            'Wedgewood Pharm-PM-Yr2-2025'!$E$79:$L$110, 0, 0),
        0, 0),
    _xlfn.XLOOKUP(G1426, 'Wedgewood Pharm-PM-Yr2-2025'!$E$78:$L$78,
        _xlfn.XLOOKUP('Rate Load'!L1426, 'Wedgewood Pharm-PM-Yr2-2025'!$D$79:$D$110,
            'Wedgewood Pharm-PM-Yr2-2025'!$E$79:$L$110, 0, 0),
        0, 0)
)</f>
        <v>19.440000000000001</v>
      </c>
      <c r="K1426" t="s">
        <v>46</v>
      </c>
      <c r="L1426" t="s">
        <v>13</v>
      </c>
      <c r="M1426">
        <v>3</v>
      </c>
      <c r="N1426" t="str">
        <f t="shared" si="22"/>
        <v>INSERT INTO TNL_RATING.dbo.usps_rate_master VALUES ('USPS', '2/13/2025', '2/13/2026', 12659, 'US', 'Priority Mail', 5, 12, 'L', 19.44, 'Wedgewood_USPS_2025', 'NonCubic','3');</v>
      </c>
    </row>
    <row r="1427" spans="1:14" x14ac:dyDescent="0.3">
      <c r="A1427" t="s">
        <v>11</v>
      </c>
      <c r="B1427" s="1" t="s">
        <v>43</v>
      </c>
      <c r="C1427" s="1" t="s">
        <v>44</v>
      </c>
      <c r="D1427">
        <v>12659</v>
      </c>
      <c r="E1427" t="s">
        <v>12</v>
      </c>
      <c r="F1427" t="s">
        <v>47</v>
      </c>
      <c r="G1427">
        <v>5</v>
      </c>
      <c r="H1427">
        <v>13</v>
      </c>
      <c r="I1427" t="s">
        <v>45</v>
      </c>
      <c r="J1427" cm="1">
        <f t="array" ref="J1427">IFERROR(
    _xlfn.XLOOKUP(G1427, 'Wedgewood Pharm-PM-Yr2-2025'!$E$78:$L$78,
        _xlfn.XLOOKUP('Rate Load'!H1427, 'Wedgewood Pharm-PM-Yr2-2025'!$D$79:$D$110,
            'Wedgewood Pharm-PM-Yr2-2025'!$E$79:$L$110, 0, 0),
        0, 0),
    _xlfn.XLOOKUP(G1427, 'Wedgewood Pharm-PM-Yr2-2025'!$E$78:$L$78,
        _xlfn.XLOOKUP('Rate Load'!L1427, 'Wedgewood Pharm-PM-Yr2-2025'!$D$79:$D$110,
            'Wedgewood Pharm-PM-Yr2-2025'!$E$79:$L$110, 0, 0),
        0, 0)
)</f>
        <v>20.51</v>
      </c>
      <c r="K1427" t="s">
        <v>46</v>
      </c>
      <c r="L1427" t="s">
        <v>13</v>
      </c>
      <c r="M1427">
        <v>3</v>
      </c>
      <c r="N1427" t="str">
        <f t="shared" si="22"/>
        <v>INSERT INTO TNL_RATING.dbo.usps_rate_master VALUES ('USPS', '2/13/2025', '2/13/2026', 12659, 'US', 'Priority Mail', 5, 13, 'L', 20.51, 'Wedgewood_USPS_2025', 'NonCubic','3');</v>
      </c>
    </row>
    <row r="1428" spans="1:14" x14ac:dyDescent="0.3">
      <c r="A1428" t="s">
        <v>11</v>
      </c>
      <c r="B1428" s="1" t="s">
        <v>43</v>
      </c>
      <c r="C1428" s="1" t="s">
        <v>44</v>
      </c>
      <c r="D1428">
        <v>12659</v>
      </c>
      <c r="E1428" t="s">
        <v>12</v>
      </c>
      <c r="F1428" t="s">
        <v>47</v>
      </c>
      <c r="G1428">
        <v>5</v>
      </c>
      <c r="H1428">
        <v>14</v>
      </c>
      <c r="I1428" t="s">
        <v>45</v>
      </c>
      <c r="J1428" cm="1">
        <f t="array" ref="J1428">IFERROR(
    _xlfn.XLOOKUP(G1428, 'Wedgewood Pharm-PM-Yr2-2025'!$E$78:$L$78,
        _xlfn.XLOOKUP('Rate Load'!H1428, 'Wedgewood Pharm-PM-Yr2-2025'!$D$79:$D$110,
            'Wedgewood Pharm-PM-Yr2-2025'!$E$79:$L$110, 0, 0),
        0, 0),
    _xlfn.XLOOKUP(G1428, 'Wedgewood Pharm-PM-Yr2-2025'!$E$78:$L$78,
        _xlfn.XLOOKUP('Rate Load'!L1428, 'Wedgewood Pharm-PM-Yr2-2025'!$D$79:$D$110,
            'Wedgewood Pharm-PM-Yr2-2025'!$E$79:$L$110, 0, 0),
        0, 0)
)</f>
        <v>21.57</v>
      </c>
      <c r="K1428" t="s">
        <v>46</v>
      </c>
      <c r="L1428" t="s">
        <v>13</v>
      </c>
      <c r="M1428">
        <v>3</v>
      </c>
      <c r="N1428" t="str">
        <f t="shared" si="22"/>
        <v>INSERT INTO TNL_RATING.dbo.usps_rate_master VALUES ('USPS', '2/13/2025', '2/13/2026', 12659, 'US', 'Priority Mail', 5, 14, 'L', 21.57, 'Wedgewood_USPS_2025', 'NonCubic','3');</v>
      </c>
    </row>
    <row r="1429" spans="1:14" x14ac:dyDescent="0.3">
      <c r="A1429" t="s">
        <v>11</v>
      </c>
      <c r="B1429" s="1" t="s">
        <v>43</v>
      </c>
      <c r="C1429" s="1" t="s">
        <v>44</v>
      </c>
      <c r="D1429">
        <v>12659</v>
      </c>
      <c r="E1429" t="s">
        <v>12</v>
      </c>
      <c r="F1429" t="s">
        <v>47</v>
      </c>
      <c r="G1429">
        <v>5</v>
      </c>
      <c r="H1429">
        <v>15</v>
      </c>
      <c r="I1429" t="s">
        <v>45</v>
      </c>
      <c r="J1429" cm="1">
        <f t="array" ref="J1429">IFERROR(
    _xlfn.XLOOKUP(G1429, 'Wedgewood Pharm-PM-Yr2-2025'!$E$78:$L$78,
        _xlfn.XLOOKUP('Rate Load'!H1429, 'Wedgewood Pharm-PM-Yr2-2025'!$D$79:$D$110,
            'Wedgewood Pharm-PM-Yr2-2025'!$E$79:$L$110, 0, 0),
        0, 0),
    _xlfn.XLOOKUP(G1429, 'Wedgewood Pharm-PM-Yr2-2025'!$E$78:$L$78,
        _xlfn.XLOOKUP('Rate Load'!L1429, 'Wedgewood Pharm-PM-Yr2-2025'!$D$79:$D$110,
            'Wedgewood Pharm-PM-Yr2-2025'!$E$79:$L$110, 0, 0),
        0, 0)
)</f>
        <v>22.650000000000002</v>
      </c>
      <c r="K1429" t="s">
        <v>46</v>
      </c>
      <c r="L1429" t="s">
        <v>13</v>
      </c>
      <c r="M1429">
        <v>3</v>
      </c>
      <c r="N1429" t="str">
        <f t="shared" si="22"/>
        <v>INSERT INTO TNL_RATING.dbo.usps_rate_master VALUES ('USPS', '2/13/2025', '2/13/2026', 12659, 'US', 'Priority Mail', 5, 15, 'L', 22.65, 'Wedgewood_USPS_2025', 'NonCubic','3');</v>
      </c>
    </row>
    <row r="1430" spans="1:14" x14ac:dyDescent="0.3">
      <c r="A1430" t="s">
        <v>11</v>
      </c>
      <c r="B1430" s="1" t="s">
        <v>43</v>
      </c>
      <c r="C1430" s="1" t="s">
        <v>44</v>
      </c>
      <c r="D1430">
        <v>12659</v>
      </c>
      <c r="E1430" t="s">
        <v>12</v>
      </c>
      <c r="F1430" t="s">
        <v>47</v>
      </c>
      <c r="G1430">
        <v>5</v>
      </c>
      <c r="H1430">
        <v>16</v>
      </c>
      <c r="I1430" t="s">
        <v>45</v>
      </c>
      <c r="J1430" cm="1">
        <f t="array" ref="J1430">IFERROR(
    _xlfn.XLOOKUP(G1430, 'Wedgewood Pharm-PM-Yr2-2025'!$E$78:$L$78,
        _xlfn.XLOOKUP('Rate Load'!H1430, 'Wedgewood Pharm-PM-Yr2-2025'!$D$79:$D$110,
            'Wedgewood Pharm-PM-Yr2-2025'!$E$79:$L$110, 0, 0),
        0, 0),
    _xlfn.XLOOKUP(G1430, 'Wedgewood Pharm-PM-Yr2-2025'!$E$78:$L$78,
        _xlfn.XLOOKUP('Rate Load'!L1430, 'Wedgewood Pharm-PM-Yr2-2025'!$D$79:$D$110,
            'Wedgewood Pharm-PM-Yr2-2025'!$E$79:$L$110, 0, 0),
        0, 0)
)</f>
        <v>23.71</v>
      </c>
      <c r="K1430" t="s">
        <v>46</v>
      </c>
      <c r="L1430" t="s">
        <v>13</v>
      </c>
      <c r="M1430">
        <v>3</v>
      </c>
      <c r="N1430" t="str">
        <f t="shared" si="22"/>
        <v>INSERT INTO TNL_RATING.dbo.usps_rate_master VALUES ('USPS', '2/13/2025', '2/13/2026', 12659, 'US', 'Priority Mail', 5, 16, 'L', 23.71, 'Wedgewood_USPS_2025', 'NonCubic','3');</v>
      </c>
    </row>
    <row r="1431" spans="1:14" x14ac:dyDescent="0.3">
      <c r="A1431" t="s">
        <v>11</v>
      </c>
      <c r="B1431" s="1" t="s">
        <v>43</v>
      </c>
      <c r="C1431" s="1" t="s">
        <v>44</v>
      </c>
      <c r="D1431">
        <v>12659</v>
      </c>
      <c r="E1431" t="s">
        <v>12</v>
      </c>
      <c r="F1431" t="s">
        <v>47</v>
      </c>
      <c r="G1431">
        <v>5</v>
      </c>
      <c r="H1431">
        <v>17</v>
      </c>
      <c r="I1431" t="s">
        <v>45</v>
      </c>
      <c r="J1431" cm="1">
        <f t="array" ref="J1431">IFERROR(
    _xlfn.XLOOKUP(G1431, 'Wedgewood Pharm-PM-Yr2-2025'!$E$78:$L$78,
        _xlfn.XLOOKUP('Rate Load'!H1431, 'Wedgewood Pharm-PM-Yr2-2025'!$D$79:$D$110,
            'Wedgewood Pharm-PM-Yr2-2025'!$E$79:$L$110, 0, 0),
        0, 0),
    _xlfn.XLOOKUP(G1431, 'Wedgewood Pharm-PM-Yr2-2025'!$E$78:$L$78,
        _xlfn.XLOOKUP('Rate Load'!L1431, 'Wedgewood Pharm-PM-Yr2-2025'!$D$79:$D$110,
            'Wedgewood Pharm-PM-Yr2-2025'!$E$79:$L$110, 0, 0),
        0, 0)
)</f>
        <v>24.76</v>
      </c>
      <c r="K1431" t="s">
        <v>46</v>
      </c>
      <c r="L1431" t="s">
        <v>13</v>
      </c>
      <c r="M1431">
        <v>3</v>
      </c>
      <c r="N1431" t="str">
        <f t="shared" si="22"/>
        <v>INSERT INTO TNL_RATING.dbo.usps_rate_master VALUES ('USPS', '2/13/2025', '2/13/2026', 12659, 'US', 'Priority Mail', 5, 17, 'L', 24.76, 'Wedgewood_USPS_2025', 'NonCubic','3');</v>
      </c>
    </row>
    <row r="1432" spans="1:14" x14ac:dyDescent="0.3">
      <c r="A1432" t="s">
        <v>11</v>
      </c>
      <c r="B1432" s="1" t="s">
        <v>43</v>
      </c>
      <c r="C1432" s="1" t="s">
        <v>44</v>
      </c>
      <c r="D1432">
        <v>12659</v>
      </c>
      <c r="E1432" t="s">
        <v>12</v>
      </c>
      <c r="F1432" t="s">
        <v>47</v>
      </c>
      <c r="G1432">
        <v>5</v>
      </c>
      <c r="H1432">
        <v>18</v>
      </c>
      <c r="I1432" t="s">
        <v>45</v>
      </c>
      <c r="J1432" cm="1">
        <f t="array" ref="J1432">IFERROR(
    _xlfn.XLOOKUP(G1432, 'Wedgewood Pharm-PM-Yr2-2025'!$E$78:$L$78,
        _xlfn.XLOOKUP('Rate Load'!H1432, 'Wedgewood Pharm-PM-Yr2-2025'!$D$79:$D$110,
            'Wedgewood Pharm-PM-Yr2-2025'!$E$79:$L$110, 0, 0),
        0, 0),
    _xlfn.XLOOKUP(G1432, 'Wedgewood Pharm-PM-Yr2-2025'!$E$78:$L$78,
        _xlfn.XLOOKUP('Rate Load'!L1432, 'Wedgewood Pharm-PM-Yr2-2025'!$D$79:$D$110,
            'Wedgewood Pharm-PM-Yr2-2025'!$E$79:$L$110, 0, 0),
        0, 0)
)</f>
        <v>25.830000000000002</v>
      </c>
      <c r="K1432" t="s">
        <v>46</v>
      </c>
      <c r="L1432" t="s">
        <v>13</v>
      </c>
      <c r="M1432">
        <v>3</v>
      </c>
      <c r="N1432" t="str">
        <f t="shared" si="22"/>
        <v>INSERT INTO TNL_RATING.dbo.usps_rate_master VALUES ('USPS', '2/13/2025', '2/13/2026', 12659, 'US', 'Priority Mail', 5, 18, 'L', 25.83, 'Wedgewood_USPS_2025', 'NonCubic','3');</v>
      </c>
    </row>
    <row r="1433" spans="1:14" x14ac:dyDescent="0.3">
      <c r="A1433" t="s">
        <v>11</v>
      </c>
      <c r="B1433" s="1" t="s">
        <v>43</v>
      </c>
      <c r="C1433" s="1" t="s">
        <v>44</v>
      </c>
      <c r="D1433">
        <v>12659</v>
      </c>
      <c r="E1433" t="s">
        <v>12</v>
      </c>
      <c r="F1433" t="s">
        <v>47</v>
      </c>
      <c r="G1433">
        <v>5</v>
      </c>
      <c r="H1433">
        <v>19</v>
      </c>
      <c r="I1433" t="s">
        <v>45</v>
      </c>
      <c r="J1433" cm="1">
        <f t="array" ref="J1433">IFERROR(
    _xlfn.XLOOKUP(G1433, 'Wedgewood Pharm-PM-Yr2-2025'!$E$78:$L$78,
        _xlfn.XLOOKUP('Rate Load'!H1433, 'Wedgewood Pharm-PM-Yr2-2025'!$D$79:$D$110,
            'Wedgewood Pharm-PM-Yr2-2025'!$E$79:$L$110, 0, 0),
        0, 0),
    _xlfn.XLOOKUP(G1433, 'Wedgewood Pharm-PM-Yr2-2025'!$E$78:$L$78,
        _xlfn.XLOOKUP('Rate Load'!L1433, 'Wedgewood Pharm-PM-Yr2-2025'!$D$79:$D$110,
            'Wedgewood Pharm-PM-Yr2-2025'!$E$79:$L$110, 0, 0),
        0, 0)
)</f>
        <v>26.900000000000002</v>
      </c>
      <c r="K1433" t="s">
        <v>46</v>
      </c>
      <c r="L1433" t="s">
        <v>13</v>
      </c>
      <c r="M1433">
        <v>3</v>
      </c>
      <c r="N1433" t="str">
        <f t="shared" si="22"/>
        <v>INSERT INTO TNL_RATING.dbo.usps_rate_master VALUES ('USPS', '2/13/2025', '2/13/2026', 12659, 'US', 'Priority Mail', 5, 19, 'L', 26.9, 'Wedgewood_USPS_2025', 'NonCubic','3');</v>
      </c>
    </row>
    <row r="1434" spans="1:14" x14ac:dyDescent="0.3">
      <c r="A1434" t="s">
        <v>11</v>
      </c>
      <c r="B1434" s="1" t="s">
        <v>43</v>
      </c>
      <c r="C1434" s="1" t="s">
        <v>44</v>
      </c>
      <c r="D1434">
        <v>12659</v>
      </c>
      <c r="E1434" t="s">
        <v>12</v>
      </c>
      <c r="F1434" t="s">
        <v>47</v>
      </c>
      <c r="G1434">
        <v>5</v>
      </c>
      <c r="H1434">
        <v>20</v>
      </c>
      <c r="I1434" t="s">
        <v>45</v>
      </c>
      <c r="J1434" cm="1">
        <f t="array" ref="J1434">IFERROR(
    _xlfn.XLOOKUP(G1434, 'Wedgewood Pharm-PM-Yr2-2025'!$E$78:$L$78,
        _xlfn.XLOOKUP('Rate Load'!H1434, 'Wedgewood Pharm-PM-Yr2-2025'!$D$79:$D$110,
            'Wedgewood Pharm-PM-Yr2-2025'!$E$79:$L$110, 0, 0),
        0, 0),
    _xlfn.XLOOKUP(G1434, 'Wedgewood Pharm-PM-Yr2-2025'!$E$78:$L$78,
        _xlfn.XLOOKUP('Rate Load'!L1434, 'Wedgewood Pharm-PM-Yr2-2025'!$D$79:$D$110,
            'Wedgewood Pharm-PM-Yr2-2025'!$E$79:$L$110, 0, 0),
        0, 0)
)</f>
        <v>27.94</v>
      </c>
      <c r="K1434" t="s">
        <v>46</v>
      </c>
      <c r="L1434" t="s">
        <v>13</v>
      </c>
      <c r="M1434">
        <v>3</v>
      </c>
      <c r="N1434" t="str">
        <f t="shared" si="22"/>
        <v>INSERT INTO TNL_RATING.dbo.usps_rate_master VALUES ('USPS', '2/13/2025', '2/13/2026', 12659, 'US', 'Priority Mail', 5, 20, 'L', 27.94, 'Wedgewood_USPS_2025', 'NonCubic','3');</v>
      </c>
    </row>
    <row r="1435" spans="1:14" x14ac:dyDescent="0.3">
      <c r="A1435" t="s">
        <v>11</v>
      </c>
      <c r="B1435" s="1" t="s">
        <v>43</v>
      </c>
      <c r="C1435" s="1" t="s">
        <v>44</v>
      </c>
      <c r="D1435">
        <v>12659</v>
      </c>
      <c r="E1435" t="s">
        <v>12</v>
      </c>
      <c r="F1435" t="s">
        <v>47</v>
      </c>
      <c r="G1435">
        <v>6</v>
      </c>
      <c r="H1435">
        <v>0.5</v>
      </c>
      <c r="I1435" t="s">
        <v>45</v>
      </c>
      <c r="J1435" cm="1">
        <f t="array" ref="J1435">IFERROR(
    _xlfn.XLOOKUP(G1435, 'Wedgewood Pharm-PM-Yr2-2025'!$E$78:$L$78,
        _xlfn.XLOOKUP('Rate Load'!H1435, 'Wedgewood Pharm-PM-Yr2-2025'!$D$79:$D$110,
            'Wedgewood Pharm-PM-Yr2-2025'!$E$79:$L$110, 0, 0),
        0, 0),
    _xlfn.XLOOKUP(G1435, 'Wedgewood Pharm-PM-Yr2-2025'!$E$78:$L$78,
        _xlfn.XLOOKUP('Rate Load'!L1435, 'Wedgewood Pharm-PM-Yr2-2025'!$D$79:$D$110,
            'Wedgewood Pharm-PM-Yr2-2025'!$E$79:$L$110, 0, 0),
        0, 0)
)</f>
        <v>6.8599999999999994</v>
      </c>
      <c r="K1435" t="s">
        <v>46</v>
      </c>
      <c r="L1435" t="s">
        <v>13</v>
      </c>
      <c r="M1435">
        <v>3</v>
      </c>
      <c r="N1435" t="str">
        <f t="shared" si="22"/>
        <v>INSERT INTO TNL_RATING.dbo.usps_rate_master VALUES ('USPS', '2/13/2025', '2/13/2026', 12659, 'US', 'Priority Mail', 6, 0.5, 'L', 6.86, 'Wedgewood_USPS_2025', 'NonCubic','3');</v>
      </c>
    </row>
    <row r="1436" spans="1:14" x14ac:dyDescent="0.3">
      <c r="A1436" t="s">
        <v>11</v>
      </c>
      <c r="B1436" s="1" t="s">
        <v>43</v>
      </c>
      <c r="C1436" s="1" t="s">
        <v>44</v>
      </c>
      <c r="D1436">
        <v>12659</v>
      </c>
      <c r="E1436" t="s">
        <v>12</v>
      </c>
      <c r="F1436" t="s">
        <v>47</v>
      </c>
      <c r="G1436">
        <v>6</v>
      </c>
      <c r="H1436">
        <v>1</v>
      </c>
      <c r="I1436" t="s">
        <v>45</v>
      </c>
      <c r="J1436" cm="1">
        <f t="array" ref="J1436">IFERROR(
    _xlfn.XLOOKUP(G1436, 'Wedgewood Pharm-PM-Yr2-2025'!$E$78:$L$78,
        _xlfn.XLOOKUP('Rate Load'!H1436, 'Wedgewood Pharm-PM-Yr2-2025'!$D$79:$D$110,
            'Wedgewood Pharm-PM-Yr2-2025'!$E$79:$L$110, 0, 0),
        0, 0),
    _xlfn.XLOOKUP(G1436, 'Wedgewood Pharm-PM-Yr2-2025'!$E$78:$L$78,
        _xlfn.XLOOKUP('Rate Load'!L1436, 'Wedgewood Pharm-PM-Yr2-2025'!$D$79:$D$110,
            'Wedgewood Pharm-PM-Yr2-2025'!$E$79:$L$110, 0, 0),
        0, 0)
)</f>
        <v>7.24</v>
      </c>
      <c r="K1436" t="s">
        <v>46</v>
      </c>
      <c r="L1436" t="s">
        <v>13</v>
      </c>
      <c r="M1436">
        <v>3</v>
      </c>
      <c r="N1436" t="str">
        <f t="shared" si="22"/>
        <v>INSERT INTO TNL_RATING.dbo.usps_rate_master VALUES ('USPS', '2/13/2025', '2/13/2026', 12659, 'US', 'Priority Mail', 6, 1, 'L', 7.24, 'Wedgewood_USPS_2025', 'NonCubic','3');</v>
      </c>
    </row>
    <row r="1437" spans="1:14" x14ac:dyDescent="0.3">
      <c r="A1437" t="s">
        <v>11</v>
      </c>
      <c r="B1437" s="1" t="s">
        <v>43</v>
      </c>
      <c r="C1437" s="1" t="s">
        <v>44</v>
      </c>
      <c r="D1437">
        <v>12659</v>
      </c>
      <c r="E1437" t="s">
        <v>12</v>
      </c>
      <c r="F1437" t="s">
        <v>47</v>
      </c>
      <c r="G1437">
        <v>6</v>
      </c>
      <c r="H1437">
        <v>2</v>
      </c>
      <c r="I1437" t="s">
        <v>45</v>
      </c>
      <c r="J1437" cm="1">
        <f t="array" ref="J1437">IFERROR(
    _xlfn.XLOOKUP(G1437, 'Wedgewood Pharm-PM-Yr2-2025'!$E$78:$L$78,
        _xlfn.XLOOKUP('Rate Load'!H1437, 'Wedgewood Pharm-PM-Yr2-2025'!$D$79:$D$110,
            'Wedgewood Pharm-PM-Yr2-2025'!$E$79:$L$110, 0, 0),
        0, 0),
    _xlfn.XLOOKUP(G1437, 'Wedgewood Pharm-PM-Yr2-2025'!$E$78:$L$78,
        _xlfn.XLOOKUP('Rate Load'!L1437, 'Wedgewood Pharm-PM-Yr2-2025'!$D$79:$D$110,
            'Wedgewood Pharm-PM-Yr2-2025'!$E$79:$L$110, 0, 0),
        0, 0)
)</f>
        <v>9.01</v>
      </c>
      <c r="K1437" t="s">
        <v>46</v>
      </c>
      <c r="L1437" t="s">
        <v>13</v>
      </c>
      <c r="M1437">
        <v>3</v>
      </c>
      <c r="N1437" t="str">
        <f t="shared" si="22"/>
        <v>INSERT INTO TNL_RATING.dbo.usps_rate_master VALUES ('USPS', '2/13/2025', '2/13/2026', 12659, 'US', 'Priority Mail', 6, 2, 'L', 9.01, 'Wedgewood_USPS_2025', 'NonCubic','3');</v>
      </c>
    </row>
    <row r="1438" spans="1:14" x14ac:dyDescent="0.3">
      <c r="A1438" t="s">
        <v>11</v>
      </c>
      <c r="B1438" s="1" t="s">
        <v>43</v>
      </c>
      <c r="C1438" s="1" t="s">
        <v>44</v>
      </c>
      <c r="D1438">
        <v>12659</v>
      </c>
      <c r="E1438" t="s">
        <v>12</v>
      </c>
      <c r="F1438" t="s">
        <v>47</v>
      </c>
      <c r="G1438">
        <v>6</v>
      </c>
      <c r="H1438">
        <v>3</v>
      </c>
      <c r="I1438" t="s">
        <v>45</v>
      </c>
      <c r="J1438" cm="1">
        <f t="array" ref="J1438">IFERROR(
    _xlfn.XLOOKUP(G1438, 'Wedgewood Pharm-PM-Yr2-2025'!$E$78:$L$78,
        _xlfn.XLOOKUP('Rate Load'!H1438, 'Wedgewood Pharm-PM-Yr2-2025'!$D$79:$D$110,
            'Wedgewood Pharm-PM-Yr2-2025'!$E$79:$L$110, 0, 0),
        0, 0),
    _xlfn.XLOOKUP(G1438, 'Wedgewood Pharm-PM-Yr2-2025'!$E$78:$L$78,
        _xlfn.XLOOKUP('Rate Load'!L1438, 'Wedgewood Pharm-PM-Yr2-2025'!$D$79:$D$110,
            'Wedgewood Pharm-PM-Yr2-2025'!$E$79:$L$110, 0, 0),
        0, 0)
)</f>
        <v>11.66</v>
      </c>
      <c r="K1438" t="s">
        <v>46</v>
      </c>
      <c r="L1438" t="s">
        <v>13</v>
      </c>
      <c r="M1438">
        <v>3</v>
      </c>
      <c r="N1438" t="str">
        <f t="shared" si="22"/>
        <v>INSERT INTO TNL_RATING.dbo.usps_rate_master VALUES ('USPS', '2/13/2025', '2/13/2026', 12659, 'US', 'Priority Mail', 6, 3, 'L', 11.66, 'Wedgewood_USPS_2025', 'NonCubic','3');</v>
      </c>
    </row>
    <row r="1439" spans="1:14" x14ac:dyDescent="0.3">
      <c r="A1439" t="s">
        <v>11</v>
      </c>
      <c r="B1439" s="1" t="s">
        <v>43</v>
      </c>
      <c r="C1439" s="1" t="s">
        <v>44</v>
      </c>
      <c r="D1439">
        <v>12659</v>
      </c>
      <c r="E1439" t="s">
        <v>12</v>
      </c>
      <c r="F1439" t="s">
        <v>47</v>
      </c>
      <c r="G1439">
        <v>6</v>
      </c>
      <c r="H1439">
        <v>4</v>
      </c>
      <c r="I1439" t="s">
        <v>45</v>
      </c>
      <c r="J1439" cm="1">
        <f t="array" ref="J1439">IFERROR(
    _xlfn.XLOOKUP(G1439, 'Wedgewood Pharm-PM-Yr2-2025'!$E$78:$L$78,
        _xlfn.XLOOKUP('Rate Load'!H1439, 'Wedgewood Pharm-PM-Yr2-2025'!$D$79:$D$110,
            'Wedgewood Pharm-PM-Yr2-2025'!$E$79:$L$110, 0, 0),
        0, 0),
    _xlfn.XLOOKUP(G1439, 'Wedgewood Pharm-PM-Yr2-2025'!$E$78:$L$78,
        _xlfn.XLOOKUP('Rate Load'!L1439, 'Wedgewood Pharm-PM-Yr2-2025'!$D$79:$D$110,
            'Wedgewood Pharm-PM-Yr2-2025'!$E$79:$L$110, 0, 0),
        0, 0)
)</f>
        <v>13.49</v>
      </c>
      <c r="K1439" t="s">
        <v>46</v>
      </c>
      <c r="L1439" t="s">
        <v>13</v>
      </c>
      <c r="M1439">
        <v>3</v>
      </c>
      <c r="N1439" t="str">
        <f t="shared" si="22"/>
        <v>INSERT INTO TNL_RATING.dbo.usps_rate_master VALUES ('USPS', '2/13/2025', '2/13/2026', 12659, 'US', 'Priority Mail', 6, 4, 'L', 13.49, 'Wedgewood_USPS_2025', 'NonCubic','3');</v>
      </c>
    </row>
    <row r="1440" spans="1:14" x14ac:dyDescent="0.3">
      <c r="A1440" t="s">
        <v>11</v>
      </c>
      <c r="B1440" s="1" t="s">
        <v>43</v>
      </c>
      <c r="C1440" s="1" t="s">
        <v>44</v>
      </c>
      <c r="D1440">
        <v>12659</v>
      </c>
      <c r="E1440" t="s">
        <v>12</v>
      </c>
      <c r="F1440" t="s">
        <v>47</v>
      </c>
      <c r="G1440">
        <v>6</v>
      </c>
      <c r="H1440">
        <v>5</v>
      </c>
      <c r="I1440" t="s">
        <v>45</v>
      </c>
      <c r="J1440" cm="1">
        <f t="array" ref="J1440">IFERROR(
    _xlfn.XLOOKUP(G1440, 'Wedgewood Pharm-PM-Yr2-2025'!$E$78:$L$78,
        _xlfn.XLOOKUP('Rate Load'!H1440, 'Wedgewood Pharm-PM-Yr2-2025'!$D$79:$D$110,
            'Wedgewood Pharm-PM-Yr2-2025'!$E$79:$L$110, 0, 0),
        0, 0),
    _xlfn.XLOOKUP(G1440, 'Wedgewood Pharm-PM-Yr2-2025'!$E$78:$L$78,
        _xlfn.XLOOKUP('Rate Load'!L1440, 'Wedgewood Pharm-PM-Yr2-2025'!$D$79:$D$110,
            'Wedgewood Pharm-PM-Yr2-2025'!$E$79:$L$110, 0, 0),
        0, 0)
)</f>
        <v>14.77</v>
      </c>
      <c r="K1440" t="s">
        <v>46</v>
      </c>
      <c r="L1440" t="s">
        <v>13</v>
      </c>
      <c r="M1440">
        <v>3</v>
      </c>
      <c r="N1440" t="str">
        <f t="shared" si="22"/>
        <v>INSERT INTO TNL_RATING.dbo.usps_rate_master VALUES ('USPS', '2/13/2025', '2/13/2026', 12659, 'US', 'Priority Mail', 6, 5, 'L', 14.77, 'Wedgewood_USPS_2025', 'NonCubic','3');</v>
      </c>
    </row>
    <row r="1441" spans="1:14" x14ac:dyDescent="0.3">
      <c r="A1441" t="s">
        <v>11</v>
      </c>
      <c r="B1441" s="1" t="s">
        <v>43</v>
      </c>
      <c r="C1441" s="1" t="s">
        <v>44</v>
      </c>
      <c r="D1441">
        <v>12659</v>
      </c>
      <c r="E1441" t="s">
        <v>12</v>
      </c>
      <c r="F1441" t="s">
        <v>47</v>
      </c>
      <c r="G1441">
        <v>6</v>
      </c>
      <c r="H1441">
        <v>6</v>
      </c>
      <c r="I1441" t="s">
        <v>45</v>
      </c>
      <c r="J1441" cm="1">
        <f t="array" ref="J1441">IFERROR(
    _xlfn.XLOOKUP(G1441, 'Wedgewood Pharm-PM-Yr2-2025'!$E$78:$L$78,
        _xlfn.XLOOKUP('Rate Load'!H1441, 'Wedgewood Pharm-PM-Yr2-2025'!$D$79:$D$110,
            'Wedgewood Pharm-PM-Yr2-2025'!$E$79:$L$110, 0, 0),
        0, 0),
    _xlfn.XLOOKUP(G1441, 'Wedgewood Pharm-PM-Yr2-2025'!$E$78:$L$78,
        _xlfn.XLOOKUP('Rate Load'!L1441, 'Wedgewood Pharm-PM-Yr2-2025'!$D$79:$D$110,
            'Wedgewood Pharm-PM-Yr2-2025'!$E$79:$L$110, 0, 0),
        0, 0)
)</f>
        <v>16.610000000000003</v>
      </c>
      <c r="K1441" t="s">
        <v>46</v>
      </c>
      <c r="L1441" t="s">
        <v>13</v>
      </c>
      <c r="M1441">
        <v>3</v>
      </c>
      <c r="N1441" t="str">
        <f t="shared" si="22"/>
        <v>INSERT INTO TNL_RATING.dbo.usps_rate_master VALUES ('USPS', '2/13/2025', '2/13/2026', 12659, 'US', 'Priority Mail', 6, 6, 'L', 16.61, 'Wedgewood_USPS_2025', 'NonCubic','3');</v>
      </c>
    </row>
    <row r="1442" spans="1:14" x14ac:dyDescent="0.3">
      <c r="A1442" t="s">
        <v>11</v>
      </c>
      <c r="B1442" s="1" t="s">
        <v>43</v>
      </c>
      <c r="C1442" s="1" t="s">
        <v>44</v>
      </c>
      <c r="D1442">
        <v>12659</v>
      </c>
      <c r="E1442" t="s">
        <v>12</v>
      </c>
      <c r="F1442" t="s">
        <v>47</v>
      </c>
      <c r="G1442">
        <v>6</v>
      </c>
      <c r="H1442">
        <v>7</v>
      </c>
      <c r="I1442" t="s">
        <v>45</v>
      </c>
      <c r="J1442" cm="1">
        <f t="array" ref="J1442">IFERROR(
    _xlfn.XLOOKUP(G1442, 'Wedgewood Pharm-PM-Yr2-2025'!$E$78:$L$78,
        _xlfn.XLOOKUP('Rate Load'!H1442, 'Wedgewood Pharm-PM-Yr2-2025'!$D$79:$D$110,
            'Wedgewood Pharm-PM-Yr2-2025'!$E$79:$L$110, 0, 0),
        0, 0),
    _xlfn.XLOOKUP(G1442, 'Wedgewood Pharm-PM-Yr2-2025'!$E$78:$L$78,
        _xlfn.XLOOKUP('Rate Load'!L1442, 'Wedgewood Pharm-PM-Yr2-2025'!$D$79:$D$110,
            'Wedgewood Pharm-PM-Yr2-2025'!$E$79:$L$110, 0, 0),
        0, 0)
)</f>
        <v>17.880000000000003</v>
      </c>
      <c r="K1442" t="s">
        <v>46</v>
      </c>
      <c r="L1442" t="s">
        <v>13</v>
      </c>
      <c r="M1442">
        <v>3</v>
      </c>
      <c r="N1442" t="str">
        <f t="shared" si="22"/>
        <v>INSERT INTO TNL_RATING.dbo.usps_rate_master VALUES ('USPS', '2/13/2025', '2/13/2026', 12659, 'US', 'Priority Mail', 6, 7, 'L', 17.88, 'Wedgewood_USPS_2025', 'NonCubic','3');</v>
      </c>
    </row>
    <row r="1443" spans="1:14" x14ac:dyDescent="0.3">
      <c r="A1443" t="s">
        <v>11</v>
      </c>
      <c r="B1443" s="1" t="s">
        <v>43</v>
      </c>
      <c r="C1443" s="1" t="s">
        <v>44</v>
      </c>
      <c r="D1443">
        <v>12659</v>
      </c>
      <c r="E1443" t="s">
        <v>12</v>
      </c>
      <c r="F1443" t="s">
        <v>47</v>
      </c>
      <c r="G1443">
        <v>6</v>
      </c>
      <c r="H1443">
        <v>8</v>
      </c>
      <c r="I1443" t="s">
        <v>45</v>
      </c>
      <c r="J1443" cm="1">
        <f t="array" ref="J1443">IFERROR(
    _xlfn.XLOOKUP(G1443, 'Wedgewood Pharm-PM-Yr2-2025'!$E$78:$L$78,
        _xlfn.XLOOKUP('Rate Load'!H1443, 'Wedgewood Pharm-PM-Yr2-2025'!$D$79:$D$110,
            'Wedgewood Pharm-PM-Yr2-2025'!$E$79:$L$110, 0, 0),
        0, 0),
    _xlfn.XLOOKUP(G1443, 'Wedgewood Pharm-PM-Yr2-2025'!$E$78:$L$78,
        _xlfn.XLOOKUP('Rate Load'!L1443, 'Wedgewood Pharm-PM-Yr2-2025'!$D$79:$D$110,
            'Wedgewood Pharm-PM-Yr2-2025'!$E$79:$L$110, 0, 0),
        0, 0)
)</f>
        <v>19.110000000000003</v>
      </c>
      <c r="K1443" t="s">
        <v>46</v>
      </c>
      <c r="L1443" t="s">
        <v>13</v>
      </c>
      <c r="M1443">
        <v>3</v>
      </c>
      <c r="N1443" t="str">
        <f t="shared" si="22"/>
        <v>INSERT INTO TNL_RATING.dbo.usps_rate_master VALUES ('USPS', '2/13/2025', '2/13/2026', 12659, 'US', 'Priority Mail', 6, 8, 'L', 19.11, 'Wedgewood_USPS_2025', 'NonCubic','3');</v>
      </c>
    </row>
    <row r="1444" spans="1:14" x14ac:dyDescent="0.3">
      <c r="A1444" t="s">
        <v>11</v>
      </c>
      <c r="B1444" s="1" t="s">
        <v>43</v>
      </c>
      <c r="C1444" s="1" t="s">
        <v>44</v>
      </c>
      <c r="D1444">
        <v>12659</v>
      </c>
      <c r="E1444" t="s">
        <v>12</v>
      </c>
      <c r="F1444" t="s">
        <v>47</v>
      </c>
      <c r="G1444">
        <v>6</v>
      </c>
      <c r="H1444">
        <v>9</v>
      </c>
      <c r="I1444" t="s">
        <v>45</v>
      </c>
      <c r="J1444" cm="1">
        <f t="array" ref="J1444">IFERROR(
    _xlfn.XLOOKUP(G1444, 'Wedgewood Pharm-PM-Yr2-2025'!$E$78:$L$78,
        _xlfn.XLOOKUP('Rate Load'!H1444, 'Wedgewood Pharm-PM-Yr2-2025'!$D$79:$D$110,
            'Wedgewood Pharm-PM-Yr2-2025'!$E$79:$L$110, 0, 0),
        0, 0),
    _xlfn.XLOOKUP(G1444, 'Wedgewood Pharm-PM-Yr2-2025'!$E$78:$L$78,
        _xlfn.XLOOKUP('Rate Load'!L1444, 'Wedgewood Pharm-PM-Yr2-2025'!$D$79:$D$110,
            'Wedgewood Pharm-PM-Yr2-2025'!$E$79:$L$110, 0, 0),
        0, 0)
)</f>
        <v>20.28</v>
      </c>
      <c r="K1444" t="s">
        <v>46</v>
      </c>
      <c r="L1444" t="s">
        <v>13</v>
      </c>
      <c r="M1444">
        <v>3</v>
      </c>
      <c r="N1444" t="str">
        <f t="shared" si="22"/>
        <v>INSERT INTO TNL_RATING.dbo.usps_rate_master VALUES ('USPS', '2/13/2025', '2/13/2026', 12659, 'US', 'Priority Mail', 6, 9, 'L', 20.28, 'Wedgewood_USPS_2025', 'NonCubic','3');</v>
      </c>
    </row>
    <row r="1445" spans="1:14" x14ac:dyDescent="0.3">
      <c r="A1445" t="s">
        <v>11</v>
      </c>
      <c r="B1445" s="1" t="s">
        <v>43</v>
      </c>
      <c r="C1445" s="1" t="s">
        <v>44</v>
      </c>
      <c r="D1445">
        <v>12659</v>
      </c>
      <c r="E1445" t="s">
        <v>12</v>
      </c>
      <c r="F1445" t="s">
        <v>47</v>
      </c>
      <c r="G1445">
        <v>6</v>
      </c>
      <c r="H1445">
        <v>10</v>
      </c>
      <c r="I1445" t="s">
        <v>45</v>
      </c>
      <c r="J1445" cm="1">
        <f t="array" ref="J1445">IFERROR(
    _xlfn.XLOOKUP(G1445, 'Wedgewood Pharm-PM-Yr2-2025'!$E$78:$L$78,
        _xlfn.XLOOKUP('Rate Load'!H1445, 'Wedgewood Pharm-PM-Yr2-2025'!$D$79:$D$110,
            'Wedgewood Pharm-PM-Yr2-2025'!$E$79:$L$110, 0, 0),
        0, 0),
    _xlfn.XLOOKUP(G1445, 'Wedgewood Pharm-PM-Yr2-2025'!$E$78:$L$78,
        _xlfn.XLOOKUP('Rate Load'!L1445, 'Wedgewood Pharm-PM-Yr2-2025'!$D$79:$D$110,
            'Wedgewood Pharm-PM-Yr2-2025'!$E$79:$L$110, 0, 0),
        0, 0)
)</f>
        <v>21.44</v>
      </c>
      <c r="K1445" t="s">
        <v>46</v>
      </c>
      <c r="L1445" t="s">
        <v>13</v>
      </c>
      <c r="M1445">
        <v>3</v>
      </c>
      <c r="N1445" t="str">
        <f t="shared" si="22"/>
        <v>INSERT INTO TNL_RATING.dbo.usps_rate_master VALUES ('USPS', '2/13/2025', '2/13/2026', 12659, 'US', 'Priority Mail', 6, 10, 'L', 21.44, 'Wedgewood_USPS_2025', 'NonCubic','3');</v>
      </c>
    </row>
    <row r="1446" spans="1:14" x14ac:dyDescent="0.3">
      <c r="A1446" t="s">
        <v>11</v>
      </c>
      <c r="B1446" s="1" t="s">
        <v>43</v>
      </c>
      <c r="C1446" s="1" t="s">
        <v>44</v>
      </c>
      <c r="D1446">
        <v>12659</v>
      </c>
      <c r="E1446" t="s">
        <v>12</v>
      </c>
      <c r="F1446" t="s">
        <v>47</v>
      </c>
      <c r="G1446">
        <v>6</v>
      </c>
      <c r="H1446">
        <v>11</v>
      </c>
      <c r="I1446" t="s">
        <v>45</v>
      </c>
      <c r="J1446" cm="1">
        <f t="array" ref="J1446">IFERROR(
    _xlfn.XLOOKUP(G1446, 'Wedgewood Pharm-PM-Yr2-2025'!$E$78:$L$78,
        _xlfn.XLOOKUP('Rate Load'!H1446, 'Wedgewood Pharm-PM-Yr2-2025'!$D$79:$D$110,
            'Wedgewood Pharm-PM-Yr2-2025'!$E$79:$L$110, 0, 0),
        0, 0),
    _xlfn.XLOOKUP(G1446, 'Wedgewood Pharm-PM-Yr2-2025'!$E$78:$L$78,
        _xlfn.XLOOKUP('Rate Load'!L1446, 'Wedgewood Pharm-PM-Yr2-2025'!$D$79:$D$110,
            'Wedgewood Pharm-PM-Yr2-2025'!$E$79:$L$110, 0, 0),
        0, 0)
)</f>
        <v>22.6</v>
      </c>
      <c r="K1446" t="s">
        <v>46</v>
      </c>
      <c r="L1446" t="s">
        <v>13</v>
      </c>
      <c r="M1446">
        <v>3</v>
      </c>
      <c r="N1446" t="str">
        <f t="shared" si="22"/>
        <v>INSERT INTO TNL_RATING.dbo.usps_rate_master VALUES ('USPS', '2/13/2025', '2/13/2026', 12659, 'US', 'Priority Mail', 6, 11, 'L', 22.6, 'Wedgewood_USPS_2025', 'NonCubic','3');</v>
      </c>
    </row>
    <row r="1447" spans="1:14" x14ac:dyDescent="0.3">
      <c r="A1447" t="s">
        <v>11</v>
      </c>
      <c r="B1447" s="1" t="s">
        <v>43</v>
      </c>
      <c r="C1447" s="1" t="s">
        <v>44</v>
      </c>
      <c r="D1447">
        <v>12659</v>
      </c>
      <c r="E1447" t="s">
        <v>12</v>
      </c>
      <c r="F1447" t="s">
        <v>47</v>
      </c>
      <c r="G1447">
        <v>6</v>
      </c>
      <c r="H1447">
        <v>12</v>
      </c>
      <c r="I1447" t="s">
        <v>45</v>
      </c>
      <c r="J1447" cm="1">
        <f t="array" ref="J1447">IFERROR(
    _xlfn.XLOOKUP(G1447, 'Wedgewood Pharm-PM-Yr2-2025'!$E$78:$L$78,
        _xlfn.XLOOKUP('Rate Load'!H1447, 'Wedgewood Pharm-PM-Yr2-2025'!$D$79:$D$110,
            'Wedgewood Pharm-PM-Yr2-2025'!$E$79:$L$110, 0, 0),
        0, 0),
    _xlfn.XLOOKUP(G1447, 'Wedgewood Pharm-PM-Yr2-2025'!$E$78:$L$78,
        _xlfn.XLOOKUP('Rate Load'!L1447, 'Wedgewood Pharm-PM-Yr2-2025'!$D$79:$D$110,
            'Wedgewood Pharm-PM-Yr2-2025'!$E$79:$L$110, 0, 0),
        0, 0)
)</f>
        <v>23.91</v>
      </c>
      <c r="K1447" t="s">
        <v>46</v>
      </c>
      <c r="L1447" t="s">
        <v>13</v>
      </c>
      <c r="M1447">
        <v>3</v>
      </c>
      <c r="N1447" t="str">
        <f t="shared" si="22"/>
        <v>INSERT INTO TNL_RATING.dbo.usps_rate_master VALUES ('USPS', '2/13/2025', '2/13/2026', 12659, 'US', 'Priority Mail', 6, 12, 'L', 23.91, 'Wedgewood_USPS_2025', 'NonCubic','3');</v>
      </c>
    </row>
    <row r="1448" spans="1:14" x14ac:dyDescent="0.3">
      <c r="A1448" t="s">
        <v>11</v>
      </c>
      <c r="B1448" s="1" t="s">
        <v>43</v>
      </c>
      <c r="C1448" s="1" t="s">
        <v>44</v>
      </c>
      <c r="D1448">
        <v>12659</v>
      </c>
      <c r="E1448" t="s">
        <v>12</v>
      </c>
      <c r="F1448" t="s">
        <v>47</v>
      </c>
      <c r="G1448">
        <v>6</v>
      </c>
      <c r="H1448">
        <v>13</v>
      </c>
      <c r="I1448" t="s">
        <v>45</v>
      </c>
      <c r="J1448" cm="1">
        <f t="array" ref="J1448">IFERROR(
    _xlfn.XLOOKUP(G1448, 'Wedgewood Pharm-PM-Yr2-2025'!$E$78:$L$78,
        _xlfn.XLOOKUP('Rate Load'!H1448, 'Wedgewood Pharm-PM-Yr2-2025'!$D$79:$D$110,
            'Wedgewood Pharm-PM-Yr2-2025'!$E$79:$L$110, 0, 0),
        0, 0),
    _xlfn.XLOOKUP(G1448, 'Wedgewood Pharm-PM-Yr2-2025'!$E$78:$L$78,
        _xlfn.XLOOKUP('Rate Load'!L1448, 'Wedgewood Pharm-PM-Yr2-2025'!$D$79:$D$110,
            'Wedgewood Pharm-PM-Yr2-2025'!$E$79:$L$110, 0, 0),
        0, 0)
)</f>
        <v>25.220000000000002</v>
      </c>
      <c r="K1448" t="s">
        <v>46</v>
      </c>
      <c r="L1448" t="s">
        <v>13</v>
      </c>
      <c r="M1448">
        <v>3</v>
      </c>
      <c r="N1448" t="str">
        <f t="shared" si="22"/>
        <v>INSERT INTO TNL_RATING.dbo.usps_rate_master VALUES ('USPS', '2/13/2025', '2/13/2026', 12659, 'US', 'Priority Mail', 6, 13, 'L', 25.22, 'Wedgewood_USPS_2025', 'NonCubic','3');</v>
      </c>
    </row>
    <row r="1449" spans="1:14" x14ac:dyDescent="0.3">
      <c r="A1449" t="s">
        <v>11</v>
      </c>
      <c r="B1449" s="1" t="s">
        <v>43</v>
      </c>
      <c r="C1449" s="1" t="s">
        <v>44</v>
      </c>
      <c r="D1449">
        <v>12659</v>
      </c>
      <c r="E1449" t="s">
        <v>12</v>
      </c>
      <c r="F1449" t="s">
        <v>47</v>
      </c>
      <c r="G1449">
        <v>6</v>
      </c>
      <c r="H1449">
        <v>14</v>
      </c>
      <c r="I1449" t="s">
        <v>45</v>
      </c>
      <c r="J1449" cm="1">
        <f t="array" ref="J1449">IFERROR(
    _xlfn.XLOOKUP(G1449, 'Wedgewood Pharm-PM-Yr2-2025'!$E$78:$L$78,
        _xlfn.XLOOKUP('Rate Load'!H1449, 'Wedgewood Pharm-PM-Yr2-2025'!$D$79:$D$110,
            'Wedgewood Pharm-PM-Yr2-2025'!$E$79:$L$110, 0, 0),
        0, 0),
    _xlfn.XLOOKUP(G1449, 'Wedgewood Pharm-PM-Yr2-2025'!$E$78:$L$78,
        _xlfn.XLOOKUP('Rate Load'!L1449, 'Wedgewood Pharm-PM-Yr2-2025'!$D$79:$D$110,
            'Wedgewood Pharm-PM-Yr2-2025'!$E$79:$L$110, 0, 0),
        0, 0)
)</f>
        <v>26.48</v>
      </c>
      <c r="K1449" t="s">
        <v>46</v>
      </c>
      <c r="L1449" t="s">
        <v>13</v>
      </c>
      <c r="M1449">
        <v>3</v>
      </c>
      <c r="N1449" t="str">
        <f t="shared" si="22"/>
        <v>INSERT INTO TNL_RATING.dbo.usps_rate_master VALUES ('USPS', '2/13/2025', '2/13/2026', 12659, 'US', 'Priority Mail', 6, 14, 'L', 26.48, 'Wedgewood_USPS_2025', 'NonCubic','3');</v>
      </c>
    </row>
    <row r="1450" spans="1:14" x14ac:dyDescent="0.3">
      <c r="A1450" t="s">
        <v>11</v>
      </c>
      <c r="B1450" s="1" t="s">
        <v>43</v>
      </c>
      <c r="C1450" s="1" t="s">
        <v>44</v>
      </c>
      <c r="D1450">
        <v>12659</v>
      </c>
      <c r="E1450" t="s">
        <v>12</v>
      </c>
      <c r="F1450" t="s">
        <v>47</v>
      </c>
      <c r="G1450">
        <v>6</v>
      </c>
      <c r="H1450">
        <v>15</v>
      </c>
      <c r="I1450" t="s">
        <v>45</v>
      </c>
      <c r="J1450" cm="1">
        <f t="array" ref="J1450">IFERROR(
    _xlfn.XLOOKUP(G1450, 'Wedgewood Pharm-PM-Yr2-2025'!$E$78:$L$78,
        _xlfn.XLOOKUP('Rate Load'!H1450, 'Wedgewood Pharm-PM-Yr2-2025'!$D$79:$D$110,
            'Wedgewood Pharm-PM-Yr2-2025'!$E$79:$L$110, 0, 0),
        0, 0),
    _xlfn.XLOOKUP(G1450, 'Wedgewood Pharm-PM-Yr2-2025'!$E$78:$L$78,
        _xlfn.XLOOKUP('Rate Load'!L1450, 'Wedgewood Pharm-PM-Yr2-2025'!$D$79:$D$110,
            'Wedgewood Pharm-PM-Yr2-2025'!$E$79:$L$110, 0, 0),
        0, 0)
)</f>
        <v>27.720000000000002</v>
      </c>
      <c r="K1450" t="s">
        <v>46</v>
      </c>
      <c r="L1450" t="s">
        <v>13</v>
      </c>
      <c r="M1450">
        <v>3</v>
      </c>
      <c r="N1450" t="str">
        <f t="shared" si="22"/>
        <v>INSERT INTO TNL_RATING.dbo.usps_rate_master VALUES ('USPS', '2/13/2025', '2/13/2026', 12659, 'US', 'Priority Mail', 6, 15, 'L', 27.72, 'Wedgewood_USPS_2025', 'NonCubic','3');</v>
      </c>
    </row>
    <row r="1451" spans="1:14" x14ac:dyDescent="0.3">
      <c r="A1451" t="s">
        <v>11</v>
      </c>
      <c r="B1451" s="1" t="s">
        <v>43</v>
      </c>
      <c r="C1451" s="1" t="s">
        <v>44</v>
      </c>
      <c r="D1451">
        <v>12659</v>
      </c>
      <c r="E1451" t="s">
        <v>12</v>
      </c>
      <c r="F1451" t="s">
        <v>47</v>
      </c>
      <c r="G1451">
        <v>6</v>
      </c>
      <c r="H1451">
        <v>16</v>
      </c>
      <c r="I1451" t="s">
        <v>45</v>
      </c>
      <c r="J1451" cm="1">
        <f t="array" ref="J1451">IFERROR(
    _xlfn.XLOOKUP(G1451, 'Wedgewood Pharm-PM-Yr2-2025'!$E$78:$L$78,
        _xlfn.XLOOKUP('Rate Load'!H1451, 'Wedgewood Pharm-PM-Yr2-2025'!$D$79:$D$110,
            'Wedgewood Pharm-PM-Yr2-2025'!$E$79:$L$110, 0, 0),
        0, 0),
    _xlfn.XLOOKUP(G1451, 'Wedgewood Pharm-PM-Yr2-2025'!$E$78:$L$78,
        _xlfn.XLOOKUP('Rate Load'!L1451, 'Wedgewood Pharm-PM-Yr2-2025'!$D$79:$D$110,
            'Wedgewood Pharm-PM-Yr2-2025'!$E$79:$L$110, 0, 0),
        0, 0)
)</f>
        <v>28.98</v>
      </c>
      <c r="K1451" t="s">
        <v>46</v>
      </c>
      <c r="L1451" t="s">
        <v>13</v>
      </c>
      <c r="M1451">
        <v>3</v>
      </c>
      <c r="N1451" t="str">
        <f t="shared" si="22"/>
        <v>INSERT INTO TNL_RATING.dbo.usps_rate_master VALUES ('USPS', '2/13/2025', '2/13/2026', 12659, 'US', 'Priority Mail', 6, 16, 'L', 28.98, 'Wedgewood_USPS_2025', 'NonCubic','3');</v>
      </c>
    </row>
    <row r="1452" spans="1:14" x14ac:dyDescent="0.3">
      <c r="A1452" t="s">
        <v>11</v>
      </c>
      <c r="B1452" s="1" t="s">
        <v>43</v>
      </c>
      <c r="C1452" s="1" t="s">
        <v>44</v>
      </c>
      <c r="D1452">
        <v>12659</v>
      </c>
      <c r="E1452" t="s">
        <v>12</v>
      </c>
      <c r="F1452" t="s">
        <v>47</v>
      </c>
      <c r="G1452">
        <v>6</v>
      </c>
      <c r="H1452">
        <v>17</v>
      </c>
      <c r="I1452" t="s">
        <v>45</v>
      </c>
      <c r="J1452" cm="1">
        <f t="array" ref="J1452">IFERROR(
    _xlfn.XLOOKUP(G1452, 'Wedgewood Pharm-PM-Yr2-2025'!$E$78:$L$78,
        _xlfn.XLOOKUP('Rate Load'!H1452, 'Wedgewood Pharm-PM-Yr2-2025'!$D$79:$D$110,
            'Wedgewood Pharm-PM-Yr2-2025'!$E$79:$L$110, 0, 0),
        0, 0),
    _xlfn.XLOOKUP(G1452, 'Wedgewood Pharm-PM-Yr2-2025'!$E$78:$L$78,
        _xlfn.XLOOKUP('Rate Load'!L1452, 'Wedgewood Pharm-PM-Yr2-2025'!$D$79:$D$110,
            'Wedgewood Pharm-PM-Yr2-2025'!$E$79:$L$110, 0, 0),
        0, 0)
)</f>
        <v>30.220000000000002</v>
      </c>
      <c r="K1452" t="s">
        <v>46</v>
      </c>
      <c r="L1452" t="s">
        <v>13</v>
      </c>
      <c r="M1452">
        <v>3</v>
      </c>
      <c r="N1452" t="str">
        <f t="shared" si="22"/>
        <v>INSERT INTO TNL_RATING.dbo.usps_rate_master VALUES ('USPS', '2/13/2025', '2/13/2026', 12659, 'US', 'Priority Mail', 6, 17, 'L', 30.22, 'Wedgewood_USPS_2025', 'NonCubic','3');</v>
      </c>
    </row>
    <row r="1453" spans="1:14" x14ac:dyDescent="0.3">
      <c r="A1453" t="s">
        <v>11</v>
      </c>
      <c r="B1453" s="1" t="s">
        <v>43</v>
      </c>
      <c r="C1453" s="1" t="s">
        <v>44</v>
      </c>
      <c r="D1453">
        <v>12659</v>
      </c>
      <c r="E1453" t="s">
        <v>12</v>
      </c>
      <c r="F1453" t="s">
        <v>47</v>
      </c>
      <c r="G1453">
        <v>6</v>
      </c>
      <c r="H1453">
        <v>18</v>
      </c>
      <c r="I1453" t="s">
        <v>45</v>
      </c>
      <c r="J1453" cm="1">
        <f t="array" ref="J1453">IFERROR(
    _xlfn.XLOOKUP(G1453, 'Wedgewood Pharm-PM-Yr2-2025'!$E$78:$L$78,
        _xlfn.XLOOKUP('Rate Load'!H1453, 'Wedgewood Pharm-PM-Yr2-2025'!$D$79:$D$110,
            'Wedgewood Pharm-PM-Yr2-2025'!$E$79:$L$110, 0, 0),
        0, 0),
    _xlfn.XLOOKUP(G1453, 'Wedgewood Pharm-PM-Yr2-2025'!$E$78:$L$78,
        _xlfn.XLOOKUP('Rate Load'!L1453, 'Wedgewood Pharm-PM-Yr2-2025'!$D$79:$D$110,
            'Wedgewood Pharm-PM-Yr2-2025'!$E$79:$L$110, 0, 0),
        0, 0)
)</f>
        <v>31.470000000000002</v>
      </c>
      <c r="K1453" t="s">
        <v>46</v>
      </c>
      <c r="L1453" t="s">
        <v>13</v>
      </c>
      <c r="M1453">
        <v>3</v>
      </c>
      <c r="N1453" t="str">
        <f t="shared" si="22"/>
        <v>INSERT INTO TNL_RATING.dbo.usps_rate_master VALUES ('USPS', '2/13/2025', '2/13/2026', 12659, 'US', 'Priority Mail', 6, 18, 'L', 31.47, 'Wedgewood_USPS_2025', 'NonCubic','3');</v>
      </c>
    </row>
    <row r="1454" spans="1:14" x14ac:dyDescent="0.3">
      <c r="A1454" t="s">
        <v>11</v>
      </c>
      <c r="B1454" s="1" t="s">
        <v>43</v>
      </c>
      <c r="C1454" s="1" t="s">
        <v>44</v>
      </c>
      <c r="D1454">
        <v>12659</v>
      </c>
      <c r="E1454" t="s">
        <v>12</v>
      </c>
      <c r="F1454" t="s">
        <v>47</v>
      </c>
      <c r="G1454">
        <v>6</v>
      </c>
      <c r="H1454">
        <v>19</v>
      </c>
      <c r="I1454" t="s">
        <v>45</v>
      </c>
      <c r="J1454" cm="1">
        <f t="array" ref="J1454">IFERROR(
    _xlfn.XLOOKUP(G1454, 'Wedgewood Pharm-PM-Yr2-2025'!$E$78:$L$78,
        _xlfn.XLOOKUP('Rate Load'!H1454, 'Wedgewood Pharm-PM-Yr2-2025'!$D$79:$D$110,
            'Wedgewood Pharm-PM-Yr2-2025'!$E$79:$L$110, 0, 0),
        0, 0),
    _xlfn.XLOOKUP(G1454, 'Wedgewood Pharm-PM-Yr2-2025'!$E$78:$L$78,
        _xlfn.XLOOKUP('Rate Load'!L1454, 'Wedgewood Pharm-PM-Yr2-2025'!$D$79:$D$110,
            'Wedgewood Pharm-PM-Yr2-2025'!$E$79:$L$110, 0, 0),
        0, 0)
)</f>
        <v>32.739999999999995</v>
      </c>
      <c r="K1454" t="s">
        <v>46</v>
      </c>
      <c r="L1454" t="s">
        <v>13</v>
      </c>
      <c r="M1454">
        <v>3</v>
      </c>
      <c r="N1454" t="str">
        <f t="shared" si="22"/>
        <v>INSERT INTO TNL_RATING.dbo.usps_rate_master VALUES ('USPS', '2/13/2025', '2/13/2026', 12659, 'US', 'Priority Mail', 6, 19, 'L', 32.74, 'Wedgewood_USPS_2025', 'NonCubic','3');</v>
      </c>
    </row>
    <row r="1455" spans="1:14" x14ac:dyDescent="0.3">
      <c r="A1455" t="s">
        <v>11</v>
      </c>
      <c r="B1455" s="1" t="s">
        <v>43</v>
      </c>
      <c r="C1455" s="1" t="s">
        <v>44</v>
      </c>
      <c r="D1455">
        <v>12659</v>
      </c>
      <c r="E1455" t="s">
        <v>12</v>
      </c>
      <c r="F1455" t="s">
        <v>47</v>
      </c>
      <c r="G1455">
        <v>6</v>
      </c>
      <c r="H1455">
        <v>20</v>
      </c>
      <c r="I1455" t="s">
        <v>45</v>
      </c>
      <c r="J1455" cm="1">
        <f t="array" ref="J1455">IFERROR(
    _xlfn.XLOOKUP(G1455, 'Wedgewood Pharm-PM-Yr2-2025'!$E$78:$L$78,
        _xlfn.XLOOKUP('Rate Load'!H1455, 'Wedgewood Pharm-PM-Yr2-2025'!$D$79:$D$110,
            'Wedgewood Pharm-PM-Yr2-2025'!$E$79:$L$110, 0, 0),
        0, 0),
    _xlfn.XLOOKUP(G1455, 'Wedgewood Pharm-PM-Yr2-2025'!$E$78:$L$78,
        _xlfn.XLOOKUP('Rate Load'!L1455, 'Wedgewood Pharm-PM-Yr2-2025'!$D$79:$D$110,
            'Wedgewood Pharm-PM-Yr2-2025'!$E$79:$L$110, 0, 0),
        0, 0)
)</f>
        <v>33.989999999999995</v>
      </c>
      <c r="K1455" t="s">
        <v>46</v>
      </c>
      <c r="L1455" t="s">
        <v>13</v>
      </c>
      <c r="M1455">
        <v>3</v>
      </c>
      <c r="N1455" t="str">
        <f t="shared" si="22"/>
        <v>INSERT INTO TNL_RATING.dbo.usps_rate_master VALUES ('USPS', '2/13/2025', '2/13/2026', 12659, 'US', 'Priority Mail', 6, 20, 'L', 33.99, 'Wedgewood_USPS_2025', 'NonCubic','3');</v>
      </c>
    </row>
    <row r="1456" spans="1:14" x14ac:dyDescent="0.3">
      <c r="A1456" t="s">
        <v>11</v>
      </c>
      <c r="B1456" s="1" t="s">
        <v>43</v>
      </c>
      <c r="C1456" s="1" t="s">
        <v>44</v>
      </c>
      <c r="D1456">
        <v>12659</v>
      </c>
      <c r="E1456" t="s">
        <v>12</v>
      </c>
      <c r="F1456" t="s">
        <v>47</v>
      </c>
      <c r="G1456">
        <v>7</v>
      </c>
      <c r="H1456">
        <v>0.5</v>
      </c>
      <c r="I1456" t="s">
        <v>45</v>
      </c>
      <c r="J1456" cm="1">
        <f t="array" ref="J1456">IFERROR(
    _xlfn.XLOOKUP(G1456, 'Wedgewood Pharm-PM-Yr2-2025'!$E$78:$L$78,
        _xlfn.XLOOKUP('Rate Load'!H1456, 'Wedgewood Pharm-PM-Yr2-2025'!$D$79:$D$110,
            'Wedgewood Pharm-PM-Yr2-2025'!$E$79:$L$110, 0, 0),
        0, 0),
    _xlfn.XLOOKUP(G1456, 'Wedgewood Pharm-PM-Yr2-2025'!$E$78:$L$78,
        _xlfn.XLOOKUP('Rate Load'!L1456, 'Wedgewood Pharm-PM-Yr2-2025'!$D$79:$D$110,
            'Wedgewood Pharm-PM-Yr2-2025'!$E$79:$L$110, 0, 0),
        0, 0)
)</f>
        <v>7.27</v>
      </c>
      <c r="K1456" t="s">
        <v>46</v>
      </c>
      <c r="L1456" t="s">
        <v>13</v>
      </c>
      <c r="M1456">
        <v>3</v>
      </c>
      <c r="N1456" t="str">
        <f t="shared" si="22"/>
        <v>INSERT INTO TNL_RATING.dbo.usps_rate_master VALUES ('USPS', '2/13/2025', '2/13/2026', 12659, 'US', 'Priority Mail', 7, 0.5, 'L', 7.27, 'Wedgewood_USPS_2025', 'NonCubic','3');</v>
      </c>
    </row>
    <row r="1457" spans="1:14" x14ac:dyDescent="0.3">
      <c r="A1457" t="s">
        <v>11</v>
      </c>
      <c r="B1457" s="1" t="s">
        <v>43</v>
      </c>
      <c r="C1457" s="1" t="s">
        <v>44</v>
      </c>
      <c r="D1457">
        <v>12659</v>
      </c>
      <c r="E1457" t="s">
        <v>12</v>
      </c>
      <c r="F1457" t="s">
        <v>47</v>
      </c>
      <c r="G1457">
        <v>7</v>
      </c>
      <c r="H1457">
        <v>1</v>
      </c>
      <c r="I1457" t="s">
        <v>45</v>
      </c>
      <c r="J1457" cm="1">
        <f t="array" ref="J1457">IFERROR(
    _xlfn.XLOOKUP(G1457, 'Wedgewood Pharm-PM-Yr2-2025'!$E$78:$L$78,
        _xlfn.XLOOKUP('Rate Load'!H1457, 'Wedgewood Pharm-PM-Yr2-2025'!$D$79:$D$110,
            'Wedgewood Pharm-PM-Yr2-2025'!$E$79:$L$110, 0, 0),
        0, 0),
    _xlfn.XLOOKUP(G1457, 'Wedgewood Pharm-PM-Yr2-2025'!$E$78:$L$78,
        _xlfn.XLOOKUP('Rate Load'!L1457, 'Wedgewood Pharm-PM-Yr2-2025'!$D$79:$D$110,
            'Wedgewood Pharm-PM-Yr2-2025'!$E$79:$L$110, 0, 0),
        0, 0)
)</f>
        <v>7.83</v>
      </c>
      <c r="K1457" t="s">
        <v>46</v>
      </c>
      <c r="L1457" t="s">
        <v>13</v>
      </c>
      <c r="M1457">
        <v>3</v>
      </c>
      <c r="N1457" t="str">
        <f t="shared" si="22"/>
        <v>INSERT INTO TNL_RATING.dbo.usps_rate_master VALUES ('USPS', '2/13/2025', '2/13/2026', 12659, 'US', 'Priority Mail', 7, 1, 'L', 7.83, 'Wedgewood_USPS_2025', 'NonCubic','3');</v>
      </c>
    </row>
    <row r="1458" spans="1:14" x14ac:dyDescent="0.3">
      <c r="A1458" t="s">
        <v>11</v>
      </c>
      <c r="B1458" s="1" t="s">
        <v>43</v>
      </c>
      <c r="C1458" s="1" t="s">
        <v>44</v>
      </c>
      <c r="D1458">
        <v>12659</v>
      </c>
      <c r="E1458" t="s">
        <v>12</v>
      </c>
      <c r="F1458" t="s">
        <v>47</v>
      </c>
      <c r="G1458">
        <v>7</v>
      </c>
      <c r="H1458">
        <v>2</v>
      </c>
      <c r="I1458" t="s">
        <v>45</v>
      </c>
      <c r="J1458" cm="1">
        <f t="array" ref="J1458">IFERROR(
    _xlfn.XLOOKUP(G1458, 'Wedgewood Pharm-PM-Yr2-2025'!$E$78:$L$78,
        _xlfn.XLOOKUP('Rate Load'!H1458, 'Wedgewood Pharm-PM-Yr2-2025'!$D$79:$D$110,
            'Wedgewood Pharm-PM-Yr2-2025'!$E$79:$L$110, 0, 0),
        0, 0),
    _xlfn.XLOOKUP(G1458, 'Wedgewood Pharm-PM-Yr2-2025'!$E$78:$L$78,
        _xlfn.XLOOKUP('Rate Load'!L1458, 'Wedgewood Pharm-PM-Yr2-2025'!$D$79:$D$110,
            'Wedgewood Pharm-PM-Yr2-2025'!$E$79:$L$110, 0, 0),
        0, 0)
)</f>
        <v>9.9</v>
      </c>
      <c r="K1458" t="s">
        <v>46</v>
      </c>
      <c r="L1458" t="s">
        <v>13</v>
      </c>
      <c r="M1458">
        <v>3</v>
      </c>
      <c r="N1458" t="str">
        <f t="shared" si="22"/>
        <v>INSERT INTO TNL_RATING.dbo.usps_rate_master VALUES ('USPS', '2/13/2025', '2/13/2026', 12659, 'US', 'Priority Mail', 7, 2, 'L', 9.9, 'Wedgewood_USPS_2025', 'NonCubic','3');</v>
      </c>
    </row>
    <row r="1459" spans="1:14" x14ac:dyDescent="0.3">
      <c r="A1459" t="s">
        <v>11</v>
      </c>
      <c r="B1459" s="1" t="s">
        <v>43</v>
      </c>
      <c r="C1459" s="1" t="s">
        <v>44</v>
      </c>
      <c r="D1459">
        <v>12659</v>
      </c>
      <c r="E1459" t="s">
        <v>12</v>
      </c>
      <c r="F1459" t="s">
        <v>47</v>
      </c>
      <c r="G1459">
        <v>7</v>
      </c>
      <c r="H1459">
        <v>3</v>
      </c>
      <c r="I1459" t="s">
        <v>45</v>
      </c>
      <c r="J1459" cm="1">
        <f t="array" ref="J1459">IFERROR(
    _xlfn.XLOOKUP(G1459, 'Wedgewood Pharm-PM-Yr2-2025'!$E$78:$L$78,
        _xlfn.XLOOKUP('Rate Load'!H1459, 'Wedgewood Pharm-PM-Yr2-2025'!$D$79:$D$110,
            'Wedgewood Pharm-PM-Yr2-2025'!$E$79:$L$110, 0, 0),
        0, 0),
    _xlfn.XLOOKUP(G1459, 'Wedgewood Pharm-PM-Yr2-2025'!$E$78:$L$78,
        _xlfn.XLOOKUP('Rate Load'!L1459, 'Wedgewood Pharm-PM-Yr2-2025'!$D$79:$D$110,
            'Wedgewood Pharm-PM-Yr2-2025'!$E$79:$L$110, 0, 0),
        0, 0)
)</f>
        <v>13.33</v>
      </c>
      <c r="K1459" t="s">
        <v>46</v>
      </c>
      <c r="L1459" t="s">
        <v>13</v>
      </c>
      <c r="M1459">
        <v>3</v>
      </c>
      <c r="N1459" t="str">
        <f t="shared" si="22"/>
        <v>INSERT INTO TNL_RATING.dbo.usps_rate_master VALUES ('USPS', '2/13/2025', '2/13/2026', 12659, 'US', 'Priority Mail', 7, 3, 'L', 13.33, 'Wedgewood_USPS_2025', 'NonCubic','3');</v>
      </c>
    </row>
    <row r="1460" spans="1:14" x14ac:dyDescent="0.3">
      <c r="A1460" t="s">
        <v>11</v>
      </c>
      <c r="B1460" s="1" t="s">
        <v>43</v>
      </c>
      <c r="C1460" s="1" t="s">
        <v>44</v>
      </c>
      <c r="D1460">
        <v>12659</v>
      </c>
      <c r="E1460" t="s">
        <v>12</v>
      </c>
      <c r="F1460" t="s">
        <v>47</v>
      </c>
      <c r="G1460">
        <v>7</v>
      </c>
      <c r="H1460">
        <v>4</v>
      </c>
      <c r="I1460" t="s">
        <v>45</v>
      </c>
      <c r="J1460" cm="1">
        <f t="array" ref="J1460">IFERROR(
    _xlfn.XLOOKUP(G1460, 'Wedgewood Pharm-PM-Yr2-2025'!$E$78:$L$78,
        _xlfn.XLOOKUP('Rate Load'!H1460, 'Wedgewood Pharm-PM-Yr2-2025'!$D$79:$D$110,
            'Wedgewood Pharm-PM-Yr2-2025'!$E$79:$L$110, 0, 0),
        0, 0),
    _xlfn.XLOOKUP(G1460, 'Wedgewood Pharm-PM-Yr2-2025'!$E$78:$L$78,
        _xlfn.XLOOKUP('Rate Load'!L1460, 'Wedgewood Pharm-PM-Yr2-2025'!$D$79:$D$110,
            'Wedgewood Pharm-PM-Yr2-2025'!$E$79:$L$110, 0, 0),
        0, 0)
)</f>
        <v>15.799999999999999</v>
      </c>
      <c r="K1460" t="s">
        <v>46</v>
      </c>
      <c r="L1460" t="s">
        <v>13</v>
      </c>
      <c r="M1460">
        <v>3</v>
      </c>
      <c r="N1460" t="str">
        <f t="shared" si="22"/>
        <v>INSERT INTO TNL_RATING.dbo.usps_rate_master VALUES ('USPS', '2/13/2025', '2/13/2026', 12659, 'US', 'Priority Mail', 7, 4, 'L', 15.8, 'Wedgewood_USPS_2025', 'NonCubic','3');</v>
      </c>
    </row>
    <row r="1461" spans="1:14" x14ac:dyDescent="0.3">
      <c r="A1461" t="s">
        <v>11</v>
      </c>
      <c r="B1461" s="1" t="s">
        <v>43</v>
      </c>
      <c r="C1461" s="1" t="s">
        <v>44</v>
      </c>
      <c r="D1461">
        <v>12659</v>
      </c>
      <c r="E1461" t="s">
        <v>12</v>
      </c>
      <c r="F1461" t="s">
        <v>47</v>
      </c>
      <c r="G1461">
        <v>7</v>
      </c>
      <c r="H1461">
        <v>5</v>
      </c>
      <c r="I1461" t="s">
        <v>45</v>
      </c>
      <c r="J1461" cm="1">
        <f t="array" ref="J1461">IFERROR(
    _xlfn.XLOOKUP(G1461, 'Wedgewood Pharm-PM-Yr2-2025'!$E$78:$L$78,
        _xlfn.XLOOKUP('Rate Load'!H1461, 'Wedgewood Pharm-PM-Yr2-2025'!$D$79:$D$110,
            'Wedgewood Pharm-PM-Yr2-2025'!$E$79:$L$110, 0, 0),
        0, 0),
    _xlfn.XLOOKUP(G1461, 'Wedgewood Pharm-PM-Yr2-2025'!$E$78:$L$78,
        _xlfn.XLOOKUP('Rate Load'!L1461, 'Wedgewood Pharm-PM-Yr2-2025'!$D$79:$D$110,
            'Wedgewood Pharm-PM-Yr2-2025'!$E$79:$L$110, 0, 0),
        0, 0)
)</f>
        <v>17.98</v>
      </c>
      <c r="K1461" t="s">
        <v>46</v>
      </c>
      <c r="L1461" t="s">
        <v>13</v>
      </c>
      <c r="M1461">
        <v>3</v>
      </c>
      <c r="N1461" t="str">
        <f t="shared" si="22"/>
        <v>INSERT INTO TNL_RATING.dbo.usps_rate_master VALUES ('USPS', '2/13/2025', '2/13/2026', 12659, 'US', 'Priority Mail', 7, 5, 'L', 17.98, 'Wedgewood_USPS_2025', 'NonCubic','3');</v>
      </c>
    </row>
    <row r="1462" spans="1:14" x14ac:dyDescent="0.3">
      <c r="A1462" t="s">
        <v>11</v>
      </c>
      <c r="B1462" s="1" t="s">
        <v>43</v>
      </c>
      <c r="C1462" s="1" t="s">
        <v>44</v>
      </c>
      <c r="D1462">
        <v>12659</v>
      </c>
      <c r="E1462" t="s">
        <v>12</v>
      </c>
      <c r="F1462" t="s">
        <v>47</v>
      </c>
      <c r="G1462">
        <v>7</v>
      </c>
      <c r="H1462">
        <v>6</v>
      </c>
      <c r="I1462" t="s">
        <v>45</v>
      </c>
      <c r="J1462" cm="1">
        <f t="array" ref="J1462">IFERROR(
    _xlfn.XLOOKUP(G1462, 'Wedgewood Pharm-PM-Yr2-2025'!$E$78:$L$78,
        _xlfn.XLOOKUP('Rate Load'!H1462, 'Wedgewood Pharm-PM-Yr2-2025'!$D$79:$D$110,
            'Wedgewood Pharm-PM-Yr2-2025'!$E$79:$L$110, 0, 0),
        0, 0),
    _xlfn.XLOOKUP(G1462, 'Wedgewood Pharm-PM-Yr2-2025'!$E$78:$L$78,
        _xlfn.XLOOKUP('Rate Load'!L1462, 'Wedgewood Pharm-PM-Yr2-2025'!$D$79:$D$110,
            'Wedgewood Pharm-PM-Yr2-2025'!$E$79:$L$110, 0, 0),
        0, 0)
)</f>
        <v>20.770000000000003</v>
      </c>
      <c r="K1462" t="s">
        <v>46</v>
      </c>
      <c r="L1462" t="s">
        <v>13</v>
      </c>
      <c r="M1462">
        <v>3</v>
      </c>
      <c r="N1462" t="str">
        <f t="shared" si="22"/>
        <v>INSERT INTO TNL_RATING.dbo.usps_rate_master VALUES ('USPS', '2/13/2025', '2/13/2026', 12659, 'US', 'Priority Mail', 7, 6, 'L', 20.77, 'Wedgewood_USPS_2025', 'NonCubic','3');</v>
      </c>
    </row>
    <row r="1463" spans="1:14" x14ac:dyDescent="0.3">
      <c r="A1463" t="s">
        <v>11</v>
      </c>
      <c r="B1463" s="1" t="s">
        <v>43</v>
      </c>
      <c r="C1463" s="1" t="s">
        <v>44</v>
      </c>
      <c r="D1463">
        <v>12659</v>
      </c>
      <c r="E1463" t="s">
        <v>12</v>
      </c>
      <c r="F1463" t="s">
        <v>47</v>
      </c>
      <c r="G1463">
        <v>7</v>
      </c>
      <c r="H1463">
        <v>7</v>
      </c>
      <c r="I1463" t="s">
        <v>45</v>
      </c>
      <c r="J1463" cm="1">
        <f t="array" ref="J1463">IFERROR(
    _xlfn.XLOOKUP(G1463, 'Wedgewood Pharm-PM-Yr2-2025'!$E$78:$L$78,
        _xlfn.XLOOKUP('Rate Load'!H1463, 'Wedgewood Pharm-PM-Yr2-2025'!$D$79:$D$110,
            'Wedgewood Pharm-PM-Yr2-2025'!$E$79:$L$110, 0, 0),
        0, 0),
    _xlfn.XLOOKUP(G1463, 'Wedgewood Pharm-PM-Yr2-2025'!$E$78:$L$78,
        _xlfn.XLOOKUP('Rate Load'!L1463, 'Wedgewood Pharm-PM-Yr2-2025'!$D$79:$D$110,
            'Wedgewood Pharm-PM-Yr2-2025'!$E$79:$L$110, 0, 0),
        0, 0)
)</f>
        <v>22.48</v>
      </c>
      <c r="K1463" t="s">
        <v>46</v>
      </c>
      <c r="L1463" t="s">
        <v>13</v>
      </c>
      <c r="M1463">
        <v>3</v>
      </c>
      <c r="N1463" t="str">
        <f t="shared" si="22"/>
        <v>INSERT INTO TNL_RATING.dbo.usps_rate_master VALUES ('USPS', '2/13/2025', '2/13/2026', 12659, 'US', 'Priority Mail', 7, 7, 'L', 22.48, 'Wedgewood_USPS_2025', 'NonCubic','3');</v>
      </c>
    </row>
    <row r="1464" spans="1:14" x14ac:dyDescent="0.3">
      <c r="A1464" t="s">
        <v>11</v>
      </c>
      <c r="B1464" s="1" t="s">
        <v>43</v>
      </c>
      <c r="C1464" s="1" t="s">
        <v>44</v>
      </c>
      <c r="D1464">
        <v>12659</v>
      </c>
      <c r="E1464" t="s">
        <v>12</v>
      </c>
      <c r="F1464" t="s">
        <v>47</v>
      </c>
      <c r="G1464">
        <v>7</v>
      </c>
      <c r="H1464">
        <v>8</v>
      </c>
      <c r="I1464" t="s">
        <v>45</v>
      </c>
      <c r="J1464" cm="1">
        <f t="array" ref="J1464">IFERROR(
    _xlfn.XLOOKUP(G1464, 'Wedgewood Pharm-PM-Yr2-2025'!$E$78:$L$78,
        _xlfn.XLOOKUP('Rate Load'!H1464, 'Wedgewood Pharm-PM-Yr2-2025'!$D$79:$D$110,
            'Wedgewood Pharm-PM-Yr2-2025'!$E$79:$L$110, 0, 0),
        0, 0),
    _xlfn.XLOOKUP(G1464, 'Wedgewood Pharm-PM-Yr2-2025'!$E$78:$L$78,
        _xlfn.XLOOKUP('Rate Load'!L1464, 'Wedgewood Pharm-PM-Yr2-2025'!$D$79:$D$110,
            'Wedgewood Pharm-PM-Yr2-2025'!$E$79:$L$110, 0, 0),
        0, 0)
)</f>
        <v>24.12</v>
      </c>
      <c r="K1464" t="s">
        <v>46</v>
      </c>
      <c r="L1464" t="s">
        <v>13</v>
      </c>
      <c r="M1464">
        <v>3</v>
      </c>
      <c r="N1464" t="str">
        <f t="shared" si="22"/>
        <v>INSERT INTO TNL_RATING.dbo.usps_rate_master VALUES ('USPS', '2/13/2025', '2/13/2026', 12659, 'US', 'Priority Mail', 7, 8, 'L', 24.12, 'Wedgewood_USPS_2025', 'NonCubic','3');</v>
      </c>
    </row>
    <row r="1465" spans="1:14" x14ac:dyDescent="0.3">
      <c r="A1465" t="s">
        <v>11</v>
      </c>
      <c r="B1465" s="1" t="s">
        <v>43</v>
      </c>
      <c r="C1465" s="1" t="s">
        <v>44</v>
      </c>
      <c r="D1465">
        <v>12659</v>
      </c>
      <c r="E1465" t="s">
        <v>12</v>
      </c>
      <c r="F1465" t="s">
        <v>47</v>
      </c>
      <c r="G1465">
        <v>7</v>
      </c>
      <c r="H1465">
        <v>9</v>
      </c>
      <c r="I1465" t="s">
        <v>45</v>
      </c>
      <c r="J1465" cm="1">
        <f t="array" ref="J1465">IFERROR(
    _xlfn.XLOOKUP(G1465, 'Wedgewood Pharm-PM-Yr2-2025'!$E$78:$L$78,
        _xlfn.XLOOKUP('Rate Load'!H1465, 'Wedgewood Pharm-PM-Yr2-2025'!$D$79:$D$110,
            'Wedgewood Pharm-PM-Yr2-2025'!$E$79:$L$110, 0, 0),
        0, 0),
    _xlfn.XLOOKUP(G1465, 'Wedgewood Pharm-PM-Yr2-2025'!$E$78:$L$78,
        _xlfn.XLOOKUP('Rate Load'!L1465, 'Wedgewood Pharm-PM-Yr2-2025'!$D$79:$D$110,
            'Wedgewood Pharm-PM-Yr2-2025'!$E$79:$L$110, 0, 0),
        0, 0)
)</f>
        <v>25.71</v>
      </c>
      <c r="K1465" t="s">
        <v>46</v>
      </c>
      <c r="L1465" t="s">
        <v>13</v>
      </c>
      <c r="M1465">
        <v>3</v>
      </c>
      <c r="N1465" t="str">
        <f t="shared" si="22"/>
        <v>INSERT INTO TNL_RATING.dbo.usps_rate_master VALUES ('USPS', '2/13/2025', '2/13/2026', 12659, 'US', 'Priority Mail', 7, 9, 'L', 25.71, 'Wedgewood_USPS_2025', 'NonCubic','3');</v>
      </c>
    </row>
    <row r="1466" spans="1:14" x14ac:dyDescent="0.3">
      <c r="A1466" t="s">
        <v>11</v>
      </c>
      <c r="B1466" s="1" t="s">
        <v>43</v>
      </c>
      <c r="C1466" s="1" t="s">
        <v>44</v>
      </c>
      <c r="D1466">
        <v>12659</v>
      </c>
      <c r="E1466" t="s">
        <v>12</v>
      </c>
      <c r="F1466" t="s">
        <v>47</v>
      </c>
      <c r="G1466">
        <v>7</v>
      </c>
      <c r="H1466">
        <v>10</v>
      </c>
      <c r="I1466" t="s">
        <v>45</v>
      </c>
      <c r="J1466" cm="1">
        <f t="array" ref="J1466">IFERROR(
    _xlfn.XLOOKUP(G1466, 'Wedgewood Pharm-PM-Yr2-2025'!$E$78:$L$78,
        _xlfn.XLOOKUP('Rate Load'!H1466, 'Wedgewood Pharm-PM-Yr2-2025'!$D$79:$D$110,
            'Wedgewood Pharm-PM-Yr2-2025'!$E$79:$L$110, 0, 0),
        0, 0),
    _xlfn.XLOOKUP(G1466, 'Wedgewood Pharm-PM-Yr2-2025'!$E$78:$L$78,
        _xlfn.XLOOKUP('Rate Load'!L1466, 'Wedgewood Pharm-PM-Yr2-2025'!$D$79:$D$110,
            'Wedgewood Pharm-PM-Yr2-2025'!$E$79:$L$110, 0, 0),
        0, 0)
)</f>
        <v>27.270000000000003</v>
      </c>
      <c r="K1466" t="s">
        <v>46</v>
      </c>
      <c r="L1466" t="s">
        <v>13</v>
      </c>
      <c r="M1466">
        <v>3</v>
      </c>
      <c r="N1466" t="str">
        <f t="shared" si="22"/>
        <v>INSERT INTO TNL_RATING.dbo.usps_rate_master VALUES ('USPS', '2/13/2025', '2/13/2026', 12659, 'US', 'Priority Mail', 7, 10, 'L', 27.27, 'Wedgewood_USPS_2025', 'NonCubic','3');</v>
      </c>
    </row>
    <row r="1467" spans="1:14" x14ac:dyDescent="0.3">
      <c r="A1467" t="s">
        <v>11</v>
      </c>
      <c r="B1467" s="1" t="s">
        <v>43</v>
      </c>
      <c r="C1467" s="1" t="s">
        <v>44</v>
      </c>
      <c r="D1467">
        <v>12659</v>
      </c>
      <c r="E1467" t="s">
        <v>12</v>
      </c>
      <c r="F1467" t="s">
        <v>47</v>
      </c>
      <c r="G1467">
        <v>7</v>
      </c>
      <c r="H1467">
        <v>11</v>
      </c>
      <c r="I1467" t="s">
        <v>45</v>
      </c>
      <c r="J1467" cm="1">
        <f t="array" ref="J1467">IFERROR(
    _xlfn.XLOOKUP(G1467, 'Wedgewood Pharm-PM-Yr2-2025'!$E$78:$L$78,
        _xlfn.XLOOKUP('Rate Load'!H1467, 'Wedgewood Pharm-PM-Yr2-2025'!$D$79:$D$110,
            'Wedgewood Pharm-PM-Yr2-2025'!$E$79:$L$110, 0, 0),
        0, 0),
    _xlfn.XLOOKUP(G1467, 'Wedgewood Pharm-PM-Yr2-2025'!$E$78:$L$78,
        _xlfn.XLOOKUP('Rate Load'!L1467, 'Wedgewood Pharm-PM-Yr2-2025'!$D$79:$D$110,
            'Wedgewood Pharm-PM-Yr2-2025'!$E$79:$L$110, 0, 0),
        0, 0)
)</f>
        <v>28.73</v>
      </c>
      <c r="K1467" t="s">
        <v>46</v>
      </c>
      <c r="L1467" t="s">
        <v>13</v>
      </c>
      <c r="M1467">
        <v>3</v>
      </c>
      <c r="N1467" t="str">
        <f t="shared" si="22"/>
        <v>INSERT INTO TNL_RATING.dbo.usps_rate_master VALUES ('USPS', '2/13/2025', '2/13/2026', 12659, 'US', 'Priority Mail', 7, 11, 'L', 28.73, 'Wedgewood_USPS_2025', 'NonCubic','3');</v>
      </c>
    </row>
    <row r="1468" spans="1:14" x14ac:dyDescent="0.3">
      <c r="A1468" t="s">
        <v>11</v>
      </c>
      <c r="B1468" s="1" t="s">
        <v>43</v>
      </c>
      <c r="C1468" s="1" t="s">
        <v>44</v>
      </c>
      <c r="D1468">
        <v>12659</v>
      </c>
      <c r="E1468" t="s">
        <v>12</v>
      </c>
      <c r="F1468" t="s">
        <v>47</v>
      </c>
      <c r="G1468">
        <v>7</v>
      </c>
      <c r="H1468">
        <v>12</v>
      </c>
      <c r="I1468" t="s">
        <v>45</v>
      </c>
      <c r="J1468" cm="1">
        <f t="array" ref="J1468">IFERROR(
    _xlfn.XLOOKUP(G1468, 'Wedgewood Pharm-PM-Yr2-2025'!$E$78:$L$78,
        _xlfn.XLOOKUP('Rate Load'!H1468, 'Wedgewood Pharm-PM-Yr2-2025'!$D$79:$D$110,
            'Wedgewood Pharm-PM-Yr2-2025'!$E$79:$L$110, 0, 0),
        0, 0),
    _xlfn.XLOOKUP(G1468, 'Wedgewood Pharm-PM-Yr2-2025'!$E$78:$L$78,
        _xlfn.XLOOKUP('Rate Load'!L1468, 'Wedgewood Pharm-PM-Yr2-2025'!$D$79:$D$110,
            'Wedgewood Pharm-PM-Yr2-2025'!$E$79:$L$110, 0, 0),
        0, 0)
)</f>
        <v>30.39</v>
      </c>
      <c r="K1468" t="s">
        <v>46</v>
      </c>
      <c r="L1468" t="s">
        <v>13</v>
      </c>
      <c r="M1468">
        <v>3</v>
      </c>
      <c r="N1468" t="str">
        <f t="shared" si="22"/>
        <v>INSERT INTO TNL_RATING.dbo.usps_rate_master VALUES ('USPS', '2/13/2025', '2/13/2026', 12659, 'US', 'Priority Mail', 7, 12, 'L', 30.39, 'Wedgewood_USPS_2025', 'NonCubic','3');</v>
      </c>
    </row>
    <row r="1469" spans="1:14" x14ac:dyDescent="0.3">
      <c r="A1469" t="s">
        <v>11</v>
      </c>
      <c r="B1469" s="1" t="s">
        <v>43</v>
      </c>
      <c r="C1469" s="1" t="s">
        <v>44</v>
      </c>
      <c r="D1469">
        <v>12659</v>
      </c>
      <c r="E1469" t="s">
        <v>12</v>
      </c>
      <c r="F1469" t="s">
        <v>47</v>
      </c>
      <c r="G1469">
        <v>7</v>
      </c>
      <c r="H1469">
        <v>13</v>
      </c>
      <c r="I1469" t="s">
        <v>45</v>
      </c>
      <c r="J1469" cm="1">
        <f t="array" ref="J1469">IFERROR(
    _xlfn.XLOOKUP(G1469, 'Wedgewood Pharm-PM-Yr2-2025'!$E$78:$L$78,
        _xlfn.XLOOKUP('Rate Load'!H1469, 'Wedgewood Pharm-PM-Yr2-2025'!$D$79:$D$110,
            'Wedgewood Pharm-PM-Yr2-2025'!$E$79:$L$110, 0, 0),
        0, 0),
    _xlfn.XLOOKUP(G1469, 'Wedgewood Pharm-PM-Yr2-2025'!$E$78:$L$78,
        _xlfn.XLOOKUP('Rate Load'!L1469, 'Wedgewood Pharm-PM-Yr2-2025'!$D$79:$D$110,
            'Wedgewood Pharm-PM-Yr2-2025'!$E$79:$L$110, 0, 0),
        0, 0)
)</f>
        <v>32.07</v>
      </c>
      <c r="K1469" t="s">
        <v>46</v>
      </c>
      <c r="L1469" t="s">
        <v>13</v>
      </c>
      <c r="M1469">
        <v>3</v>
      </c>
      <c r="N1469" t="str">
        <f t="shared" si="22"/>
        <v>INSERT INTO TNL_RATING.dbo.usps_rate_master VALUES ('USPS', '2/13/2025', '2/13/2026', 12659, 'US', 'Priority Mail', 7, 13, 'L', 32.07, 'Wedgewood_USPS_2025', 'NonCubic','3');</v>
      </c>
    </row>
    <row r="1470" spans="1:14" x14ac:dyDescent="0.3">
      <c r="A1470" t="s">
        <v>11</v>
      </c>
      <c r="B1470" s="1" t="s">
        <v>43</v>
      </c>
      <c r="C1470" s="1" t="s">
        <v>44</v>
      </c>
      <c r="D1470">
        <v>12659</v>
      </c>
      <c r="E1470" t="s">
        <v>12</v>
      </c>
      <c r="F1470" t="s">
        <v>47</v>
      </c>
      <c r="G1470">
        <v>7</v>
      </c>
      <c r="H1470">
        <v>14</v>
      </c>
      <c r="I1470" t="s">
        <v>45</v>
      </c>
      <c r="J1470" cm="1">
        <f t="array" ref="J1470">IFERROR(
    _xlfn.XLOOKUP(G1470, 'Wedgewood Pharm-PM-Yr2-2025'!$E$78:$L$78,
        _xlfn.XLOOKUP('Rate Load'!H1470, 'Wedgewood Pharm-PM-Yr2-2025'!$D$79:$D$110,
            'Wedgewood Pharm-PM-Yr2-2025'!$E$79:$L$110, 0, 0),
        0, 0),
    _xlfn.XLOOKUP(G1470, 'Wedgewood Pharm-PM-Yr2-2025'!$E$78:$L$78,
        _xlfn.XLOOKUP('Rate Load'!L1470, 'Wedgewood Pharm-PM-Yr2-2025'!$D$79:$D$110,
            'Wedgewood Pharm-PM-Yr2-2025'!$E$79:$L$110, 0, 0),
        0, 0)
)</f>
        <v>33.75</v>
      </c>
      <c r="K1470" t="s">
        <v>46</v>
      </c>
      <c r="L1470" t="s">
        <v>13</v>
      </c>
      <c r="M1470">
        <v>3</v>
      </c>
      <c r="N1470" t="str">
        <f t="shared" si="22"/>
        <v>INSERT INTO TNL_RATING.dbo.usps_rate_master VALUES ('USPS', '2/13/2025', '2/13/2026', 12659, 'US', 'Priority Mail', 7, 14, 'L', 33.75, 'Wedgewood_USPS_2025', 'NonCubic','3');</v>
      </c>
    </row>
    <row r="1471" spans="1:14" x14ac:dyDescent="0.3">
      <c r="A1471" t="s">
        <v>11</v>
      </c>
      <c r="B1471" s="1" t="s">
        <v>43</v>
      </c>
      <c r="C1471" s="1" t="s">
        <v>44</v>
      </c>
      <c r="D1471">
        <v>12659</v>
      </c>
      <c r="E1471" t="s">
        <v>12</v>
      </c>
      <c r="F1471" t="s">
        <v>47</v>
      </c>
      <c r="G1471">
        <v>7</v>
      </c>
      <c r="H1471">
        <v>15</v>
      </c>
      <c r="I1471" t="s">
        <v>45</v>
      </c>
      <c r="J1471" cm="1">
        <f t="array" ref="J1471">IFERROR(
    _xlfn.XLOOKUP(G1471, 'Wedgewood Pharm-PM-Yr2-2025'!$E$78:$L$78,
        _xlfn.XLOOKUP('Rate Load'!H1471, 'Wedgewood Pharm-PM-Yr2-2025'!$D$79:$D$110,
            'Wedgewood Pharm-PM-Yr2-2025'!$E$79:$L$110, 0, 0),
        0, 0),
    _xlfn.XLOOKUP(G1471, 'Wedgewood Pharm-PM-Yr2-2025'!$E$78:$L$78,
        _xlfn.XLOOKUP('Rate Load'!L1471, 'Wedgewood Pharm-PM-Yr2-2025'!$D$79:$D$110,
            'Wedgewood Pharm-PM-Yr2-2025'!$E$79:$L$110, 0, 0),
        0, 0)
)</f>
        <v>35.43</v>
      </c>
      <c r="K1471" t="s">
        <v>46</v>
      </c>
      <c r="L1471" t="s">
        <v>13</v>
      </c>
      <c r="M1471">
        <v>3</v>
      </c>
      <c r="N1471" t="str">
        <f t="shared" si="22"/>
        <v>INSERT INTO TNL_RATING.dbo.usps_rate_master VALUES ('USPS', '2/13/2025', '2/13/2026', 12659, 'US', 'Priority Mail', 7, 15, 'L', 35.43, 'Wedgewood_USPS_2025', 'NonCubic','3');</v>
      </c>
    </row>
    <row r="1472" spans="1:14" x14ac:dyDescent="0.3">
      <c r="A1472" t="s">
        <v>11</v>
      </c>
      <c r="B1472" s="1" t="s">
        <v>43</v>
      </c>
      <c r="C1472" s="1" t="s">
        <v>44</v>
      </c>
      <c r="D1472">
        <v>12659</v>
      </c>
      <c r="E1472" t="s">
        <v>12</v>
      </c>
      <c r="F1472" t="s">
        <v>47</v>
      </c>
      <c r="G1472">
        <v>7</v>
      </c>
      <c r="H1472">
        <v>16</v>
      </c>
      <c r="I1472" t="s">
        <v>45</v>
      </c>
      <c r="J1472" cm="1">
        <f t="array" ref="J1472">IFERROR(
    _xlfn.XLOOKUP(G1472, 'Wedgewood Pharm-PM-Yr2-2025'!$E$78:$L$78,
        _xlfn.XLOOKUP('Rate Load'!H1472, 'Wedgewood Pharm-PM-Yr2-2025'!$D$79:$D$110,
            'Wedgewood Pharm-PM-Yr2-2025'!$E$79:$L$110, 0, 0),
        0, 0),
    _xlfn.XLOOKUP(G1472, 'Wedgewood Pharm-PM-Yr2-2025'!$E$78:$L$78,
        _xlfn.XLOOKUP('Rate Load'!L1472, 'Wedgewood Pharm-PM-Yr2-2025'!$D$79:$D$110,
            'Wedgewood Pharm-PM-Yr2-2025'!$E$79:$L$110, 0, 0),
        0, 0)
)</f>
        <v>37.129999999999995</v>
      </c>
      <c r="K1472" t="s">
        <v>46</v>
      </c>
      <c r="L1472" t="s">
        <v>13</v>
      </c>
      <c r="M1472">
        <v>3</v>
      </c>
      <c r="N1472" t="str">
        <f t="shared" si="22"/>
        <v>INSERT INTO TNL_RATING.dbo.usps_rate_master VALUES ('USPS', '2/13/2025', '2/13/2026', 12659, 'US', 'Priority Mail', 7, 16, 'L', 37.13, 'Wedgewood_USPS_2025', 'NonCubic','3');</v>
      </c>
    </row>
    <row r="1473" spans="1:14" x14ac:dyDescent="0.3">
      <c r="A1473" t="s">
        <v>11</v>
      </c>
      <c r="B1473" s="1" t="s">
        <v>43</v>
      </c>
      <c r="C1473" s="1" t="s">
        <v>44</v>
      </c>
      <c r="D1473">
        <v>12659</v>
      </c>
      <c r="E1473" t="s">
        <v>12</v>
      </c>
      <c r="F1473" t="s">
        <v>47</v>
      </c>
      <c r="G1473">
        <v>7</v>
      </c>
      <c r="H1473">
        <v>17</v>
      </c>
      <c r="I1473" t="s">
        <v>45</v>
      </c>
      <c r="J1473" cm="1">
        <f t="array" ref="J1473">IFERROR(
    _xlfn.XLOOKUP(G1473, 'Wedgewood Pharm-PM-Yr2-2025'!$E$78:$L$78,
        _xlfn.XLOOKUP('Rate Load'!H1473, 'Wedgewood Pharm-PM-Yr2-2025'!$D$79:$D$110,
            'Wedgewood Pharm-PM-Yr2-2025'!$E$79:$L$110, 0, 0),
        0, 0),
    _xlfn.XLOOKUP(G1473, 'Wedgewood Pharm-PM-Yr2-2025'!$E$78:$L$78,
        _xlfn.XLOOKUP('Rate Load'!L1473, 'Wedgewood Pharm-PM-Yr2-2025'!$D$79:$D$110,
            'Wedgewood Pharm-PM-Yr2-2025'!$E$79:$L$110, 0, 0),
        0, 0)
)</f>
        <v>38.809999999999995</v>
      </c>
      <c r="K1473" t="s">
        <v>46</v>
      </c>
      <c r="L1473" t="s">
        <v>13</v>
      </c>
      <c r="M1473">
        <v>3</v>
      </c>
      <c r="N1473" t="str">
        <f t="shared" si="22"/>
        <v>INSERT INTO TNL_RATING.dbo.usps_rate_master VALUES ('USPS', '2/13/2025', '2/13/2026', 12659, 'US', 'Priority Mail', 7, 17, 'L', 38.81, 'Wedgewood_USPS_2025', 'NonCubic','3');</v>
      </c>
    </row>
    <row r="1474" spans="1:14" x14ac:dyDescent="0.3">
      <c r="A1474" t="s">
        <v>11</v>
      </c>
      <c r="B1474" s="1" t="s">
        <v>43</v>
      </c>
      <c r="C1474" s="1" t="s">
        <v>44</v>
      </c>
      <c r="D1474">
        <v>12659</v>
      </c>
      <c r="E1474" t="s">
        <v>12</v>
      </c>
      <c r="F1474" t="s">
        <v>47</v>
      </c>
      <c r="G1474">
        <v>7</v>
      </c>
      <c r="H1474">
        <v>18</v>
      </c>
      <c r="I1474" t="s">
        <v>45</v>
      </c>
      <c r="J1474" cm="1">
        <f t="array" ref="J1474">IFERROR(
    _xlfn.XLOOKUP(G1474, 'Wedgewood Pharm-PM-Yr2-2025'!$E$78:$L$78,
        _xlfn.XLOOKUP('Rate Load'!H1474, 'Wedgewood Pharm-PM-Yr2-2025'!$D$79:$D$110,
            'Wedgewood Pharm-PM-Yr2-2025'!$E$79:$L$110, 0, 0),
        0, 0),
    _xlfn.XLOOKUP(G1474, 'Wedgewood Pharm-PM-Yr2-2025'!$E$78:$L$78,
        _xlfn.XLOOKUP('Rate Load'!L1474, 'Wedgewood Pharm-PM-Yr2-2025'!$D$79:$D$110,
            'Wedgewood Pharm-PM-Yr2-2025'!$E$79:$L$110, 0, 0),
        0, 0)
)</f>
        <v>40.489999999999995</v>
      </c>
      <c r="K1474" t="s">
        <v>46</v>
      </c>
      <c r="L1474" t="s">
        <v>13</v>
      </c>
      <c r="M1474">
        <v>3</v>
      </c>
      <c r="N1474" t="str">
        <f t="shared" si="22"/>
        <v>INSERT INTO TNL_RATING.dbo.usps_rate_master VALUES ('USPS', '2/13/2025', '2/13/2026', 12659, 'US', 'Priority Mail', 7, 18, 'L', 40.49, 'Wedgewood_USPS_2025', 'NonCubic','3');</v>
      </c>
    </row>
    <row r="1475" spans="1:14" x14ac:dyDescent="0.3">
      <c r="A1475" t="s">
        <v>11</v>
      </c>
      <c r="B1475" s="1" t="s">
        <v>43</v>
      </c>
      <c r="C1475" s="1" t="s">
        <v>44</v>
      </c>
      <c r="D1475">
        <v>12659</v>
      </c>
      <c r="E1475" t="s">
        <v>12</v>
      </c>
      <c r="F1475" t="s">
        <v>47</v>
      </c>
      <c r="G1475">
        <v>7</v>
      </c>
      <c r="H1475">
        <v>19</v>
      </c>
      <c r="I1475" t="s">
        <v>45</v>
      </c>
      <c r="J1475" cm="1">
        <f t="array" ref="J1475">IFERROR(
    _xlfn.XLOOKUP(G1475, 'Wedgewood Pharm-PM-Yr2-2025'!$E$78:$L$78,
        _xlfn.XLOOKUP('Rate Load'!H1475, 'Wedgewood Pharm-PM-Yr2-2025'!$D$79:$D$110,
            'Wedgewood Pharm-PM-Yr2-2025'!$E$79:$L$110, 0, 0),
        0, 0),
    _xlfn.XLOOKUP(G1475, 'Wedgewood Pharm-PM-Yr2-2025'!$E$78:$L$78,
        _xlfn.XLOOKUP('Rate Load'!L1475, 'Wedgewood Pharm-PM-Yr2-2025'!$D$79:$D$110,
            'Wedgewood Pharm-PM-Yr2-2025'!$E$79:$L$110, 0, 0),
        0, 0)
)</f>
        <v>42.169999999999995</v>
      </c>
      <c r="K1475" t="s">
        <v>46</v>
      </c>
      <c r="L1475" t="s">
        <v>13</v>
      </c>
      <c r="M1475">
        <v>3</v>
      </c>
      <c r="N1475" t="str">
        <f t="shared" ref="N1475:N1538" si="23">"INSERT INTO TNL_RATING.dbo.usps_rate_master VALUES ('" &amp; A1475 &amp; "', '" &amp; B1475 &amp; "', '" &amp; C1475 &amp; "', " &amp; D1475 &amp; ", '" &amp; E1475 &amp; "', '" &amp; F1475 &amp; "', " &amp; G1475 &amp; ", " &amp; H1475 &amp; ", '" &amp; I1475 &amp; "', " &amp; J1475 &amp; ", '" &amp; K1475 &amp; "', '" &amp; L1475 &amp; "','" &amp; M1475 &amp; "');"</f>
        <v>INSERT INTO TNL_RATING.dbo.usps_rate_master VALUES ('USPS', '2/13/2025', '2/13/2026', 12659, 'US', 'Priority Mail', 7, 19, 'L', 42.17, 'Wedgewood_USPS_2025', 'NonCubic','3');</v>
      </c>
    </row>
    <row r="1476" spans="1:14" x14ac:dyDescent="0.3">
      <c r="A1476" t="s">
        <v>11</v>
      </c>
      <c r="B1476" s="1" t="s">
        <v>43</v>
      </c>
      <c r="C1476" s="1" t="s">
        <v>44</v>
      </c>
      <c r="D1476">
        <v>12659</v>
      </c>
      <c r="E1476" t="s">
        <v>12</v>
      </c>
      <c r="F1476" t="s">
        <v>47</v>
      </c>
      <c r="G1476">
        <v>7</v>
      </c>
      <c r="H1476">
        <v>20</v>
      </c>
      <c r="I1476" t="s">
        <v>45</v>
      </c>
      <c r="J1476" cm="1">
        <f t="array" ref="J1476">IFERROR(
    _xlfn.XLOOKUP(G1476, 'Wedgewood Pharm-PM-Yr2-2025'!$E$78:$L$78,
        _xlfn.XLOOKUP('Rate Load'!H1476, 'Wedgewood Pharm-PM-Yr2-2025'!$D$79:$D$110,
            'Wedgewood Pharm-PM-Yr2-2025'!$E$79:$L$110, 0, 0),
        0, 0),
    _xlfn.XLOOKUP(G1476, 'Wedgewood Pharm-PM-Yr2-2025'!$E$78:$L$78,
        _xlfn.XLOOKUP('Rate Load'!L1476, 'Wedgewood Pharm-PM-Yr2-2025'!$D$79:$D$110,
            'Wedgewood Pharm-PM-Yr2-2025'!$E$79:$L$110, 0, 0),
        0, 0)
)</f>
        <v>43.86</v>
      </c>
      <c r="K1476" t="s">
        <v>46</v>
      </c>
      <c r="L1476" t="s">
        <v>13</v>
      </c>
      <c r="M1476">
        <v>3</v>
      </c>
      <c r="N1476" t="str">
        <f t="shared" si="23"/>
        <v>INSERT INTO TNL_RATING.dbo.usps_rate_master VALUES ('USPS', '2/13/2025', '2/13/2026', 12659, 'US', 'Priority Mail', 7, 20, 'L', 43.86, 'Wedgewood_USPS_2025', 'NonCubic','3');</v>
      </c>
    </row>
    <row r="1477" spans="1:14" x14ac:dyDescent="0.3">
      <c r="A1477" t="s">
        <v>11</v>
      </c>
      <c r="B1477" s="1" t="s">
        <v>43</v>
      </c>
      <c r="C1477" s="1" t="s">
        <v>44</v>
      </c>
      <c r="D1477">
        <v>12659</v>
      </c>
      <c r="E1477" t="s">
        <v>12</v>
      </c>
      <c r="F1477" t="s">
        <v>47</v>
      </c>
      <c r="G1477">
        <v>8</v>
      </c>
      <c r="H1477">
        <v>0.5</v>
      </c>
      <c r="I1477" t="s">
        <v>45</v>
      </c>
      <c r="J1477" cm="1">
        <f t="array" ref="J1477">IFERROR(
    _xlfn.XLOOKUP(G1477, 'Wedgewood Pharm-PM-Yr2-2025'!$E$78:$L$78,
        _xlfn.XLOOKUP('Rate Load'!H1477, 'Wedgewood Pharm-PM-Yr2-2025'!$D$79:$D$110,
            'Wedgewood Pharm-PM-Yr2-2025'!$E$79:$L$110, 0, 0),
        0, 0),
    _xlfn.XLOOKUP(G1477, 'Wedgewood Pharm-PM-Yr2-2025'!$E$78:$L$78,
        _xlfn.XLOOKUP('Rate Load'!L1477, 'Wedgewood Pharm-PM-Yr2-2025'!$D$79:$D$110,
            'Wedgewood Pharm-PM-Yr2-2025'!$E$79:$L$110, 0, 0),
        0, 0)
)</f>
        <v>7.66</v>
      </c>
      <c r="K1477" t="s">
        <v>46</v>
      </c>
      <c r="L1477" t="s">
        <v>13</v>
      </c>
      <c r="M1477">
        <v>3</v>
      </c>
      <c r="N1477" t="str">
        <f t="shared" si="23"/>
        <v>INSERT INTO TNL_RATING.dbo.usps_rate_master VALUES ('USPS', '2/13/2025', '2/13/2026', 12659, 'US', 'Priority Mail', 8, 0.5, 'L', 7.66, 'Wedgewood_USPS_2025', 'NonCubic','3');</v>
      </c>
    </row>
    <row r="1478" spans="1:14" x14ac:dyDescent="0.3">
      <c r="A1478" t="s">
        <v>11</v>
      </c>
      <c r="B1478" s="1" t="s">
        <v>43</v>
      </c>
      <c r="C1478" s="1" t="s">
        <v>44</v>
      </c>
      <c r="D1478">
        <v>12659</v>
      </c>
      <c r="E1478" t="s">
        <v>12</v>
      </c>
      <c r="F1478" t="s">
        <v>47</v>
      </c>
      <c r="G1478">
        <v>8</v>
      </c>
      <c r="H1478">
        <v>1</v>
      </c>
      <c r="I1478" t="s">
        <v>45</v>
      </c>
      <c r="J1478" cm="1">
        <f t="array" ref="J1478">IFERROR(
    _xlfn.XLOOKUP(G1478, 'Wedgewood Pharm-PM-Yr2-2025'!$E$78:$L$78,
        _xlfn.XLOOKUP('Rate Load'!H1478, 'Wedgewood Pharm-PM-Yr2-2025'!$D$79:$D$110,
            'Wedgewood Pharm-PM-Yr2-2025'!$E$79:$L$110, 0, 0),
        0, 0),
    _xlfn.XLOOKUP(G1478, 'Wedgewood Pharm-PM-Yr2-2025'!$E$78:$L$78,
        _xlfn.XLOOKUP('Rate Load'!L1478, 'Wedgewood Pharm-PM-Yr2-2025'!$D$79:$D$110,
            'Wedgewood Pharm-PM-Yr2-2025'!$E$79:$L$110, 0, 0),
        0, 0)
)</f>
        <v>8.26</v>
      </c>
      <c r="K1478" t="s">
        <v>46</v>
      </c>
      <c r="L1478" t="s">
        <v>13</v>
      </c>
      <c r="M1478">
        <v>3</v>
      </c>
      <c r="N1478" t="str">
        <f t="shared" si="23"/>
        <v>INSERT INTO TNL_RATING.dbo.usps_rate_master VALUES ('USPS', '2/13/2025', '2/13/2026', 12659, 'US', 'Priority Mail', 8, 1, 'L', 8.26, 'Wedgewood_USPS_2025', 'NonCubic','3');</v>
      </c>
    </row>
    <row r="1479" spans="1:14" x14ac:dyDescent="0.3">
      <c r="A1479" t="s">
        <v>11</v>
      </c>
      <c r="B1479" s="1" t="s">
        <v>43</v>
      </c>
      <c r="C1479" s="1" t="s">
        <v>44</v>
      </c>
      <c r="D1479">
        <v>12659</v>
      </c>
      <c r="E1479" t="s">
        <v>12</v>
      </c>
      <c r="F1479" t="s">
        <v>47</v>
      </c>
      <c r="G1479">
        <v>8</v>
      </c>
      <c r="H1479">
        <v>2</v>
      </c>
      <c r="I1479" t="s">
        <v>45</v>
      </c>
      <c r="J1479" cm="1">
        <f t="array" ref="J1479">IFERROR(
    _xlfn.XLOOKUP(G1479, 'Wedgewood Pharm-PM-Yr2-2025'!$E$78:$L$78,
        _xlfn.XLOOKUP('Rate Load'!H1479, 'Wedgewood Pharm-PM-Yr2-2025'!$D$79:$D$110,
            'Wedgewood Pharm-PM-Yr2-2025'!$E$79:$L$110, 0, 0),
        0, 0),
    _xlfn.XLOOKUP(G1479, 'Wedgewood Pharm-PM-Yr2-2025'!$E$78:$L$78,
        _xlfn.XLOOKUP('Rate Load'!L1479, 'Wedgewood Pharm-PM-Yr2-2025'!$D$79:$D$110,
            'Wedgewood Pharm-PM-Yr2-2025'!$E$79:$L$110, 0, 0),
        0, 0)
)</f>
        <v>10.7</v>
      </c>
      <c r="K1479" t="s">
        <v>46</v>
      </c>
      <c r="L1479" t="s">
        <v>13</v>
      </c>
      <c r="M1479">
        <v>3</v>
      </c>
      <c r="N1479" t="str">
        <f t="shared" si="23"/>
        <v>INSERT INTO TNL_RATING.dbo.usps_rate_master VALUES ('USPS', '2/13/2025', '2/13/2026', 12659, 'US', 'Priority Mail', 8, 2, 'L', 10.7, 'Wedgewood_USPS_2025', 'NonCubic','3');</v>
      </c>
    </row>
    <row r="1480" spans="1:14" x14ac:dyDescent="0.3">
      <c r="A1480" t="s">
        <v>11</v>
      </c>
      <c r="B1480" s="1" t="s">
        <v>43</v>
      </c>
      <c r="C1480" s="1" t="s">
        <v>44</v>
      </c>
      <c r="D1480">
        <v>12659</v>
      </c>
      <c r="E1480" t="s">
        <v>12</v>
      </c>
      <c r="F1480" t="s">
        <v>47</v>
      </c>
      <c r="G1480">
        <v>8</v>
      </c>
      <c r="H1480">
        <v>3</v>
      </c>
      <c r="I1480" t="s">
        <v>45</v>
      </c>
      <c r="J1480" cm="1">
        <f t="array" ref="J1480">IFERROR(
    _xlfn.XLOOKUP(G1480, 'Wedgewood Pharm-PM-Yr2-2025'!$E$78:$L$78,
        _xlfn.XLOOKUP('Rate Load'!H1480, 'Wedgewood Pharm-PM-Yr2-2025'!$D$79:$D$110,
            'Wedgewood Pharm-PM-Yr2-2025'!$E$79:$L$110, 0, 0),
        0, 0),
    _xlfn.XLOOKUP(G1480, 'Wedgewood Pharm-PM-Yr2-2025'!$E$78:$L$78,
        _xlfn.XLOOKUP('Rate Load'!L1480, 'Wedgewood Pharm-PM-Yr2-2025'!$D$79:$D$110,
            'Wedgewood Pharm-PM-Yr2-2025'!$E$79:$L$110, 0, 0),
        0, 0)
)</f>
        <v>15.14</v>
      </c>
      <c r="K1480" t="s">
        <v>46</v>
      </c>
      <c r="L1480" t="s">
        <v>13</v>
      </c>
      <c r="M1480">
        <v>3</v>
      </c>
      <c r="N1480" t="str">
        <f t="shared" si="23"/>
        <v>INSERT INTO TNL_RATING.dbo.usps_rate_master VALUES ('USPS', '2/13/2025', '2/13/2026', 12659, 'US', 'Priority Mail', 8, 3, 'L', 15.14, 'Wedgewood_USPS_2025', 'NonCubic','3');</v>
      </c>
    </row>
    <row r="1481" spans="1:14" x14ac:dyDescent="0.3">
      <c r="A1481" t="s">
        <v>11</v>
      </c>
      <c r="B1481" s="1" t="s">
        <v>43</v>
      </c>
      <c r="C1481" s="1" t="s">
        <v>44</v>
      </c>
      <c r="D1481">
        <v>12659</v>
      </c>
      <c r="E1481" t="s">
        <v>12</v>
      </c>
      <c r="F1481" t="s">
        <v>47</v>
      </c>
      <c r="G1481">
        <v>8</v>
      </c>
      <c r="H1481">
        <v>4</v>
      </c>
      <c r="I1481" t="s">
        <v>45</v>
      </c>
      <c r="J1481" cm="1">
        <f t="array" ref="J1481">IFERROR(
    _xlfn.XLOOKUP(G1481, 'Wedgewood Pharm-PM-Yr2-2025'!$E$78:$L$78,
        _xlfn.XLOOKUP('Rate Load'!H1481, 'Wedgewood Pharm-PM-Yr2-2025'!$D$79:$D$110,
            'Wedgewood Pharm-PM-Yr2-2025'!$E$79:$L$110, 0, 0),
        0, 0),
    _xlfn.XLOOKUP(G1481, 'Wedgewood Pharm-PM-Yr2-2025'!$E$78:$L$78,
        _xlfn.XLOOKUP('Rate Load'!L1481, 'Wedgewood Pharm-PM-Yr2-2025'!$D$79:$D$110,
            'Wedgewood Pharm-PM-Yr2-2025'!$E$79:$L$110, 0, 0),
        0, 0)
)</f>
        <v>17.720000000000002</v>
      </c>
      <c r="K1481" t="s">
        <v>46</v>
      </c>
      <c r="L1481" t="s">
        <v>13</v>
      </c>
      <c r="M1481">
        <v>3</v>
      </c>
      <c r="N1481" t="str">
        <f t="shared" si="23"/>
        <v>INSERT INTO TNL_RATING.dbo.usps_rate_master VALUES ('USPS', '2/13/2025', '2/13/2026', 12659, 'US', 'Priority Mail', 8, 4, 'L', 17.72, 'Wedgewood_USPS_2025', 'NonCubic','3');</v>
      </c>
    </row>
    <row r="1482" spans="1:14" x14ac:dyDescent="0.3">
      <c r="A1482" t="s">
        <v>11</v>
      </c>
      <c r="B1482" s="1" t="s">
        <v>43</v>
      </c>
      <c r="C1482" s="1" t="s">
        <v>44</v>
      </c>
      <c r="D1482">
        <v>12659</v>
      </c>
      <c r="E1482" t="s">
        <v>12</v>
      </c>
      <c r="F1482" t="s">
        <v>47</v>
      </c>
      <c r="G1482">
        <v>8</v>
      </c>
      <c r="H1482">
        <v>5</v>
      </c>
      <c r="I1482" t="s">
        <v>45</v>
      </c>
      <c r="J1482" cm="1">
        <f t="array" ref="J1482">IFERROR(
    _xlfn.XLOOKUP(G1482, 'Wedgewood Pharm-PM-Yr2-2025'!$E$78:$L$78,
        _xlfn.XLOOKUP('Rate Load'!H1482, 'Wedgewood Pharm-PM-Yr2-2025'!$D$79:$D$110,
            'Wedgewood Pharm-PM-Yr2-2025'!$E$79:$L$110, 0, 0),
        0, 0),
    _xlfn.XLOOKUP(G1482, 'Wedgewood Pharm-PM-Yr2-2025'!$E$78:$L$78,
        _xlfn.XLOOKUP('Rate Load'!L1482, 'Wedgewood Pharm-PM-Yr2-2025'!$D$79:$D$110,
            'Wedgewood Pharm-PM-Yr2-2025'!$E$79:$L$110, 0, 0),
        0, 0)
)</f>
        <v>20.220000000000002</v>
      </c>
      <c r="K1482" t="s">
        <v>46</v>
      </c>
      <c r="L1482" t="s">
        <v>13</v>
      </c>
      <c r="M1482">
        <v>3</v>
      </c>
      <c r="N1482" t="str">
        <f t="shared" si="23"/>
        <v>INSERT INTO TNL_RATING.dbo.usps_rate_master VALUES ('USPS', '2/13/2025', '2/13/2026', 12659, 'US', 'Priority Mail', 8, 5, 'L', 20.22, 'Wedgewood_USPS_2025', 'NonCubic','3');</v>
      </c>
    </row>
    <row r="1483" spans="1:14" x14ac:dyDescent="0.3">
      <c r="A1483" t="s">
        <v>11</v>
      </c>
      <c r="B1483" s="1" t="s">
        <v>43</v>
      </c>
      <c r="C1483" s="1" t="s">
        <v>44</v>
      </c>
      <c r="D1483">
        <v>12659</v>
      </c>
      <c r="E1483" t="s">
        <v>12</v>
      </c>
      <c r="F1483" t="s">
        <v>47</v>
      </c>
      <c r="G1483">
        <v>8</v>
      </c>
      <c r="H1483">
        <v>6</v>
      </c>
      <c r="I1483" t="s">
        <v>45</v>
      </c>
      <c r="J1483" cm="1">
        <f t="array" ref="J1483">IFERROR(
    _xlfn.XLOOKUP(G1483, 'Wedgewood Pharm-PM-Yr2-2025'!$E$78:$L$78,
        _xlfn.XLOOKUP('Rate Load'!H1483, 'Wedgewood Pharm-PM-Yr2-2025'!$D$79:$D$110,
            'Wedgewood Pharm-PM-Yr2-2025'!$E$79:$L$110, 0, 0),
        0, 0),
    _xlfn.XLOOKUP(G1483, 'Wedgewood Pharm-PM-Yr2-2025'!$E$78:$L$78,
        _xlfn.XLOOKUP('Rate Load'!L1483, 'Wedgewood Pharm-PM-Yr2-2025'!$D$79:$D$110,
            'Wedgewood Pharm-PM-Yr2-2025'!$E$79:$L$110, 0, 0),
        0, 0)
)</f>
        <v>23.32</v>
      </c>
      <c r="K1483" t="s">
        <v>46</v>
      </c>
      <c r="L1483" t="s">
        <v>13</v>
      </c>
      <c r="M1483">
        <v>3</v>
      </c>
      <c r="N1483" t="str">
        <f t="shared" si="23"/>
        <v>INSERT INTO TNL_RATING.dbo.usps_rate_master VALUES ('USPS', '2/13/2025', '2/13/2026', 12659, 'US', 'Priority Mail', 8, 6, 'L', 23.32, 'Wedgewood_USPS_2025', 'NonCubic','3');</v>
      </c>
    </row>
    <row r="1484" spans="1:14" x14ac:dyDescent="0.3">
      <c r="A1484" t="s">
        <v>11</v>
      </c>
      <c r="B1484" s="1" t="s">
        <v>43</v>
      </c>
      <c r="C1484" s="1" t="s">
        <v>44</v>
      </c>
      <c r="D1484">
        <v>12659</v>
      </c>
      <c r="E1484" t="s">
        <v>12</v>
      </c>
      <c r="F1484" t="s">
        <v>47</v>
      </c>
      <c r="G1484">
        <v>8</v>
      </c>
      <c r="H1484">
        <v>7</v>
      </c>
      <c r="I1484" t="s">
        <v>45</v>
      </c>
      <c r="J1484" cm="1">
        <f t="array" ref="J1484">IFERROR(
    _xlfn.XLOOKUP(G1484, 'Wedgewood Pharm-PM-Yr2-2025'!$E$78:$L$78,
        _xlfn.XLOOKUP('Rate Load'!H1484, 'Wedgewood Pharm-PM-Yr2-2025'!$D$79:$D$110,
            'Wedgewood Pharm-PM-Yr2-2025'!$E$79:$L$110, 0, 0),
        0, 0),
    _xlfn.XLOOKUP(G1484, 'Wedgewood Pharm-PM-Yr2-2025'!$E$78:$L$78,
        _xlfn.XLOOKUP('Rate Load'!L1484, 'Wedgewood Pharm-PM-Yr2-2025'!$D$79:$D$110,
            'Wedgewood Pharm-PM-Yr2-2025'!$E$79:$L$110, 0, 0),
        0, 0)
)</f>
        <v>25.3</v>
      </c>
      <c r="K1484" t="s">
        <v>46</v>
      </c>
      <c r="L1484" t="s">
        <v>13</v>
      </c>
      <c r="M1484">
        <v>3</v>
      </c>
      <c r="N1484" t="str">
        <f t="shared" si="23"/>
        <v>INSERT INTO TNL_RATING.dbo.usps_rate_master VALUES ('USPS', '2/13/2025', '2/13/2026', 12659, 'US', 'Priority Mail', 8, 7, 'L', 25.3, 'Wedgewood_USPS_2025', 'NonCubic','3');</v>
      </c>
    </row>
    <row r="1485" spans="1:14" x14ac:dyDescent="0.3">
      <c r="A1485" t="s">
        <v>11</v>
      </c>
      <c r="B1485" s="1" t="s">
        <v>43</v>
      </c>
      <c r="C1485" s="1" t="s">
        <v>44</v>
      </c>
      <c r="D1485">
        <v>12659</v>
      </c>
      <c r="E1485" t="s">
        <v>12</v>
      </c>
      <c r="F1485" t="s">
        <v>47</v>
      </c>
      <c r="G1485">
        <v>8</v>
      </c>
      <c r="H1485">
        <v>8</v>
      </c>
      <c r="I1485" t="s">
        <v>45</v>
      </c>
      <c r="J1485" cm="1">
        <f t="array" ref="J1485">IFERROR(
    _xlfn.XLOOKUP(G1485, 'Wedgewood Pharm-PM-Yr2-2025'!$E$78:$L$78,
        _xlfn.XLOOKUP('Rate Load'!H1485, 'Wedgewood Pharm-PM-Yr2-2025'!$D$79:$D$110,
            'Wedgewood Pharm-PM-Yr2-2025'!$E$79:$L$110, 0, 0),
        0, 0),
    _xlfn.XLOOKUP(G1485, 'Wedgewood Pharm-PM-Yr2-2025'!$E$78:$L$78,
        _xlfn.XLOOKUP('Rate Load'!L1485, 'Wedgewood Pharm-PM-Yr2-2025'!$D$79:$D$110,
            'Wedgewood Pharm-PM-Yr2-2025'!$E$79:$L$110, 0, 0),
        0, 0)
)</f>
        <v>27.19</v>
      </c>
      <c r="K1485" t="s">
        <v>46</v>
      </c>
      <c r="L1485" t="s">
        <v>13</v>
      </c>
      <c r="M1485">
        <v>3</v>
      </c>
      <c r="N1485" t="str">
        <f t="shared" si="23"/>
        <v>INSERT INTO TNL_RATING.dbo.usps_rate_master VALUES ('USPS', '2/13/2025', '2/13/2026', 12659, 'US', 'Priority Mail', 8, 8, 'L', 27.19, 'Wedgewood_USPS_2025', 'NonCubic','3');</v>
      </c>
    </row>
    <row r="1486" spans="1:14" x14ac:dyDescent="0.3">
      <c r="A1486" t="s">
        <v>11</v>
      </c>
      <c r="B1486" s="1" t="s">
        <v>43</v>
      </c>
      <c r="C1486" s="1" t="s">
        <v>44</v>
      </c>
      <c r="D1486">
        <v>12659</v>
      </c>
      <c r="E1486" t="s">
        <v>12</v>
      </c>
      <c r="F1486" t="s">
        <v>47</v>
      </c>
      <c r="G1486">
        <v>8</v>
      </c>
      <c r="H1486">
        <v>9</v>
      </c>
      <c r="I1486" t="s">
        <v>45</v>
      </c>
      <c r="J1486" cm="1">
        <f t="array" ref="J1486">IFERROR(
    _xlfn.XLOOKUP(G1486, 'Wedgewood Pharm-PM-Yr2-2025'!$E$78:$L$78,
        _xlfn.XLOOKUP('Rate Load'!H1486, 'Wedgewood Pharm-PM-Yr2-2025'!$D$79:$D$110,
            'Wedgewood Pharm-PM-Yr2-2025'!$E$79:$L$110, 0, 0),
        0, 0),
    _xlfn.XLOOKUP(G1486, 'Wedgewood Pharm-PM-Yr2-2025'!$E$78:$L$78,
        _xlfn.XLOOKUP('Rate Load'!L1486, 'Wedgewood Pharm-PM-Yr2-2025'!$D$79:$D$110,
            'Wedgewood Pharm-PM-Yr2-2025'!$E$79:$L$110, 0, 0),
        0, 0)
)</f>
        <v>29.040000000000003</v>
      </c>
      <c r="K1486" t="s">
        <v>46</v>
      </c>
      <c r="L1486" t="s">
        <v>13</v>
      </c>
      <c r="M1486">
        <v>3</v>
      </c>
      <c r="N1486" t="str">
        <f t="shared" si="23"/>
        <v>INSERT INTO TNL_RATING.dbo.usps_rate_master VALUES ('USPS', '2/13/2025', '2/13/2026', 12659, 'US', 'Priority Mail', 8, 9, 'L', 29.04, 'Wedgewood_USPS_2025', 'NonCubic','3');</v>
      </c>
    </row>
    <row r="1487" spans="1:14" x14ac:dyDescent="0.3">
      <c r="A1487" t="s">
        <v>11</v>
      </c>
      <c r="B1487" s="1" t="s">
        <v>43</v>
      </c>
      <c r="C1487" s="1" t="s">
        <v>44</v>
      </c>
      <c r="D1487">
        <v>12659</v>
      </c>
      <c r="E1487" t="s">
        <v>12</v>
      </c>
      <c r="F1487" t="s">
        <v>47</v>
      </c>
      <c r="G1487">
        <v>8</v>
      </c>
      <c r="H1487">
        <v>10</v>
      </c>
      <c r="I1487" t="s">
        <v>45</v>
      </c>
      <c r="J1487" cm="1">
        <f t="array" ref="J1487">IFERROR(
    _xlfn.XLOOKUP(G1487, 'Wedgewood Pharm-PM-Yr2-2025'!$E$78:$L$78,
        _xlfn.XLOOKUP('Rate Load'!H1487, 'Wedgewood Pharm-PM-Yr2-2025'!$D$79:$D$110,
            'Wedgewood Pharm-PM-Yr2-2025'!$E$79:$L$110, 0, 0),
        0, 0),
    _xlfn.XLOOKUP(G1487, 'Wedgewood Pharm-PM-Yr2-2025'!$E$78:$L$78,
        _xlfn.XLOOKUP('Rate Load'!L1487, 'Wedgewood Pharm-PM-Yr2-2025'!$D$79:$D$110,
            'Wedgewood Pharm-PM-Yr2-2025'!$E$79:$L$110, 0, 0),
        0, 0)
)</f>
        <v>30.73</v>
      </c>
      <c r="K1487" t="s">
        <v>46</v>
      </c>
      <c r="L1487" t="s">
        <v>13</v>
      </c>
      <c r="M1487">
        <v>3</v>
      </c>
      <c r="N1487" t="str">
        <f t="shared" si="23"/>
        <v>INSERT INTO TNL_RATING.dbo.usps_rate_master VALUES ('USPS', '2/13/2025', '2/13/2026', 12659, 'US', 'Priority Mail', 8, 10, 'L', 30.73, 'Wedgewood_USPS_2025', 'NonCubic','3');</v>
      </c>
    </row>
    <row r="1488" spans="1:14" x14ac:dyDescent="0.3">
      <c r="A1488" t="s">
        <v>11</v>
      </c>
      <c r="B1488" s="1" t="s">
        <v>43</v>
      </c>
      <c r="C1488" s="1" t="s">
        <v>44</v>
      </c>
      <c r="D1488">
        <v>12659</v>
      </c>
      <c r="E1488" t="s">
        <v>12</v>
      </c>
      <c r="F1488" t="s">
        <v>47</v>
      </c>
      <c r="G1488">
        <v>8</v>
      </c>
      <c r="H1488">
        <v>11</v>
      </c>
      <c r="I1488" t="s">
        <v>45</v>
      </c>
      <c r="J1488" cm="1">
        <f t="array" ref="J1488">IFERROR(
    _xlfn.XLOOKUP(G1488, 'Wedgewood Pharm-PM-Yr2-2025'!$E$78:$L$78,
        _xlfn.XLOOKUP('Rate Load'!H1488, 'Wedgewood Pharm-PM-Yr2-2025'!$D$79:$D$110,
            'Wedgewood Pharm-PM-Yr2-2025'!$E$79:$L$110, 0, 0),
        0, 0),
    _xlfn.XLOOKUP(G1488, 'Wedgewood Pharm-PM-Yr2-2025'!$E$78:$L$78,
        _xlfn.XLOOKUP('Rate Load'!L1488, 'Wedgewood Pharm-PM-Yr2-2025'!$D$79:$D$110,
            'Wedgewood Pharm-PM-Yr2-2025'!$E$79:$L$110, 0, 0),
        0, 0)
)</f>
        <v>32.299999999999997</v>
      </c>
      <c r="K1488" t="s">
        <v>46</v>
      </c>
      <c r="L1488" t="s">
        <v>13</v>
      </c>
      <c r="M1488">
        <v>3</v>
      </c>
      <c r="N1488" t="str">
        <f t="shared" si="23"/>
        <v>INSERT INTO TNL_RATING.dbo.usps_rate_master VALUES ('USPS', '2/13/2025', '2/13/2026', 12659, 'US', 'Priority Mail', 8, 11, 'L', 32.3, 'Wedgewood_USPS_2025', 'NonCubic','3');</v>
      </c>
    </row>
    <row r="1489" spans="1:14" x14ac:dyDescent="0.3">
      <c r="A1489" t="s">
        <v>11</v>
      </c>
      <c r="B1489" s="1" t="s">
        <v>43</v>
      </c>
      <c r="C1489" s="1" t="s">
        <v>44</v>
      </c>
      <c r="D1489">
        <v>12659</v>
      </c>
      <c r="E1489" t="s">
        <v>12</v>
      </c>
      <c r="F1489" t="s">
        <v>47</v>
      </c>
      <c r="G1489">
        <v>8</v>
      </c>
      <c r="H1489">
        <v>12</v>
      </c>
      <c r="I1489" t="s">
        <v>45</v>
      </c>
      <c r="J1489" cm="1">
        <f t="array" ref="J1489">IFERROR(
    _xlfn.XLOOKUP(G1489, 'Wedgewood Pharm-PM-Yr2-2025'!$E$78:$L$78,
        _xlfn.XLOOKUP('Rate Load'!H1489, 'Wedgewood Pharm-PM-Yr2-2025'!$D$79:$D$110,
            'Wedgewood Pharm-PM-Yr2-2025'!$E$79:$L$110, 0, 0),
        0, 0),
    _xlfn.XLOOKUP(G1489, 'Wedgewood Pharm-PM-Yr2-2025'!$E$78:$L$78,
        _xlfn.XLOOKUP('Rate Load'!L1489, 'Wedgewood Pharm-PM-Yr2-2025'!$D$79:$D$110,
            'Wedgewood Pharm-PM-Yr2-2025'!$E$79:$L$110, 0, 0),
        0, 0)
)</f>
        <v>34.199999999999996</v>
      </c>
      <c r="K1489" t="s">
        <v>46</v>
      </c>
      <c r="L1489" t="s">
        <v>13</v>
      </c>
      <c r="M1489">
        <v>3</v>
      </c>
      <c r="N1489" t="str">
        <f t="shared" si="23"/>
        <v>INSERT INTO TNL_RATING.dbo.usps_rate_master VALUES ('USPS', '2/13/2025', '2/13/2026', 12659, 'US', 'Priority Mail', 8, 12, 'L', 34.2, 'Wedgewood_USPS_2025', 'NonCubic','3');</v>
      </c>
    </row>
    <row r="1490" spans="1:14" x14ac:dyDescent="0.3">
      <c r="A1490" t="s">
        <v>11</v>
      </c>
      <c r="B1490" s="1" t="s">
        <v>43</v>
      </c>
      <c r="C1490" s="1" t="s">
        <v>44</v>
      </c>
      <c r="D1490">
        <v>12659</v>
      </c>
      <c r="E1490" t="s">
        <v>12</v>
      </c>
      <c r="F1490" t="s">
        <v>47</v>
      </c>
      <c r="G1490">
        <v>8</v>
      </c>
      <c r="H1490">
        <v>13</v>
      </c>
      <c r="I1490" t="s">
        <v>45</v>
      </c>
      <c r="J1490" cm="1">
        <f t="array" ref="J1490">IFERROR(
    _xlfn.XLOOKUP(G1490, 'Wedgewood Pharm-PM-Yr2-2025'!$E$78:$L$78,
        _xlfn.XLOOKUP('Rate Load'!H1490, 'Wedgewood Pharm-PM-Yr2-2025'!$D$79:$D$110,
            'Wedgewood Pharm-PM-Yr2-2025'!$E$79:$L$110, 0, 0),
        0, 0),
    _xlfn.XLOOKUP(G1490, 'Wedgewood Pharm-PM-Yr2-2025'!$E$78:$L$78,
        _xlfn.XLOOKUP('Rate Load'!L1490, 'Wedgewood Pharm-PM-Yr2-2025'!$D$79:$D$110,
            'Wedgewood Pharm-PM-Yr2-2025'!$E$79:$L$110, 0, 0),
        0, 0)
)</f>
        <v>36.119999999999997</v>
      </c>
      <c r="K1490" t="s">
        <v>46</v>
      </c>
      <c r="L1490" t="s">
        <v>13</v>
      </c>
      <c r="M1490">
        <v>3</v>
      </c>
      <c r="N1490" t="str">
        <f t="shared" si="23"/>
        <v>INSERT INTO TNL_RATING.dbo.usps_rate_master VALUES ('USPS', '2/13/2025', '2/13/2026', 12659, 'US', 'Priority Mail', 8, 13, 'L', 36.12, 'Wedgewood_USPS_2025', 'NonCubic','3');</v>
      </c>
    </row>
    <row r="1491" spans="1:14" x14ac:dyDescent="0.3">
      <c r="A1491" t="s">
        <v>11</v>
      </c>
      <c r="B1491" s="1" t="s">
        <v>43</v>
      </c>
      <c r="C1491" s="1" t="s">
        <v>44</v>
      </c>
      <c r="D1491">
        <v>12659</v>
      </c>
      <c r="E1491" t="s">
        <v>12</v>
      </c>
      <c r="F1491" t="s">
        <v>47</v>
      </c>
      <c r="G1491">
        <v>8</v>
      </c>
      <c r="H1491">
        <v>14</v>
      </c>
      <c r="I1491" t="s">
        <v>45</v>
      </c>
      <c r="J1491" cm="1">
        <f t="array" ref="J1491">IFERROR(
    _xlfn.XLOOKUP(G1491, 'Wedgewood Pharm-PM-Yr2-2025'!$E$78:$L$78,
        _xlfn.XLOOKUP('Rate Load'!H1491, 'Wedgewood Pharm-PM-Yr2-2025'!$D$79:$D$110,
            'Wedgewood Pharm-PM-Yr2-2025'!$E$79:$L$110, 0, 0),
        0, 0),
    _xlfn.XLOOKUP(G1491, 'Wedgewood Pharm-PM-Yr2-2025'!$E$78:$L$78,
        _xlfn.XLOOKUP('Rate Load'!L1491, 'Wedgewood Pharm-PM-Yr2-2025'!$D$79:$D$110,
            'Wedgewood Pharm-PM-Yr2-2025'!$E$79:$L$110, 0, 0),
        0, 0)
)</f>
        <v>38.07</v>
      </c>
      <c r="K1491" t="s">
        <v>46</v>
      </c>
      <c r="L1491" t="s">
        <v>13</v>
      </c>
      <c r="M1491">
        <v>3</v>
      </c>
      <c r="N1491" t="str">
        <f t="shared" si="23"/>
        <v>INSERT INTO TNL_RATING.dbo.usps_rate_master VALUES ('USPS', '2/13/2025', '2/13/2026', 12659, 'US', 'Priority Mail', 8, 14, 'L', 38.07, 'Wedgewood_USPS_2025', 'NonCubic','3');</v>
      </c>
    </row>
    <row r="1492" spans="1:14" x14ac:dyDescent="0.3">
      <c r="A1492" t="s">
        <v>11</v>
      </c>
      <c r="B1492" s="1" t="s">
        <v>43</v>
      </c>
      <c r="C1492" s="1" t="s">
        <v>44</v>
      </c>
      <c r="D1492">
        <v>12659</v>
      </c>
      <c r="E1492" t="s">
        <v>12</v>
      </c>
      <c r="F1492" t="s">
        <v>47</v>
      </c>
      <c r="G1492">
        <v>8</v>
      </c>
      <c r="H1492">
        <v>15</v>
      </c>
      <c r="I1492" t="s">
        <v>45</v>
      </c>
      <c r="J1492" cm="1">
        <f t="array" ref="J1492">IFERROR(
    _xlfn.XLOOKUP(G1492, 'Wedgewood Pharm-PM-Yr2-2025'!$E$78:$L$78,
        _xlfn.XLOOKUP('Rate Load'!H1492, 'Wedgewood Pharm-PM-Yr2-2025'!$D$79:$D$110,
            'Wedgewood Pharm-PM-Yr2-2025'!$E$79:$L$110, 0, 0),
        0, 0),
    _xlfn.XLOOKUP(G1492, 'Wedgewood Pharm-PM-Yr2-2025'!$E$78:$L$78,
        _xlfn.XLOOKUP('Rate Load'!L1492, 'Wedgewood Pharm-PM-Yr2-2025'!$D$79:$D$110,
            'Wedgewood Pharm-PM-Yr2-2025'!$E$79:$L$110, 0, 0),
        0, 0)
)</f>
        <v>39.99</v>
      </c>
      <c r="K1492" t="s">
        <v>46</v>
      </c>
      <c r="L1492" t="s">
        <v>13</v>
      </c>
      <c r="M1492">
        <v>3</v>
      </c>
      <c r="N1492" t="str">
        <f t="shared" si="23"/>
        <v>INSERT INTO TNL_RATING.dbo.usps_rate_master VALUES ('USPS', '2/13/2025', '2/13/2026', 12659, 'US', 'Priority Mail', 8, 15, 'L', 39.99, 'Wedgewood_USPS_2025', 'NonCubic','3');</v>
      </c>
    </row>
    <row r="1493" spans="1:14" x14ac:dyDescent="0.3">
      <c r="A1493" t="s">
        <v>11</v>
      </c>
      <c r="B1493" s="1" t="s">
        <v>43</v>
      </c>
      <c r="C1493" s="1" t="s">
        <v>44</v>
      </c>
      <c r="D1493">
        <v>12659</v>
      </c>
      <c r="E1493" t="s">
        <v>12</v>
      </c>
      <c r="F1493" t="s">
        <v>47</v>
      </c>
      <c r="G1493">
        <v>8</v>
      </c>
      <c r="H1493">
        <v>16</v>
      </c>
      <c r="I1493" t="s">
        <v>45</v>
      </c>
      <c r="J1493" cm="1">
        <f t="array" ref="J1493">IFERROR(
    _xlfn.XLOOKUP(G1493, 'Wedgewood Pharm-PM-Yr2-2025'!$E$78:$L$78,
        _xlfn.XLOOKUP('Rate Load'!H1493, 'Wedgewood Pharm-PM-Yr2-2025'!$D$79:$D$110,
            'Wedgewood Pharm-PM-Yr2-2025'!$E$79:$L$110, 0, 0),
        0, 0),
    _xlfn.XLOOKUP(G1493, 'Wedgewood Pharm-PM-Yr2-2025'!$E$78:$L$78,
        _xlfn.XLOOKUP('Rate Load'!L1493, 'Wedgewood Pharm-PM-Yr2-2025'!$D$79:$D$110,
            'Wedgewood Pharm-PM-Yr2-2025'!$E$79:$L$110, 0, 0),
        0, 0)
)</f>
        <v>41.919999999999995</v>
      </c>
      <c r="K1493" t="s">
        <v>46</v>
      </c>
      <c r="L1493" t="s">
        <v>13</v>
      </c>
      <c r="M1493">
        <v>3</v>
      </c>
      <c r="N1493" t="str">
        <f t="shared" si="23"/>
        <v>INSERT INTO TNL_RATING.dbo.usps_rate_master VALUES ('USPS', '2/13/2025', '2/13/2026', 12659, 'US', 'Priority Mail', 8, 16, 'L', 41.92, 'Wedgewood_USPS_2025', 'NonCubic','3');</v>
      </c>
    </row>
    <row r="1494" spans="1:14" x14ac:dyDescent="0.3">
      <c r="A1494" t="s">
        <v>11</v>
      </c>
      <c r="B1494" s="1" t="s">
        <v>43</v>
      </c>
      <c r="C1494" s="1" t="s">
        <v>44</v>
      </c>
      <c r="D1494">
        <v>12659</v>
      </c>
      <c r="E1494" t="s">
        <v>12</v>
      </c>
      <c r="F1494" t="s">
        <v>47</v>
      </c>
      <c r="G1494">
        <v>8</v>
      </c>
      <c r="H1494">
        <v>17</v>
      </c>
      <c r="I1494" t="s">
        <v>45</v>
      </c>
      <c r="J1494" cm="1">
        <f t="array" ref="J1494">IFERROR(
    _xlfn.XLOOKUP(G1494, 'Wedgewood Pharm-PM-Yr2-2025'!$E$78:$L$78,
        _xlfn.XLOOKUP('Rate Load'!H1494, 'Wedgewood Pharm-PM-Yr2-2025'!$D$79:$D$110,
            'Wedgewood Pharm-PM-Yr2-2025'!$E$79:$L$110, 0, 0),
        0, 0),
    _xlfn.XLOOKUP(G1494, 'Wedgewood Pharm-PM-Yr2-2025'!$E$78:$L$78,
        _xlfn.XLOOKUP('Rate Load'!L1494, 'Wedgewood Pharm-PM-Yr2-2025'!$D$79:$D$110,
            'Wedgewood Pharm-PM-Yr2-2025'!$E$79:$L$110, 0, 0),
        0, 0)
)</f>
        <v>43.85</v>
      </c>
      <c r="K1494" t="s">
        <v>46</v>
      </c>
      <c r="L1494" t="s">
        <v>13</v>
      </c>
      <c r="M1494">
        <v>3</v>
      </c>
      <c r="N1494" t="str">
        <f t="shared" si="23"/>
        <v>INSERT INTO TNL_RATING.dbo.usps_rate_master VALUES ('USPS', '2/13/2025', '2/13/2026', 12659, 'US', 'Priority Mail', 8, 17, 'L', 43.85, 'Wedgewood_USPS_2025', 'NonCubic','3');</v>
      </c>
    </row>
    <row r="1495" spans="1:14" x14ac:dyDescent="0.3">
      <c r="A1495" t="s">
        <v>11</v>
      </c>
      <c r="B1495" s="1" t="s">
        <v>43</v>
      </c>
      <c r="C1495" s="1" t="s">
        <v>44</v>
      </c>
      <c r="D1495">
        <v>12659</v>
      </c>
      <c r="E1495" t="s">
        <v>12</v>
      </c>
      <c r="F1495" t="s">
        <v>47</v>
      </c>
      <c r="G1495">
        <v>8</v>
      </c>
      <c r="H1495">
        <v>18</v>
      </c>
      <c r="I1495" t="s">
        <v>45</v>
      </c>
      <c r="J1495" cm="1">
        <f t="array" ref="J1495">IFERROR(
    _xlfn.XLOOKUP(G1495, 'Wedgewood Pharm-PM-Yr2-2025'!$E$78:$L$78,
        _xlfn.XLOOKUP('Rate Load'!H1495, 'Wedgewood Pharm-PM-Yr2-2025'!$D$79:$D$110,
            'Wedgewood Pharm-PM-Yr2-2025'!$E$79:$L$110, 0, 0),
        0, 0),
    _xlfn.XLOOKUP(G1495, 'Wedgewood Pharm-PM-Yr2-2025'!$E$78:$L$78,
        _xlfn.XLOOKUP('Rate Load'!L1495, 'Wedgewood Pharm-PM-Yr2-2025'!$D$79:$D$110,
            'Wedgewood Pharm-PM-Yr2-2025'!$E$79:$L$110, 0, 0),
        0, 0)
)</f>
        <v>45.769999999999996</v>
      </c>
      <c r="K1495" t="s">
        <v>46</v>
      </c>
      <c r="L1495" t="s">
        <v>13</v>
      </c>
      <c r="M1495">
        <v>3</v>
      </c>
      <c r="N1495" t="str">
        <f t="shared" si="23"/>
        <v>INSERT INTO TNL_RATING.dbo.usps_rate_master VALUES ('USPS', '2/13/2025', '2/13/2026', 12659, 'US', 'Priority Mail', 8, 18, 'L', 45.77, 'Wedgewood_USPS_2025', 'NonCubic','3');</v>
      </c>
    </row>
    <row r="1496" spans="1:14" x14ac:dyDescent="0.3">
      <c r="A1496" t="s">
        <v>11</v>
      </c>
      <c r="B1496" s="1" t="s">
        <v>43</v>
      </c>
      <c r="C1496" s="1" t="s">
        <v>44</v>
      </c>
      <c r="D1496">
        <v>12659</v>
      </c>
      <c r="E1496" t="s">
        <v>12</v>
      </c>
      <c r="F1496" t="s">
        <v>47</v>
      </c>
      <c r="G1496">
        <v>8</v>
      </c>
      <c r="H1496">
        <v>19</v>
      </c>
      <c r="I1496" t="s">
        <v>45</v>
      </c>
      <c r="J1496" cm="1">
        <f t="array" ref="J1496">IFERROR(
    _xlfn.XLOOKUP(G1496, 'Wedgewood Pharm-PM-Yr2-2025'!$E$78:$L$78,
        _xlfn.XLOOKUP('Rate Load'!H1496, 'Wedgewood Pharm-PM-Yr2-2025'!$D$79:$D$110,
            'Wedgewood Pharm-PM-Yr2-2025'!$E$79:$L$110, 0, 0),
        0, 0),
    _xlfn.XLOOKUP(G1496, 'Wedgewood Pharm-PM-Yr2-2025'!$E$78:$L$78,
        _xlfn.XLOOKUP('Rate Load'!L1496, 'Wedgewood Pharm-PM-Yr2-2025'!$D$79:$D$110,
            'Wedgewood Pharm-PM-Yr2-2025'!$E$79:$L$110, 0, 0),
        0, 0)
)</f>
        <v>47.699999999999996</v>
      </c>
      <c r="K1496" t="s">
        <v>46</v>
      </c>
      <c r="L1496" t="s">
        <v>13</v>
      </c>
      <c r="M1496">
        <v>3</v>
      </c>
      <c r="N1496" t="str">
        <f t="shared" si="23"/>
        <v>INSERT INTO TNL_RATING.dbo.usps_rate_master VALUES ('USPS', '2/13/2025', '2/13/2026', 12659, 'US', 'Priority Mail', 8, 19, 'L', 47.7, 'Wedgewood_USPS_2025', 'NonCubic','3');</v>
      </c>
    </row>
    <row r="1497" spans="1:14" x14ac:dyDescent="0.3">
      <c r="A1497" t="s">
        <v>11</v>
      </c>
      <c r="B1497" s="1" t="s">
        <v>43</v>
      </c>
      <c r="C1497" s="1" t="s">
        <v>44</v>
      </c>
      <c r="D1497">
        <v>12659</v>
      </c>
      <c r="E1497" t="s">
        <v>12</v>
      </c>
      <c r="F1497" t="s">
        <v>47</v>
      </c>
      <c r="G1497">
        <v>8</v>
      </c>
      <c r="H1497">
        <v>20</v>
      </c>
      <c r="I1497" t="s">
        <v>45</v>
      </c>
      <c r="J1497" cm="1">
        <f t="array" ref="J1497">IFERROR(
    _xlfn.XLOOKUP(G1497, 'Wedgewood Pharm-PM-Yr2-2025'!$E$78:$L$78,
        _xlfn.XLOOKUP('Rate Load'!H1497, 'Wedgewood Pharm-PM-Yr2-2025'!$D$79:$D$110,
            'Wedgewood Pharm-PM-Yr2-2025'!$E$79:$L$110, 0, 0),
        0, 0),
    _xlfn.XLOOKUP(G1497, 'Wedgewood Pharm-PM-Yr2-2025'!$E$78:$L$78,
        _xlfn.XLOOKUP('Rate Load'!L1497, 'Wedgewood Pharm-PM-Yr2-2025'!$D$79:$D$110,
            'Wedgewood Pharm-PM-Yr2-2025'!$E$79:$L$110, 0, 0),
        0, 0)
)</f>
        <v>49.64</v>
      </c>
      <c r="K1497" t="s">
        <v>46</v>
      </c>
      <c r="L1497" t="s">
        <v>13</v>
      </c>
      <c r="M1497">
        <v>3</v>
      </c>
      <c r="N1497" t="str">
        <f t="shared" si="23"/>
        <v>INSERT INTO TNL_RATING.dbo.usps_rate_master VALUES ('USPS', '2/13/2025', '2/13/2026', 12659, 'US', 'Priority Mail', 8, 20, 'L', 49.64, 'Wedgewood_USPS_2025', 'NonCubic','3');</v>
      </c>
    </row>
    <row r="1498" spans="1:14" x14ac:dyDescent="0.3">
      <c r="A1498" t="s">
        <v>11</v>
      </c>
      <c r="B1498" s="1" t="s">
        <v>43</v>
      </c>
      <c r="C1498" s="1" t="s">
        <v>44</v>
      </c>
      <c r="D1498">
        <v>12659</v>
      </c>
      <c r="E1498" t="s">
        <v>12</v>
      </c>
      <c r="F1498" t="s">
        <v>47</v>
      </c>
      <c r="G1498">
        <v>1</v>
      </c>
      <c r="H1498">
        <v>0</v>
      </c>
      <c r="I1498" t="s">
        <v>45</v>
      </c>
      <c r="J1498" cm="1">
        <f t="array" ref="J1498">IFERROR(
    _xlfn.XLOOKUP(G1498, 'Wedgewood Pharm-PM-Yr2-2025'!$E$78:$L$78,
        _xlfn.XLOOKUP('Rate Load'!H1498, 'Wedgewood Pharm-PM-Yr2-2025'!$D$79:$D$110,
            'Wedgewood Pharm-PM-Yr2-2025'!$E$79:$L$110, 0, 0),
        0, 0),
    _xlfn.XLOOKUP(G1498, 'Wedgewood Pharm-PM-Yr2-2025'!$E$78:$L$78,
        _xlfn.XLOOKUP('Rate Load'!L1498, 'Wedgewood Pharm-PM-Yr2-2025'!$D$79:$D$110,
            'Wedgewood Pharm-PM-Yr2-2025'!$E$79:$L$110, 0, 0),
        0, 0)
)</f>
        <v>7.34</v>
      </c>
      <c r="K1498" t="s">
        <v>46</v>
      </c>
      <c r="L1498" t="s">
        <v>22</v>
      </c>
      <c r="M1498">
        <v>3</v>
      </c>
      <c r="N1498" t="str">
        <f t="shared" si="23"/>
        <v>INSERT INTO TNL_RATING.dbo.usps_rate_master VALUES ('USPS', '2/13/2025', '2/13/2026', 12659, 'US', 'Priority Mail', 1, 0, 'L', 7.34, 'Wedgewood_USPS_2025', 'Flat-Rate Envelope','3');</v>
      </c>
    </row>
    <row r="1499" spans="1:14" x14ac:dyDescent="0.3">
      <c r="A1499" t="s">
        <v>11</v>
      </c>
      <c r="B1499" s="1" t="s">
        <v>43</v>
      </c>
      <c r="C1499" s="1" t="s">
        <v>44</v>
      </c>
      <c r="D1499">
        <v>12659</v>
      </c>
      <c r="E1499" t="s">
        <v>12</v>
      </c>
      <c r="F1499" t="s">
        <v>47</v>
      </c>
      <c r="G1499">
        <v>2</v>
      </c>
      <c r="H1499">
        <v>0</v>
      </c>
      <c r="I1499" t="s">
        <v>45</v>
      </c>
      <c r="J1499" cm="1">
        <f t="array" ref="J1499">IFERROR(
    _xlfn.XLOOKUP(G1499, 'Wedgewood Pharm-PM-Yr2-2025'!$E$78:$L$78,
        _xlfn.XLOOKUP('Rate Load'!H1499, 'Wedgewood Pharm-PM-Yr2-2025'!$D$79:$D$110,
            'Wedgewood Pharm-PM-Yr2-2025'!$E$79:$L$110, 0, 0),
        0, 0),
    _xlfn.XLOOKUP(G1499, 'Wedgewood Pharm-PM-Yr2-2025'!$E$78:$L$78,
        _xlfn.XLOOKUP('Rate Load'!L1499, 'Wedgewood Pharm-PM-Yr2-2025'!$D$79:$D$110,
            'Wedgewood Pharm-PM-Yr2-2025'!$E$79:$L$110, 0, 0),
        0, 0)
)</f>
        <v>7.34</v>
      </c>
      <c r="K1499" t="s">
        <v>46</v>
      </c>
      <c r="L1499" t="s">
        <v>22</v>
      </c>
      <c r="M1499">
        <v>3</v>
      </c>
      <c r="N1499" t="str">
        <f t="shared" si="23"/>
        <v>INSERT INTO TNL_RATING.dbo.usps_rate_master VALUES ('USPS', '2/13/2025', '2/13/2026', 12659, 'US', 'Priority Mail', 2, 0, 'L', 7.34, 'Wedgewood_USPS_2025', 'Flat-Rate Envelope','3');</v>
      </c>
    </row>
    <row r="1500" spans="1:14" x14ac:dyDescent="0.3">
      <c r="A1500" t="s">
        <v>11</v>
      </c>
      <c r="B1500" s="1" t="s">
        <v>43</v>
      </c>
      <c r="C1500" s="1" t="s">
        <v>44</v>
      </c>
      <c r="D1500">
        <v>12659</v>
      </c>
      <c r="E1500" t="s">
        <v>12</v>
      </c>
      <c r="F1500" t="s">
        <v>47</v>
      </c>
      <c r="G1500">
        <v>3</v>
      </c>
      <c r="H1500">
        <v>0</v>
      </c>
      <c r="I1500" t="s">
        <v>45</v>
      </c>
      <c r="J1500" cm="1">
        <f t="array" ref="J1500">IFERROR(
    _xlfn.XLOOKUP(G1500, 'Wedgewood Pharm-PM-Yr2-2025'!$E$78:$L$78,
        _xlfn.XLOOKUP('Rate Load'!H1500, 'Wedgewood Pharm-PM-Yr2-2025'!$D$79:$D$110,
            'Wedgewood Pharm-PM-Yr2-2025'!$E$79:$L$110, 0, 0),
        0, 0),
    _xlfn.XLOOKUP(G1500, 'Wedgewood Pharm-PM-Yr2-2025'!$E$78:$L$78,
        _xlfn.XLOOKUP('Rate Load'!L1500, 'Wedgewood Pharm-PM-Yr2-2025'!$D$79:$D$110,
            'Wedgewood Pharm-PM-Yr2-2025'!$E$79:$L$110, 0, 0),
        0, 0)
)</f>
        <v>7.34</v>
      </c>
      <c r="K1500" t="s">
        <v>46</v>
      </c>
      <c r="L1500" t="s">
        <v>22</v>
      </c>
      <c r="M1500">
        <v>3</v>
      </c>
      <c r="N1500" t="str">
        <f t="shared" si="23"/>
        <v>INSERT INTO TNL_RATING.dbo.usps_rate_master VALUES ('USPS', '2/13/2025', '2/13/2026', 12659, 'US', 'Priority Mail', 3, 0, 'L', 7.34, 'Wedgewood_USPS_2025', 'Flat-Rate Envelope','3');</v>
      </c>
    </row>
    <row r="1501" spans="1:14" x14ac:dyDescent="0.3">
      <c r="A1501" t="s">
        <v>11</v>
      </c>
      <c r="B1501" s="1" t="s">
        <v>43</v>
      </c>
      <c r="C1501" s="1" t="s">
        <v>44</v>
      </c>
      <c r="D1501">
        <v>12659</v>
      </c>
      <c r="E1501" t="s">
        <v>12</v>
      </c>
      <c r="F1501" t="s">
        <v>47</v>
      </c>
      <c r="G1501">
        <v>4</v>
      </c>
      <c r="H1501">
        <v>0</v>
      </c>
      <c r="I1501" t="s">
        <v>45</v>
      </c>
      <c r="J1501" cm="1">
        <f t="array" ref="J1501">IFERROR(
    _xlfn.XLOOKUP(G1501, 'Wedgewood Pharm-PM-Yr2-2025'!$E$78:$L$78,
        _xlfn.XLOOKUP('Rate Load'!H1501, 'Wedgewood Pharm-PM-Yr2-2025'!$D$79:$D$110,
            'Wedgewood Pharm-PM-Yr2-2025'!$E$79:$L$110, 0, 0),
        0, 0),
    _xlfn.XLOOKUP(G1501, 'Wedgewood Pharm-PM-Yr2-2025'!$E$78:$L$78,
        _xlfn.XLOOKUP('Rate Load'!L1501, 'Wedgewood Pharm-PM-Yr2-2025'!$D$79:$D$110,
            'Wedgewood Pharm-PM-Yr2-2025'!$E$79:$L$110, 0, 0),
        0, 0)
)</f>
        <v>7.34</v>
      </c>
      <c r="K1501" t="s">
        <v>46</v>
      </c>
      <c r="L1501" t="s">
        <v>22</v>
      </c>
      <c r="M1501">
        <v>3</v>
      </c>
      <c r="N1501" t="str">
        <f t="shared" si="23"/>
        <v>INSERT INTO TNL_RATING.dbo.usps_rate_master VALUES ('USPS', '2/13/2025', '2/13/2026', 12659, 'US', 'Priority Mail', 4, 0, 'L', 7.34, 'Wedgewood_USPS_2025', 'Flat-Rate Envelope','3');</v>
      </c>
    </row>
    <row r="1502" spans="1:14" x14ac:dyDescent="0.3">
      <c r="A1502" t="s">
        <v>11</v>
      </c>
      <c r="B1502" s="1" t="s">
        <v>43</v>
      </c>
      <c r="C1502" s="1" t="s">
        <v>44</v>
      </c>
      <c r="D1502">
        <v>12659</v>
      </c>
      <c r="E1502" t="s">
        <v>12</v>
      </c>
      <c r="F1502" t="s">
        <v>47</v>
      </c>
      <c r="G1502">
        <v>5</v>
      </c>
      <c r="H1502">
        <v>0</v>
      </c>
      <c r="I1502" t="s">
        <v>45</v>
      </c>
      <c r="J1502" cm="1">
        <f t="array" ref="J1502">IFERROR(
    _xlfn.XLOOKUP(G1502, 'Wedgewood Pharm-PM-Yr2-2025'!$E$78:$L$78,
        _xlfn.XLOOKUP('Rate Load'!H1502, 'Wedgewood Pharm-PM-Yr2-2025'!$D$79:$D$110,
            'Wedgewood Pharm-PM-Yr2-2025'!$E$79:$L$110, 0, 0),
        0, 0),
    _xlfn.XLOOKUP(G1502, 'Wedgewood Pharm-PM-Yr2-2025'!$E$78:$L$78,
        _xlfn.XLOOKUP('Rate Load'!L1502, 'Wedgewood Pharm-PM-Yr2-2025'!$D$79:$D$110,
            'Wedgewood Pharm-PM-Yr2-2025'!$E$79:$L$110, 0, 0),
        0, 0)
)</f>
        <v>7.34</v>
      </c>
      <c r="K1502" t="s">
        <v>46</v>
      </c>
      <c r="L1502" t="s">
        <v>22</v>
      </c>
      <c r="M1502">
        <v>3</v>
      </c>
      <c r="N1502" t="str">
        <f t="shared" si="23"/>
        <v>INSERT INTO TNL_RATING.dbo.usps_rate_master VALUES ('USPS', '2/13/2025', '2/13/2026', 12659, 'US', 'Priority Mail', 5, 0, 'L', 7.34, 'Wedgewood_USPS_2025', 'Flat-Rate Envelope','3');</v>
      </c>
    </row>
    <row r="1503" spans="1:14" x14ac:dyDescent="0.3">
      <c r="A1503" t="s">
        <v>11</v>
      </c>
      <c r="B1503" s="1" t="s">
        <v>43</v>
      </c>
      <c r="C1503" s="1" t="s">
        <v>44</v>
      </c>
      <c r="D1503">
        <v>12659</v>
      </c>
      <c r="E1503" t="s">
        <v>12</v>
      </c>
      <c r="F1503" t="s">
        <v>47</v>
      </c>
      <c r="G1503">
        <v>6</v>
      </c>
      <c r="H1503">
        <v>0</v>
      </c>
      <c r="I1503" t="s">
        <v>45</v>
      </c>
      <c r="J1503" cm="1">
        <f t="array" ref="J1503">IFERROR(
    _xlfn.XLOOKUP(G1503, 'Wedgewood Pharm-PM-Yr2-2025'!$E$78:$L$78,
        _xlfn.XLOOKUP('Rate Load'!H1503, 'Wedgewood Pharm-PM-Yr2-2025'!$D$79:$D$110,
            'Wedgewood Pharm-PM-Yr2-2025'!$E$79:$L$110, 0, 0),
        0, 0),
    _xlfn.XLOOKUP(G1503, 'Wedgewood Pharm-PM-Yr2-2025'!$E$78:$L$78,
        _xlfn.XLOOKUP('Rate Load'!L1503, 'Wedgewood Pharm-PM-Yr2-2025'!$D$79:$D$110,
            'Wedgewood Pharm-PM-Yr2-2025'!$E$79:$L$110, 0, 0),
        0, 0)
)</f>
        <v>7.34</v>
      </c>
      <c r="K1503" t="s">
        <v>46</v>
      </c>
      <c r="L1503" t="s">
        <v>22</v>
      </c>
      <c r="M1503">
        <v>3</v>
      </c>
      <c r="N1503" t="str">
        <f t="shared" si="23"/>
        <v>INSERT INTO TNL_RATING.dbo.usps_rate_master VALUES ('USPS', '2/13/2025', '2/13/2026', 12659, 'US', 'Priority Mail', 6, 0, 'L', 7.34, 'Wedgewood_USPS_2025', 'Flat-Rate Envelope','3');</v>
      </c>
    </row>
    <row r="1504" spans="1:14" x14ac:dyDescent="0.3">
      <c r="A1504" t="s">
        <v>11</v>
      </c>
      <c r="B1504" s="1" t="s">
        <v>43</v>
      </c>
      <c r="C1504" s="1" t="s">
        <v>44</v>
      </c>
      <c r="D1504">
        <v>12659</v>
      </c>
      <c r="E1504" t="s">
        <v>12</v>
      </c>
      <c r="F1504" t="s">
        <v>47</v>
      </c>
      <c r="G1504">
        <v>7</v>
      </c>
      <c r="H1504">
        <v>0</v>
      </c>
      <c r="I1504" t="s">
        <v>45</v>
      </c>
      <c r="J1504" cm="1">
        <f t="array" ref="J1504">IFERROR(
    _xlfn.XLOOKUP(G1504, 'Wedgewood Pharm-PM-Yr2-2025'!$E$78:$L$78,
        _xlfn.XLOOKUP('Rate Load'!H1504, 'Wedgewood Pharm-PM-Yr2-2025'!$D$79:$D$110,
            'Wedgewood Pharm-PM-Yr2-2025'!$E$79:$L$110, 0, 0),
        0, 0),
    _xlfn.XLOOKUP(G1504, 'Wedgewood Pharm-PM-Yr2-2025'!$E$78:$L$78,
        _xlfn.XLOOKUP('Rate Load'!L1504, 'Wedgewood Pharm-PM-Yr2-2025'!$D$79:$D$110,
            'Wedgewood Pharm-PM-Yr2-2025'!$E$79:$L$110, 0, 0),
        0, 0)
)</f>
        <v>7.34</v>
      </c>
      <c r="K1504" t="s">
        <v>46</v>
      </c>
      <c r="L1504" t="s">
        <v>22</v>
      </c>
      <c r="M1504">
        <v>3</v>
      </c>
      <c r="N1504" t="str">
        <f t="shared" si="23"/>
        <v>INSERT INTO TNL_RATING.dbo.usps_rate_master VALUES ('USPS', '2/13/2025', '2/13/2026', 12659, 'US', 'Priority Mail', 7, 0, 'L', 7.34, 'Wedgewood_USPS_2025', 'Flat-Rate Envelope','3');</v>
      </c>
    </row>
    <row r="1505" spans="1:14" x14ac:dyDescent="0.3">
      <c r="A1505" t="s">
        <v>11</v>
      </c>
      <c r="B1505" s="1" t="s">
        <v>43</v>
      </c>
      <c r="C1505" s="1" t="s">
        <v>44</v>
      </c>
      <c r="D1505">
        <v>12659</v>
      </c>
      <c r="E1505" t="s">
        <v>12</v>
      </c>
      <c r="F1505" t="s">
        <v>47</v>
      </c>
      <c r="G1505">
        <v>8</v>
      </c>
      <c r="H1505">
        <v>0</v>
      </c>
      <c r="I1505" t="s">
        <v>45</v>
      </c>
      <c r="J1505" cm="1">
        <f t="array" ref="J1505">IFERROR(
    _xlfn.XLOOKUP(G1505, 'Wedgewood Pharm-PM-Yr2-2025'!$E$78:$L$78,
        _xlfn.XLOOKUP('Rate Load'!H1505, 'Wedgewood Pharm-PM-Yr2-2025'!$D$79:$D$110,
            'Wedgewood Pharm-PM-Yr2-2025'!$E$79:$L$110, 0, 0),
        0, 0),
    _xlfn.XLOOKUP(G1505, 'Wedgewood Pharm-PM-Yr2-2025'!$E$78:$L$78,
        _xlfn.XLOOKUP('Rate Load'!L1505, 'Wedgewood Pharm-PM-Yr2-2025'!$D$79:$D$110,
            'Wedgewood Pharm-PM-Yr2-2025'!$E$79:$L$110, 0, 0),
        0, 0)
)</f>
        <v>7.34</v>
      </c>
      <c r="K1505" t="s">
        <v>46</v>
      </c>
      <c r="L1505" t="s">
        <v>22</v>
      </c>
      <c r="M1505">
        <v>3</v>
      </c>
      <c r="N1505" t="str">
        <f t="shared" si="23"/>
        <v>INSERT INTO TNL_RATING.dbo.usps_rate_master VALUES ('USPS', '2/13/2025', '2/13/2026', 12659, 'US', 'Priority Mail', 8, 0, 'L', 7.34, 'Wedgewood_USPS_2025', 'Flat-Rate Envelope','3');</v>
      </c>
    </row>
    <row r="1506" spans="1:14" x14ac:dyDescent="0.3">
      <c r="A1506" t="s">
        <v>11</v>
      </c>
      <c r="B1506" s="1" t="s">
        <v>43</v>
      </c>
      <c r="C1506" s="1" t="s">
        <v>44</v>
      </c>
      <c r="D1506">
        <v>12659</v>
      </c>
      <c r="E1506" t="s">
        <v>12</v>
      </c>
      <c r="F1506" t="s">
        <v>47</v>
      </c>
      <c r="G1506">
        <v>1</v>
      </c>
      <c r="H1506">
        <v>0</v>
      </c>
      <c r="I1506" t="s">
        <v>45</v>
      </c>
      <c r="J1506" cm="1">
        <f t="array" ref="J1506">IFERROR(
    _xlfn.XLOOKUP(G1506, 'Wedgewood Pharm-PM-Yr2-2025'!$E$78:$L$78,
        _xlfn.XLOOKUP('Rate Load'!H1506, 'Wedgewood Pharm-PM-Yr2-2025'!$D$79:$D$110,
            'Wedgewood Pharm-PM-Yr2-2025'!$E$79:$L$110, 0, 0),
        0, 0),
    _xlfn.XLOOKUP(G1506, 'Wedgewood Pharm-PM-Yr2-2025'!$E$78:$L$78,
        _xlfn.XLOOKUP('Rate Load'!L1506, 'Wedgewood Pharm-PM-Yr2-2025'!$D$79:$D$110,
            'Wedgewood Pharm-PM-Yr2-2025'!$E$79:$L$110, 0, 0),
        0, 0)
)</f>
        <v>7.63</v>
      </c>
      <c r="K1506" t="s">
        <v>46</v>
      </c>
      <c r="L1506" t="s">
        <v>23</v>
      </c>
      <c r="M1506">
        <v>3</v>
      </c>
      <c r="N1506" t="str">
        <f t="shared" si="23"/>
        <v>INSERT INTO TNL_RATING.dbo.usps_rate_master VALUES ('USPS', '2/13/2025', '2/13/2026', 12659, 'US', 'Priority Mail', 1, 0, 'L', 7.63, 'Wedgewood_USPS_2025', 'Legal Flat-Rate Envelope','3');</v>
      </c>
    </row>
    <row r="1507" spans="1:14" x14ac:dyDescent="0.3">
      <c r="A1507" t="s">
        <v>11</v>
      </c>
      <c r="B1507" s="1" t="s">
        <v>43</v>
      </c>
      <c r="C1507" s="1" t="s">
        <v>44</v>
      </c>
      <c r="D1507">
        <v>12659</v>
      </c>
      <c r="E1507" t="s">
        <v>12</v>
      </c>
      <c r="F1507" t="s">
        <v>47</v>
      </c>
      <c r="G1507">
        <v>2</v>
      </c>
      <c r="H1507">
        <v>0</v>
      </c>
      <c r="I1507" t="s">
        <v>45</v>
      </c>
      <c r="J1507" cm="1">
        <f t="array" ref="J1507">IFERROR(
    _xlfn.XLOOKUP(G1507, 'Wedgewood Pharm-PM-Yr2-2025'!$E$78:$L$78,
        _xlfn.XLOOKUP('Rate Load'!H1507, 'Wedgewood Pharm-PM-Yr2-2025'!$D$79:$D$110,
            'Wedgewood Pharm-PM-Yr2-2025'!$E$79:$L$110, 0, 0),
        0, 0),
    _xlfn.XLOOKUP(G1507, 'Wedgewood Pharm-PM-Yr2-2025'!$E$78:$L$78,
        _xlfn.XLOOKUP('Rate Load'!L1507, 'Wedgewood Pharm-PM-Yr2-2025'!$D$79:$D$110,
            'Wedgewood Pharm-PM-Yr2-2025'!$E$79:$L$110, 0, 0),
        0, 0)
)</f>
        <v>7.63</v>
      </c>
      <c r="K1507" t="s">
        <v>46</v>
      </c>
      <c r="L1507" t="s">
        <v>23</v>
      </c>
      <c r="M1507">
        <v>3</v>
      </c>
      <c r="N1507" t="str">
        <f t="shared" si="23"/>
        <v>INSERT INTO TNL_RATING.dbo.usps_rate_master VALUES ('USPS', '2/13/2025', '2/13/2026', 12659, 'US', 'Priority Mail', 2, 0, 'L', 7.63, 'Wedgewood_USPS_2025', 'Legal Flat-Rate Envelope','3');</v>
      </c>
    </row>
    <row r="1508" spans="1:14" x14ac:dyDescent="0.3">
      <c r="A1508" t="s">
        <v>11</v>
      </c>
      <c r="B1508" s="1" t="s">
        <v>43</v>
      </c>
      <c r="C1508" s="1" t="s">
        <v>44</v>
      </c>
      <c r="D1508">
        <v>12659</v>
      </c>
      <c r="E1508" t="s">
        <v>12</v>
      </c>
      <c r="F1508" t="s">
        <v>47</v>
      </c>
      <c r="G1508">
        <v>3</v>
      </c>
      <c r="H1508">
        <v>0</v>
      </c>
      <c r="I1508" t="s">
        <v>45</v>
      </c>
      <c r="J1508" cm="1">
        <f t="array" ref="J1508">IFERROR(
    _xlfn.XLOOKUP(G1508, 'Wedgewood Pharm-PM-Yr2-2025'!$E$78:$L$78,
        _xlfn.XLOOKUP('Rate Load'!H1508, 'Wedgewood Pharm-PM-Yr2-2025'!$D$79:$D$110,
            'Wedgewood Pharm-PM-Yr2-2025'!$E$79:$L$110, 0, 0),
        0, 0),
    _xlfn.XLOOKUP(G1508, 'Wedgewood Pharm-PM-Yr2-2025'!$E$78:$L$78,
        _xlfn.XLOOKUP('Rate Load'!L1508, 'Wedgewood Pharm-PM-Yr2-2025'!$D$79:$D$110,
            'Wedgewood Pharm-PM-Yr2-2025'!$E$79:$L$110, 0, 0),
        0, 0)
)</f>
        <v>7.63</v>
      </c>
      <c r="K1508" t="s">
        <v>46</v>
      </c>
      <c r="L1508" t="s">
        <v>23</v>
      </c>
      <c r="M1508">
        <v>3</v>
      </c>
      <c r="N1508" t="str">
        <f t="shared" si="23"/>
        <v>INSERT INTO TNL_RATING.dbo.usps_rate_master VALUES ('USPS', '2/13/2025', '2/13/2026', 12659, 'US', 'Priority Mail', 3, 0, 'L', 7.63, 'Wedgewood_USPS_2025', 'Legal Flat-Rate Envelope','3');</v>
      </c>
    </row>
    <row r="1509" spans="1:14" x14ac:dyDescent="0.3">
      <c r="A1509" t="s">
        <v>11</v>
      </c>
      <c r="B1509" s="1" t="s">
        <v>43</v>
      </c>
      <c r="C1509" s="1" t="s">
        <v>44</v>
      </c>
      <c r="D1509">
        <v>12659</v>
      </c>
      <c r="E1509" t="s">
        <v>12</v>
      </c>
      <c r="F1509" t="s">
        <v>47</v>
      </c>
      <c r="G1509">
        <v>4</v>
      </c>
      <c r="H1509">
        <v>0</v>
      </c>
      <c r="I1509" t="s">
        <v>45</v>
      </c>
      <c r="J1509" cm="1">
        <f t="array" ref="J1509">IFERROR(
    _xlfn.XLOOKUP(G1509, 'Wedgewood Pharm-PM-Yr2-2025'!$E$78:$L$78,
        _xlfn.XLOOKUP('Rate Load'!H1509, 'Wedgewood Pharm-PM-Yr2-2025'!$D$79:$D$110,
            'Wedgewood Pharm-PM-Yr2-2025'!$E$79:$L$110, 0, 0),
        0, 0),
    _xlfn.XLOOKUP(G1509, 'Wedgewood Pharm-PM-Yr2-2025'!$E$78:$L$78,
        _xlfn.XLOOKUP('Rate Load'!L1509, 'Wedgewood Pharm-PM-Yr2-2025'!$D$79:$D$110,
            'Wedgewood Pharm-PM-Yr2-2025'!$E$79:$L$110, 0, 0),
        0, 0)
)</f>
        <v>7.63</v>
      </c>
      <c r="K1509" t="s">
        <v>46</v>
      </c>
      <c r="L1509" t="s">
        <v>23</v>
      </c>
      <c r="M1509">
        <v>3</v>
      </c>
      <c r="N1509" t="str">
        <f t="shared" si="23"/>
        <v>INSERT INTO TNL_RATING.dbo.usps_rate_master VALUES ('USPS', '2/13/2025', '2/13/2026', 12659, 'US', 'Priority Mail', 4, 0, 'L', 7.63, 'Wedgewood_USPS_2025', 'Legal Flat-Rate Envelope','3');</v>
      </c>
    </row>
    <row r="1510" spans="1:14" x14ac:dyDescent="0.3">
      <c r="A1510" t="s">
        <v>11</v>
      </c>
      <c r="B1510" s="1" t="s">
        <v>43</v>
      </c>
      <c r="C1510" s="1" t="s">
        <v>44</v>
      </c>
      <c r="D1510">
        <v>12659</v>
      </c>
      <c r="E1510" t="s">
        <v>12</v>
      </c>
      <c r="F1510" t="s">
        <v>47</v>
      </c>
      <c r="G1510">
        <v>5</v>
      </c>
      <c r="H1510">
        <v>0</v>
      </c>
      <c r="I1510" t="s">
        <v>45</v>
      </c>
      <c r="J1510" cm="1">
        <f t="array" ref="J1510">IFERROR(
    _xlfn.XLOOKUP(G1510, 'Wedgewood Pharm-PM-Yr2-2025'!$E$78:$L$78,
        _xlfn.XLOOKUP('Rate Load'!H1510, 'Wedgewood Pharm-PM-Yr2-2025'!$D$79:$D$110,
            'Wedgewood Pharm-PM-Yr2-2025'!$E$79:$L$110, 0, 0),
        0, 0),
    _xlfn.XLOOKUP(G1510, 'Wedgewood Pharm-PM-Yr2-2025'!$E$78:$L$78,
        _xlfn.XLOOKUP('Rate Load'!L1510, 'Wedgewood Pharm-PM-Yr2-2025'!$D$79:$D$110,
            'Wedgewood Pharm-PM-Yr2-2025'!$E$79:$L$110, 0, 0),
        0, 0)
)</f>
        <v>7.63</v>
      </c>
      <c r="K1510" t="s">
        <v>46</v>
      </c>
      <c r="L1510" t="s">
        <v>23</v>
      </c>
      <c r="M1510">
        <v>3</v>
      </c>
      <c r="N1510" t="str">
        <f t="shared" si="23"/>
        <v>INSERT INTO TNL_RATING.dbo.usps_rate_master VALUES ('USPS', '2/13/2025', '2/13/2026', 12659, 'US', 'Priority Mail', 5, 0, 'L', 7.63, 'Wedgewood_USPS_2025', 'Legal Flat-Rate Envelope','3');</v>
      </c>
    </row>
    <row r="1511" spans="1:14" x14ac:dyDescent="0.3">
      <c r="A1511" t="s">
        <v>11</v>
      </c>
      <c r="B1511" s="1" t="s">
        <v>43</v>
      </c>
      <c r="C1511" s="1" t="s">
        <v>44</v>
      </c>
      <c r="D1511">
        <v>12659</v>
      </c>
      <c r="E1511" t="s">
        <v>12</v>
      </c>
      <c r="F1511" t="s">
        <v>47</v>
      </c>
      <c r="G1511">
        <v>6</v>
      </c>
      <c r="H1511">
        <v>0</v>
      </c>
      <c r="I1511" t="s">
        <v>45</v>
      </c>
      <c r="J1511" cm="1">
        <f t="array" ref="J1511">IFERROR(
    _xlfn.XLOOKUP(G1511, 'Wedgewood Pharm-PM-Yr2-2025'!$E$78:$L$78,
        _xlfn.XLOOKUP('Rate Load'!H1511, 'Wedgewood Pharm-PM-Yr2-2025'!$D$79:$D$110,
            'Wedgewood Pharm-PM-Yr2-2025'!$E$79:$L$110, 0, 0),
        0, 0),
    _xlfn.XLOOKUP(G1511, 'Wedgewood Pharm-PM-Yr2-2025'!$E$78:$L$78,
        _xlfn.XLOOKUP('Rate Load'!L1511, 'Wedgewood Pharm-PM-Yr2-2025'!$D$79:$D$110,
            'Wedgewood Pharm-PM-Yr2-2025'!$E$79:$L$110, 0, 0),
        0, 0)
)</f>
        <v>7.63</v>
      </c>
      <c r="K1511" t="s">
        <v>46</v>
      </c>
      <c r="L1511" t="s">
        <v>23</v>
      </c>
      <c r="M1511">
        <v>3</v>
      </c>
      <c r="N1511" t="str">
        <f t="shared" si="23"/>
        <v>INSERT INTO TNL_RATING.dbo.usps_rate_master VALUES ('USPS', '2/13/2025', '2/13/2026', 12659, 'US', 'Priority Mail', 6, 0, 'L', 7.63, 'Wedgewood_USPS_2025', 'Legal Flat-Rate Envelope','3');</v>
      </c>
    </row>
    <row r="1512" spans="1:14" x14ac:dyDescent="0.3">
      <c r="A1512" t="s">
        <v>11</v>
      </c>
      <c r="B1512" s="1" t="s">
        <v>43</v>
      </c>
      <c r="C1512" s="1" t="s">
        <v>44</v>
      </c>
      <c r="D1512">
        <v>12659</v>
      </c>
      <c r="E1512" t="s">
        <v>12</v>
      </c>
      <c r="F1512" t="s">
        <v>47</v>
      </c>
      <c r="G1512">
        <v>7</v>
      </c>
      <c r="H1512">
        <v>0</v>
      </c>
      <c r="I1512" t="s">
        <v>45</v>
      </c>
      <c r="J1512" cm="1">
        <f t="array" ref="J1512">IFERROR(
    _xlfn.XLOOKUP(G1512, 'Wedgewood Pharm-PM-Yr2-2025'!$E$78:$L$78,
        _xlfn.XLOOKUP('Rate Load'!H1512, 'Wedgewood Pharm-PM-Yr2-2025'!$D$79:$D$110,
            'Wedgewood Pharm-PM-Yr2-2025'!$E$79:$L$110, 0, 0),
        0, 0),
    _xlfn.XLOOKUP(G1512, 'Wedgewood Pharm-PM-Yr2-2025'!$E$78:$L$78,
        _xlfn.XLOOKUP('Rate Load'!L1512, 'Wedgewood Pharm-PM-Yr2-2025'!$D$79:$D$110,
            'Wedgewood Pharm-PM-Yr2-2025'!$E$79:$L$110, 0, 0),
        0, 0)
)</f>
        <v>7.63</v>
      </c>
      <c r="K1512" t="s">
        <v>46</v>
      </c>
      <c r="L1512" t="s">
        <v>23</v>
      </c>
      <c r="M1512">
        <v>3</v>
      </c>
      <c r="N1512" t="str">
        <f t="shared" si="23"/>
        <v>INSERT INTO TNL_RATING.dbo.usps_rate_master VALUES ('USPS', '2/13/2025', '2/13/2026', 12659, 'US', 'Priority Mail', 7, 0, 'L', 7.63, 'Wedgewood_USPS_2025', 'Legal Flat-Rate Envelope','3');</v>
      </c>
    </row>
    <row r="1513" spans="1:14" x14ac:dyDescent="0.3">
      <c r="A1513" t="s">
        <v>11</v>
      </c>
      <c r="B1513" s="1" t="s">
        <v>43</v>
      </c>
      <c r="C1513" s="1" t="s">
        <v>44</v>
      </c>
      <c r="D1513">
        <v>12659</v>
      </c>
      <c r="E1513" t="s">
        <v>12</v>
      </c>
      <c r="F1513" t="s">
        <v>47</v>
      </c>
      <c r="G1513">
        <v>8</v>
      </c>
      <c r="H1513">
        <v>0</v>
      </c>
      <c r="I1513" t="s">
        <v>45</v>
      </c>
      <c r="J1513" cm="1">
        <f t="array" ref="J1513">IFERROR(
    _xlfn.XLOOKUP(G1513, 'Wedgewood Pharm-PM-Yr2-2025'!$E$78:$L$78,
        _xlfn.XLOOKUP('Rate Load'!H1513, 'Wedgewood Pharm-PM-Yr2-2025'!$D$79:$D$110,
            'Wedgewood Pharm-PM-Yr2-2025'!$E$79:$L$110, 0, 0),
        0, 0),
    _xlfn.XLOOKUP(G1513, 'Wedgewood Pharm-PM-Yr2-2025'!$E$78:$L$78,
        _xlfn.XLOOKUP('Rate Load'!L1513, 'Wedgewood Pharm-PM-Yr2-2025'!$D$79:$D$110,
            'Wedgewood Pharm-PM-Yr2-2025'!$E$79:$L$110, 0, 0),
        0, 0)
)</f>
        <v>7.63</v>
      </c>
      <c r="K1513" t="s">
        <v>46</v>
      </c>
      <c r="L1513" t="s">
        <v>23</v>
      </c>
      <c r="M1513">
        <v>3</v>
      </c>
      <c r="N1513" t="str">
        <f t="shared" si="23"/>
        <v>INSERT INTO TNL_RATING.dbo.usps_rate_master VALUES ('USPS', '2/13/2025', '2/13/2026', 12659, 'US', 'Priority Mail', 8, 0, 'L', 7.63, 'Wedgewood_USPS_2025', 'Legal Flat-Rate Envelope','3');</v>
      </c>
    </row>
    <row r="1514" spans="1:14" x14ac:dyDescent="0.3">
      <c r="A1514" t="s">
        <v>11</v>
      </c>
      <c r="B1514" s="1" t="s">
        <v>43</v>
      </c>
      <c r="C1514" s="1" t="s">
        <v>44</v>
      </c>
      <c r="D1514">
        <v>12659</v>
      </c>
      <c r="E1514" t="s">
        <v>12</v>
      </c>
      <c r="F1514" t="s">
        <v>47</v>
      </c>
      <c r="G1514">
        <v>1</v>
      </c>
      <c r="H1514">
        <v>0</v>
      </c>
      <c r="I1514" t="s">
        <v>45</v>
      </c>
      <c r="J1514" cm="1">
        <f t="array" ref="J1514">IFERROR(
    _xlfn.XLOOKUP(G1514, 'Wedgewood Pharm-PM-Yr2-2025'!$E$78:$L$78,
        _xlfn.XLOOKUP('Rate Load'!H1514, 'Wedgewood Pharm-PM-Yr2-2025'!$D$79:$D$110,
            'Wedgewood Pharm-PM-Yr2-2025'!$E$79:$L$110, 0, 0),
        0, 0),
    _xlfn.XLOOKUP(G1514, 'Wedgewood Pharm-PM-Yr2-2025'!$E$78:$L$78,
        _xlfn.XLOOKUP('Rate Load'!L1514, 'Wedgewood Pharm-PM-Yr2-2025'!$D$79:$D$110,
            'Wedgewood Pharm-PM-Yr2-2025'!$E$79:$L$110, 0, 0),
        0, 0)
)</f>
        <v>8.01</v>
      </c>
      <c r="K1514" t="s">
        <v>46</v>
      </c>
      <c r="L1514" t="s">
        <v>24</v>
      </c>
      <c r="M1514">
        <v>3</v>
      </c>
      <c r="N1514" t="str">
        <f t="shared" si="23"/>
        <v>INSERT INTO TNL_RATING.dbo.usps_rate_master VALUES ('USPS', '2/13/2025', '2/13/2026', 12659, 'US', 'Priority Mail', 1, 0, 'L', 8.01, 'Wedgewood_USPS_2025', 'Padded Flat-Rate Envelope','3');</v>
      </c>
    </row>
    <row r="1515" spans="1:14" x14ac:dyDescent="0.3">
      <c r="A1515" t="s">
        <v>11</v>
      </c>
      <c r="B1515" s="1" t="s">
        <v>43</v>
      </c>
      <c r="C1515" s="1" t="s">
        <v>44</v>
      </c>
      <c r="D1515">
        <v>12659</v>
      </c>
      <c r="E1515" t="s">
        <v>12</v>
      </c>
      <c r="F1515" t="s">
        <v>47</v>
      </c>
      <c r="G1515">
        <v>2</v>
      </c>
      <c r="H1515">
        <v>0</v>
      </c>
      <c r="I1515" t="s">
        <v>45</v>
      </c>
      <c r="J1515" cm="1">
        <f t="array" ref="J1515">IFERROR(
    _xlfn.XLOOKUP(G1515, 'Wedgewood Pharm-PM-Yr2-2025'!$E$78:$L$78,
        _xlfn.XLOOKUP('Rate Load'!H1515, 'Wedgewood Pharm-PM-Yr2-2025'!$D$79:$D$110,
            'Wedgewood Pharm-PM-Yr2-2025'!$E$79:$L$110, 0, 0),
        0, 0),
    _xlfn.XLOOKUP(G1515, 'Wedgewood Pharm-PM-Yr2-2025'!$E$78:$L$78,
        _xlfn.XLOOKUP('Rate Load'!L1515, 'Wedgewood Pharm-PM-Yr2-2025'!$D$79:$D$110,
            'Wedgewood Pharm-PM-Yr2-2025'!$E$79:$L$110, 0, 0),
        0, 0)
)</f>
        <v>8.01</v>
      </c>
      <c r="K1515" t="s">
        <v>46</v>
      </c>
      <c r="L1515" t="s">
        <v>24</v>
      </c>
      <c r="M1515">
        <v>3</v>
      </c>
      <c r="N1515" t="str">
        <f t="shared" si="23"/>
        <v>INSERT INTO TNL_RATING.dbo.usps_rate_master VALUES ('USPS', '2/13/2025', '2/13/2026', 12659, 'US', 'Priority Mail', 2, 0, 'L', 8.01, 'Wedgewood_USPS_2025', 'Padded Flat-Rate Envelope','3');</v>
      </c>
    </row>
    <row r="1516" spans="1:14" x14ac:dyDescent="0.3">
      <c r="A1516" t="s">
        <v>11</v>
      </c>
      <c r="B1516" s="1" t="s">
        <v>43</v>
      </c>
      <c r="C1516" s="1" t="s">
        <v>44</v>
      </c>
      <c r="D1516">
        <v>12659</v>
      </c>
      <c r="E1516" t="s">
        <v>12</v>
      </c>
      <c r="F1516" t="s">
        <v>47</v>
      </c>
      <c r="G1516">
        <v>3</v>
      </c>
      <c r="H1516">
        <v>0</v>
      </c>
      <c r="I1516" t="s">
        <v>45</v>
      </c>
      <c r="J1516" cm="1">
        <f t="array" ref="J1516">IFERROR(
    _xlfn.XLOOKUP(G1516, 'Wedgewood Pharm-PM-Yr2-2025'!$E$78:$L$78,
        _xlfn.XLOOKUP('Rate Load'!H1516, 'Wedgewood Pharm-PM-Yr2-2025'!$D$79:$D$110,
            'Wedgewood Pharm-PM-Yr2-2025'!$E$79:$L$110, 0, 0),
        0, 0),
    _xlfn.XLOOKUP(G1516, 'Wedgewood Pharm-PM-Yr2-2025'!$E$78:$L$78,
        _xlfn.XLOOKUP('Rate Load'!L1516, 'Wedgewood Pharm-PM-Yr2-2025'!$D$79:$D$110,
            'Wedgewood Pharm-PM-Yr2-2025'!$E$79:$L$110, 0, 0),
        0, 0)
)</f>
        <v>8.01</v>
      </c>
      <c r="K1516" t="s">
        <v>46</v>
      </c>
      <c r="L1516" t="s">
        <v>24</v>
      </c>
      <c r="M1516">
        <v>3</v>
      </c>
      <c r="N1516" t="str">
        <f t="shared" si="23"/>
        <v>INSERT INTO TNL_RATING.dbo.usps_rate_master VALUES ('USPS', '2/13/2025', '2/13/2026', 12659, 'US', 'Priority Mail', 3, 0, 'L', 8.01, 'Wedgewood_USPS_2025', 'Padded Flat-Rate Envelope','3');</v>
      </c>
    </row>
    <row r="1517" spans="1:14" x14ac:dyDescent="0.3">
      <c r="A1517" t="s">
        <v>11</v>
      </c>
      <c r="B1517" s="1" t="s">
        <v>43</v>
      </c>
      <c r="C1517" s="1" t="s">
        <v>44</v>
      </c>
      <c r="D1517">
        <v>12659</v>
      </c>
      <c r="E1517" t="s">
        <v>12</v>
      </c>
      <c r="F1517" t="s">
        <v>47</v>
      </c>
      <c r="G1517">
        <v>4</v>
      </c>
      <c r="H1517">
        <v>0</v>
      </c>
      <c r="I1517" t="s">
        <v>45</v>
      </c>
      <c r="J1517" cm="1">
        <f t="array" ref="J1517">IFERROR(
    _xlfn.XLOOKUP(G1517, 'Wedgewood Pharm-PM-Yr2-2025'!$E$78:$L$78,
        _xlfn.XLOOKUP('Rate Load'!H1517, 'Wedgewood Pharm-PM-Yr2-2025'!$D$79:$D$110,
            'Wedgewood Pharm-PM-Yr2-2025'!$E$79:$L$110, 0, 0),
        0, 0),
    _xlfn.XLOOKUP(G1517, 'Wedgewood Pharm-PM-Yr2-2025'!$E$78:$L$78,
        _xlfn.XLOOKUP('Rate Load'!L1517, 'Wedgewood Pharm-PM-Yr2-2025'!$D$79:$D$110,
            'Wedgewood Pharm-PM-Yr2-2025'!$E$79:$L$110, 0, 0),
        0, 0)
)</f>
        <v>8.01</v>
      </c>
      <c r="K1517" t="s">
        <v>46</v>
      </c>
      <c r="L1517" t="s">
        <v>24</v>
      </c>
      <c r="M1517">
        <v>3</v>
      </c>
      <c r="N1517" t="str">
        <f t="shared" si="23"/>
        <v>INSERT INTO TNL_RATING.dbo.usps_rate_master VALUES ('USPS', '2/13/2025', '2/13/2026', 12659, 'US', 'Priority Mail', 4, 0, 'L', 8.01, 'Wedgewood_USPS_2025', 'Padded Flat-Rate Envelope','3');</v>
      </c>
    </row>
    <row r="1518" spans="1:14" x14ac:dyDescent="0.3">
      <c r="A1518" t="s">
        <v>11</v>
      </c>
      <c r="B1518" s="1" t="s">
        <v>43</v>
      </c>
      <c r="C1518" s="1" t="s">
        <v>44</v>
      </c>
      <c r="D1518">
        <v>12659</v>
      </c>
      <c r="E1518" t="s">
        <v>12</v>
      </c>
      <c r="F1518" t="s">
        <v>47</v>
      </c>
      <c r="G1518">
        <v>5</v>
      </c>
      <c r="H1518">
        <v>0</v>
      </c>
      <c r="I1518" t="s">
        <v>45</v>
      </c>
      <c r="J1518" cm="1">
        <f t="array" ref="J1518">IFERROR(
    _xlfn.XLOOKUP(G1518, 'Wedgewood Pharm-PM-Yr2-2025'!$E$78:$L$78,
        _xlfn.XLOOKUP('Rate Load'!H1518, 'Wedgewood Pharm-PM-Yr2-2025'!$D$79:$D$110,
            'Wedgewood Pharm-PM-Yr2-2025'!$E$79:$L$110, 0, 0),
        0, 0),
    _xlfn.XLOOKUP(G1518, 'Wedgewood Pharm-PM-Yr2-2025'!$E$78:$L$78,
        _xlfn.XLOOKUP('Rate Load'!L1518, 'Wedgewood Pharm-PM-Yr2-2025'!$D$79:$D$110,
            'Wedgewood Pharm-PM-Yr2-2025'!$E$79:$L$110, 0, 0),
        0, 0)
)</f>
        <v>8.01</v>
      </c>
      <c r="K1518" t="s">
        <v>46</v>
      </c>
      <c r="L1518" t="s">
        <v>24</v>
      </c>
      <c r="M1518">
        <v>3</v>
      </c>
      <c r="N1518" t="str">
        <f t="shared" si="23"/>
        <v>INSERT INTO TNL_RATING.dbo.usps_rate_master VALUES ('USPS', '2/13/2025', '2/13/2026', 12659, 'US', 'Priority Mail', 5, 0, 'L', 8.01, 'Wedgewood_USPS_2025', 'Padded Flat-Rate Envelope','3');</v>
      </c>
    </row>
    <row r="1519" spans="1:14" x14ac:dyDescent="0.3">
      <c r="A1519" t="s">
        <v>11</v>
      </c>
      <c r="B1519" s="1" t="s">
        <v>43</v>
      </c>
      <c r="C1519" s="1" t="s">
        <v>44</v>
      </c>
      <c r="D1519">
        <v>12659</v>
      </c>
      <c r="E1519" t="s">
        <v>12</v>
      </c>
      <c r="F1519" t="s">
        <v>47</v>
      </c>
      <c r="G1519">
        <v>6</v>
      </c>
      <c r="H1519">
        <v>0</v>
      </c>
      <c r="I1519" t="s">
        <v>45</v>
      </c>
      <c r="J1519" cm="1">
        <f t="array" ref="J1519">IFERROR(
    _xlfn.XLOOKUP(G1519, 'Wedgewood Pharm-PM-Yr2-2025'!$E$78:$L$78,
        _xlfn.XLOOKUP('Rate Load'!H1519, 'Wedgewood Pharm-PM-Yr2-2025'!$D$79:$D$110,
            'Wedgewood Pharm-PM-Yr2-2025'!$E$79:$L$110, 0, 0),
        0, 0),
    _xlfn.XLOOKUP(G1519, 'Wedgewood Pharm-PM-Yr2-2025'!$E$78:$L$78,
        _xlfn.XLOOKUP('Rate Load'!L1519, 'Wedgewood Pharm-PM-Yr2-2025'!$D$79:$D$110,
            'Wedgewood Pharm-PM-Yr2-2025'!$E$79:$L$110, 0, 0),
        0, 0)
)</f>
        <v>8.01</v>
      </c>
      <c r="K1519" t="s">
        <v>46</v>
      </c>
      <c r="L1519" t="s">
        <v>24</v>
      </c>
      <c r="M1519">
        <v>3</v>
      </c>
      <c r="N1519" t="str">
        <f t="shared" si="23"/>
        <v>INSERT INTO TNL_RATING.dbo.usps_rate_master VALUES ('USPS', '2/13/2025', '2/13/2026', 12659, 'US', 'Priority Mail', 6, 0, 'L', 8.01, 'Wedgewood_USPS_2025', 'Padded Flat-Rate Envelope','3');</v>
      </c>
    </row>
    <row r="1520" spans="1:14" x14ac:dyDescent="0.3">
      <c r="A1520" t="s">
        <v>11</v>
      </c>
      <c r="B1520" s="1" t="s">
        <v>43</v>
      </c>
      <c r="C1520" s="1" t="s">
        <v>44</v>
      </c>
      <c r="D1520">
        <v>12659</v>
      </c>
      <c r="E1520" t="s">
        <v>12</v>
      </c>
      <c r="F1520" t="s">
        <v>47</v>
      </c>
      <c r="G1520">
        <v>7</v>
      </c>
      <c r="H1520">
        <v>0</v>
      </c>
      <c r="I1520" t="s">
        <v>45</v>
      </c>
      <c r="J1520" cm="1">
        <f t="array" ref="J1520">IFERROR(
    _xlfn.XLOOKUP(G1520, 'Wedgewood Pharm-PM-Yr2-2025'!$E$78:$L$78,
        _xlfn.XLOOKUP('Rate Load'!H1520, 'Wedgewood Pharm-PM-Yr2-2025'!$D$79:$D$110,
            'Wedgewood Pharm-PM-Yr2-2025'!$E$79:$L$110, 0, 0),
        0, 0),
    _xlfn.XLOOKUP(G1520, 'Wedgewood Pharm-PM-Yr2-2025'!$E$78:$L$78,
        _xlfn.XLOOKUP('Rate Load'!L1520, 'Wedgewood Pharm-PM-Yr2-2025'!$D$79:$D$110,
            'Wedgewood Pharm-PM-Yr2-2025'!$E$79:$L$110, 0, 0),
        0, 0)
)</f>
        <v>8.01</v>
      </c>
      <c r="K1520" t="s">
        <v>46</v>
      </c>
      <c r="L1520" t="s">
        <v>24</v>
      </c>
      <c r="M1520">
        <v>3</v>
      </c>
      <c r="N1520" t="str">
        <f t="shared" si="23"/>
        <v>INSERT INTO TNL_RATING.dbo.usps_rate_master VALUES ('USPS', '2/13/2025', '2/13/2026', 12659, 'US', 'Priority Mail', 7, 0, 'L', 8.01, 'Wedgewood_USPS_2025', 'Padded Flat-Rate Envelope','3');</v>
      </c>
    </row>
    <row r="1521" spans="1:14" x14ac:dyDescent="0.3">
      <c r="A1521" t="s">
        <v>11</v>
      </c>
      <c r="B1521" s="1" t="s">
        <v>43</v>
      </c>
      <c r="C1521" s="1" t="s">
        <v>44</v>
      </c>
      <c r="D1521">
        <v>12659</v>
      </c>
      <c r="E1521" t="s">
        <v>12</v>
      </c>
      <c r="F1521" t="s">
        <v>47</v>
      </c>
      <c r="G1521">
        <v>8</v>
      </c>
      <c r="H1521">
        <v>0</v>
      </c>
      <c r="I1521" t="s">
        <v>45</v>
      </c>
      <c r="J1521" cm="1">
        <f t="array" ref="J1521">IFERROR(
    _xlfn.XLOOKUP(G1521, 'Wedgewood Pharm-PM-Yr2-2025'!$E$78:$L$78,
        _xlfn.XLOOKUP('Rate Load'!H1521, 'Wedgewood Pharm-PM-Yr2-2025'!$D$79:$D$110,
            'Wedgewood Pharm-PM-Yr2-2025'!$E$79:$L$110, 0, 0),
        0, 0),
    _xlfn.XLOOKUP(G1521, 'Wedgewood Pharm-PM-Yr2-2025'!$E$78:$L$78,
        _xlfn.XLOOKUP('Rate Load'!L1521, 'Wedgewood Pharm-PM-Yr2-2025'!$D$79:$D$110,
            'Wedgewood Pharm-PM-Yr2-2025'!$E$79:$L$110, 0, 0),
        0, 0)
)</f>
        <v>8.01</v>
      </c>
      <c r="K1521" t="s">
        <v>46</v>
      </c>
      <c r="L1521" t="s">
        <v>24</v>
      </c>
      <c r="M1521">
        <v>3</v>
      </c>
      <c r="N1521" t="str">
        <f t="shared" si="23"/>
        <v>INSERT INTO TNL_RATING.dbo.usps_rate_master VALUES ('USPS', '2/13/2025', '2/13/2026', 12659, 'US', 'Priority Mail', 8, 0, 'L', 8.01, 'Wedgewood_USPS_2025', 'Padded Flat-Rate Envelope','3');</v>
      </c>
    </row>
    <row r="1522" spans="1:14" x14ac:dyDescent="0.3">
      <c r="A1522" t="s">
        <v>11</v>
      </c>
      <c r="B1522" s="1" t="s">
        <v>43</v>
      </c>
      <c r="C1522" s="1" t="s">
        <v>44</v>
      </c>
      <c r="D1522">
        <v>12659</v>
      </c>
      <c r="E1522" t="s">
        <v>12</v>
      </c>
      <c r="F1522" t="s">
        <v>47</v>
      </c>
      <c r="G1522">
        <v>1</v>
      </c>
      <c r="H1522">
        <v>0</v>
      </c>
      <c r="I1522" t="s">
        <v>45</v>
      </c>
      <c r="J1522" cm="1">
        <f t="array" ref="J1522">IFERROR(
    _xlfn.XLOOKUP(G1522, 'Wedgewood Pharm-PM-Yr2-2025'!$E$78:$L$78,
        _xlfn.XLOOKUP('Rate Load'!H1522, 'Wedgewood Pharm-PM-Yr2-2025'!$D$79:$D$110,
            'Wedgewood Pharm-PM-Yr2-2025'!$E$79:$L$110, 0, 0),
        0, 0),
    _xlfn.XLOOKUP(G1522, 'Wedgewood Pharm-PM-Yr2-2025'!$E$78:$L$78,
        _xlfn.XLOOKUP('Rate Load'!L1522, 'Wedgewood Pharm-PM-Yr2-2025'!$D$79:$D$110,
            'Wedgewood Pharm-PM-Yr2-2025'!$E$79:$L$110, 0, 0),
        0, 0)
)</f>
        <v>7.8199999999999994</v>
      </c>
      <c r="K1522" t="s">
        <v>46</v>
      </c>
      <c r="L1522" t="s">
        <v>28</v>
      </c>
      <c r="M1522">
        <v>3</v>
      </c>
      <c r="N1522" t="str">
        <f t="shared" si="23"/>
        <v>INSERT INTO TNL_RATING.dbo.usps_rate_master VALUES ('USPS', '2/13/2025', '2/13/2026', 12659, 'US', 'Priority Mail', 1, 0, 'L', 7.82, 'Wedgewood_USPS_2025', 'Small Flat-Rate Box','3');</v>
      </c>
    </row>
    <row r="1523" spans="1:14" x14ac:dyDescent="0.3">
      <c r="A1523" t="s">
        <v>11</v>
      </c>
      <c r="B1523" s="1" t="s">
        <v>43</v>
      </c>
      <c r="C1523" s="1" t="s">
        <v>44</v>
      </c>
      <c r="D1523">
        <v>12659</v>
      </c>
      <c r="E1523" t="s">
        <v>12</v>
      </c>
      <c r="F1523" t="s">
        <v>47</v>
      </c>
      <c r="G1523">
        <v>2</v>
      </c>
      <c r="H1523">
        <v>0</v>
      </c>
      <c r="I1523" t="s">
        <v>45</v>
      </c>
      <c r="J1523" cm="1">
        <f t="array" ref="J1523">IFERROR(
    _xlfn.XLOOKUP(G1523, 'Wedgewood Pharm-PM-Yr2-2025'!$E$78:$L$78,
        _xlfn.XLOOKUP('Rate Load'!H1523, 'Wedgewood Pharm-PM-Yr2-2025'!$D$79:$D$110,
            'Wedgewood Pharm-PM-Yr2-2025'!$E$79:$L$110, 0, 0),
        0, 0),
    _xlfn.XLOOKUP(G1523, 'Wedgewood Pharm-PM-Yr2-2025'!$E$78:$L$78,
        _xlfn.XLOOKUP('Rate Load'!L1523, 'Wedgewood Pharm-PM-Yr2-2025'!$D$79:$D$110,
            'Wedgewood Pharm-PM-Yr2-2025'!$E$79:$L$110, 0, 0),
        0, 0)
)</f>
        <v>7.8199999999999994</v>
      </c>
      <c r="K1523" t="s">
        <v>46</v>
      </c>
      <c r="L1523" t="s">
        <v>28</v>
      </c>
      <c r="M1523">
        <v>3</v>
      </c>
      <c r="N1523" t="str">
        <f t="shared" si="23"/>
        <v>INSERT INTO TNL_RATING.dbo.usps_rate_master VALUES ('USPS', '2/13/2025', '2/13/2026', 12659, 'US', 'Priority Mail', 2, 0, 'L', 7.82, 'Wedgewood_USPS_2025', 'Small Flat-Rate Box','3');</v>
      </c>
    </row>
    <row r="1524" spans="1:14" x14ac:dyDescent="0.3">
      <c r="A1524" t="s">
        <v>11</v>
      </c>
      <c r="B1524" s="1" t="s">
        <v>43</v>
      </c>
      <c r="C1524" s="1" t="s">
        <v>44</v>
      </c>
      <c r="D1524">
        <v>12659</v>
      </c>
      <c r="E1524" t="s">
        <v>12</v>
      </c>
      <c r="F1524" t="s">
        <v>47</v>
      </c>
      <c r="G1524">
        <v>3</v>
      </c>
      <c r="H1524">
        <v>0</v>
      </c>
      <c r="I1524" t="s">
        <v>45</v>
      </c>
      <c r="J1524" cm="1">
        <f t="array" ref="J1524">IFERROR(
    _xlfn.XLOOKUP(G1524, 'Wedgewood Pharm-PM-Yr2-2025'!$E$78:$L$78,
        _xlfn.XLOOKUP('Rate Load'!H1524, 'Wedgewood Pharm-PM-Yr2-2025'!$D$79:$D$110,
            'Wedgewood Pharm-PM-Yr2-2025'!$E$79:$L$110, 0, 0),
        0, 0),
    _xlfn.XLOOKUP(G1524, 'Wedgewood Pharm-PM-Yr2-2025'!$E$78:$L$78,
        _xlfn.XLOOKUP('Rate Load'!L1524, 'Wedgewood Pharm-PM-Yr2-2025'!$D$79:$D$110,
            'Wedgewood Pharm-PM-Yr2-2025'!$E$79:$L$110, 0, 0),
        0, 0)
)</f>
        <v>7.8199999999999994</v>
      </c>
      <c r="K1524" t="s">
        <v>46</v>
      </c>
      <c r="L1524" t="s">
        <v>28</v>
      </c>
      <c r="M1524">
        <v>3</v>
      </c>
      <c r="N1524" t="str">
        <f t="shared" si="23"/>
        <v>INSERT INTO TNL_RATING.dbo.usps_rate_master VALUES ('USPS', '2/13/2025', '2/13/2026', 12659, 'US', 'Priority Mail', 3, 0, 'L', 7.82, 'Wedgewood_USPS_2025', 'Small Flat-Rate Box','3');</v>
      </c>
    </row>
    <row r="1525" spans="1:14" x14ac:dyDescent="0.3">
      <c r="A1525" t="s">
        <v>11</v>
      </c>
      <c r="B1525" s="1" t="s">
        <v>43</v>
      </c>
      <c r="C1525" s="1" t="s">
        <v>44</v>
      </c>
      <c r="D1525">
        <v>12659</v>
      </c>
      <c r="E1525" t="s">
        <v>12</v>
      </c>
      <c r="F1525" t="s">
        <v>47</v>
      </c>
      <c r="G1525">
        <v>4</v>
      </c>
      <c r="H1525">
        <v>0</v>
      </c>
      <c r="I1525" t="s">
        <v>45</v>
      </c>
      <c r="J1525" cm="1">
        <f t="array" ref="J1525">IFERROR(
    _xlfn.XLOOKUP(G1525, 'Wedgewood Pharm-PM-Yr2-2025'!$E$78:$L$78,
        _xlfn.XLOOKUP('Rate Load'!H1525, 'Wedgewood Pharm-PM-Yr2-2025'!$D$79:$D$110,
            'Wedgewood Pharm-PM-Yr2-2025'!$E$79:$L$110, 0, 0),
        0, 0),
    _xlfn.XLOOKUP(G1525, 'Wedgewood Pharm-PM-Yr2-2025'!$E$78:$L$78,
        _xlfn.XLOOKUP('Rate Load'!L1525, 'Wedgewood Pharm-PM-Yr2-2025'!$D$79:$D$110,
            'Wedgewood Pharm-PM-Yr2-2025'!$E$79:$L$110, 0, 0),
        0, 0)
)</f>
        <v>7.8199999999999994</v>
      </c>
      <c r="K1525" t="s">
        <v>46</v>
      </c>
      <c r="L1525" t="s">
        <v>28</v>
      </c>
      <c r="M1525">
        <v>3</v>
      </c>
      <c r="N1525" t="str">
        <f t="shared" si="23"/>
        <v>INSERT INTO TNL_RATING.dbo.usps_rate_master VALUES ('USPS', '2/13/2025', '2/13/2026', 12659, 'US', 'Priority Mail', 4, 0, 'L', 7.82, 'Wedgewood_USPS_2025', 'Small Flat-Rate Box','3');</v>
      </c>
    </row>
    <row r="1526" spans="1:14" x14ac:dyDescent="0.3">
      <c r="A1526" t="s">
        <v>11</v>
      </c>
      <c r="B1526" s="1" t="s">
        <v>43</v>
      </c>
      <c r="C1526" s="1" t="s">
        <v>44</v>
      </c>
      <c r="D1526">
        <v>12659</v>
      </c>
      <c r="E1526" t="s">
        <v>12</v>
      </c>
      <c r="F1526" t="s">
        <v>47</v>
      </c>
      <c r="G1526">
        <v>5</v>
      </c>
      <c r="H1526">
        <v>0</v>
      </c>
      <c r="I1526" t="s">
        <v>45</v>
      </c>
      <c r="J1526" cm="1">
        <f t="array" ref="J1526">IFERROR(
    _xlfn.XLOOKUP(G1526, 'Wedgewood Pharm-PM-Yr2-2025'!$E$78:$L$78,
        _xlfn.XLOOKUP('Rate Load'!H1526, 'Wedgewood Pharm-PM-Yr2-2025'!$D$79:$D$110,
            'Wedgewood Pharm-PM-Yr2-2025'!$E$79:$L$110, 0, 0),
        0, 0),
    _xlfn.XLOOKUP(G1526, 'Wedgewood Pharm-PM-Yr2-2025'!$E$78:$L$78,
        _xlfn.XLOOKUP('Rate Load'!L1526, 'Wedgewood Pharm-PM-Yr2-2025'!$D$79:$D$110,
            'Wedgewood Pharm-PM-Yr2-2025'!$E$79:$L$110, 0, 0),
        0, 0)
)</f>
        <v>7.8199999999999994</v>
      </c>
      <c r="K1526" t="s">
        <v>46</v>
      </c>
      <c r="L1526" t="s">
        <v>28</v>
      </c>
      <c r="M1526">
        <v>3</v>
      </c>
      <c r="N1526" t="str">
        <f t="shared" si="23"/>
        <v>INSERT INTO TNL_RATING.dbo.usps_rate_master VALUES ('USPS', '2/13/2025', '2/13/2026', 12659, 'US', 'Priority Mail', 5, 0, 'L', 7.82, 'Wedgewood_USPS_2025', 'Small Flat-Rate Box','3');</v>
      </c>
    </row>
    <row r="1527" spans="1:14" x14ac:dyDescent="0.3">
      <c r="A1527" t="s">
        <v>11</v>
      </c>
      <c r="B1527" s="1" t="s">
        <v>43</v>
      </c>
      <c r="C1527" s="1" t="s">
        <v>44</v>
      </c>
      <c r="D1527">
        <v>12659</v>
      </c>
      <c r="E1527" t="s">
        <v>12</v>
      </c>
      <c r="F1527" t="s">
        <v>47</v>
      </c>
      <c r="G1527">
        <v>6</v>
      </c>
      <c r="H1527">
        <v>0</v>
      </c>
      <c r="I1527" t="s">
        <v>45</v>
      </c>
      <c r="J1527" cm="1">
        <f t="array" ref="J1527">IFERROR(
    _xlfn.XLOOKUP(G1527, 'Wedgewood Pharm-PM-Yr2-2025'!$E$78:$L$78,
        _xlfn.XLOOKUP('Rate Load'!H1527, 'Wedgewood Pharm-PM-Yr2-2025'!$D$79:$D$110,
            'Wedgewood Pharm-PM-Yr2-2025'!$E$79:$L$110, 0, 0),
        0, 0),
    _xlfn.XLOOKUP(G1527, 'Wedgewood Pharm-PM-Yr2-2025'!$E$78:$L$78,
        _xlfn.XLOOKUP('Rate Load'!L1527, 'Wedgewood Pharm-PM-Yr2-2025'!$D$79:$D$110,
            'Wedgewood Pharm-PM-Yr2-2025'!$E$79:$L$110, 0, 0),
        0, 0)
)</f>
        <v>7.8199999999999994</v>
      </c>
      <c r="K1527" t="s">
        <v>46</v>
      </c>
      <c r="L1527" t="s">
        <v>28</v>
      </c>
      <c r="M1527">
        <v>3</v>
      </c>
      <c r="N1527" t="str">
        <f t="shared" si="23"/>
        <v>INSERT INTO TNL_RATING.dbo.usps_rate_master VALUES ('USPS', '2/13/2025', '2/13/2026', 12659, 'US', 'Priority Mail', 6, 0, 'L', 7.82, 'Wedgewood_USPS_2025', 'Small Flat-Rate Box','3');</v>
      </c>
    </row>
    <row r="1528" spans="1:14" x14ac:dyDescent="0.3">
      <c r="A1528" t="s">
        <v>11</v>
      </c>
      <c r="B1528" s="1" t="s">
        <v>43</v>
      </c>
      <c r="C1528" s="1" t="s">
        <v>44</v>
      </c>
      <c r="D1528">
        <v>12659</v>
      </c>
      <c r="E1528" t="s">
        <v>12</v>
      </c>
      <c r="F1528" t="s">
        <v>47</v>
      </c>
      <c r="G1528">
        <v>7</v>
      </c>
      <c r="H1528">
        <v>0</v>
      </c>
      <c r="I1528" t="s">
        <v>45</v>
      </c>
      <c r="J1528" cm="1">
        <f t="array" ref="J1528">IFERROR(
    _xlfn.XLOOKUP(G1528, 'Wedgewood Pharm-PM-Yr2-2025'!$E$78:$L$78,
        _xlfn.XLOOKUP('Rate Load'!H1528, 'Wedgewood Pharm-PM-Yr2-2025'!$D$79:$D$110,
            'Wedgewood Pharm-PM-Yr2-2025'!$E$79:$L$110, 0, 0),
        0, 0),
    _xlfn.XLOOKUP(G1528, 'Wedgewood Pharm-PM-Yr2-2025'!$E$78:$L$78,
        _xlfn.XLOOKUP('Rate Load'!L1528, 'Wedgewood Pharm-PM-Yr2-2025'!$D$79:$D$110,
            'Wedgewood Pharm-PM-Yr2-2025'!$E$79:$L$110, 0, 0),
        0, 0)
)</f>
        <v>7.8199999999999994</v>
      </c>
      <c r="K1528" t="s">
        <v>46</v>
      </c>
      <c r="L1528" t="s">
        <v>28</v>
      </c>
      <c r="M1528">
        <v>3</v>
      </c>
      <c r="N1528" t="str">
        <f t="shared" si="23"/>
        <v>INSERT INTO TNL_RATING.dbo.usps_rate_master VALUES ('USPS', '2/13/2025', '2/13/2026', 12659, 'US', 'Priority Mail', 7, 0, 'L', 7.82, 'Wedgewood_USPS_2025', 'Small Flat-Rate Box','3');</v>
      </c>
    </row>
    <row r="1529" spans="1:14" x14ac:dyDescent="0.3">
      <c r="A1529" t="s">
        <v>11</v>
      </c>
      <c r="B1529" s="1" t="s">
        <v>43</v>
      </c>
      <c r="C1529" s="1" t="s">
        <v>44</v>
      </c>
      <c r="D1529">
        <v>12659</v>
      </c>
      <c r="E1529" t="s">
        <v>12</v>
      </c>
      <c r="F1529" t="s">
        <v>47</v>
      </c>
      <c r="G1529">
        <v>8</v>
      </c>
      <c r="H1529">
        <v>0</v>
      </c>
      <c r="I1529" t="s">
        <v>45</v>
      </c>
      <c r="J1529" cm="1">
        <f t="array" ref="J1529">IFERROR(
    _xlfn.XLOOKUP(G1529, 'Wedgewood Pharm-PM-Yr2-2025'!$E$78:$L$78,
        _xlfn.XLOOKUP('Rate Load'!H1529, 'Wedgewood Pharm-PM-Yr2-2025'!$D$79:$D$110,
            'Wedgewood Pharm-PM-Yr2-2025'!$E$79:$L$110, 0, 0),
        0, 0),
    _xlfn.XLOOKUP(G1529, 'Wedgewood Pharm-PM-Yr2-2025'!$E$78:$L$78,
        _xlfn.XLOOKUP('Rate Load'!L1529, 'Wedgewood Pharm-PM-Yr2-2025'!$D$79:$D$110,
            'Wedgewood Pharm-PM-Yr2-2025'!$E$79:$L$110, 0, 0),
        0, 0)
)</f>
        <v>7.8199999999999994</v>
      </c>
      <c r="K1529" t="s">
        <v>46</v>
      </c>
      <c r="L1529" t="s">
        <v>28</v>
      </c>
      <c r="M1529">
        <v>3</v>
      </c>
      <c r="N1529" t="str">
        <f t="shared" si="23"/>
        <v>INSERT INTO TNL_RATING.dbo.usps_rate_master VALUES ('USPS', '2/13/2025', '2/13/2026', 12659, 'US', 'Priority Mail', 8, 0, 'L', 7.82, 'Wedgewood_USPS_2025', 'Small Flat-Rate Box','3');</v>
      </c>
    </row>
    <row r="1530" spans="1:14" x14ac:dyDescent="0.3">
      <c r="A1530" t="s">
        <v>11</v>
      </c>
      <c r="B1530" s="1" t="s">
        <v>43</v>
      </c>
      <c r="C1530" s="1" t="s">
        <v>44</v>
      </c>
      <c r="D1530">
        <v>12659</v>
      </c>
      <c r="E1530" t="s">
        <v>12</v>
      </c>
      <c r="F1530" t="s">
        <v>47</v>
      </c>
      <c r="G1530">
        <v>1</v>
      </c>
      <c r="H1530">
        <v>0</v>
      </c>
      <c r="I1530" t="s">
        <v>45</v>
      </c>
      <c r="J1530" cm="1">
        <f t="array" ref="J1530">IFERROR(
    _xlfn.XLOOKUP(G1530, 'Wedgewood Pharm-PM-Yr2-2025'!$E$78:$L$78,
        _xlfn.XLOOKUP('Rate Load'!H1530, 'Wedgewood Pharm-PM-Yr2-2025'!$D$79:$D$110,
            'Wedgewood Pharm-PM-Yr2-2025'!$E$79:$L$110, 0, 0),
        0, 0),
    _xlfn.XLOOKUP(G1530, 'Wedgewood Pharm-PM-Yr2-2025'!$E$78:$L$78,
        _xlfn.XLOOKUP('Rate Load'!L1530, 'Wedgewood Pharm-PM-Yr2-2025'!$D$79:$D$110,
            'Wedgewood Pharm-PM-Yr2-2025'!$E$79:$L$110, 0, 0),
        0, 0)
)</f>
        <v>13.51</v>
      </c>
      <c r="K1530" t="s">
        <v>46</v>
      </c>
      <c r="L1530" t="s">
        <v>29</v>
      </c>
      <c r="M1530">
        <v>3</v>
      </c>
      <c r="N1530" t="str">
        <f t="shared" si="23"/>
        <v>INSERT INTO TNL_RATING.dbo.usps_rate_master VALUES ('USPS', '2/13/2025', '2/13/2026', 12659, 'US', 'Priority Mail', 1, 0, 'L', 13.51, 'Wedgewood_USPS_2025', 'Medium Flat-Rate Box','3');</v>
      </c>
    </row>
    <row r="1531" spans="1:14" x14ac:dyDescent="0.3">
      <c r="A1531" t="s">
        <v>11</v>
      </c>
      <c r="B1531" s="1" t="s">
        <v>43</v>
      </c>
      <c r="C1531" s="1" t="s">
        <v>44</v>
      </c>
      <c r="D1531">
        <v>12659</v>
      </c>
      <c r="E1531" t="s">
        <v>12</v>
      </c>
      <c r="F1531" t="s">
        <v>47</v>
      </c>
      <c r="G1531">
        <v>2</v>
      </c>
      <c r="H1531">
        <v>0</v>
      </c>
      <c r="I1531" t="s">
        <v>45</v>
      </c>
      <c r="J1531" cm="1">
        <f t="array" ref="J1531">IFERROR(
    _xlfn.XLOOKUP(G1531, 'Wedgewood Pharm-PM-Yr2-2025'!$E$78:$L$78,
        _xlfn.XLOOKUP('Rate Load'!H1531, 'Wedgewood Pharm-PM-Yr2-2025'!$D$79:$D$110,
            'Wedgewood Pharm-PM-Yr2-2025'!$E$79:$L$110, 0, 0),
        0, 0),
    _xlfn.XLOOKUP(G1531, 'Wedgewood Pharm-PM-Yr2-2025'!$E$78:$L$78,
        _xlfn.XLOOKUP('Rate Load'!L1531, 'Wedgewood Pharm-PM-Yr2-2025'!$D$79:$D$110,
            'Wedgewood Pharm-PM-Yr2-2025'!$E$79:$L$110, 0, 0),
        0, 0)
)</f>
        <v>13.51</v>
      </c>
      <c r="K1531" t="s">
        <v>46</v>
      </c>
      <c r="L1531" t="s">
        <v>29</v>
      </c>
      <c r="M1531">
        <v>3</v>
      </c>
      <c r="N1531" t="str">
        <f t="shared" si="23"/>
        <v>INSERT INTO TNL_RATING.dbo.usps_rate_master VALUES ('USPS', '2/13/2025', '2/13/2026', 12659, 'US', 'Priority Mail', 2, 0, 'L', 13.51, 'Wedgewood_USPS_2025', 'Medium Flat-Rate Box','3');</v>
      </c>
    </row>
    <row r="1532" spans="1:14" x14ac:dyDescent="0.3">
      <c r="A1532" t="s">
        <v>11</v>
      </c>
      <c r="B1532" s="1" t="s">
        <v>43</v>
      </c>
      <c r="C1532" s="1" t="s">
        <v>44</v>
      </c>
      <c r="D1532">
        <v>12659</v>
      </c>
      <c r="E1532" t="s">
        <v>12</v>
      </c>
      <c r="F1532" t="s">
        <v>47</v>
      </c>
      <c r="G1532">
        <v>3</v>
      </c>
      <c r="H1532">
        <v>0</v>
      </c>
      <c r="I1532" t="s">
        <v>45</v>
      </c>
      <c r="J1532" cm="1">
        <f t="array" ref="J1532">IFERROR(
    _xlfn.XLOOKUP(G1532, 'Wedgewood Pharm-PM-Yr2-2025'!$E$78:$L$78,
        _xlfn.XLOOKUP('Rate Load'!H1532, 'Wedgewood Pharm-PM-Yr2-2025'!$D$79:$D$110,
            'Wedgewood Pharm-PM-Yr2-2025'!$E$79:$L$110, 0, 0),
        0, 0),
    _xlfn.XLOOKUP(G1532, 'Wedgewood Pharm-PM-Yr2-2025'!$E$78:$L$78,
        _xlfn.XLOOKUP('Rate Load'!L1532, 'Wedgewood Pharm-PM-Yr2-2025'!$D$79:$D$110,
            'Wedgewood Pharm-PM-Yr2-2025'!$E$79:$L$110, 0, 0),
        0, 0)
)</f>
        <v>13.51</v>
      </c>
      <c r="K1532" t="s">
        <v>46</v>
      </c>
      <c r="L1532" t="s">
        <v>29</v>
      </c>
      <c r="M1532">
        <v>3</v>
      </c>
      <c r="N1532" t="str">
        <f t="shared" si="23"/>
        <v>INSERT INTO TNL_RATING.dbo.usps_rate_master VALUES ('USPS', '2/13/2025', '2/13/2026', 12659, 'US', 'Priority Mail', 3, 0, 'L', 13.51, 'Wedgewood_USPS_2025', 'Medium Flat-Rate Box','3');</v>
      </c>
    </row>
    <row r="1533" spans="1:14" x14ac:dyDescent="0.3">
      <c r="A1533" t="s">
        <v>11</v>
      </c>
      <c r="B1533" s="1" t="s">
        <v>43</v>
      </c>
      <c r="C1533" s="1" t="s">
        <v>44</v>
      </c>
      <c r="D1533">
        <v>12659</v>
      </c>
      <c r="E1533" t="s">
        <v>12</v>
      </c>
      <c r="F1533" t="s">
        <v>47</v>
      </c>
      <c r="G1533">
        <v>4</v>
      </c>
      <c r="H1533">
        <v>0</v>
      </c>
      <c r="I1533" t="s">
        <v>45</v>
      </c>
      <c r="J1533" cm="1">
        <f t="array" ref="J1533">IFERROR(
    _xlfn.XLOOKUP(G1533, 'Wedgewood Pharm-PM-Yr2-2025'!$E$78:$L$78,
        _xlfn.XLOOKUP('Rate Load'!H1533, 'Wedgewood Pharm-PM-Yr2-2025'!$D$79:$D$110,
            'Wedgewood Pharm-PM-Yr2-2025'!$E$79:$L$110, 0, 0),
        0, 0),
    _xlfn.XLOOKUP(G1533, 'Wedgewood Pharm-PM-Yr2-2025'!$E$78:$L$78,
        _xlfn.XLOOKUP('Rate Load'!L1533, 'Wedgewood Pharm-PM-Yr2-2025'!$D$79:$D$110,
            'Wedgewood Pharm-PM-Yr2-2025'!$E$79:$L$110, 0, 0),
        0, 0)
)</f>
        <v>13.51</v>
      </c>
      <c r="K1533" t="s">
        <v>46</v>
      </c>
      <c r="L1533" t="s">
        <v>29</v>
      </c>
      <c r="M1533">
        <v>3</v>
      </c>
      <c r="N1533" t="str">
        <f t="shared" si="23"/>
        <v>INSERT INTO TNL_RATING.dbo.usps_rate_master VALUES ('USPS', '2/13/2025', '2/13/2026', 12659, 'US', 'Priority Mail', 4, 0, 'L', 13.51, 'Wedgewood_USPS_2025', 'Medium Flat-Rate Box','3');</v>
      </c>
    </row>
    <row r="1534" spans="1:14" x14ac:dyDescent="0.3">
      <c r="A1534" t="s">
        <v>11</v>
      </c>
      <c r="B1534" s="1" t="s">
        <v>43</v>
      </c>
      <c r="C1534" s="1" t="s">
        <v>44</v>
      </c>
      <c r="D1534">
        <v>12659</v>
      </c>
      <c r="E1534" t="s">
        <v>12</v>
      </c>
      <c r="F1534" t="s">
        <v>47</v>
      </c>
      <c r="G1534">
        <v>5</v>
      </c>
      <c r="H1534">
        <v>0</v>
      </c>
      <c r="I1534" t="s">
        <v>45</v>
      </c>
      <c r="J1534" cm="1">
        <f t="array" ref="J1534">IFERROR(
    _xlfn.XLOOKUP(G1534, 'Wedgewood Pharm-PM-Yr2-2025'!$E$78:$L$78,
        _xlfn.XLOOKUP('Rate Load'!H1534, 'Wedgewood Pharm-PM-Yr2-2025'!$D$79:$D$110,
            'Wedgewood Pharm-PM-Yr2-2025'!$E$79:$L$110, 0, 0),
        0, 0),
    _xlfn.XLOOKUP(G1534, 'Wedgewood Pharm-PM-Yr2-2025'!$E$78:$L$78,
        _xlfn.XLOOKUP('Rate Load'!L1534, 'Wedgewood Pharm-PM-Yr2-2025'!$D$79:$D$110,
            'Wedgewood Pharm-PM-Yr2-2025'!$E$79:$L$110, 0, 0),
        0, 0)
)</f>
        <v>13.51</v>
      </c>
      <c r="K1534" t="s">
        <v>46</v>
      </c>
      <c r="L1534" t="s">
        <v>29</v>
      </c>
      <c r="M1534">
        <v>3</v>
      </c>
      <c r="N1534" t="str">
        <f t="shared" si="23"/>
        <v>INSERT INTO TNL_RATING.dbo.usps_rate_master VALUES ('USPS', '2/13/2025', '2/13/2026', 12659, 'US', 'Priority Mail', 5, 0, 'L', 13.51, 'Wedgewood_USPS_2025', 'Medium Flat-Rate Box','3');</v>
      </c>
    </row>
    <row r="1535" spans="1:14" x14ac:dyDescent="0.3">
      <c r="A1535" t="s">
        <v>11</v>
      </c>
      <c r="B1535" s="1" t="s">
        <v>43</v>
      </c>
      <c r="C1535" s="1" t="s">
        <v>44</v>
      </c>
      <c r="D1535">
        <v>12659</v>
      </c>
      <c r="E1535" t="s">
        <v>12</v>
      </c>
      <c r="F1535" t="s">
        <v>47</v>
      </c>
      <c r="G1535">
        <v>6</v>
      </c>
      <c r="H1535">
        <v>0</v>
      </c>
      <c r="I1535" t="s">
        <v>45</v>
      </c>
      <c r="J1535" cm="1">
        <f t="array" ref="J1535">IFERROR(
    _xlfn.XLOOKUP(G1535, 'Wedgewood Pharm-PM-Yr2-2025'!$E$78:$L$78,
        _xlfn.XLOOKUP('Rate Load'!H1535, 'Wedgewood Pharm-PM-Yr2-2025'!$D$79:$D$110,
            'Wedgewood Pharm-PM-Yr2-2025'!$E$79:$L$110, 0, 0),
        0, 0),
    _xlfn.XLOOKUP(G1535, 'Wedgewood Pharm-PM-Yr2-2025'!$E$78:$L$78,
        _xlfn.XLOOKUP('Rate Load'!L1535, 'Wedgewood Pharm-PM-Yr2-2025'!$D$79:$D$110,
            'Wedgewood Pharm-PM-Yr2-2025'!$E$79:$L$110, 0, 0),
        0, 0)
)</f>
        <v>13.51</v>
      </c>
      <c r="K1535" t="s">
        <v>46</v>
      </c>
      <c r="L1535" t="s">
        <v>29</v>
      </c>
      <c r="M1535">
        <v>3</v>
      </c>
      <c r="N1535" t="str">
        <f t="shared" si="23"/>
        <v>INSERT INTO TNL_RATING.dbo.usps_rate_master VALUES ('USPS', '2/13/2025', '2/13/2026', 12659, 'US', 'Priority Mail', 6, 0, 'L', 13.51, 'Wedgewood_USPS_2025', 'Medium Flat-Rate Box','3');</v>
      </c>
    </row>
    <row r="1536" spans="1:14" x14ac:dyDescent="0.3">
      <c r="A1536" t="s">
        <v>11</v>
      </c>
      <c r="B1536" s="1" t="s">
        <v>43</v>
      </c>
      <c r="C1536" s="1" t="s">
        <v>44</v>
      </c>
      <c r="D1536">
        <v>12659</v>
      </c>
      <c r="E1536" t="s">
        <v>12</v>
      </c>
      <c r="F1536" t="s">
        <v>47</v>
      </c>
      <c r="G1536">
        <v>7</v>
      </c>
      <c r="H1536">
        <v>0</v>
      </c>
      <c r="I1536" t="s">
        <v>45</v>
      </c>
      <c r="J1536" cm="1">
        <f t="array" ref="J1536">IFERROR(
    _xlfn.XLOOKUP(G1536, 'Wedgewood Pharm-PM-Yr2-2025'!$E$78:$L$78,
        _xlfn.XLOOKUP('Rate Load'!H1536, 'Wedgewood Pharm-PM-Yr2-2025'!$D$79:$D$110,
            'Wedgewood Pharm-PM-Yr2-2025'!$E$79:$L$110, 0, 0),
        0, 0),
    _xlfn.XLOOKUP(G1536, 'Wedgewood Pharm-PM-Yr2-2025'!$E$78:$L$78,
        _xlfn.XLOOKUP('Rate Load'!L1536, 'Wedgewood Pharm-PM-Yr2-2025'!$D$79:$D$110,
            'Wedgewood Pharm-PM-Yr2-2025'!$E$79:$L$110, 0, 0),
        0, 0)
)</f>
        <v>13.51</v>
      </c>
      <c r="K1536" t="s">
        <v>46</v>
      </c>
      <c r="L1536" t="s">
        <v>29</v>
      </c>
      <c r="M1536">
        <v>3</v>
      </c>
      <c r="N1536" t="str">
        <f t="shared" si="23"/>
        <v>INSERT INTO TNL_RATING.dbo.usps_rate_master VALUES ('USPS', '2/13/2025', '2/13/2026', 12659, 'US', 'Priority Mail', 7, 0, 'L', 13.51, 'Wedgewood_USPS_2025', 'Medium Flat-Rate Box','3');</v>
      </c>
    </row>
    <row r="1537" spans="1:14" x14ac:dyDescent="0.3">
      <c r="A1537" t="s">
        <v>11</v>
      </c>
      <c r="B1537" s="1" t="s">
        <v>43</v>
      </c>
      <c r="C1537" s="1" t="s">
        <v>44</v>
      </c>
      <c r="D1537">
        <v>12659</v>
      </c>
      <c r="E1537" t="s">
        <v>12</v>
      </c>
      <c r="F1537" t="s">
        <v>47</v>
      </c>
      <c r="G1537">
        <v>8</v>
      </c>
      <c r="H1537">
        <v>0</v>
      </c>
      <c r="I1537" t="s">
        <v>45</v>
      </c>
      <c r="J1537" cm="1">
        <f t="array" ref="J1537">IFERROR(
    _xlfn.XLOOKUP(G1537, 'Wedgewood Pharm-PM-Yr2-2025'!$E$78:$L$78,
        _xlfn.XLOOKUP('Rate Load'!H1537, 'Wedgewood Pharm-PM-Yr2-2025'!$D$79:$D$110,
            'Wedgewood Pharm-PM-Yr2-2025'!$E$79:$L$110, 0, 0),
        0, 0),
    _xlfn.XLOOKUP(G1537, 'Wedgewood Pharm-PM-Yr2-2025'!$E$78:$L$78,
        _xlfn.XLOOKUP('Rate Load'!L1537, 'Wedgewood Pharm-PM-Yr2-2025'!$D$79:$D$110,
            'Wedgewood Pharm-PM-Yr2-2025'!$E$79:$L$110, 0, 0),
        0, 0)
)</f>
        <v>13.51</v>
      </c>
      <c r="K1537" t="s">
        <v>46</v>
      </c>
      <c r="L1537" t="s">
        <v>29</v>
      </c>
      <c r="M1537">
        <v>3</v>
      </c>
      <c r="N1537" t="str">
        <f t="shared" si="23"/>
        <v>INSERT INTO TNL_RATING.dbo.usps_rate_master VALUES ('USPS', '2/13/2025', '2/13/2026', 12659, 'US', 'Priority Mail', 8, 0, 'L', 13.51, 'Wedgewood_USPS_2025', 'Medium Flat-Rate Box','3');</v>
      </c>
    </row>
    <row r="1538" spans="1:14" x14ac:dyDescent="0.3">
      <c r="A1538" t="s">
        <v>11</v>
      </c>
      <c r="B1538" s="1" t="s">
        <v>43</v>
      </c>
      <c r="C1538" s="1" t="s">
        <v>44</v>
      </c>
      <c r="D1538">
        <v>12659</v>
      </c>
      <c r="E1538" t="s">
        <v>12</v>
      </c>
      <c r="F1538" t="s">
        <v>47</v>
      </c>
      <c r="G1538">
        <v>1</v>
      </c>
      <c r="H1538">
        <v>0</v>
      </c>
      <c r="I1538" t="s">
        <v>45</v>
      </c>
      <c r="J1538" cm="1">
        <f t="array" ref="J1538">IFERROR(
    _xlfn.XLOOKUP(G1538, 'Wedgewood Pharm-PM-Yr2-2025'!$E$78:$L$78,
        _xlfn.XLOOKUP('Rate Load'!H1538, 'Wedgewood Pharm-PM-Yr2-2025'!$D$79:$D$110,
            'Wedgewood Pharm-PM-Yr2-2025'!$E$79:$L$110, 0, 0),
        0, 0),
    _xlfn.XLOOKUP(G1538, 'Wedgewood Pharm-PM-Yr2-2025'!$E$78:$L$78,
        _xlfn.XLOOKUP('Rate Load'!L1538, 'Wedgewood Pharm-PM-Yr2-2025'!$D$79:$D$110,
            'Wedgewood Pharm-PM-Yr2-2025'!$E$79:$L$110, 0, 0),
        0, 0)
)</f>
        <v>18.290000000000003</v>
      </c>
      <c r="K1538" t="s">
        <v>46</v>
      </c>
      <c r="L1538" t="s">
        <v>30</v>
      </c>
      <c r="M1538">
        <v>3</v>
      </c>
      <c r="N1538" t="str">
        <f t="shared" si="23"/>
        <v>INSERT INTO TNL_RATING.dbo.usps_rate_master VALUES ('USPS', '2/13/2025', '2/13/2026', 12659, 'US', 'Priority Mail', 1, 0, 'L', 18.29, 'Wedgewood_USPS_2025', 'Large Flat-Rate Box','3');</v>
      </c>
    </row>
    <row r="1539" spans="1:14" x14ac:dyDescent="0.3">
      <c r="A1539" t="s">
        <v>11</v>
      </c>
      <c r="B1539" s="1" t="s">
        <v>43</v>
      </c>
      <c r="C1539" s="1" t="s">
        <v>44</v>
      </c>
      <c r="D1539">
        <v>12659</v>
      </c>
      <c r="E1539" t="s">
        <v>12</v>
      </c>
      <c r="F1539" t="s">
        <v>47</v>
      </c>
      <c r="G1539">
        <v>2</v>
      </c>
      <c r="H1539">
        <v>0</v>
      </c>
      <c r="I1539" t="s">
        <v>45</v>
      </c>
      <c r="J1539" cm="1">
        <f t="array" ref="J1539">IFERROR(
    _xlfn.XLOOKUP(G1539, 'Wedgewood Pharm-PM-Yr2-2025'!$E$78:$L$78,
        _xlfn.XLOOKUP('Rate Load'!H1539, 'Wedgewood Pharm-PM-Yr2-2025'!$D$79:$D$110,
            'Wedgewood Pharm-PM-Yr2-2025'!$E$79:$L$110, 0, 0),
        0, 0),
    _xlfn.XLOOKUP(G1539, 'Wedgewood Pharm-PM-Yr2-2025'!$E$78:$L$78,
        _xlfn.XLOOKUP('Rate Load'!L1539, 'Wedgewood Pharm-PM-Yr2-2025'!$D$79:$D$110,
            'Wedgewood Pharm-PM-Yr2-2025'!$E$79:$L$110, 0, 0),
        0, 0)
)</f>
        <v>18.290000000000003</v>
      </c>
      <c r="K1539" t="s">
        <v>46</v>
      </c>
      <c r="L1539" t="s">
        <v>30</v>
      </c>
      <c r="M1539">
        <v>3</v>
      </c>
      <c r="N1539" t="str">
        <f t="shared" ref="N1539:N1602" si="24">"INSERT INTO TNL_RATING.dbo.usps_rate_master VALUES ('" &amp; A1539 &amp; "', '" &amp; B1539 &amp; "', '" &amp; C1539 &amp; "', " &amp; D1539 &amp; ", '" &amp; E1539 &amp; "', '" &amp; F1539 &amp; "', " &amp; G1539 &amp; ", " &amp; H1539 &amp; ", '" &amp; I1539 &amp; "', " &amp; J1539 &amp; ", '" &amp; K1539 &amp; "', '" &amp; L1539 &amp; "','" &amp; M1539 &amp; "');"</f>
        <v>INSERT INTO TNL_RATING.dbo.usps_rate_master VALUES ('USPS', '2/13/2025', '2/13/2026', 12659, 'US', 'Priority Mail', 2, 0, 'L', 18.29, 'Wedgewood_USPS_2025', 'Large Flat-Rate Box','3');</v>
      </c>
    </row>
    <row r="1540" spans="1:14" x14ac:dyDescent="0.3">
      <c r="A1540" t="s">
        <v>11</v>
      </c>
      <c r="B1540" s="1" t="s">
        <v>43</v>
      </c>
      <c r="C1540" s="1" t="s">
        <v>44</v>
      </c>
      <c r="D1540">
        <v>12659</v>
      </c>
      <c r="E1540" t="s">
        <v>12</v>
      </c>
      <c r="F1540" t="s">
        <v>47</v>
      </c>
      <c r="G1540">
        <v>3</v>
      </c>
      <c r="H1540">
        <v>0</v>
      </c>
      <c r="I1540" t="s">
        <v>45</v>
      </c>
      <c r="J1540" cm="1">
        <f t="array" ref="J1540">IFERROR(
    _xlfn.XLOOKUP(G1540, 'Wedgewood Pharm-PM-Yr2-2025'!$E$78:$L$78,
        _xlfn.XLOOKUP('Rate Load'!H1540, 'Wedgewood Pharm-PM-Yr2-2025'!$D$79:$D$110,
            'Wedgewood Pharm-PM-Yr2-2025'!$E$79:$L$110, 0, 0),
        0, 0),
    _xlfn.XLOOKUP(G1540, 'Wedgewood Pharm-PM-Yr2-2025'!$E$78:$L$78,
        _xlfn.XLOOKUP('Rate Load'!L1540, 'Wedgewood Pharm-PM-Yr2-2025'!$D$79:$D$110,
            'Wedgewood Pharm-PM-Yr2-2025'!$E$79:$L$110, 0, 0),
        0, 0)
)</f>
        <v>18.290000000000003</v>
      </c>
      <c r="K1540" t="s">
        <v>46</v>
      </c>
      <c r="L1540" t="s">
        <v>30</v>
      </c>
      <c r="M1540">
        <v>3</v>
      </c>
      <c r="N1540" t="str">
        <f t="shared" si="24"/>
        <v>INSERT INTO TNL_RATING.dbo.usps_rate_master VALUES ('USPS', '2/13/2025', '2/13/2026', 12659, 'US', 'Priority Mail', 3, 0, 'L', 18.29, 'Wedgewood_USPS_2025', 'Large Flat-Rate Box','3');</v>
      </c>
    </row>
    <row r="1541" spans="1:14" x14ac:dyDescent="0.3">
      <c r="A1541" t="s">
        <v>11</v>
      </c>
      <c r="B1541" s="1" t="s">
        <v>43</v>
      </c>
      <c r="C1541" s="1" t="s">
        <v>44</v>
      </c>
      <c r="D1541">
        <v>12659</v>
      </c>
      <c r="E1541" t="s">
        <v>12</v>
      </c>
      <c r="F1541" t="s">
        <v>47</v>
      </c>
      <c r="G1541">
        <v>4</v>
      </c>
      <c r="H1541">
        <v>0</v>
      </c>
      <c r="I1541" t="s">
        <v>45</v>
      </c>
      <c r="J1541" cm="1">
        <f t="array" ref="J1541">IFERROR(
    _xlfn.XLOOKUP(G1541, 'Wedgewood Pharm-PM-Yr2-2025'!$E$78:$L$78,
        _xlfn.XLOOKUP('Rate Load'!H1541, 'Wedgewood Pharm-PM-Yr2-2025'!$D$79:$D$110,
            'Wedgewood Pharm-PM-Yr2-2025'!$E$79:$L$110, 0, 0),
        0, 0),
    _xlfn.XLOOKUP(G1541, 'Wedgewood Pharm-PM-Yr2-2025'!$E$78:$L$78,
        _xlfn.XLOOKUP('Rate Load'!L1541, 'Wedgewood Pharm-PM-Yr2-2025'!$D$79:$D$110,
            'Wedgewood Pharm-PM-Yr2-2025'!$E$79:$L$110, 0, 0),
        0, 0)
)</f>
        <v>18.290000000000003</v>
      </c>
      <c r="K1541" t="s">
        <v>46</v>
      </c>
      <c r="L1541" t="s">
        <v>30</v>
      </c>
      <c r="M1541">
        <v>3</v>
      </c>
      <c r="N1541" t="str">
        <f t="shared" si="24"/>
        <v>INSERT INTO TNL_RATING.dbo.usps_rate_master VALUES ('USPS', '2/13/2025', '2/13/2026', 12659, 'US', 'Priority Mail', 4, 0, 'L', 18.29, 'Wedgewood_USPS_2025', 'Large Flat-Rate Box','3');</v>
      </c>
    </row>
    <row r="1542" spans="1:14" x14ac:dyDescent="0.3">
      <c r="A1542" t="s">
        <v>11</v>
      </c>
      <c r="B1542" s="1" t="s">
        <v>43</v>
      </c>
      <c r="C1542" s="1" t="s">
        <v>44</v>
      </c>
      <c r="D1542">
        <v>12659</v>
      </c>
      <c r="E1542" t="s">
        <v>12</v>
      </c>
      <c r="F1542" t="s">
        <v>47</v>
      </c>
      <c r="G1542">
        <v>5</v>
      </c>
      <c r="H1542">
        <v>0</v>
      </c>
      <c r="I1542" t="s">
        <v>45</v>
      </c>
      <c r="J1542" cm="1">
        <f t="array" ref="J1542">IFERROR(
    _xlfn.XLOOKUP(G1542, 'Wedgewood Pharm-PM-Yr2-2025'!$E$78:$L$78,
        _xlfn.XLOOKUP('Rate Load'!H1542, 'Wedgewood Pharm-PM-Yr2-2025'!$D$79:$D$110,
            'Wedgewood Pharm-PM-Yr2-2025'!$E$79:$L$110, 0, 0),
        0, 0),
    _xlfn.XLOOKUP(G1542, 'Wedgewood Pharm-PM-Yr2-2025'!$E$78:$L$78,
        _xlfn.XLOOKUP('Rate Load'!L1542, 'Wedgewood Pharm-PM-Yr2-2025'!$D$79:$D$110,
            'Wedgewood Pharm-PM-Yr2-2025'!$E$79:$L$110, 0, 0),
        0, 0)
)</f>
        <v>18.290000000000003</v>
      </c>
      <c r="K1542" t="s">
        <v>46</v>
      </c>
      <c r="L1542" t="s">
        <v>30</v>
      </c>
      <c r="M1542">
        <v>3</v>
      </c>
      <c r="N1542" t="str">
        <f t="shared" si="24"/>
        <v>INSERT INTO TNL_RATING.dbo.usps_rate_master VALUES ('USPS', '2/13/2025', '2/13/2026', 12659, 'US', 'Priority Mail', 5, 0, 'L', 18.29, 'Wedgewood_USPS_2025', 'Large Flat-Rate Box','3');</v>
      </c>
    </row>
    <row r="1543" spans="1:14" x14ac:dyDescent="0.3">
      <c r="A1543" t="s">
        <v>11</v>
      </c>
      <c r="B1543" s="1" t="s">
        <v>43</v>
      </c>
      <c r="C1543" s="1" t="s">
        <v>44</v>
      </c>
      <c r="D1543">
        <v>12659</v>
      </c>
      <c r="E1543" t="s">
        <v>12</v>
      </c>
      <c r="F1543" t="s">
        <v>47</v>
      </c>
      <c r="G1543">
        <v>6</v>
      </c>
      <c r="H1543">
        <v>0</v>
      </c>
      <c r="I1543" t="s">
        <v>45</v>
      </c>
      <c r="J1543" cm="1">
        <f t="array" ref="J1543">IFERROR(
    _xlfn.XLOOKUP(G1543, 'Wedgewood Pharm-PM-Yr2-2025'!$E$78:$L$78,
        _xlfn.XLOOKUP('Rate Load'!H1543, 'Wedgewood Pharm-PM-Yr2-2025'!$D$79:$D$110,
            'Wedgewood Pharm-PM-Yr2-2025'!$E$79:$L$110, 0, 0),
        0, 0),
    _xlfn.XLOOKUP(G1543, 'Wedgewood Pharm-PM-Yr2-2025'!$E$78:$L$78,
        _xlfn.XLOOKUP('Rate Load'!L1543, 'Wedgewood Pharm-PM-Yr2-2025'!$D$79:$D$110,
            'Wedgewood Pharm-PM-Yr2-2025'!$E$79:$L$110, 0, 0),
        0, 0)
)</f>
        <v>18.290000000000003</v>
      </c>
      <c r="K1543" t="s">
        <v>46</v>
      </c>
      <c r="L1543" t="s">
        <v>30</v>
      </c>
      <c r="M1543">
        <v>3</v>
      </c>
      <c r="N1543" t="str">
        <f t="shared" si="24"/>
        <v>INSERT INTO TNL_RATING.dbo.usps_rate_master VALUES ('USPS', '2/13/2025', '2/13/2026', 12659, 'US', 'Priority Mail', 6, 0, 'L', 18.29, 'Wedgewood_USPS_2025', 'Large Flat-Rate Box','3');</v>
      </c>
    </row>
    <row r="1544" spans="1:14" x14ac:dyDescent="0.3">
      <c r="A1544" t="s">
        <v>11</v>
      </c>
      <c r="B1544" s="1" t="s">
        <v>43</v>
      </c>
      <c r="C1544" s="1" t="s">
        <v>44</v>
      </c>
      <c r="D1544">
        <v>12659</v>
      </c>
      <c r="E1544" t="s">
        <v>12</v>
      </c>
      <c r="F1544" t="s">
        <v>47</v>
      </c>
      <c r="G1544">
        <v>7</v>
      </c>
      <c r="H1544">
        <v>0</v>
      </c>
      <c r="I1544" t="s">
        <v>45</v>
      </c>
      <c r="J1544" cm="1">
        <f t="array" ref="J1544">IFERROR(
    _xlfn.XLOOKUP(G1544, 'Wedgewood Pharm-PM-Yr2-2025'!$E$78:$L$78,
        _xlfn.XLOOKUP('Rate Load'!H1544, 'Wedgewood Pharm-PM-Yr2-2025'!$D$79:$D$110,
            'Wedgewood Pharm-PM-Yr2-2025'!$E$79:$L$110, 0, 0),
        0, 0),
    _xlfn.XLOOKUP(G1544, 'Wedgewood Pharm-PM-Yr2-2025'!$E$78:$L$78,
        _xlfn.XLOOKUP('Rate Load'!L1544, 'Wedgewood Pharm-PM-Yr2-2025'!$D$79:$D$110,
            'Wedgewood Pharm-PM-Yr2-2025'!$E$79:$L$110, 0, 0),
        0, 0)
)</f>
        <v>18.290000000000003</v>
      </c>
      <c r="K1544" t="s">
        <v>46</v>
      </c>
      <c r="L1544" t="s">
        <v>30</v>
      </c>
      <c r="M1544">
        <v>3</v>
      </c>
      <c r="N1544" t="str">
        <f t="shared" si="24"/>
        <v>INSERT INTO TNL_RATING.dbo.usps_rate_master VALUES ('USPS', '2/13/2025', '2/13/2026', 12659, 'US', 'Priority Mail', 7, 0, 'L', 18.29, 'Wedgewood_USPS_2025', 'Large Flat-Rate Box','3');</v>
      </c>
    </row>
    <row r="1545" spans="1:14" x14ac:dyDescent="0.3">
      <c r="A1545" t="s">
        <v>11</v>
      </c>
      <c r="B1545" s="1" t="s">
        <v>43</v>
      </c>
      <c r="C1545" s="1" t="s">
        <v>44</v>
      </c>
      <c r="D1545">
        <v>12659</v>
      </c>
      <c r="E1545" t="s">
        <v>12</v>
      </c>
      <c r="F1545" t="s">
        <v>47</v>
      </c>
      <c r="G1545">
        <v>8</v>
      </c>
      <c r="H1545">
        <v>0</v>
      </c>
      <c r="I1545" t="s">
        <v>45</v>
      </c>
      <c r="J1545" cm="1">
        <f t="array" ref="J1545">IFERROR(
    _xlfn.XLOOKUP(G1545, 'Wedgewood Pharm-PM-Yr2-2025'!$E$78:$L$78,
        _xlfn.XLOOKUP('Rate Load'!H1545, 'Wedgewood Pharm-PM-Yr2-2025'!$D$79:$D$110,
            'Wedgewood Pharm-PM-Yr2-2025'!$E$79:$L$110, 0, 0),
        0, 0),
    _xlfn.XLOOKUP(G1545, 'Wedgewood Pharm-PM-Yr2-2025'!$E$78:$L$78,
        _xlfn.XLOOKUP('Rate Load'!L1545, 'Wedgewood Pharm-PM-Yr2-2025'!$D$79:$D$110,
            'Wedgewood Pharm-PM-Yr2-2025'!$E$79:$L$110, 0, 0),
        0, 0)
)</f>
        <v>18.290000000000003</v>
      </c>
      <c r="K1545" t="s">
        <v>46</v>
      </c>
      <c r="L1545" t="s">
        <v>30</v>
      </c>
      <c r="M1545">
        <v>3</v>
      </c>
      <c r="N1545" t="str">
        <f t="shared" si="24"/>
        <v>INSERT INTO TNL_RATING.dbo.usps_rate_master VALUES ('USPS', '2/13/2025', '2/13/2026', 12659, 'US', 'Priority Mail', 8, 0, 'L', 18.29, 'Wedgewood_USPS_2025', 'Large Flat-Rate Box','3');</v>
      </c>
    </row>
    <row r="1546" spans="1:14" x14ac:dyDescent="0.3">
      <c r="A1546" t="s">
        <v>11</v>
      </c>
      <c r="B1546" s="1" t="s">
        <v>43</v>
      </c>
      <c r="C1546" s="1" t="s">
        <v>44</v>
      </c>
      <c r="D1546">
        <v>12659</v>
      </c>
      <c r="E1546" t="s">
        <v>12</v>
      </c>
      <c r="F1546" t="s">
        <v>51</v>
      </c>
      <c r="G1546">
        <v>1</v>
      </c>
      <c r="H1546">
        <v>1</v>
      </c>
      <c r="I1546" t="s">
        <v>45</v>
      </c>
      <c r="J1546" cm="1">
        <f t="array" ref="J1546">IFERROR(
    _xlfn.XLOOKUP(G1546, 'Wedgewood Pharm-GA-Yr2-2025'!$E$106:$L$106,
        _xlfn.XLOOKUP('Rate Load'!H1546, 'Wedgewood Pharm-GA-Yr2-2025'!$D$123:$D$152,
            'Wedgewood Pharm-GA-Yr2-2025'!$E$123:$L$152, 0, 0),
        0, 0),
    _xlfn.XLOOKUP(G1546, 'Wedgewood Pharm-GA-Yr2-2025'!$E$106:$L$106,
        _xlfn.XLOOKUP('Rate Load'!L1546, 'Wedgewood Pharm-GA-Yr2-2025'!$D$123:$D$152,
            'Wedgewood Pharm-GA-Yr2-2025'!$E$123:$L$152, 0, 0),
        0, 0)
)</f>
        <v>5.8599999999999994</v>
      </c>
      <c r="K1546" t="s">
        <v>46</v>
      </c>
      <c r="L1546" t="s">
        <v>13</v>
      </c>
      <c r="M1546">
        <v>3</v>
      </c>
      <c r="N1546" t="str">
        <f t="shared" si="24"/>
        <v>INSERT INTO TNL_RATING.dbo.usps_rate_master VALUES ('USPS', '2/13/2025', '2/13/2026', 12659, 'US', 'USPS Ground Advantage', 1, 1, 'L', 5.86, 'Wedgewood_USPS_2025', 'NonCubic','3');</v>
      </c>
    </row>
    <row r="1547" spans="1:14" x14ac:dyDescent="0.3">
      <c r="A1547" t="s">
        <v>11</v>
      </c>
      <c r="B1547" s="1" t="s">
        <v>43</v>
      </c>
      <c r="C1547" s="1" t="s">
        <v>44</v>
      </c>
      <c r="D1547">
        <v>12659</v>
      </c>
      <c r="E1547" t="s">
        <v>12</v>
      </c>
      <c r="F1547" t="s">
        <v>51</v>
      </c>
      <c r="G1547">
        <v>1</v>
      </c>
      <c r="H1547">
        <v>2</v>
      </c>
      <c r="I1547" t="s">
        <v>45</v>
      </c>
      <c r="J1547" cm="1">
        <f t="array" ref="J1547">IFERROR(
    _xlfn.XLOOKUP(G1547, 'Wedgewood Pharm-GA-Yr2-2025'!$E$106:$L$106,
        _xlfn.XLOOKUP('Rate Load'!H1547, 'Wedgewood Pharm-GA-Yr2-2025'!$D$123:$D$152,
            'Wedgewood Pharm-GA-Yr2-2025'!$E$123:$L$152, 0, 0),
        0, 0),
    _xlfn.XLOOKUP(G1547, 'Wedgewood Pharm-GA-Yr2-2025'!$E$106:$L$106,
        _xlfn.XLOOKUP('Rate Load'!L1547, 'Wedgewood Pharm-GA-Yr2-2025'!$D$123:$D$152,
            'Wedgewood Pharm-GA-Yr2-2025'!$E$123:$L$152, 0, 0),
        0, 0)
)</f>
        <v>5.8599999999999994</v>
      </c>
      <c r="K1547" t="s">
        <v>46</v>
      </c>
      <c r="L1547" t="s">
        <v>13</v>
      </c>
      <c r="M1547">
        <v>3</v>
      </c>
      <c r="N1547" t="str">
        <f t="shared" si="24"/>
        <v>INSERT INTO TNL_RATING.dbo.usps_rate_master VALUES ('USPS', '2/13/2025', '2/13/2026', 12659, 'US', 'USPS Ground Advantage', 1, 2, 'L', 5.86, 'Wedgewood_USPS_2025', 'NonCubic','3');</v>
      </c>
    </row>
    <row r="1548" spans="1:14" x14ac:dyDescent="0.3">
      <c r="A1548" t="s">
        <v>11</v>
      </c>
      <c r="B1548" s="1" t="s">
        <v>43</v>
      </c>
      <c r="C1548" s="1" t="s">
        <v>44</v>
      </c>
      <c r="D1548">
        <v>12659</v>
      </c>
      <c r="E1548" t="s">
        <v>12</v>
      </c>
      <c r="F1548" t="s">
        <v>51</v>
      </c>
      <c r="G1548">
        <v>1</v>
      </c>
      <c r="H1548">
        <v>3</v>
      </c>
      <c r="I1548" t="s">
        <v>45</v>
      </c>
      <c r="J1548" cm="1">
        <f t="array" ref="J1548">IFERROR(
    _xlfn.XLOOKUP(G1548, 'Wedgewood Pharm-GA-Yr2-2025'!$E$106:$L$106,
        _xlfn.XLOOKUP('Rate Load'!H1548, 'Wedgewood Pharm-GA-Yr2-2025'!$D$123:$D$152,
            'Wedgewood Pharm-GA-Yr2-2025'!$E$123:$L$152, 0, 0),
        0, 0),
    _xlfn.XLOOKUP(G1548, 'Wedgewood Pharm-GA-Yr2-2025'!$E$106:$L$106,
        _xlfn.XLOOKUP('Rate Load'!L1548, 'Wedgewood Pharm-GA-Yr2-2025'!$D$123:$D$152,
            'Wedgewood Pharm-GA-Yr2-2025'!$E$123:$L$152, 0, 0),
        0, 0)
)</f>
        <v>6.1899999999999995</v>
      </c>
      <c r="K1548" t="s">
        <v>46</v>
      </c>
      <c r="L1548" t="s">
        <v>13</v>
      </c>
      <c r="M1548">
        <v>3</v>
      </c>
      <c r="N1548" t="str">
        <f t="shared" si="24"/>
        <v>INSERT INTO TNL_RATING.dbo.usps_rate_master VALUES ('USPS', '2/13/2025', '2/13/2026', 12659, 'US', 'USPS Ground Advantage', 1, 3, 'L', 6.19, 'Wedgewood_USPS_2025', 'NonCubic','3');</v>
      </c>
    </row>
    <row r="1549" spans="1:14" x14ac:dyDescent="0.3">
      <c r="A1549" t="s">
        <v>11</v>
      </c>
      <c r="B1549" s="1" t="s">
        <v>43</v>
      </c>
      <c r="C1549" s="1" t="s">
        <v>44</v>
      </c>
      <c r="D1549">
        <v>12659</v>
      </c>
      <c r="E1549" t="s">
        <v>12</v>
      </c>
      <c r="F1549" t="s">
        <v>51</v>
      </c>
      <c r="G1549">
        <v>1</v>
      </c>
      <c r="H1549">
        <v>4</v>
      </c>
      <c r="I1549" t="s">
        <v>45</v>
      </c>
      <c r="J1549" cm="1">
        <f t="array" ref="J1549">IFERROR(
    _xlfn.XLOOKUP(G1549, 'Wedgewood Pharm-GA-Yr2-2025'!$E$106:$L$106,
        _xlfn.XLOOKUP('Rate Load'!H1549, 'Wedgewood Pharm-GA-Yr2-2025'!$D$123:$D$152,
            'Wedgewood Pharm-GA-Yr2-2025'!$E$123:$L$152, 0, 0),
        0, 0),
    _xlfn.XLOOKUP(G1549, 'Wedgewood Pharm-GA-Yr2-2025'!$E$106:$L$106,
        _xlfn.XLOOKUP('Rate Load'!L1549, 'Wedgewood Pharm-GA-Yr2-2025'!$D$123:$D$152,
            'Wedgewood Pharm-GA-Yr2-2025'!$E$123:$L$152, 0, 0),
        0, 0)
)</f>
        <v>6.37</v>
      </c>
      <c r="K1549" t="s">
        <v>46</v>
      </c>
      <c r="L1549" t="s">
        <v>13</v>
      </c>
      <c r="M1549">
        <v>3</v>
      </c>
      <c r="N1549" t="str">
        <f t="shared" si="24"/>
        <v>INSERT INTO TNL_RATING.dbo.usps_rate_master VALUES ('USPS', '2/13/2025', '2/13/2026', 12659, 'US', 'USPS Ground Advantage', 1, 4, 'L', 6.37, 'Wedgewood_USPS_2025', 'NonCubic','3');</v>
      </c>
    </row>
    <row r="1550" spans="1:14" x14ac:dyDescent="0.3">
      <c r="A1550" t="s">
        <v>11</v>
      </c>
      <c r="B1550" s="1" t="s">
        <v>43</v>
      </c>
      <c r="C1550" s="1" t="s">
        <v>44</v>
      </c>
      <c r="D1550">
        <v>12659</v>
      </c>
      <c r="E1550" t="s">
        <v>12</v>
      </c>
      <c r="F1550" t="s">
        <v>51</v>
      </c>
      <c r="G1550">
        <v>1</v>
      </c>
      <c r="H1550">
        <v>5</v>
      </c>
      <c r="I1550" t="s">
        <v>45</v>
      </c>
      <c r="J1550" cm="1">
        <f t="array" ref="J1550">IFERROR(
    _xlfn.XLOOKUP(G1550, 'Wedgewood Pharm-GA-Yr2-2025'!$E$106:$L$106,
        _xlfn.XLOOKUP('Rate Load'!H1550, 'Wedgewood Pharm-GA-Yr2-2025'!$D$123:$D$152,
            'Wedgewood Pharm-GA-Yr2-2025'!$E$123:$L$152, 0, 0),
        0, 0),
    _xlfn.XLOOKUP(G1550, 'Wedgewood Pharm-GA-Yr2-2025'!$E$106:$L$106,
        _xlfn.XLOOKUP('Rate Load'!L1550, 'Wedgewood Pharm-GA-Yr2-2025'!$D$123:$D$152,
            'Wedgewood Pharm-GA-Yr2-2025'!$E$123:$L$152, 0, 0),
        0, 0)
)</f>
        <v>6.52</v>
      </c>
      <c r="K1550" t="s">
        <v>46</v>
      </c>
      <c r="L1550" t="s">
        <v>13</v>
      </c>
      <c r="M1550">
        <v>3</v>
      </c>
      <c r="N1550" t="str">
        <f t="shared" si="24"/>
        <v>INSERT INTO TNL_RATING.dbo.usps_rate_master VALUES ('USPS', '2/13/2025', '2/13/2026', 12659, 'US', 'USPS Ground Advantage', 1, 5, 'L', 6.52, 'Wedgewood_USPS_2025', 'NonCubic','3');</v>
      </c>
    </row>
    <row r="1551" spans="1:14" x14ac:dyDescent="0.3">
      <c r="A1551" t="s">
        <v>11</v>
      </c>
      <c r="B1551" s="1" t="s">
        <v>43</v>
      </c>
      <c r="C1551" s="1" t="s">
        <v>44</v>
      </c>
      <c r="D1551">
        <v>12659</v>
      </c>
      <c r="E1551" t="s">
        <v>12</v>
      </c>
      <c r="F1551" t="s">
        <v>51</v>
      </c>
      <c r="G1551">
        <v>1</v>
      </c>
      <c r="H1551">
        <v>6</v>
      </c>
      <c r="I1551" t="s">
        <v>45</v>
      </c>
      <c r="J1551" cm="1">
        <f t="array" ref="J1551">IFERROR(
    _xlfn.XLOOKUP(G1551, 'Wedgewood Pharm-GA-Yr2-2025'!$E$106:$L$106,
        _xlfn.XLOOKUP('Rate Load'!H1551, 'Wedgewood Pharm-GA-Yr2-2025'!$D$123:$D$152,
            'Wedgewood Pharm-GA-Yr2-2025'!$E$123:$L$152, 0, 0),
        0, 0),
    _xlfn.XLOOKUP(G1551, 'Wedgewood Pharm-GA-Yr2-2025'!$E$106:$L$106,
        _xlfn.XLOOKUP('Rate Load'!L1551, 'Wedgewood Pharm-GA-Yr2-2025'!$D$123:$D$152,
            'Wedgewood Pharm-GA-Yr2-2025'!$E$123:$L$152, 0, 0),
        0, 0)
)</f>
        <v>6.6499999999999995</v>
      </c>
      <c r="K1551" t="s">
        <v>46</v>
      </c>
      <c r="L1551" t="s">
        <v>13</v>
      </c>
      <c r="M1551">
        <v>3</v>
      </c>
      <c r="N1551" t="str">
        <f t="shared" si="24"/>
        <v>INSERT INTO TNL_RATING.dbo.usps_rate_master VALUES ('USPS', '2/13/2025', '2/13/2026', 12659, 'US', 'USPS Ground Advantage', 1, 6, 'L', 6.65, 'Wedgewood_USPS_2025', 'NonCubic','3');</v>
      </c>
    </row>
    <row r="1552" spans="1:14" x14ac:dyDescent="0.3">
      <c r="A1552" t="s">
        <v>11</v>
      </c>
      <c r="B1552" s="1" t="s">
        <v>43</v>
      </c>
      <c r="C1552" s="1" t="s">
        <v>44</v>
      </c>
      <c r="D1552">
        <v>12659</v>
      </c>
      <c r="E1552" t="s">
        <v>12</v>
      </c>
      <c r="F1552" t="s">
        <v>51</v>
      </c>
      <c r="G1552">
        <v>1</v>
      </c>
      <c r="H1552">
        <v>7</v>
      </c>
      <c r="I1552" t="s">
        <v>45</v>
      </c>
      <c r="J1552" cm="1">
        <f t="array" ref="J1552">IFERROR(
    _xlfn.XLOOKUP(G1552, 'Wedgewood Pharm-GA-Yr2-2025'!$E$106:$L$106,
        _xlfn.XLOOKUP('Rate Load'!H1552, 'Wedgewood Pharm-GA-Yr2-2025'!$D$123:$D$152,
            'Wedgewood Pharm-GA-Yr2-2025'!$E$123:$L$152, 0, 0),
        0, 0),
    _xlfn.XLOOKUP(G1552, 'Wedgewood Pharm-GA-Yr2-2025'!$E$106:$L$106,
        _xlfn.XLOOKUP('Rate Load'!L1552, 'Wedgewood Pharm-GA-Yr2-2025'!$D$123:$D$152,
            'Wedgewood Pharm-GA-Yr2-2025'!$E$123:$L$152, 0, 0),
        0, 0)
)</f>
        <v>6.95</v>
      </c>
      <c r="K1552" t="s">
        <v>46</v>
      </c>
      <c r="L1552" t="s">
        <v>13</v>
      </c>
      <c r="M1552">
        <v>3</v>
      </c>
      <c r="N1552" t="str">
        <f t="shared" si="24"/>
        <v>INSERT INTO TNL_RATING.dbo.usps_rate_master VALUES ('USPS', '2/13/2025', '2/13/2026', 12659, 'US', 'USPS Ground Advantage', 1, 7, 'L', 6.95, 'Wedgewood_USPS_2025', 'NonCubic','3');</v>
      </c>
    </row>
    <row r="1553" spans="1:14" x14ac:dyDescent="0.3">
      <c r="A1553" t="s">
        <v>11</v>
      </c>
      <c r="B1553" s="1" t="s">
        <v>43</v>
      </c>
      <c r="C1553" s="1" t="s">
        <v>44</v>
      </c>
      <c r="D1553">
        <v>12659</v>
      </c>
      <c r="E1553" t="s">
        <v>12</v>
      </c>
      <c r="F1553" t="s">
        <v>51</v>
      </c>
      <c r="G1553">
        <v>1</v>
      </c>
      <c r="H1553">
        <v>8</v>
      </c>
      <c r="I1553" t="s">
        <v>45</v>
      </c>
      <c r="J1553" cm="1">
        <f t="array" ref="J1553">IFERROR(
    _xlfn.XLOOKUP(G1553, 'Wedgewood Pharm-GA-Yr2-2025'!$E$106:$L$106,
        _xlfn.XLOOKUP('Rate Load'!H1553, 'Wedgewood Pharm-GA-Yr2-2025'!$D$123:$D$152,
            'Wedgewood Pharm-GA-Yr2-2025'!$E$123:$L$152, 0, 0),
        0, 0),
    _xlfn.XLOOKUP(G1553, 'Wedgewood Pharm-GA-Yr2-2025'!$E$106:$L$106,
        _xlfn.XLOOKUP('Rate Load'!L1553, 'Wedgewood Pharm-GA-Yr2-2025'!$D$123:$D$152,
            'Wedgewood Pharm-GA-Yr2-2025'!$E$123:$L$152, 0, 0),
        0, 0)
)</f>
        <v>7.0699999999999994</v>
      </c>
      <c r="K1553" t="s">
        <v>46</v>
      </c>
      <c r="L1553" t="s">
        <v>13</v>
      </c>
      <c r="M1553">
        <v>3</v>
      </c>
      <c r="N1553" t="str">
        <f t="shared" si="24"/>
        <v>INSERT INTO TNL_RATING.dbo.usps_rate_master VALUES ('USPS', '2/13/2025', '2/13/2026', 12659, 'US', 'USPS Ground Advantage', 1, 8, 'L', 7.07, 'Wedgewood_USPS_2025', 'NonCubic','3');</v>
      </c>
    </row>
    <row r="1554" spans="1:14" x14ac:dyDescent="0.3">
      <c r="A1554" t="s">
        <v>11</v>
      </c>
      <c r="B1554" s="1" t="s">
        <v>43</v>
      </c>
      <c r="C1554" s="1" t="s">
        <v>44</v>
      </c>
      <c r="D1554">
        <v>12659</v>
      </c>
      <c r="E1554" t="s">
        <v>12</v>
      </c>
      <c r="F1554" t="s">
        <v>51</v>
      </c>
      <c r="G1554">
        <v>1</v>
      </c>
      <c r="H1554">
        <v>9</v>
      </c>
      <c r="I1554" t="s">
        <v>45</v>
      </c>
      <c r="J1554" cm="1">
        <f t="array" ref="J1554">IFERROR(
    _xlfn.XLOOKUP(G1554, 'Wedgewood Pharm-GA-Yr2-2025'!$E$106:$L$106,
        _xlfn.XLOOKUP('Rate Load'!H1554, 'Wedgewood Pharm-GA-Yr2-2025'!$D$123:$D$152,
            'Wedgewood Pharm-GA-Yr2-2025'!$E$123:$L$152, 0, 0),
        0, 0),
    _xlfn.XLOOKUP(G1554, 'Wedgewood Pharm-GA-Yr2-2025'!$E$106:$L$106,
        _xlfn.XLOOKUP('Rate Load'!L1554, 'Wedgewood Pharm-GA-Yr2-2025'!$D$123:$D$152,
            'Wedgewood Pharm-GA-Yr2-2025'!$E$123:$L$152, 0, 0),
        0, 0)
)</f>
        <v>7.5</v>
      </c>
      <c r="K1554" t="s">
        <v>46</v>
      </c>
      <c r="L1554" t="s">
        <v>13</v>
      </c>
      <c r="M1554">
        <v>3</v>
      </c>
      <c r="N1554" t="str">
        <f t="shared" si="24"/>
        <v>INSERT INTO TNL_RATING.dbo.usps_rate_master VALUES ('USPS', '2/13/2025', '2/13/2026', 12659, 'US', 'USPS Ground Advantage', 1, 9, 'L', 7.5, 'Wedgewood_USPS_2025', 'NonCubic','3');</v>
      </c>
    </row>
    <row r="1555" spans="1:14" x14ac:dyDescent="0.3">
      <c r="A1555" t="s">
        <v>11</v>
      </c>
      <c r="B1555" s="1" t="s">
        <v>43</v>
      </c>
      <c r="C1555" s="1" t="s">
        <v>44</v>
      </c>
      <c r="D1555">
        <v>12659</v>
      </c>
      <c r="E1555" t="s">
        <v>12</v>
      </c>
      <c r="F1555" t="s">
        <v>51</v>
      </c>
      <c r="G1555">
        <v>1</v>
      </c>
      <c r="H1555">
        <v>10</v>
      </c>
      <c r="I1555" t="s">
        <v>45</v>
      </c>
      <c r="J1555" cm="1">
        <f t="array" ref="J1555">IFERROR(
    _xlfn.XLOOKUP(G1555, 'Wedgewood Pharm-GA-Yr2-2025'!$E$106:$L$106,
        _xlfn.XLOOKUP('Rate Load'!H1555, 'Wedgewood Pharm-GA-Yr2-2025'!$D$123:$D$152,
            'Wedgewood Pharm-GA-Yr2-2025'!$E$123:$L$152, 0, 0),
        0, 0),
    _xlfn.XLOOKUP(G1555, 'Wedgewood Pharm-GA-Yr2-2025'!$E$106:$L$106,
        _xlfn.XLOOKUP('Rate Load'!L1555, 'Wedgewood Pharm-GA-Yr2-2025'!$D$123:$D$152,
            'Wedgewood Pharm-GA-Yr2-2025'!$E$123:$L$152, 0, 0),
        0, 0)
)</f>
        <v>7.77</v>
      </c>
      <c r="K1555" t="s">
        <v>46</v>
      </c>
      <c r="L1555" t="s">
        <v>13</v>
      </c>
      <c r="M1555">
        <v>3</v>
      </c>
      <c r="N1555" t="str">
        <f t="shared" si="24"/>
        <v>INSERT INTO TNL_RATING.dbo.usps_rate_master VALUES ('USPS', '2/13/2025', '2/13/2026', 12659, 'US', 'USPS Ground Advantage', 1, 10, 'L', 7.77, 'Wedgewood_USPS_2025', 'NonCubic','3');</v>
      </c>
    </row>
    <row r="1556" spans="1:14" x14ac:dyDescent="0.3">
      <c r="A1556" t="s">
        <v>11</v>
      </c>
      <c r="B1556" s="1" t="s">
        <v>43</v>
      </c>
      <c r="C1556" s="1" t="s">
        <v>44</v>
      </c>
      <c r="D1556">
        <v>12659</v>
      </c>
      <c r="E1556" t="s">
        <v>12</v>
      </c>
      <c r="F1556" t="s">
        <v>51</v>
      </c>
      <c r="G1556">
        <v>1</v>
      </c>
      <c r="H1556">
        <v>11</v>
      </c>
      <c r="I1556" t="s">
        <v>45</v>
      </c>
      <c r="J1556" cm="1">
        <f t="array" ref="J1556">IFERROR(
    _xlfn.XLOOKUP(G1556, 'Wedgewood Pharm-GA-Yr2-2025'!$E$106:$L$106,
        _xlfn.XLOOKUP('Rate Load'!H1556, 'Wedgewood Pharm-GA-Yr2-2025'!$D$123:$D$152,
            'Wedgewood Pharm-GA-Yr2-2025'!$E$123:$L$152, 0, 0),
        0, 0),
    _xlfn.XLOOKUP(G1556, 'Wedgewood Pharm-GA-Yr2-2025'!$E$106:$L$106,
        _xlfn.XLOOKUP('Rate Load'!L1556, 'Wedgewood Pharm-GA-Yr2-2025'!$D$123:$D$152,
            'Wedgewood Pharm-GA-Yr2-2025'!$E$123:$L$152, 0, 0),
        0, 0)
)</f>
        <v>8.66</v>
      </c>
      <c r="K1556" t="s">
        <v>46</v>
      </c>
      <c r="L1556" t="s">
        <v>13</v>
      </c>
      <c r="M1556">
        <v>3</v>
      </c>
      <c r="N1556" t="str">
        <f t="shared" si="24"/>
        <v>INSERT INTO TNL_RATING.dbo.usps_rate_master VALUES ('USPS', '2/13/2025', '2/13/2026', 12659, 'US', 'USPS Ground Advantage', 1, 11, 'L', 8.66, 'Wedgewood_USPS_2025', 'NonCubic','3');</v>
      </c>
    </row>
    <row r="1557" spans="1:14" x14ac:dyDescent="0.3">
      <c r="A1557" t="s">
        <v>11</v>
      </c>
      <c r="B1557" s="1" t="s">
        <v>43</v>
      </c>
      <c r="C1557" s="1" t="s">
        <v>44</v>
      </c>
      <c r="D1557">
        <v>12659</v>
      </c>
      <c r="E1557" t="s">
        <v>12</v>
      </c>
      <c r="F1557" t="s">
        <v>51</v>
      </c>
      <c r="G1557">
        <v>1</v>
      </c>
      <c r="H1557">
        <v>12</v>
      </c>
      <c r="I1557" t="s">
        <v>45</v>
      </c>
      <c r="J1557" cm="1">
        <f t="array" ref="J1557">IFERROR(
    _xlfn.XLOOKUP(G1557, 'Wedgewood Pharm-GA-Yr2-2025'!$E$106:$L$106,
        _xlfn.XLOOKUP('Rate Load'!H1557, 'Wedgewood Pharm-GA-Yr2-2025'!$D$123:$D$152,
            'Wedgewood Pharm-GA-Yr2-2025'!$E$123:$L$152, 0, 0),
        0, 0),
    _xlfn.XLOOKUP(G1557, 'Wedgewood Pharm-GA-Yr2-2025'!$E$106:$L$106,
        _xlfn.XLOOKUP('Rate Load'!L1557, 'Wedgewood Pharm-GA-Yr2-2025'!$D$123:$D$152,
            'Wedgewood Pharm-GA-Yr2-2025'!$E$123:$L$152, 0, 0),
        0, 0)
)</f>
        <v>9.02</v>
      </c>
      <c r="K1557" t="s">
        <v>46</v>
      </c>
      <c r="L1557" t="s">
        <v>13</v>
      </c>
      <c r="M1557">
        <v>3</v>
      </c>
      <c r="N1557" t="str">
        <f t="shared" si="24"/>
        <v>INSERT INTO TNL_RATING.dbo.usps_rate_master VALUES ('USPS', '2/13/2025', '2/13/2026', 12659, 'US', 'USPS Ground Advantage', 1, 12, 'L', 9.02, 'Wedgewood_USPS_2025', 'NonCubic','3');</v>
      </c>
    </row>
    <row r="1558" spans="1:14" x14ac:dyDescent="0.3">
      <c r="A1558" t="s">
        <v>11</v>
      </c>
      <c r="B1558" s="1" t="s">
        <v>43</v>
      </c>
      <c r="C1558" s="1" t="s">
        <v>44</v>
      </c>
      <c r="D1558">
        <v>12659</v>
      </c>
      <c r="E1558" t="s">
        <v>12</v>
      </c>
      <c r="F1558" t="s">
        <v>51</v>
      </c>
      <c r="G1558">
        <v>1</v>
      </c>
      <c r="H1558">
        <v>13</v>
      </c>
      <c r="I1558" t="s">
        <v>45</v>
      </c>
      <c r="J1558" cm="1">
        <f t="array" ref="J1558">IFERROR(
    _xlfn.XLOOKUP(G1558, 'Wedgewood Pharm-GA-Yr2-2025'!$E$106:$L$106,
        _xlfn.XLOOKUP('Rate Load'!H1558, 'Wedgewood Pharm-GA-Yr2-2025'!$D$123:$D$152,
            'Wedgewood Pharm-GA-Yr2-2025'!$E$123:$L$152, 0, 0),
        0, 0),
    _xlfn.XLOOKUP(G1558, 'Wedgewood Pharm-GA-Yr2-2025'!$E$106:$L$106,
        _xlfn.XLOOKUP('Rate Load'!L1558, 'Wedgewood Pharm-GA-Yr2-2025'!$D$123:$D$152,
            'Wedgewood Pharm-GA-Yr2-2025'!$E$123:$L$152, 0, 0),
        0, 0)
)</f>
        <v>9.2899999999999991</v>
      </c>
      <c r="K1558" t="s">
        <v>46</v>
      </c>
      <c r="L1558" t="s">
        <v>13</v>
      </c>
      <c r="M1558">
        <v>3</v>
      </c>
      <c r="N1558" t="str">
        <f t="shared" si="24"/>
        <v>INSERT INTO TNL_RATING.dbo.usps_rate_master VALUES ('USPS', '2/13/2025', '2/13/2026', 12659, 'US', 'USPS Ground Advantage', 1, 13, 'L', 9.29, 'Wedgewood_USPS_2025', 'NonCubic','3');</v>
      </c>
    </row>
    <row r="1559" spans="1:14" x14ac:dyDescent="0.3">
      <c r="A1559" t="s">
        <v>11</v>
      </c>
      <c r="B1559" s="1" t="s">
        <v>43</v>
      </c>
      <c r="C1559" s="1" t="s">
        <v>44</v>
      </c>
      <c r="D1559">
        <v>12659</v>
      </c>
      <c r="E1559" t="s">
        <v>12</v>
      </c>
      <c r="F1559" t="s">
        <v>51</v>
      </c>
      <c r="G1559">
        <v>1</v>
      </c>
      <c r="H1559">
        <v>14</v>
      </c>
      <c r="I1559" t="s">
        <v>45</v>
      </c>
      <c r="J1559" cm="1">
        <f t="array" ref="J1559">IFERROR(
    _xlfn.XLOOKUP(G1559, 'Wedgewood Pharm-GA-Yr2-2025'!$E$106:$L$106,
        _xlfn.XLOOKUP('Rate Load'!H1559, 'Wedgewood Pharm-GA-Yr2-2025'!$D$123:$D$152,
            'Wedgewood Pharm-GA-Yr2-2025'!$E$123:$L$152, 0, 0),
        0, 0),
    _xlfn.XLOOKUP(G1559, 'Wedgewood Pharm-GA-Yr2-2025'!$E$106:$L$106,
        _xlfn.XLOOKUP('Rate Load'!L1559, 'Wedgewood Pharm-GA-Yr2-2025'!$D$123:$D$152,
            'Wedgewood Pharm-GA-Yr2-2025'!$E$123:$L$152, 0, 0),
        0, 0)
)</f>
        <v>9.58</v>
      </c>
      <c r="K1559" t="s">
        <v>46</v>
      </c>
      <c r="L1559" t="s">
        <v>13</v>
      </c>
      <c r="M1559">
        <v>3</v>
      </c>
      <c r="N1559" t="str">
        <f t="shared" si="24"/>
        <v>INSERT INTO TNL_RATING.dbo.usps_rate_master VALUES ('USPS', '2/13/2025', '2/13/2026', 12659, 'US', 'USPS Ground Advantage', 1, 14, 'L', 9.58, 'Wedgewood_USPS_2025', 'NonCubic','3');</v>
      </c>
    </row>
    <row r="1560" spans="1:14" x14ac:dyDescent="0.3">
      <c r="A1560" t="s">
        <v>11</v>
      </c>
      <c r="B1560" s="1" t="s">
        <v>43</v>
      </c>
      <c r="C1560" s="1" t="s">
        <v>44</v>
      </c>
      <c r="D1560">
        <v>12659</v>
      </c>
      <c r="E1560" t="s">
        <v>12</v>
      </c>
      <c r="F1560" t="s">
        <v>51</v>
      </c>
      <c r="G1560">
        <v>1</v>
      </c>
      <c r="H1560">
        <v>15</v>
      </c>
      <c r="I1560" t="s">
        <v>45</v>
      </c>
      <c r="J1560" cm="1">
        <f t="array" ref="J1560">IFERROR(
    _xlfn.XLOOKUP(G1560, 'Wedgewood Pharm-GA-Yr2-2025'!$E$106:$L$106,
        _xlfn.XLOOKUP('Rate Load'!H1560, 'Wedgewood Pharm-GA-Yr2-2025'!$D$123:$D$152,
            'Wedgewood Pharm-GA-Yr2-2025'!$E$123:$L$152, 0, 0),
        0, 0),
    _xlfn.XLOOKUP(G1560, 'Wedgewood Pharm-GA-Yr2-2025'!$E$106:$L$106,
        _xlfn.XLOOKUP('Rate Load'!L1560, 'Wedgewood Pharm-GA-Yr2-2025'!$D$123:$D$152,
            'Wedgewood Pharm-GA-Yr2-2025'!$E$123:$L$152, 0, 0),
        0, 0)
)</f>
        <v>9.7799999999999994</v>
      </c>
      <c r="K1560" t="s">
        <v>46</v>
      </c>
      <c r="L1560" t="s">
        <v>13</v>
      </c>
      <c r="M1560">
        <v>3</v>
      </c>
      <c r="N1560" t="str">
        <f t="shared" si="24"/>
        <v>INSERT INTO TNL_RATING.dbo.usps_rate_master VALUES ('USPS', '2/13/2025', '2/13/2026', 12659, 'US', 'USPS Ground Advantage', 1, 15, 'L', 9.78, 'Wedgewood_USPS_2025', 'NonCubic','3');</v>
      </c>
    </row>
    <row r="1561" spans="1:14" x14ac:dyDescent="0.3">
      <c r="A1561" t="s">
        <v>11</v>
      </c>
      <c r="B1561" s="1" t="s">
        <v>43</v>
      </c>
      <c r="C1561" s="1" t="s">
        <v>44</v>
      </c>
      <c r="D1561">
        <v>12659</v>
      </c>
      <c r="E1561" t="s">
        <v>12</v>
      </c>
      <c r="F1561" t="s">
        <v>51</v>
      </c>
      <c r="G1561">
        <v>1</v>
      </c>
      <c r="H1561">
        <v>16</v>
      </c>
      <c r="I1561" t="s">
        <v>45</v>
      </c>
      <c r="J1561" cm="1">
        <f t="array" ref="J1561">IFERROR(
    _xlfn.XLOOKUP(G1561, 'Wedgewood Pharm-GA-Yr2-2025'!$E$106:$L$106,
        _xlfn.XLOOKUP('Rate Load'!H1561, 'Wedgewood Pharm-GA-Yr2-2025'!$D$123:$D$152,
            'Wedgewood Pharm-GA-Yr2-2025'!$E$123:$L$152, 0, 0),
        0, 0),
    _xlfn.XLOOKUP(G1561, 'Wedgewood Pharm-GA-Yr2-2025'!$E$106:$L$106,
        _xlfn.XLOOKUP('Rate Load'!L1561, 'Wedgewood Pharm-GA-Yr2-2025'!$D$123:$D$152,
            'Wedgewood Pharm-GA-Yr2-2025'!$E$123:$L$152, 0, 0),
        0, 0)
)</f>
        <v>10.049999999999999</v>
      </c>
      <c r="K1561" t="s">
        <v>46</v>
      </c>
      <c r="L1561" t="s">
        <v>13</v>
      </c>
      <c r="M1561">
        <v>3</v>
      </c>
      <c r="N1561" t="str">
        <f t="shared" si="24"/>
        <v>INSERT INTO TNL_RATING.dbo.usps_rate_master VALUES ('USPS', '2/13/2025', '2/13/2026', 12659, 'US', 'USPS Ground Advantage', 1, 16, 'L', 10.05, 'Wedgewood_USPS_2025', 'NonCubic','3');</v>
      </c>
    </row>
    <row r="1562" spans="1:14" x14ac:dyDescent="0.3">
      <c r="A1562" t="s">
        <v>11</v>
      </c>
      <c r="B1562" s="1" t="s">
        <v>43</v>
      </c>
      <c r="C1562" s="1" t="s">
        <v>44</v>
      </c>
      <c r="D1562">
        <v>12659</v>
      </c>
      <c r="E1562" t="s">
        <v>12</v>
      </c>
      <c r="F1562" t="s">
        <v>51</v>
      </c>
      <c r="G1562">
        <v>1</v>
      </c>
      <c r="H1562">
        <v>17</v>
      </c>
      <c r="I1562" t="s">
        <v>45</v>
      </c>
      <c r="J1562" cm="1">
        <f t="array" ref="J1562">IFERROR(
    _xlfn.XLOOKUP(G1562, 'Wedgewood Pharm-GA-Yr2-2025'!$E$106:$L$106,
        _xlfn.XLOOKUP('Rate Load'!H1562, 'Wedgewood Pharm-GA-Yr2-2025'!$D$123:$D$152,
            'Wedgewood Pharm-GA-Yr2-2025'!$E$123:$L$152, 0, 0),
        0, 0),
    _xlfn.XLOOKUP(G1562, 'Wedgewood Pharm-GA-Yr2-2025'!$E$106:$L$106,
        _xlfn.XLOOKUP('Rate Load'!L1562, 'Wedgewood Pharm-GA-Yr2-2025'!$D$123:$D$152,
            'Wedgewood Pharm-GA-Yr2-2025'!$E$123:$L$152, 0, 0),
        0, 0)
)</f>
        <v>10.29</v>
      </c>
      <c r="K1562" t="s">
        <v>46</v>
      </c>
      <c r="L1562" t="s">
        <v>13</v>
      </c>
      <c r="M1562">
        <v>3</v>
      </c>
      <c r="N1562" t="str">
        <f t="shared" si="24"/>
        <v>INSERT INTO TNL_RATING.dbo.usps_rate_master VALUES ('USPS', '2/13/2025', '2/13/2026', 12659, 'US', 'USPS Ground Advantage', 1, 17, 'L', 10.29, 'Wedgewood_USPS_2025', 'NonCubic','3');</v>
      </c>
    </row>
    <row r="1563" spans="1:14" x14ac:dyDescent="0.3">
      <c r="A1563" t="s">
        <v>11</v>
      </c>
      <c r="B1563" s="1" t="s">
        <v>43</v>
      </c>
      <c r="C1563" s="1" t="s">
        <v>44</v>
      </c>
      <c r="D1563">
        <v>12659</v>
      </c>
      <c r="E1563" t="s">
        <v>12</v>
      </c>
      <c r="F1563" t="s">
        <v>51</v>
      </c>
      <c r="G1563">
        <v>1</v>
      </c>
      <c r="H1563">
        <v>18</v>
      </c>
      <c r="I1563" t="s">
        <v>45</v>
      </c>
      <c r="J1563" cm="1">
        <f t="array" ref="J1563">IFERROR(
    _xlfn.XLOOKUP(G1563, 'Wedgewood Pharm-GA-Yr2-2025'!$E$106:$L$106,
        _xlfn.XLOOKUP('Rate Load'!H1563, 'Wedgewood Pharm-GA-Yr2-2025'!$D$123:$D$152,
            'Wedgewood Pharm-GA-Yr2-2025'!$E$123:$L$152, 0, 0),
        0, 0),
    _xlfn.XLOOKUP(G1563, 'Wedgewood Pharm-GA-Yr2-2025'!$E$106:$L$106,
        _xlfn.XLOOKUP('Rate Load'!L1563, 'Wedgewood Pharm-GA-Yr2-2025'!$D$123:$D$152,
            'Wedgewood Pharm-GA-Yr2-2025'!$E$123:$L$152, 0, 0),
        0, 0)
)</f>
        <v>10.43</v>
      </c>
      <c r="K1563" t="s">
        <v>46</v>
      </c>
      <c r="L1563" t="s">
        <v>13</v>
      </c>
      <c r="M1563">
        <v>3</v>
      </c>
      <c r="N1563" t="str">
        <f t="shared" si="24"/>
        <v>INSERT INTO TNL_RATING.dbo.usps_rate_master VALUES ('USPS', '2/13/2025', '2/13/2026', 12659, 'US', 'USPS Ground Advantage', 1, 18, 'L', 10.43, 'Wedgewood_USPS_2025', 'NonCubic','3');</v>
      </c>
    </row>
    <row r="1564" spans="1:14" x14ac:dyDescent="0.3">
      <c r="A1564" t="s">
        <v>11</v>
      </c>
      <c r="B1564" s="1" t="s">
        <v>43</v>
      </c>
      <c r="C1564" s="1" t="s">
        <v>44</v>
      </c>
      <c r="D1564">
        <v>12659</v>
      </c>
      <c r="E1564" t="s">
        <v>12</v>
      </c>
      <c r="F1564" t="s">
        <v>51</v>
      </c>
      <c r="G1564">
        <v>1</v>
      </c>
      <c r="H1564">
        <v>19</v>
      </c>
      <c r="I1564" t="s">
        <v>45</v>
      </c>
      <c r="J1564" cm="1">
        <f t="array" ref="J1564">IFERROR(
    _xlfn.XLOOKUP(G1564, 'Wedgewood Pharm-GA-Yr2-2025'!$E$106:$L$106,
        _xlfn.XLOOKUP('Rate Load'!H1564, 'Wedgewood Pharm-GA-Yr2-2025'!$D$123:$D$152,
            'Wedgewood Pharm-GA-Yr2-2025'!$E$123:$L$152, 0, 0),
        0, 0),
    _xlfn.XLOOKUP(G1564, 'Wedgewood Pharm-GA-Yr2-2025'!$E$106:$L$106,
        _xlfn.XLOOKUP('Rate Load'!L1564, 'Wedgewood Pharm-GA-Yr2-2025'!$D$123:$D$152,
            'Wedgewood Pharm-GA-Yr2-2025'!$E$123:$L$152, 0, 0),
        0, 0)
)</f>
        <v>10.709999999999999</v>
      </c>
      <c r="K1564" t="s">
        <v>46</v>
      </c>
      <c r="L1564" t="s">
        <v>13</v>
      </c>
      <c r="M1564">
        <v>3</v>
      </c>
      <c r="N1564" t="str">
        <f t="shared" si="24"/>
        <v>INSERT INTO TNL_RATING.dbo.usps_rate_master VALUES ('USPS', '2/13/2025', '2/13/2026', 12659, 'US', 'USPS Ground Advantage', 1, 19, 'L', 10.71, 'Wedgewood_USPS_2025', 'NonCubic','3');</v>
      </c>
    </row>
    <row r="1565" spans="1:14" x14ac:dyDescent="0.3">
      <c r="A1565" t="s">
        <v>11</v>
      </c>
      <c r="B1565" s="1" t="s">
        <v>43</v>
      </c>
      <c r="C1565" s="1" t="s">
        <v>44</v>
      </c>
      <c r="D1565">
        <v>12659</v>
      </c>
      <c r="E1565" t="s">
        <v>12</v>
      </c>
      <c r="F1565" t="s">
        <v>51</v>
      </c>
      <c r="G1565">
        <v>1</v>
      </c>
      <c r="H1565">
        <v>20</v>
      </c>
      <c r="I1565" t="s">
        <v>45</v>
      </c>
      <c r="J1565" cm="1">
        <f t="array" ref="J1565">IFERROR(
    _xlfn.XLOOKUP(G1565, 'Wedgewood Pharm-GA-Yr2-2025'!$E$106:$L$106,
        _xlfn.XLOOKUP('Rate Load'!H1565, 'Wedgewood Pharm-GA-Yr2-2025'!$D$123:$D$152,
            'Wedgewood Pharm-GA-Yr2-2025'!$E$123:$L$152, 0, 0),
        0, 0),
    _xlfn.XLOOKUP(G1565, 'Wedgewood Pharm-GA-Yr2-2025'!$E$106:$L$106,
        _xlfn.XLOOKUP('Rate Load'!L1565, 'Wedgewood Pharm-GA-Yr2-2025'!$D$123:$D$152,
            'Wedgewood Pharm-GA-Yr2-2025'!$E$123:$L$152, 0, 0),
        0, 0)
)</f>
        <v>10.92</v>
      </c>
      <c r="K1565" t="s">
        <v>46</v>
      </c>
      <c r="L1565" t="s">
        <v>13</v>
      </c>
      <c r="M1565">
        <v>3</v>
      </c>
      <c r="N1565" t="str">
        <f t="shared" si="24"/>
        <v>INSERT INTO TNL_RATING.dbo.usps_rate_master VALUES ('USPS', '2/13/2025', '2/13/2026', 12659, 'US', 'USPS Ground Advantage', 1, 20, 'L', 10.92, 'Wedgewood_USPS_2025', 'NonCubic','3');</v>
      </c>
    </row>
    <row r="1566" spans="1:14" x14ac:dyDescent="0.3">
      <c r="A1566" t="s">
        <v>11</v>
      </c>
      <c r="B1566" s="1" t="s">
        <v>43</v>
      </c>
      <c r="C1566" s="1" t="s">
        <v>44</v>
      </c>
      <c r="D1566">
        <v>12659</v>
      </c>
      <c r="E1566" t="s">
        <v>12</v>
      </c>
      <c r="F1566" t="s">
        <v>51</v>
      </c>
      <c r="G1566">
        <v>2</v>
      </c>
      <c r="H1566">
        <v>1</v>
      </c>
      <c r="I1566" t="s">
        <v>45</v>
      </c>
      <c r="J1566" cm="1">
        <f t="array" ref="J1566">IFERROR(
    _xlfn.XLOOKUP(G1566, 'Wedgewood Pharm-GA-Yr2-2025'!$E$106:$L$106,
        _xlfn.XLOOKUP('Rate Load'!H1566, 'Wedgewood Pharm-GA-Yr2-2025'!$D$123:$D$152,
            'Wedgewood Pharm-GA-Yr2-2025'!$E$123:$L$152, 0, 0),
        0, 0),
    _xlfn.XLOOKUP(G1566, 'Wedgewood Pharm-GA-Yr2-2025'!$E$106:$L$106,
        _xlfn.XLOOKUP('Rate Load'!L1566, 'Wedgewood Pharm-GA-Yr2-2025'!$D$123:$D$152,
            'Wedgewood Pharm-GA-Yr2-2025'!$E$123:$L$152, 0, 0),
        0, 0)
)</f>
        <v>5.8599999999999994</v>
      </c>
      <c r="K1566" t="s">
        <v>46</v>
      </c>
      <c r="L1566" t="s">
        <v>13</v>
      </c>
      <c r="M1566">
        <v>3</v>
      </c>
      <c r="N1566" t="str">
        <f t="shared" si="24"/>
        <v>INSERT INTO TNL_RATING.dbo.usps_rate_master VALUES ('USPS', '2/13/2025', '2/13/2026', 12659, 'US', 'USPS Ground Advantage', 2, 1, 'L', 5.86, 'Wedgewood_USPS_2025', 'NonCubic','3');</v>
      </c>
    </row>
    <row r="1567" spans="1:14" x14ac:dyDescent="0.3">
      <c r="A1567" t="s">
        <v>11</v>
      </c>
      <c r="B1567" s="1" t="s">
        <v>43</v>
      </c>
      <c r="C1567" s="1" t="s">
        <v>44</v>
      </c>
      <c r="D1567">
        <v>12659</v>
      </c>
      <c r="E1567" t="s">
        <v>12</v>
      </c>
      <c r="F1567" t="s">
        <v>51</v>
      </c>
      <c r="G1567">
        <v>2</v>
      </c>
      <c r="H1567">
        <v>2</v>
      </c>
      <c r="I1567" t="s">
        <v>45</v>
      </c>
      <c r="J1567" cm="1">
        <f t="array" ref="J1567">IFERROR(
    _xlfn.XLOOKUP(G1567, 'Wedgewood Pharm-GA-Yr2-2025'!$E$106:$L$106,
        _xlfn.XLOOKUP('Rate Load'!H1567, 'Wedgewood Pharm-GA-Yr2-2025'!$D$123:$D$152,
            'Wedgewood Pharm-GA-Yr2-2025'!$E$123:$L$152, 0, 0),
        0, 0),
    _xlfn.XLOOKUP(G1567, 'Wedgewood Pharm-GA-Yr2-2025'!$E$106:$L$106,
        _xlfn.XLOOKUP('Rate Load'!L1567, 'Wedgewood Pharm-GA-Yr2-2025'!$D$123:$D$152,
            'Wedgewood Pharm-GA-Yr2-2025'!$E$123:$L$152, 0, 0),
        0, 0)
)</f>
        <v>6.01</v>
      </c>
      <c r="K1567" t="s">
        <v>46</v>
      </c>
      <c r="L1567" t="s">
        <v>13</v>
      </c>
      <c r="M1567">
        <v>3</v>
      </c>
      <c r="N1567" t="str">
        <f t="shared" si="24"/>
        <v>INSERT INTO TNL_RATING.dbo.usps_rate_master VALUES ('USPS', '2/13/2025', '2/13/2026', 12659, 'US', 'USPS Ground Advantage', 2, 2, 'L', 6.01, 'Wedgewood_USPS_2025', 'NonCubic','3');</v>
      </c>
    </row>
    <row r="1568" spans="1:14" x14ac:dyDescent="0.3">
      <c r="A1568" t="s">
        <v>11</v>
      </c>
      <c r="B1568" s="1" t="s">
        <v>43</v>
      </c>
      <c r="C1568" s="1" t="s">
        <v>44</v>
      </c>
      <c r="D1568">
        <v>12659</v>
      </c>
      <c r="E1568" t="s">
        <v>12</v>
      </c>
      <c r="F1568" t="s">
        <v>51</v>
      </c>
      <c r="G1568">
        <v>2</v>
      </c>
      <c r="H1568">
        <v>3</v>
      </c>
      <c r="I1568" t="s">
        <v>45</v>
      </c>
      <c r="J1568" cm="1">
        <f t="array" ref="J1568">IFERROR(
    _xlfn.XLOOKUP(G1568, 'Wedgewood Pharm-GA-Yr2-2025'!$E$106:$L$106,
        _xlfn.XLOOKUP('Rate Load'!H1568, 'Wedgewood Pharm-GA-Yr2-2025'!$D$123:$D$152,
            'Wedgewood Pharm-GA-Yr2-2025'!$E$123:$L$152, 0, 0),
        0, 0),
    _xlfn.XLOOKUP(G1568, 'Wedgewood Pharm-GA-Yr2-2025'!$E$106:$L$106,
        _xlfn.XLOOKUP('Rate Load'!L1568, 'Wedgewood Pharm-GA-Yr2-2025'!$D$123:$D$152,
            'Wedgewood Pharm-GA-Yr2-2025'!$E$123:$L$152, 0, 0),
        0, 0)
)</f>
        <v>6.42</v>
      </c>
      <c r="K1568" t="s">
        <v>46</v>
      </c>
      <c r="L1568" t="s">
        <v>13</v>
      </c>
      <c r="M1568">
        <v>3</v>
      </c>
      <c r="N1568" t="str">
        <f t="shared" si="24"/>
        <v>INSERT INTO TNL_RATING.dbo.usps_rate_master VALUES ('USPS', '2/13/2025', '2/13/2026', 12659, 'US', 'USPS Ground Advantage', 2, 3, 'L', 6.42, 'Wedgewood_USPS_2025', 'NonCubic','3');</v>
      </c>
    </row>
    <row r="1569" spans="1:14" x14ac:dyDescent="0.3">
      <c r="A1569" t="s">
        <v>11</v>
      </c>
      <c r="B1569" s="1" t="s">
        <v>43</v>
      </c>
      <c r="C1569" s="1" t="s">
        <v>44</v>
      </c>
      <c r="D1569">
        <v>12659</v>
      </c>
      <c r="E1569" t="s">
        <v>12</v>
      </c>
      <c r="F1569" t="s">
        <v>51</v>
      </c>
      <c r="G1569">
        <v>2</v>
      </c>
      <c r="H1569">
        <v>4</v>
      </c>
      <c r="I1569" t="s">
        <v>45</v>
      </c>
      <c r="J1569" cm="1">
        <f t="array" ref="J1569">IFERROR(
    _xlfn.XLOOKUP(G1569, 'Wedgewood Pharm-GA-Yr2-2025'!$E$106:$L$106,
        _xlfn.XLOOKUP('Rate Load'!H1569, 'Wedgewood Pharm-GA-Yr2-2025'!$D$123:$D$152,
            'Wedgewood Pharm-GA-Yr2-2025'!$E$123:$L$152, 0, 0),
        0, 0),
    _xlfn.XLOOKUP(G1569, 'Wedgewood Pharm-GA-Yr2-2025'!$E$106:$L$106,
        _xlfn.XLOOKUP('Rate Load'!L1569, 'Wedgewood Pharm-GA-Yr2-2025'!$D$123:$D$152,
            'Wedgewood Pharm-GA-Yr2-2025'!$E$123:$L$152, 0, 0),
        0, 0)
)</f>
        <v>6.6099999999999994</v>
      </c>
      <c r="K1569" t="s">
        <v>46</v>
      </c>
      <c r="L1569" t="s">
        <v>13</v>
      </c>
      <c r="M1569">
        <v>3</v>
      </c>
      <c r="N1569" t="str">
        <f t="shared" si="24"/>
        <v>INSERT INTO TNL_RATING.dbo.usps_rate_master VALUES ('USPS', '2/13/2025', '2/13/2026', 12659, 'US', 'USPS Ground Advantage', 2, 4, 'L', 6.61, 'Wedgewood_USPS_2025', 'NonCubic','3');</v>
      </c>
    </row>
    <row r="1570" spans="1:14" x14ac:dyDescent="0.3">
      <c r="A1570" t="s">
        <v>11</v>
      </c>
      <c r="B1570" s="1" t="s">
        <v>43</v>
      </c>
      <c r="C1570" s="1" t="s">
        <v>44</v>
      </c>
      <c r="D1570">
        <v>12659</v>
      </c>
      <c r="E1570" t="s">
        <v>12</v>
      </c>
      <c r="F1570" t="s">
        <v>51</v>
      </c>
      <c r="G1570">
        <v>2</v>
      </c>
      <c r="H1570">
        <v>5</v>
      </c>
      <c r="I1570" t="s">
        <v>45</v>
      </c>
      <c r="J1570" cm="1">
        <f t="array" ref="J1570">IFERROR(
    _xlfn.XLOOKUP(G1570, 'Wedgewood Pharm-GA-Yr2-2025'!$E$106:$L$106,
        _xlfn.XLOOKUP('Rate Load'!H1570, 'Wedgewood Pharm-GA-Yr2-2025'!$D$123:$D$152,
            'Wedgewood Pharm-GA-Yr2-2025'!$E$123:$L$152, 0, 0),
        0, 0),
    _xlfn.XLOOKUP(G1570, 'Wedgewood Pharm-GA-Yr2-2025'!$E$106:$L$106,
        _xlfn.XLOOKUP('Rate Load'!L1570, 'Wedgewood Pharm-GA-Yr2-2025'!$D$123:$D$152,
            'Wedgewood Pharm-GA-Yr2-2025'!$E$123:$L$152, 0, 0),
        0, 0)
)</f>
        <v>6.76</v>
      </c>
      <c r="K1570" t="s">
        <v>46</v>
      </c>
      <c r="L1570" t="s">
        <v>13</v>
      </c>
      <c r="M1570">
        <v>3</v>
      </c>
      <c r="N1570" t="str">
        <f t="shared" si="24"/>
        <v>INSERT INTO TNL_RATING.dbo.usps_rate_master VALUES ('USPS', '2/13/2025', '2/13/2026', 12659, 'US', 'USPS Ground Advantage', 2, 5, 'L', 6.76, 'Wedgewood_USPS_2025', 'NonCubic','3');</v>
      </c>
    </row>
    <row r="1571" spans="1:14" x14ac:dyDescent="0.3">
      <c r="A1571" t="s">
        <v>11</v>
      </c>
      <c r="B1571" s="1" t="s">
        <v>43</v>
      </c>
      <c r="C1571" s="1" t="s">
        <v>44</v>
      </c>
      <c r="D1571">
        <v>12659</v>
      </c>
      <c r="E1571" t="s">
        <v>12</v>
      </c>
      <c r="F1571" t="s">
        <v>51</v>
      </c>
      <c r="G1571">
        <v>2</v>
      </c>
      <c r="H1571">
        <v>6</v>
      </c>
      <c r="I1571" t="s">
        <v>45</v>
      </c>
      <c r="J1571" cm="1">
        <f t="array" ref="J1571">IFERROR(
    _xlfn.XLOOKUP(G1571, 'Wedgewood Pharm-GA-Yr2-2025'!$E$106:$L$106,
        _xlfn.XLOOKUP('Rate Load'!H1571, 'Wedgewood Pharm-GA-Yr2-2025'!$D$123:$D$152,
            'Wedgewood Pharm-GA-Yr2-2025'!$E$123:$L$152, 0, 0),
        0, 0),
    _xlfn.XLOOKUP(G1571, 'Wedgewood Pharm-GA-Yr2-2025'!$E$106:$L$106,
        _xlfn.XLOOKUP('Rate Load'!L1571, 'Wedgewood Pharm-GA-Yr2-2025'!$D$123:$D$152,
            'Wedgewood Pharm-GA-Yr2-2025'!$E$123:$L$152, 0, 0),
        0, 0)
)</f>
        <v>6.8599999999999994</v>
      </c>
      <c r="K1571" t="s">
        <v>46</v>
      </c>
      <c r="L1571" t="s">
        <v>13</v>
      </c>
      <c r="M1571">
        <v>3</v>
      </c>
      <c r="N1571" t="str">
        <f t="shared" si="24"/>
        <v>INSERT INTO TNL_RATING.dbo.usps_rate_master VALUES ('USPS', '2/13/2025', '2/13/2026', 12659, 'US', 'USPS Ground Advantage', 2, 6, 'L', 6.86, 'Wedgewood_USPS_2025', 'NonCubic','3');</v>
      </c>
    </row>
    <row r="1572" spans="1:14" x14ac:dyDescent="0.3">
      <c r="A1572" t="s">
        <v>11</v>
      </c>
      <c r="B1572" s="1" t="s">
        <v>43</v>
      </c>
      <c r="C1572" s="1" t="s">
        <v>44</v>
      </c>
      <c r="D1572">
        <v>12659</v>
      </c>
      <c r="E1572" t="s">
        <v>12</v>
      </c>
      <c r="F1572" t="s">
        <v>51</v>
      </c>
      <c r="G1572">
        <v>2</v>
      </c>
      <c r="H1572">
        <v>7</v>
      </c>
      <c r="I1572" t="s">
        <v>45</v>
      </c>
      <c r="J1572" cm="1">
        <f t="array" ref="J1572">IFERROR(
    _xlfn.XLOOKUP(G1572, 'Wedgewood Pharm-GA-Yr2-2025'!$E$106:$L$106,
        _xlfn.XLOOKUP('Rate Load'!H1572, 'Wedgewood Pharm-GA-Yr2-2025'!$D$123:$D$152,
            'Wedgewood Pharm-GA-Yr2-2025'!$E$123:$L$152, 0, 0),
        0, 0),
    _xlfn.XLOOKUP(G1572, 'Wedgewood Pharm-GA-Yr2-2025'!$E$106:$L$106,
        _xlfn.XLOOKUP('Rate Load'!L1572, 'Wedgewood Pharm-GA-Yr2-2025'!$D$123:$D$152,
            'Wedgewood Pharm-GA-Yr2-2025'!$E$123:$L$152, 0, 0),
        0, 0)
)</f>
        <v>7.18</v>
      </c>
      <c r="K1572" t="s">
        <v>46</v>
      </c>
      <c r="L1572" t="s">
        <v>13</v>
      </c>
      <c r="M1572">
        <v>3</v>
      </c>
      <c r="N1572" t="str">
        <f t="shared" si="24"/>
        <v>INSERT INTO TNL_RATING.dbo.usps_rate_master VALUES ('USPS', '2/13/2025', '2/13/2026', 12659, 'US', 'USPS Ground Advantage', 2, 7, 'L', 7.18, 'Wedgewood_USPS_2025', 'NonCubic','3');</v>
      </c>
    </row>
    <row r="1573" spans="1:14" x14ac:dyDescent="0.3">
      <c r="A1573" t="s">
        <v>11</v>
      </c>
      <c r="B1573" s="1" t="s">
        <v>43</v>
      </c>
      <c r="C1573" s="1" t="s">
        <v>44</v>
      </c>
      <c r="D1573">
        <v>12659</v>
      </c>
      <c r="E1573" t="s">
        <v>12</v>
      </c>
      <c r="F1573" t="s">
        <v>51</v>
      </c>
      <c r="G1573">
        <v>2</v>
      </c>
      <c r="H1573">
        <v>8</v>
      </c>
      <c r="I1573" t="s">
        <v>45</v>
      </c>
      <c r="J1573" cm="1">
        <f t="array" ref="J1573">IFERROR(
    _xlfn.XLOOKUP(G1573, 'Wedgewood Pharm-GA-Yr2-2025'!$E$106:$L$106,
        _xlfn.XLOOKUP('Rate Load'!H1573, 'Wedgewood Pharm-GA-Yr2-2025'!$D$123:$D$152,
            'Wedgewood Pharm-GA-Yr2-2025'!$E$123:$L$152, 0, 0),
        0, 0),
    _xlfn.XLOOKUP(G1573, 'Wedgewood Pharm-GA-Yr2-2025'!$E$106:$L$106,
        _xlfn.XLOOKUP('Rate Load'!L1573, 'Wedgewood Pharm-GA-Yr2-2025'!$D$123:$D$152,
            'Wedgewood Pharm-GA-Yr2-2025'!$E$123:$L$152, 0, 0),
        0, 0)
)</f>
        <v>7.31</v>
      </c>
      <c r="K1573" t="s">
        <v>46</v>
      </c>
      <c r="L1573" t="s">
        <v>13</v>
      </c>
      <c r="M1573">
        <v>3</v>
      </c>
      <c r="N1573" t="str">
        <f t="shared" si="24"/>
        <v>INSERT INTO TNL_RATING.dbo.usps_rate_master VALUES ('USPS', '2/13/2025', '2/13/2026', 12659, 'US', 'USPS Ground Advantage', 2, 8, 'L', 7.31, 'Wedgewood_USPS_2025', 'NonCubic','3');</v>
      </c>
    </row>
    <row r="1574" spans="1:14" x14ac:dyDescent="0.3">
      <c r="A1574" t="s">
        <v>11</v>
      </c>
      <c r="B1574" s="1" t="s">
        <v>43</v>
      </c>
      <c r="C1574" s="1" t="s">
        <v>44</v>
      </c>
      <c r="D1574">
        <v>12659</v>
      </c>
      <c r="E1574" t="s">
        <v>12</v>
      </c>
      <c r="F1574" t="s">
        <v>51</v>
      </c>
      <c r="G1574">
        <v>2</v>
      </c>
      <c r="H1574">
        <v>9</v>
      </c>
      <c r="I1574" t="s">
        <v>45</v>
      </c>
      <c r="J1574" cm="1">
        <f t="array" ref="J1574">IFERROR(
    _xlfn.XLOOKUP(G1574, 'Wedgewood Pharm-GA-Yr2-2025'!$E$106:$L$106,
        _xlfn.XLOOKUP('Rate Load'!H1574, 'Wedgewood Pharm-GA-Yr2-2025'!$D$123:$D$152,
            'Wedgewood Pharm-GA-Yr2-2025'!$E$123:$L$152, 0, 0),
        0, 0),
    _xlfn.XLOOKUP(G1574, 'Wedgewood Pharm-GA-Yr2-2025'!$E$106:$L$106,
        _xlfn.XLOOKUP('Rate Load'!L1574, 'Wedgewood Pharm-GA-Yr2-2025'!$D$123:$D$152,
            'Wedgewood Pharm-GA-Yr2-2025'!$E$123:$L$152, 0, 0),
        0, 0)
)</f>
        <v>7.76</v>
      </c>
      <c r="K1574" t="s">
        <v>46</v>
      </c>
      <c r="L1574" t="s">
        <v>13</v>
      </c>
      <c r="M1574">
        <v>3</v>
      </c>
      <c r="N1574" t="str">
        <f t="shared" si="24"/>
        <v>INSERT INTO TNL_RATING.dbo.usps_rate_master VALUES ('USPS', '2/13/2025', '2/13/2026', 12659, 'US', 'USPS Ground Advantage', 2, 9, 'L', 7.76, 'Wedgewood_USPS_2025', 'NonCubic','3');</v>
      </c>
    </row>
    <row r="1575" spans="1:14" x14ac:dyDescent="0.3">
      <c r="A1575" t="s">
        <v>11</v>
      </c>
      <c r="B1575" s="1" t="s">
        <v>43</v>
      </c>
      <c r="C1575" s="1" t="s">
        <v>44</v>
      </c>
      <c r="D1575">
        <v>12659</v>
      </c>
      <c r="E1575" t="s">
        <v>12</v>
      </c>
      <c r="F1575" t="s">
        <v>51</v>
      </c>
      <c r="G1575">
        <v>2</v>
      </c>
      <c r="H1575">
        <v>10</v>
      </c>
      <c r="I1575" t="s">
        <v>45</v>
      </c>
      <c r="J1575" cm="1">
        <f t="array" ref="J1575">IFERROR(
    _xlfn.XLOOKUP(G1575, 'Wedgewood Pharm-GA-Yr2-2025'!$E$106:$L$106,
        _xlfn.XLOOKUP('Rate Load'!H1575, 'Wedgewood Pharm-GA-Yr2-2025'!$D$123:$D$152,
            'Wedgewood Pharm-GA-Yr2-2025'!$E$123:$L$152, 0, 0),
        0, 0),
    _xlfn.XLOOKUP(G1575, 'Wedgewood Pharm-GA-Yr2-2025'!$E$106:$L$106,
        _xlfn.XLOOKUP('Rate Load'!L1575, 'Wedgewood Pharm-GA-Yr2-2025'!$D$123:$D$152,
            'Wedgewood Pharm-GA-Yr2-2025'!$E$123:$L$152, 0, 0),
        0, 0)
)</f>
        <v>8.0299999999999994</v>
      </c>
      <c r="K1575" t="s">
        <v>46</v>
      </c>
      <c r="L1575" t="s">
        <v>13</v>
      </c>
      <c r="M1575">
        <v>3</v>
      </c>
      <c r="N1575" t="str">
        <f t="shared" si="24"/>
        <v>INSERT INTO TNL_RATING.dbo.usps_rate_master VALUES ('USPS', '2/13/2025', '2/13/2026', 12659, 'US', 'USPS Ground Advantage', 2, 10, 'L', 8.03, 'Wedgewood_USPS_2025', 'NonCubic','3');</v>
      </c>
    </row>
    <row r="1576" spans="1:14" x14ac:dyDescent="0.3">
      <c r="A1576" t="s">
        <v>11</v>
      </c>
      <c r="B1576" s="1" t="s">
        <v>43</v>
      </c>
      <c r="C1576" s="1" t="s">
        <v>44</v>
      </c>
      <c r="D1576">
        <v>12659</v>
      </c>
      <c r="E1576" t="s">
        <v>12</v>
      </c>
      <c r="F1576" t="s">
        <v>51</v>
      </c>
      <c r="G1576">
        <v>2</v>
      </c>
      <c r="H1576">
        <v>11</v>
      </c>
      <c r="I1576" t="s">
        <v>45</v>
      </c>
      <c r="J1576" cm="1">
        <f t="array" ref="J1576">IFERROR(
    _xlfn.XLOOKUP(G1576, 'Wedgewood Pharm-GA-Yr2-2025'!$E$106:$L$106,
        _xlfn.XLOOKUP('Rate Load'!H1576, 'Wedgewood Pharm-GA-Yr2-2025'!$D$123:$D$152,
            'Wedgewood Pharm-GA-Yr2-2025'!$E$123:$L$152, 0, 0),
        0, 0),
    _xlfn.XLOOKUP(G1576, 'Wedgewood Pharm-GA-Yr2-2025'!$E$106:$L$106,
        _xlfn.XLOOKUP('Rate Load'!L1576, 'Wedgewood Pharm-GA-Yr2-2025'!$D$123:$D$152,
            'Wedgewood Pharm-GA-Yr2-2025'!$E$123:$L$152, 0, 0),
        0, 0)
)</f>
        <v>8.99</v>
      </c>
      <c r="K1576" t="s">
        <v>46</v>
      </c>
      <c r="L1576" t="s">
        <v>13</v>
      </c>
      <c r="M1576">
        <v>3</v>
      </c>
      <c r="N1576" t="str">
        <f t="shared" si="24"/>
        <v>INSERT INTO TNL_RATING.dbo.usps_rate_master VALUES ('USPS', '2/13/2025', '2/13/2026', 12659, 'US', 'USPS Ground Advantage', 2, 11, 'L', 8.99, 'Wedgewood_USPS_2025', 'NonCubic','3');</v>
      </c>
    </row>
    <row r="1577" spans="1:14" x14ac:dyDescent="0.3">
      <c r="A1577" t="s">
        <v>11</v>
      </c>
      <c r="B1577" s="1" t="s">
        <v>43</v>
      </c>
      <c r="C1577" s="1" t="s">
        <v>44</v>
      </c>
      <c r="D1577">
        <v>12659</v>
      </c>
      <c r="E1577" t="s">
        <v>12</v>
      </c>
      <c r="F1577" t="s">
        <v>51</v>
      </c>
      <c r="G1577">
        <v>2</v>
      </c>
      <c r="H1577">
        <v>12</v>
      </c>
      <c r="I1577" t="s">
        <v>45</v>
      </c>
      <c r="J1577" cm="1">
        <f t="array" ref="J1577">IFERROR(
    _xlfn.XLOOKUP(G1577, 'Wedgewood Pharm-GA-Yr2-2025'!$E$106:$L$106,
        _xlfn.XLOOKUP('Rate Load'!H1577, 'Wedgewood Pharm-GA-Yr2-2025'!$D$123:$D$152,
            'Wedgewood Pharm-GA-Yr2-2025'!$E$123:$L$152, 0, 0),
        0, 0),
    _xlfn.XLOOKUP(G1577, 'Wedgewood Pharm-GA-Yr2-2025'!$E$106:$L$106,
        _xlfn.XLOOKUP('Rate Load'!L1577, 'Wedgewood Pharm-GA-Yr2-2025'!$D$123:$D$152,
            'Wedgewood Pharm-GA-Yr2-2025'!$E$123:$L$152, 0, 0),
        0, 0)
)</f>
        <v>9.31</v>
      </c>
      <c r="K1577" t="s">
        <v>46</v>
      </c>
      <c r="L1577" t="s">
        <v>13</v>
      </c>
      <c r="M1577">
        <v>3</v>
      </c>
      <c r="N1577" t="str">
        <f t="shared" si="24"/>
        <v>INSERT INTO TNL_RATING.dbo.usps_rate_master VALUES ('USPS', '2/13/2025', '2/13/2026', 12659, 'US', 'USPS Ground Advantage', 2, 12, 'L', 9.31, 'Wedgewood_USPS_2025', 'NonCubic','3');</v>
      </c>
    </row>
    <row r="1578" spans="1:14" x14ac:dyDescent="0.3">
      <c r="A1578" t="s">
        <v>11</v>
      </c>
      <c r="B1578" s="1" t="s">
        <v>43</v>
      </c>
      <c r="C1578" s="1" t="s">
        <v>44</v>
      </c>
      <c r="D1578">
        <v>12659</v>
      </c>
      <c r="E1578" t="s">
        <v>12</v>
      </c>
      <c r="F1578" t="s">
        <v>51</v>
      </c>
      <c r="G1578">
        <v>2</v>
      </c>
      <c r="H1578">
        <v>13</v>
      </c>
      <c r="I1578" t="s">
        <v>45</v>
      </c>
      <c r="J1578" cm="1">
        <f t="array" ref="J1578">IFERROR(
    _xlfn.XLOOKUP(G1578, 'Wedgewood Pharm-GA-Yr2-2025'!$E$106:$L$106,
        _xlfn.XLOOKUP('Rate Load'!H1578, 'Wedgewood Pharm-GA-Yr2-2025'!$D$123:$D$152,
            'Wedgewood Pharm-GA-Yr2-2025'!$E$123:$L$152, 0, 0),
        0, 0),
    _xlfn.XLOOKUP(G1578, 'Wedgewood Pharm-GA-Yr2-2025'!$E$106:$L$106,
        _xlfn.XLOOKUP('Rate Load'!L1578, 'Wedgewood Pharm-GA-Yr2-2025'!$D$123:$D$152,
            'Wedgewood Pharm-GA-Yr2-2025'!$E$123:$L$152, 0, 0),
        0, 0)
)</f>
        <v>9.56</v>
      </c>
      <c r="K1578" t="s">
        <v>46</v>
      </c>
      <c r="L1578" t="s">
        <v>13</v>
      </c>
      <c r="M1578">
        <v>3</v>
      </c>
      <c r="N1578" t="str">
        <f t="shared" si="24"/>
        <v>INSERT INTO TNL_RATING.dbo.usps_rate_master VALUES ('USPS', '2/13/2025', '2/13/2026', 12659, 'US', 'USPS Ground Advantage', 2, 13, 'L', 9.56, 'Wedgewood_USPS_2025', 'NonCubic','3');</v>
      </c>
    </row>
    <row r="1579" spans="1:14" x14ac:dyDescent="0.3">
      <c r="A1579" t="s">
        <v>11</v>
      </c>
      <c r="B1579" s="1" t="s">
        <v>43</v>
      </c>
      <c r="C1579" s="1" t="s">
        <v>44</v>
      </c>
      <c r="D1579">
        <v>12659</v>
      </c>
      <c r="E1579" t="s">
        <v>12</v>
      </c>
      <c r="F1579" t="s">
        <v>51</v>
      </c>
      <c r="G1579">
        <v>2</v>
      </c>
      <c r="H1579">
        <v>14</v>
      </c>
      <c r="I1579" t="s">
        <v>45</v>
      </c>
      <c r="J1579" cm="1">
        <f t="array" ref="J1579">IFERROR(
    _xlfn.XLOOKUP(G1579, 'Wedgewood Pharm-GA-Yr2-2025'!$E$106:$L$106,
        _xlfn.XLOOKUP('Rate Load'!H1579, 'Wedgewood Pharm-GA-Yr2-2025'!$D$123:$D$152,
            'Wedgewood Pharm-GA-Yr2-2025'!$E$123:$L$152, 0, 0),
        0, 0),
    _xlfn.XLOOKUP(G1579, 'Wedgewood Pharm-GA-Yr2-2025'!$E$106:$L$106,
        _xlfn.XLOOKUP('Rate Load'!L1579, 'Wedgewood Pharm-GA-Yr2-2025'!$D$123:$D$152,
            'Wedgewood Pharm-GA-Yr2-2025'!$E$123:$L$152, 0, 0),
        0, 0)
)</f>
        <v>9.83</v>
      </c>
      <c r="K1579" t="s">
        <v>46</v>
      </c>
      <c r="L1579" t="s">
        <v>13</v>
      </c>
      <c r="M1579">
        <v>3</v>
      </c>
      <c r="N1579" t="str">
        <f t="shared" si="24"/>
        <v>INSERT INTO TNL_RATING.dbo.usps_rate_master VALUES ('USPS', '2/13/2025', '2/13/2026', 12659, 'US', 'USPS Ground Advantage', 2, 14, 'L', 9.83, 'Wedgewood_USPS_2025', 'NonCubic','3');</v>
      </c>
    </row>
    <row r="1580" spans="1:14" x14ac:dyDescent="0.3">
      <c r="A1580" t="s">
        <v>11</v>
      </c>
      <c r="B1580" s="1" t="s">
        <v>43</v>
      </c>
      <c r="C1580" s="1" t="s">
        <v>44</v>
      </c>
      <c r="D1580">
        <v>12659</v>
      </c>
      <c r="E1580" t="s">
        <v>12</v>
      </c>
      <c r="F1580" t="s">
        <v>51</v>
      </c>
      <c r="G1580">
        <v>2</v>
      </c>
      <c r="H1580">
        <v>15</v>
      </c>
      <c r="I1580" t="s">
        <v>45</v>
      </c>
      <c r="J1580" cm="1">
        <f t="array" ref="J1580">IFERROR(
    _xlfn.XLOOKUP(G1580, 'Wedgewood Pharm-GA-Yr2-2025'!$E$106:$L$106,
        _xlfn.XLOOKUP('Rate Load'!H1580, 'Wedgewood Pharm-GA-Yr2-2025'!$D$123:$D$152,
            'Wedgewood Pharm-GA-Yr2-2025'!$E$123:$L$152, 0, 0),
        0, 0),
    _xlfn.XLOOKUP(G1580, 'Wedgewood Pharm-GA-Yr2-2025'!$E$106:$L$106,
        _xlfn.XLOOKUP('Rate Load'!L1580, 'Wedgewood Pharm-GA-Yr2-2025'!$D$123:$D$152,
            'Wedgewood Pharm-GA-Yr2-2025'!$E$123:$L$152, 0, 0),
        0, 0)
)</f>
        <v>9.9700000000000006</v>
      </c>
      <c r="K1580" t="s">
        <v>46</v>
      </c>
      <c r="L1580" t="s">
        <v>13</v>
      </c>
      <c r="M1580">
        <v>3</v>
      </c>
      <c r="N1580" t="str">
        <f t="shared" si="24"/>
        <v>INSERT INTO TNL_RATING.dbo.usps_rate_master VALUES ('USPS', '2/13/2025', '2/13/2026', 12659, 'US', 'USPS Ground Advantage', 2, 15, 'L', 9.97, 'Wedgewood_USPS_2025', 'NonCubic','3');</v>
      </c>
    </row>
    <row r="1581" spans="1:14" x14ac:dyDescent="0.3">
      <c r="A1581" t="s">
        <v>11</v>
      </c>
      <c r="B1581" s="1" t="s">
        <v>43</v>
      </c>
      <c r="C1581" s="1" t="s">
        <v>44</v>
      </c>
      <c r="D1581">
        <v>12659</v>
      </c>
      <c r="E1581" t="s">
        <v>12</v>
      </c>
      <c r="F1581" t="s">
        <v>51</v>
      </c>
      <c r="G1581">
        <v>2</v>
      </c>
      <c r="H1581">
        <v>16</v>
      </c>
      <c r="I1581" t="s">
        <v>45</v>
      </c>
      <c r="J1581" cm="1">
        <f t="array" ref="J1581">IFERROR(
    _xlfn.XLOOKUP(G1581, 'Wedgewood Pharm-GA-Yr2-2025'!$E$106:$L$106,
        _xlfn.XLOOKUP('Rate Load'!H1581, 'Wedgewood Pharm-GA-Yr2-2025'!$D$123:$D$152,
            'Wedgewood Pharm-GA-Yr2-2025'!$E$123:$L$152, 0, 0),
        0, 0),
    _xlfn.XLOOKUP(G1581, 'Wedgewood Pharm-GA-Yr2-2025'!$E$106:$L$106,
        _xlfn.XLOOKUP('Rate Load'!L1581, 'Wedgewood Pharm-GA-Yr2-2025'!$D$123:$D$152,
            'Wedgewood Pharm-GA-Yr2-2025'!$E$123:$L$152, 0, 0),
        0, 0)
)</f>
        <v>10.199999999999999</v>
      </c>
      <c r="K1581" t="s">
        <v>46</v>
      </c>
      <c r="L1581" t="s">
        <v>13</v>
      </c>
      <c r="M1581">
        <v>3</v>
      </c>
      <c r="N1581" t="str">
        <f t="shared" si="24"/>
        <v>INSERT INTO TNL_RATING.dbo.usps_rate_master VALUES ('USPS', '2/13/2025', '2/13/2026', 12659, 'US', 'USPS Ground Advantage', 2, 16, 'L', 10.2, 'Wedgewood_USPS_2025', 'NonCubic','3');</v>
      </c>
    </row>
    <row r="1582" spans="1:14" x14ac:dyDescent="0.3">
      <c r="A1582" t="s">
        <v>11</v>
      </c>
      <c r="B1582" s="1" t="s">
        <v>43</v>
      </c>
      <c r="C1582" s="1" t="s">
        <v>44</v>
      </c>
      <c r="D1582">
        <v>12659</v>
      </c>
      <c r="E1582" t="s">
        <v>12</v>
      </c>
      <c r="F1582" t="s">
        <v>51</v>
      </c>
      <c r="G1582">
        <v>2</v>
      </c>
      <c r="H1582">
        <v>17</v>
      </c>
      <c r="I1582" t="s">
        <v>45</v>
      </c>
      <c r="J1582" cm="1">
        <f t="array" ref="J1582">IFERROR(
    _xlfn.XLOOKUP(G1582, 'Wedgewood Pharm-GA-Yr2-2025'!$E$106:$L$106,
        _xlfn.XLOOKUP('Rate Load'!H1582, 'Wedgewood Pharm-GA-Yr2-2025'!$D$123:$D$152,
            'Wedgewood Pharm-GA-Yr2-2025'!$E$123:$L$152, 0, 0),
        0, 0),
    _xlfn.XLOOKUP(G1582, 'Wedgewood Pharm-GA-Yr2-2025'!$E$106:$L$106,
        _xlfn.XLOOKUP('Rate Load'!L1582, 'Wedgewood Pharm-GA-Yr2-2025'!$D$123:$D$152,
            'Wedgewood Pharm-GA-Yr2-2025'!$E$123:$L$152, 0, 0),
        0, 0)
)</f>
        <v>10.85</v>
      </c>
      <c r="K1582" t="s">
        <v>46</v>
      </c>
      <c r="L1582" t="s">
        <v>13</v>
      </c>
      <c r="M1582">
        <v>3</v>
      </c>
      <c r="N1582" t="str">
        <f t="shared" si="24"/>
        <v>INSERT INTO TNL_RATING.dbo.usps_rate_master VALUES ('USPS', '2/13/2025', '2/13/2026', 12659, 'US', 'USPS Ground Advantage', 2, 17, 'L', 10.85, 'Wedgewood_USPS_2025', 'NonCubic','3');</v>
      </c>
    </row>
    <row r="1583" spans="1:14" x14ac:dyDescent="0.3">
      <c r="A1583" t="s">
        <v>11</v>
      </c>
      <c r="B1583" s="1" t="s">
        <v>43</v>
      </c>
      <c r="C1583" s="1" t="s">
        <v>44</v>
      </c>
      <c r="D1583">
        <v>12659</v>
      </c>
      <c r="E1583" t="s">
        <v>12</v>
      </c>
      <c r="F1583" t="s">
        <v>51</v>
      </c>
      <c r="G1583">
        <v>2</v>
      </c>
      <c r="H1583">
        <v>18</v>
      </c>
      <c r="I1583" t="s">
        <v>45</v>
      </c>
      <c r="J1583" cm="1">
        <f t="array" ref="J1583">IFERROR(
    _xlfn.XLOOKUP(G1583, 'Wedgewood Pharm-GA-Yr2-2025'!$E$106:$L$106,
        _xlfn.XLOOKUP('Rate Load'!H1583, 'Wedgewood Pharm-GA-Yr2-2025'!$D$123:$D$152,
            'Wedgewood Pharm-GA-Yr2-2025'!$E$123:$L$152, 0, 0),
        0, 0),
    _xlfn.XLOOKUP(G1583, 'Wedgewood Pharm-GA-Yr2-2025'!$E$106:$L$106,
        _xlfn.XLOOKUP('Rate Load'!L1583, 'Wedgewood Pharm-GA-Yr2-2025'!$D$123:$D$152,
            'Wedgewood Pharm-GA-Yr2-2025'!$E$123:$L$152, 0, 0),
        0, 0)
)</f>
        <v>10.99</v>
      </c>
      <c r="K1583" t="s">
        <v>46</v>
      </c>
      <c r="L1583" t="s">
        <v>13</v>
      </c>
      <c r="M1583">
        <v>3</v>
      </c>
      <c r="N1583" t="str">
        <f t="shared" si="24"/>
        <v>INSERT INTO TNL_RATING.dbo.usps_rate_master VALUES ('USPS', '2/13/2025', '2/13/2026', 12659, 'US', 'USPS Ground Advantage', 2, 18, 'L', 10.99, 'Wedgewood_USPS_2025', 'NonCubic','3');</v>
      </c>
    </row>
    <row r="1584" spans="1:14" x14ac:dyDescent="0.3">
      <c r="A1584" t="s">
        <v>11</v>
      </c>
      <c r="B1584" s="1" t="s">
        <v>43</v>
      </c>
      <c r="C1584" s="1" t="s">
        <v>44</v>
      </c>
      <c r="D1584">
        <v>12659</v>
      </c>
      <c r="E1584" t="s">
        <v>12</v>
      </c>
      <c r="F1584" t="s">
        <v>51</v>
      </c>
      <c r="G1584">
        <v>2</v>
      </c>
      <c r="H1584">
        <v>19</v>
      </c>
      <c r="I1584" t="s">
        <v>45</v>
      </c>
      <c r="J1584" cm="1">
        <f t="array" ref="J1584">IFERROR(
    _xlfn.XLOOKUP(G1584, 'Wedgewood Pharm-GA-Yr2-2025'!$E$106:$L$106,
        _xlfn.XLOOKUP('Rate Load'!H1584, 'Wedgewood Pharm-GA-Yr2-2025'!$D$123:$D$152,
            'Wedgewood Pharm-GA-Yr2-2025'!$E$123:$L$152, 0, 0),
        0, 0),
    _xlfn.XLOOKUP(G1584, 'Wedgewood Pharm-GA-Yr2-2025'!$E$106:$L$106,
        _xlfn.XLOOKUP('Rate Load'!L1584, 'Wedgewood Pharm-GA-Yr2-2025'!$D$123:$D$152,
            'Wedgewood Pharm-GA-Yr2-2025'!$E$123:$L$152, 0, 0),
        0, 0)
)</f>
        <v>11.28</v>
      </c>
      <c r="K1584" t="s">
        <v>46</v>
      </c>
      <c r="L1584" t="s">
        <v>13</v>
      </c>
      <c r="M1584">
        <v>3</v>
      </c>
      <c r="N1584" t="str">
        <f t="shared" si="24"/>
        <v>INSERT INTO TNL_RATING.dbo.usps_rate_master VALUES ('USPS', '2/13/2025', '2/13/2026', 12659, 'US', 'USPS Ground Advantage', 2, 19, 'L', 11.28, 'Wedgewood_USPS_2025', 'NonCubic','3');</v>
      </c>
    </row>
    <row r="1585" spans="1:14" x14ac:dyDescent="0.3">
      <c r="A1585" t="s">
        <v>11</v>
      </c>
      <c r="B1585" s="1" t="s">
        <v>43</v>
      </c>
      <c r="C1585" s="1" t="s">
        <v>44</v>
      </c>
      <c r="D1585">
        <v>12659</v>
      </c>
      <c r="E1585" t="s">
        <v>12</v>
      </c>
      <c r="F1585" t="s">
        <v>51</v>
      </c>
      <c r="G1585">
        <v>2</v>
      </c>
      <c r="H1585">
        <v>20</v>
      </c>
      <c r="I1585" t="s">
        <v>45</v>
      </c>
      <c r="J1585" cm="1">
        <f t="array" ref="J1585">IFERROR(
    _xlfn.XLOOKUP(G1585, 'Wedgewood Pharm-GA-Yr2-2025'!$E$106:$L$106,
        _xlfn.XLOOKUP('Rate Load'!H1585, 'Wedgewood Pharm-GA-Yr2-2025'!$D$123:$D$152,
            'Wedgewood Pharm-GA-Yr2-2025'!$E$123:$L$152, 0, 0),
        0, 0),
    _xlfn.XLOOKUP(G1585, 'Wedgewood Pharm-GA-Yr2-2025'!$E$106:$L$106,
        _xlfn.XLOOKUP('Rate Load'!L1585, 'Wedgewood Pharm-GA-Yr2-2025'!$D$123:$D$152,
            'Wedgewood Pharm-GA-Yr2-2025'!$E$123:$L$152, 0, 0),
        0, 0)
)</f>
        <v>11.52</v>
      </c>
      <c r="K1585" t="s">
        <v>46</v>
      </c>
      <c r="L1585" t="s">
        <v>13</v>
      </c>
      <c r="M1585">
        <v>3</v>
      </c>
      <c r="N1585" t="str">
        <f t="shared" si="24"/>
        <v>INSERT INTO TNL_RATING.dbo.usps_rate_master VALUES ('USPS', '2/13/2025', '2/13/2026', 12659, 'US', 'USPS Ground Advantage', 2, 20, 'L', 11.52, 'Wedgewood_USPS_2025', 'NonCubic','3');</v>
      </c>
    </row>
    <row r="1586" spans="1:14" x14ac:dyDescent="0.3">
      <c r="A1586" t="s">
        <v>11</v>
      </c>
      <c r="B1586" s="1" t="s">
        <v>43</v>
      </c>
      <c r="C1586" s="1" t="s">
        <v>44</v>
      </c>
      <c r="D1586">
        <v>12659</v>
      </c>
      <c r="E1586" t="s">
        <v>12</v>
      </c>
      <c r="F1586" t="s">
        <v>51</v>
      </c>
      <c r="G1586">
        <v>3</v>
      </c>
      <c r="H1586">
        <v>1</v>
      </c>
      <c r="I1586" t="s">
        <v>45</v>
      </c>
      <c r="J1586" cm="1">
        <f t="array" ref="J1586">IFERROR(
    _xlfn.XLOOKUP(G1586, 'Wedgewood Pharm-GA-Yr2-2025'!$E$106:$L$106,
        _xlfn.XLOOKUP('Rate Load'!H1586, 'Wedgewood Pharm-GA-Yr2-2025'!$D$123:$D$152,
            'Wedgewood Pharm-GA-Yr2-2025'!$E$123:$L$152, 0, 0),
        0, 0),
    _xlfn.XLOOKUP(G1586, 'Wedgewood Pharm-GA-Yr2-2025'!$E$106:$L$106,
        _xlfn.XLOOKUP('Rate Load'!L1586, 'Wedgewood Pharm-GA-Yr2-2025'!$D$123:$D$152,
            'Wedgewood Pharm-GA-Yr2-2025'!$E$123:$L$152, 0, 0),
        0, 0)
)</f>
        <v>5.89</v>
      </c>
      <c r="K1586" t="s">
        <v>46</v>
      </c>
      <c r="L1586" t="s">
        <v>13</v>
      </c>
      <c r="M1586">
        <v>3</v>
      </c>
      <c r="N1586" t="str">
        <f t="shared" si="24"/>
        <v>INSERT INTO TNL_RATING.dbo.usps_rate_master VALUES ('USPS', '2/13/2025', '2/13/2026', 12659, 'US', 'USPS Ground Advantage', 3, 1, 'L', 5.89, 'Wedgewood_USPS_2025', 'NonCubic','3');</v>
      </c>
    </row>
    <row r="1587" spans="1:14" x14ac:dyDescent="0.3">
      <c r="A1587" t="s">
        <v>11</v>
      </c>
      <c r="B1587" s="1" t="s">
        <v>43</v>
      </c>
      <c r="C1587" s="1" t="s">
        <v>44</v>
      </c>
      <c r="D1587">
        <v>12659</v>
      </c>
      <c r="E1587" t="s">
        <v>12</v>
      </c>
      <c r="F1587" t="s">
        <v>51</v>
      </c>
      <c r="G1587">
        <v>3</v>
      </c>
      <c r="H1587">
        <v>2</v>
      </c>
      <c r="I1587" t="s">
        <v>45</v>
      </c>
      <c r="J1587" cm="1">
        <f t="array" ref="J1587">IFERROR(
    _xlfn.XLOOKUP(G1587, 'Wedgewood Pharm-GA-Yr2-2025'!$E$106:$L$106,
        _xlfn.XLOOKUP('Rate Load'!H1587, 'Wedgewood Pharm-GA-Yr2-2025'!$D$123:$D$152,
            'Wedgewood Pharm-GA-Yr2-2025'!$E$123:$L$152, 0, 0),
        0, 0),
    _xlfn.XLOOKUP(G1587, 'Wedgewood Pharm-GA-Yr2-2025'!$E$106:$L$106,
        _xlfn.XLOOKUP('Rate Load'!L1587, 'Wedgewood Pharm-GA-Yr2-2025'!$D$123:$D$152,
            'Wedgewood Pharm-GA-Yr2-2025'!$E$123:$L$152, 0, 0),
        0, 0)
)</f>
        <v>6.1499999999999995</v>
      </c>
      <c r="K1587" t="s">
        <v>46</v>
      </c>
      <c r="L1587" t="s">
        <v>13</v>
      </c>
      <c r="M1587">
        <v>3</v>
      </c>
      <c r="N1587" t="str">
        <f t="shared" si="24"/>
        <v>INSERT INTO TNL_RATING.dbo.usps_rate_master VALUES ('USPS', '2/13/2025', '2/13/2026', 12659, 'US', 'USPS Ground Advantage', 3, 2, 'L', 6.15, 'Wedgewood_USPS_2025', 'NonCubic','3');</v>
      </c>
    </row>
    <row r="1588" spans="1:14" x14ac:dyDescent="0.3">
      <c r="A1588" t="s">
        <v>11</v>
      </c>
      <c r="B1588" s="1" t="s">
        <v>43</v>
      </c>
      <c r="C1588" s="1" t="s">
        <v>44</v>
      </c>
      <c r="D1588">
        <v>12659</v>
      </c>
      <c r="E1588" t="s">
        <v>12</v>
      </c>
      <c r="F1588" t="s">
        <v>51</v>
      </c>
      <c r="G1588">
        <v>3</v>
      </c>
      <c r="H1588">
        <v>3</v>
      </c>
      <c r="I1588" t="s">
        <v>45</v>
      </c>
      <c r="J1588" cm="1">
        <f t="array" ref="J1588">IFERROR(
    _xlfn.XLOOKUP(G1588, 'Wedgewood Pharm-GA-Yr2-2025'!$E$106:$L$106,
        _xlfn.XLOOKUP('Rate Load'!H1588, 'Wedgewood Pharm-GA-Yr2-2025'!$D$123:$D$152,
            'Wedgewood Pharm-GA-Yr2-2025'!$E$123:$L$152, 0, 0),
        0, 0),
    _xlfn.XLOOKUP(G1588, 'Wedgewood Pharm-GA-Yr2-2025'!$E$106:$L$106,
        _xlfn.XLOOKUP('Rate Load'!L1588, 'Wedgewood Pharm-GA-Yr2-2025'!$D$123:$D$152,
            'Wedgewood Pharm-GA-Yr2-2025'!$E$123:$L$152, 0, 0),
        0, 0)
)</f>
        <v>6.5699999999999994</v>
      </c>
      <c r="K1588" t="s">
        <v>46</v>
      </c>
      <c r="L1588" t="s">
        <v>13</v>
      </c>
      <c r="M1588">
        <v>3</v>
      </c>
      <c r="N1588" t="str">
        <f t="shared" si="24"/>
        <v>INSERT INTO TNL_RATING.dbo.usps_rate_master VALUES ('USPS', '2/13/2025', '2/13/2026', 12659, 'US', 'USPS Ground Advantage', 3, 3, 'L', 6.57, 'Wedgewood_USPS_2025', 'NonCubic','3');</v>
      </c>
    </row>
    <row r="1589" spans="1:14" x14ac:dyDescent="0.3">
      <c r="A1589" t="s">
        <v>11</v>
      </c>
      <c r="B1589" s="1" t="s">
        <v>43</v>
      </c>
      <c r="C1589" s="1" t="s">
        <v>44</v>
      </c>
      <c r="D1589">
        <v>12659</v>
      </c>
      <c r="E1589" t="s">
        <v>12</v>
      </c>
      <c r="F1589" t="s">
        <v>51</v>
      </c>
      <c r="G1589">
        <v>3</v>
      </c>
      <c r="H1589">
        <v>4</v>
      </c>
      <c r="I1589" t="s">
        <v>45</v>
      </c>
      <c r="J1589" cm="1">
        <f t="array" ref="J1589">IFERROR(
    _xlfn.XLOOKUP(G1589, 'Wedgewood Pharm-GA-Yr2-2025'!$E$106:$L$106,
        _xlfn.XLOOKUP('Rate Load'!H1589, 'Wedgewood Pharm-GA-Yr2-2025'!$D$123:$D$152,
            'Wedgewood Pharm-GA-Yr2-2025'!$E$123:$L$152, 0, 0),
        0, 0),
    _xlfn.XLOOKUP(G1589, 'Wedgewood Pharm-GA-Yr2-2025'!$E$106:$L$106,
        _xlfn.XLOOKUP('Rate Load'!L1589, 'Wedgewood Pharm-GA-Yr2-2025'!$D$123:$D$152,
            'Wedgewood Pharm-GA-Yr2-2025'!$E$123:$L$152, 0, 0),
        0, 0)
)</f>
        <v>6.84</v>
      </c>
      <c r="K1589" t="s">
        <v>46</v>
      </c>
      <c r="L1589" t="s">
        <v>13</v>
      </c>
      <c r="M1589">
        <v>3</v>
      </c>
      <c r="N1589" t="str">
        <f t="shared" si="24"/>
        <v>INSERT INTO TNL_RATING.dbo.usps_rate_master VALUES ('USPS', '2/13/2025', '2/13/2026', 12659, 'US', 'USPS Ground Advantage', 3, 4, 'L', 6.84, 'Wedgewood_USPS_2025', 'NonCubic','3');</v>
      </c>
    </row>
    <row r="1590" spans="1:14" x14ac:dyDescent="0.3">
      <c r="A1590" t="s">
        <v>11</v>
      </c>
      <c r="B1590" s="1" t="s">
        <v>43</v>
      </c>
      <c r="C1590" s="1" t="s">
        <v>44</v>
      </c>
      <c r="D1590">
        <v>12659</v>
      </c>
      <c r="E1590" t="s">
        <v>12</v>
      </c>
      <c r="F1590" t="s">
        <v>51</v>
      </c>
      <c r="G1590">
        <v>3</v>
      </c>
      <c r="H1590">
        <v>5</v>
      </c>
      <c r="I1590" t="s">
        <v>45</v>
      </c>
      <c r="J1590" cm="1">
        <f t="array" ref="J1590">IFERROR(
    _xlfn.XLOOKUP(G1590, 'Wedgewood Pharm-GA-Yr2-2025'!$E$106:$L$106,
        _xlfn.XLOOKUP('Rate Load'!H1590, 'Wedgewood Pharm-GA-Yr2-2025'!$D$123:$D$152,
            'Wedgewood Pharm-GA-Yr2-2025'!$E$123:$L$152, 0, 0),
        0, 0),
    _xlfn.XLOOKUP(G1590, 'Wedgewood Pharm-GA-Yr2-2025'!$E$106:$L$106,
        _xlfn.XLOOKUP('Rate Load'!L1590, 'Wedgewood Pharm-GA-Yr2-2025'!$D$123:$D$152,
            'Wedgewood Pharm-GA-Yr2-2025'!$E$123:$L$152, 0, 0),
        0, 0)
)</f>
        <v>7.02</v>
      </c>
      <c r="K1590" t="s">
        <v>46</v>
      </c>
      <c r="L1590" t="s">
        <v>13</v>
      </c>
      <c r="M1590">
        <v>3</v>
      </c>
      <c r="N1590" t="str">
        <f t="shared" si="24"/>
        <v>INSERT INTO TNL_RATING.dbo.usps_rate_master VALUES ('USPS', '2/13/2025', '2/13/2026', 12659, 'US', 'USPS Ground Advantage', 3, 5, 'L', 7.02, 'Wedgewood_USPS_2025', 'NonCubic','3');</v>
      </c>
    </row>
    <row r="1591" spans="1:14" x14ac:dyDescent="0.3">
      <c r="A1591" t="s">
        <v>11</v>
      </c>
      <c r="B1591" s="1" t="s">
        <v>43</v>
      </c>
      <c r="C1591" s="1" t="s">
        <v>44</v>
      </c>
      <c r="D1591">
        <v>12659</v>
      </c>
      <c r="E1591" t="s">
        <v>12</v>
      </c>
      <c r="F1591" t="s">
        <v>51</v>
      </c>
      <c r="G1591">
        <v>3</v>
      </c>
      <c r="H1591">
        <v>6</v>
      </c>
      <c r="I1591" t="s">
        <v>45</v>
      </c>
      <c r="J1591" cm="1">
        <f t="array" ref="J1591">IFERROR(
    _xlfn.XLOOKUP(G1591, 'Wedgewood Pharm-GA-Yr2-2025'!$E$106:$L$106,
        _xlfn.XLOOKUP('Rate Load'!H1591, 'Wedgewood Pharm-GA-Yr2-2025'!$D$123:$D$152,
            'Wedgewood Pharm-GA-Yr2-2025'!$E$123:$L$152, 0, 0),
        0, 0),
    _xlfn.XLOOKUP(G1591, 'Wedgewood Pharm-GA-Yr2-2025'!$E$106:$L$106,
        _xlfn.XLOOKUP('Rate Load'!L1591, 'Wedgewood Pharm-GA-Yr2-2025'!$D$123:$D$152,
            'Wedgewood Pharm-GA-Yr2-2025'!$E$123:$L$152, 0, 0),
        0, 0)
)</f>
        <v>7.26</v>
      </c>
      <c r="K1591" t="s">
        <v>46</v>
      </c>
      <c r="L1591" t="s">
        <v>13</v>
      </c>
      <c r="M1591">
        <v>3</v>
      </c>
      <c r="N1591" t="str">
        <f t="shared" si="24"/>
        <v>INSERT INTO TNL_RATING.dbo.usps_rate_master VALUES ('USPS', '2/13/2025', '2/13/2026', 12659, 'US', 'USPS Ground Advantage', 3, 6, 'L', 7.26, 'Wedgewood_USPS_2025', 'NonCubic','3');</v>
      </c>
    </row>
    <row r="1592" spans="1:14" x14ac:dyDescent="0.3">
      <c r="A1592" t="s">
        <v>11</v>
      </c>
      <c r="B1592" s="1" t="s">
        <v>43</v>
      </c>
      <c r="C1592" s="1" t="s">
        <v>44</v>
      </c>
      <c r="D1592">
        <v>12659</v>
      </c>
      <c r="E1592" t="s">
        <v>12</v>
      </c>
      <c r="F1592" t="s">
        <v>51</v>
      </c>
      <c r="G1592">
        <v>3</v>
      </c>
      <c r="H1592">
        <v>7</v>
      </c>
      <c r="I1592" t="s">
        <v>45</v>
      </c>
      <c r="J1592" cm="1">
        <f t="array" ref="J1592">IFERROR(
    _xlfn.XLOOKUP(G1592, 'Wedgewood Pharm-GA-Yr2-2025'!$E$106:$L$106,
        _xlfn.XLOOKUP('Rate Load'!H1592, 'Wedgewood Pharm-GA-Yr2-2025'!$D$123:$D$152,
            'Wedgewood Pharm-GA-Yr2-2025'!$E$123:$L$152, 0, 0),
        0, 0),
    _xlfn.XLOOKUP(G1592, 'Wedgewood Pharm-GA-Yr2-2025'!$E$106:$L$106,
        _xlfn.XLOOKUP('Rate Load'!L1592, 'Wedgewood Pharm-GA-Yr2-2025'!$D$123:$D$152,
            'Wedgewood Pharm-GA-Yr2-2025'!$E$123:$L$152, 0, 0),
        0, 0)
)</f>
        <v>7.74</v>
      </c>
      <c r="K1592" t="s">
        <v>46</v>
      </c>
      <c r="L1592" t="s">
        <v>13</v>
      </c>
      <c r="M1592">
        <v>3</v>
      </c>
      <c r="N1592" t="str">
        <f t="shared" si="24"/>
        <v>INSERT INTO TNL_RATING.dbo.usps_rate_master VALUES ('USPS', '2/13/2025', '2/13/2026', 12659, 'US', 'USPS Ground Advantage', 3, 7, 'L', 7.74, 'Wedgewood_USPS_2025', 'NonCubic','3');</v>
      </c>
    </row>
    <row r="1593" spans="1:14" x14ac:dyDescent="0.3">
      <c r="A1593" t="s">
        <v>11</v>
      </c>
      <c r="B1593" s="1" t="s">
        <v>43</v>
      </c>
      <c r="C1593" s="1" t="s">
        <v>44</v>
      </c>
      <c r="D1593">
        <v>12659</v>
      </c>
      <c r="E1593" t="s">
        <v>12</v>
      </c>
      <c r="F1593" t="s">
        <v>51</v>
      </c>
      <c r="G1593">
        <v>3</v>
      </c>
      <c r="H1593">
        <v>8</v>
      </c>
      <c r="I1593" t="s">
        <v>45</v>
      </c>
      <c r="J1593" cm="1">
        <f t="array" ref="J1593">IFERROR(
    _xlfn.XLOOKUP(G1593, 'Wedgewood Pharm-GA-Yr2-2025'!$E$106:$L$106,
        _xlfn.XLOOKUP('Rate Load'!H1593, 'Wedgewood Pharm-GA-Yr2-2025'!$D$123:$D$152,
            'Wedgewood Pharm-GA-Yr2-2025'!$E$123:$L$152, 0, 0),
        0, 0),
    _xlfn.XLOOKUP(G1593, 'Wedgewood Pharm-GA-Yr2-2025'!$E$106:$L$106,
        _xlfn.XLOOKUP('Rate Load'!L1593, 'Wedgewood Pharm-GA-Yr2-2025'!$D$123:$D$152,
            'Wedgewood Pharm-GA-Yr2-2025'!$E$123:$L$152, 0, 0),
        0, 0)
)</f>
        <v>8.11</v>
      </c>
      <c r="K1593" t="s">
        <v>46</v>
      </c>
      <c r="L1593" t="s">
        <v>13</v>
      </c>
      <c r="M1593">
        <v>3</v>
      </c>
      <c r="N1593" t="str">
        <f t="shared" si="24"/>
        <v>INSERT INTO TNL_RATING.dbo.usps_rate_master VALUES ('USPS', '2/13/2025', '2/13/2026', 12659, 'US', 'USPS Ground Advantage', 3, 8, 'L', 8.11, 'Wedgewood_USPS_2025', 'NonCubic','3');</v>
      </c>
    </row>
    <row r="1594" spans="1:14" x14ac:dyDescent="0.3">
      <c r="A1594" t="s">
        <v>11</v>
      </c>
      <c r="B1594" s="1" t="s">
        <v>43</v>
      </c>
      <c r="C1594" s="1" t="s">
        <v>44</v>
      </c>
      <c r="D1594">
        <v>12659</v>
      </c>
      <c r="E1594" t="s">
        <v>12</v>
      </c>
      <c r="F1594" t="s">
        <v>51</v>
      </c>
      <c r="G1594">
        <v>3</v>
      </c>
      <c r="H1594">
        <v>9</v>
      </c>
      <c r="I1594" t="s">
        <v>45</v>
      </c>
      <c r="J1594" cm="1">
        <f t="array" ref="J1594">IFERROR(
    _xlfn.XLOOKUP(G1594, 'Wedgewood Pharm-GA-Yr2-2025'!$E$106:$L$106,
        _xlfn.XLOOKUP('Rate Load'!H1594, 'Wedgewood Pharm-GA-Yr2-2025'!$D$123:$D$152,
            'Wedgewood Pharm-GA-Yr2-2025'!$E$123:$L$152, 0, 0),
        0, 0),
    _xlfn.XLOOKUP(G1594, 'Wedgewood Pharm-GA-Yr2-2025'!$E$106:$L$106,
        _xlfn.XLOOKUP('Rate Load'!L1594, 'Wedgewood Pharm-GA-Yr2-2025'!$D$123:$D$152,
            'Wedgewood Pharm-GA-Yr2-2025'!$E$123:$L$152, 0, 0),
        0, 0)
)</f>
        <v>8.3699999999999992</v>
      </c>
      <c r="K1594" t="s">
        <v>46</v>
      </c>
      <c r="L1594" t="s">
        <v>13</v>
      </c>
      <c r="M1594">
        <v>3</v>
      </c>
      <c r="N1594" t="str">
        <f t="shared" si="24"/>
        <v>INSERT INTO TNL_RATING.dbo.usps_rate_master VALUES ('USPS', '2/13/2025', '2/13/2026', 12659, 'US', 'USPS Ground Advantage', 3, 9, 'L', 8.37, 'Wedgewood_USPS_2025', 'NonCubic','3');</v>
      </c>
    </row>
    <row r="1595" spans="1:14" x14ac:dyDescent="0.3">
      <c r="A1595" t="s">
        <v>11</v>
      </c>
      <c r="B1595" s="1" t="s">
        <v>43</v>
      </c>
      <c r="C1595" s="1" t="s">
        <v>44</v>
      </c>
      <c r="D1595">
        <v>12659</v>
      </c>
      <c r="E1595" t="s">
        <v>12</v>
      </c>
      <c r="F1595" t="s">
        <v>51</v>
      </c>
      <c r="G1595">
        <v>3</v>
      </c>
      <c r="H1595">
        <v>10</v>
      </c>
      <c r="I1595" t="s">
        <v>45</v>
      </c>
      <c r="J1595" cm="1">
        <f t="array" ref="J1595">IFERROR(
    _xlfn.XLOOKUP(G1595, 'Wedgewood Pharm-GA-Yr2-2025'!$E$106:$L$106,
        _xlfn.XLOOKUP('Rate Load'!H1595, 'Wedgewood Pharm-GA-Yr2-2025'!$D$123:$D$152,
            'Wedgewood Pharm-GA-Yr2-2025'!$E$123:$L$152, 0, 0),
        0, 0),
    _xlfn.XLOOKUP(G1595, 'Wedgewood Pharm-GA-Yr2-2025'!$E$106:$L$106,
        _xlfn.XLOOKUP('Rate Load'!L1595, 'Wedgewood Pharm-GA-Yr2-2025'!$D$123:$D$152,
            'Wedgewood Pharm-GA-Yr2-2025'!$E$123:$L$152, 0, 0),
        0, 0)
)</f>
        <v>8.69</v>
      </c>
      <c r="K1595" t="s">
        <v>46</v>
      </c>
      <c r="L1595" t="s">
        <v>13</v>
      </c>
      <c r="M1595">
        <v>3</v>
      </c>
      <c r="N1595" t="str">
        <f t="shared" si="24"/>
        <v>INSERT INTO TNL_RATING.dbo.usps_rate_master VALUES ('USPS', '2/13/2025', '2/13/2026', 12659, 'US', 'USPS Ground Advantage', 3, 10, 'L', 8.69, 'Wedgewood_USPS_2025', 'NonCubic','3');</v>
      </c>
    </row>
    <row r="1596" spans="1:14" x14ac:dyDescent="0.3">
      <c r="A1596" t="s">
        <v>11</v>
      </c>
      <c r="B1596" s="1" t="s">
        <v>43</v>
      </c>
      <c r="C1596" s="1" t="s">
        <v>44</v>
      </c>
      <c r="D1596">
        <v>12659</v>
      </c>
      <c r="E1596" t="s">
        <v>12</v>
      </c>
      <c r="F1596" t="s">
        <v>51</v>
      </c>
      <c r="G1596">
        <v>3</v>
      </c>
      <c r="H1596">
        <v>11</v>
      </c>
      <c r="I1596" t="s">
        <v>45</v>
      </c>
      <c r="J1596" cm="1">
        <f t="array" ref="J1596">IFERROR(
    _xlfn.XLOOKUP(G1596, 'Wedgewood Pharm-GA-Yr2-2025'!$E$106:$L$106,
        _xlfn.XLOOKUP('Rate Load'!H1596, 'Wedgewood Pharm-GA-Yr2-2025'!$D$123:$D$152,
            'Wedgewood Pharm-GA-Yr2-2025'!$E$123:$L$152, 0, 0),
        0, 0),
    _xlfn.XLOOKUP(G1596, 'Wedgewood Pharm-GA-Yr2-2025'!$E$106:$L$106,
        _xlfn.XLOOKUP('Rate Load'!L1596, 'Wedgewood Pharm-GA-Yr2-2025'!$D$123:$D$152,
            'Wedgewood Pharm-GA-Yr2-2025'!$E$123:$L$152, 0, 0),
        0, 0)
)</f>
        <v>9.23</v>
      </c>
      <c r="K1596" t="s">
        <v>46</v>
      </c>
      <c r="L1596" t="s">
        <v>13</v>
      </c>
      <c r="M1596">
        <v>3</v>
      </c>
      <c r="N1596" t="str">
        <f t="shared" si="24"/>
        <v>INSERT INTO TNL_RATING.dbo.usps_rate_master VALUES ('USPS', '2/13/2025', '2/13/2026', 12659, 'US', 'USPS Ground Advantage', 3, 11, 'L', 9.23, 'Wedgewood_USPS_2025', 'NonCubic','3');</v>
      </c>
    </row>
    <row r="1597" spans="1:14" x14ac:dyDescent="0.3">
      <c r="A1597" t="s">
        <v>11</v>
      </c>
      <c r="B1597" s="1" t="s">
        <v>43</v>
      </c>
      <c r="C1597" s="1" t="s">
        <v>44</v>
      </c>
      <c r="D1597">
        <v>12659</v>
      </c>
      <c r="E1597" t="s">
        <v>12</v>
      </c>
      <c r="F1597" t="s">
        <v>51</v>
      </c>
      <c r="G1597">
        <v>3</v>
      </c>
      <c r="H1597">
        <v>12</v>
      </c>
      <c r="I1597" t="s">
        <v>45</v>
      </c>
      <c r="J1597" cm="1">
        <f t="array" ref="J1597">IFERROR(
    _xlfn.XLOOKUP(G1597, 'Wedgewood Pharm-GA-Yr2-2025'!$E$106:$L$106,
        _xlfn.XLOOKUP('Rate Load'!H1597, 'Wedgewood Pharm-GA-Yr2-2025'!$D$123:$D$152,
            'Wedgewood Pharm-GA-Yr2-2025'!$E$123:$L$152, 0, 0),
        0, 0),
    _xlfn.XLOOKUP(G1597, 'Wedgewood Pharm-GA-Yr2-2025'!$E$106:$L$106,
        _xlfn.XLOOKUP('Rate Load'!L1597, 'Wedgewood Pharm-GA-Yr2-2025'!$D$123:$D$152,
            'Wedgewood Pharm-GA-Yr2-2025'!$E$123:$L$152, 0, 0),
        0, 0)
)</f>
        <v>9.64</v>
      </c>
      <c r="K1597" t="s">
        <v>46</v>
      </c>
      <c r="L1597" t="s">
        <v>13</v>
      </c>
      <c r="M1597">
        <v>3</v>
      </c>
      <c r="N1597" t="str">
        <f t="shared" si="24"/>
        <v>INSERT INTO TNL_RATING.dbo.usps_rate_master VALUES ('USPS', '2/13/2025', '2/13/2026', 12659, 'US', 'USPS Ground Advantage', 3, 12, 'L', 9.64, 'Wedgewood_USPS_2025', 'NonCubic','3');</v>
      </c>
    </row>
    <row r="1598" spans="1:14" x14ac:dyDescent="0.3">
      <c r="A1598" t="s">
        <v>11</v>
      </c>
      <c r="B1598" s="1" t="s">
        <v>43</v>
      </c>
      <c r="C1598" s="1" t="s">
        <v>44</v>
      </c>
      <c r="D1598">
        <v>12659</v>
      </c>
      <c r="E1598" t="s">
        <v>12</v>
      </c>
      <c r="F1598" t="s">
        <v>51</v>
      </c>
      <c r="G1598">
        <v>3</v>
      </c>
      <c r="H1598">
        <v>13</v>
      </c>
      <c r="I1598" t="s">
        <v>45</v>
      </c>
      <c r="J1598" cm="1">
        <f t="array" ref="J1598">IFERROR(
    _xlfn.XLOOKUP(G1598, 'Wedgewood Pharm-GA-Yr2-2025'!$E$106:$L$106,
        _xlfn.XLOOKUP('Rate Load'!H1598, 'Wedgewood Pharm-GA-Yr2-2025'!$D$123:$D$152,
            'Wedgewood Pharm-GA-Yr2-2025'!$E$123:$L$152, 0, 0),
        0, 0),
    _xlfn.XLOOKUP(G1598, 'Wedgewood Pharm-GA-Yr2-2025'!$E$106:$L$106,
        _xlfn.XLOOKUP('Rate Load'!L1598, 'Wedgewood Pharm-GA-Yr2-2025'!$D$123:$D$152,
            'Wedgewood Pharm-GA-Yr2-2025'!$E$123:$L$152, 0, 0),
        0, 0)
)</f>
        <v>9.98</v>
      </c>
      <c r="K1598" t="s">
        <v>46</v>
      </c>
      <c r="L1598" t="s">
        <v>13</v>
      </c>
      <c r="M1598">
        <v>3</v>
      </c>
      <c r="N1598" t="str">
        <f t="shared" si="24"/>
        <v>INSERT INTO TNL_RATING.dbo.usps_rate_master VALUES ('USPS', '2/13/2025', '2/13/2026', 12659, 'US', 'USPS Ground Advantage', 3, 13, 'L', 9.98, 'Wedgewood_USPS_2025', 'NonCubic','3');</v>
      </c>
    </row>
    <row r="1599" spans="1:14" x14ac:dyDescent="0.3">
      <c r="A1599" t="s">
        <v>11</v>
      </c>
      <c r="B1599" s="1" t="s">
        <v>43</v>
      </c>
      <c r="C1599" s="1" t="s">
        <v>44</v>
      </c>
      <c r="D1599">
        <v>12659</v>
      </c>
      <c r="E1599" t="s">
        <v>12</v>
      </c>
      <c r="F1599" t="s">
        <v>51</v>
      </c>
      <c r="G1599">
        <v>3</v>
      </c>
      <c r="H1599">
        <v>14</v>
      </c>
      <c r="I1599" t="s">
        <v>45</v>
      </c>
      <c r="J1599" cm="1">
        <f t="array" ref="J1599">IFERROR(
    _xlfn.XLOOKUP(G1599, 'Wedgewood Pharm-GA-Yr2-2025'!$E$106:$L$106,
        _xlfn.XLOOKUP('Rate Load'!H1599, 'Wedgewood Pharm-GA-Yr2-2025'!$D$123:$D$152,
            'Wedgewood Pharm-GA-Yr2-2025'!$E$123:$L$152, 0, 0),
        0, 0),
    _xlfn.XLOOKUP(G1599, 'Wedgewood Pharm-GA-Yr2-2025'!$E$106:$L$106,
        _xlfn.XLOOKUP('Rate Load'!L1599, 'Wedgewood Pharm-GA-Yr2-2025'!$D$123:$D$152,
            'Wedgewood Pharm-GA-Yr2-2025'!$E$123:$L$152, 0, 0),
        0, 0)
)</f>
        <v>10.24</v>
      </c>
      <c r="K1599" t="s">
        <v>46</v>
      </c>
      <c r="L1599" t="s">
        <v>13</v>
      </c>
      <c r="M1599">
        <v>3</v>
      </c>
      <c r="N1599" t="str">
        <f t="shared" si="24"/>
        <v>INSERT INTO TNL_RATING.dbo.usps_rate_master VALUES ('USPS', '2/13/2025', '2/13/2026', 12659, 'US', 'USPS Ground Advantage', 3, 14, 'L', 10.24, 'Wedgewood_USPS_2025', 'NonCubic','3');</v>
      </c>
    </row>
    <row r="1600" spans="1:14" x14ac:dyDescent="0.3">
      <c r="A1600" t="s">
        <v>11</v>
      </c>
      <c r="B1600" s="1" t="s">
        <v>43</v>
      </c>
      <c r="C1600" s="1" t="s">
        <v>44</v>
      </c>
      <c r="D1600">
        <v>12659</v>
      </c>
      <c r="E1600" t="s">
        <v>12</v>
      </c>
      <c r="F1600" t="s">
        <v>51</v>
      </c>
      <c r="G1600">
        <v>3</v>
      </c>
      <c r="H1600">
        <v>15</v>
      </c>
      <c r="I1600" t="s">
        <v>45</v>
      </c>
      <c r="J1600" cm="1">
        <f t="array" ref="J1600">IFERROR(
    _xlfn.XLOOKUP(G1600, 'Wedgewood Pharm-GA-Yr2-2025'!$E$106:$L$106,
        _xlfn.XLOOKUP('Rate Load'!H1600, 'Wedgewood Pharm-GA-Yr2-2025'!$D$123:$D$152,
            'Wedgewood Pharm-GA-Yr2-2025'!$E$123:$L$152, 0, 0),
        0, 0),
    _xlfn.XLOOKUP(G1600, 'Wedgewood Pharm-GA-Yr2-2025'!$E$106:$L$106,
        _xlfn.XLOOKUP('Rate Load'!L1600, 'Wedgewood Pharm-GA-Yr2-2025'!$D$123:$D$152,
            'Wedgewood Pharm-GA-Yr2-2025'!$E$123:$L$152, 0, 0),
        0, 0)
)</f>
        <v>10.61</v>
      </c>
      <c r="K1600" t="s">
        <v>46</v>
      </c>
      <c r="L1600" t="s">
        <v>13</v>
      </c>
      <c r="M1600">
        <v>3</v>
      </c>
      <c r="N1600" t="str">
        <f t="shared" si="24"/>
        <v>INSERT INTO TNL_RATING.dbo.usps_rate_master VALUES ('USPS', '2/13/2025', '2/13/2026', 12659, 'US', 'USPS Ground Advantage', 3, 15, 'L', 10.61, 'Wedgewood_USPS_2025', 'NonCubic','3');</v>
      </c>
    </row>
    <row r="1601" spans="1:14" x14ac:dyDescent="0.3">
      <c r="A1601" t="s">
        <v>11</v>
      </c>
      <c r="B1601" s="1" t="s">
        <v>43</v>
      </c>
      <c r="C1601" s="1" t="s">
        <v>44</v>
      </c>
      <c r="D1601">
        <v>12659</v>
      </c>
      <c r="E1601" t="s">
        <v>12</v>
      </c>
      <c r="F1601" t="s">
        <v>51</v>
      </c>
      <c r="G1601">
        <v>3</v>
      </c>
      <c r="H1601">
        <v>16</v>
      </c>
      <c r="I1601" t="s">
        <v>45</v>
      </c>
      <c r="J1601" cm="1">
        <f t="array" ref="J1601">IFERROR(
    _xlfn.XLOOKUP(G1601, 'Wedgewood Pharm-GA-Yr2-2025'!$E$106:$L$106,
        _xlfn.XLOOKUP('Rate Load'!H1601, 'Wedgewood Pharm-GA-Yr2-2025'!$D$123:$D$152,
            'Wedgewood Pharm-GA-Yr2-2025'!$E$123:$L$152, 0, 0),
        0, 0),
    _xlfn.XLOOKUP(G1601, 'Wedgewood Pharm-GA-Yr2-2025'!$E$106:$L$106,
        _xlfn.XLOOKUP('Rate Load'!L1601, 'Wedgewood Pharm-GA-Yr2-2025'!$D$123:$D$152,
            'Wedgewood Pharm-GA-Yr2-2025'!$E$123:$L$152, 0, 0),
        0, 0)
)</f>
        <v>10.89</v>
      </c>
      <c r="K1601" t="s">
        <v>46</v>
      </c>
      <c r="L1601" t="s">
        <v>13</v>
      </c>
      <c r="M1601">
        <v>3</v>
      </c>
      <c r="N1601" t="str">
        <f t="shared" si="24"/>
        <v>INSERT INTO TNL_RATING.dbo.usps_rate_master VALUES ('USPS', '2/13/2025', '2/13/2026', 12659, 'US', 'USPS Ground Advantage', 3, 16, 'L', 10.89, 'Wedgewood_USPS_2025', 'NonCubic','3');</v>
      </c>
    </row>
    <row r="1602" spans="1:14" x14ac:dyDescent="0.3">
      <c r="A1602" t="s">
        <v>11</v>
      </c>
      <c r="B1602" s="1" t="s">
        <v>43</v>
      </c>
      <c r="C1602" s="1" t="s">
        <v>44</v>
      </c>
      <c r="D1602">
        <v>12659</v>
      </c>
      <c r="E1602" t="s">
        <v>12</v>
      </c>
      <c r="F1602" t="s">
        <v>51</v>
      </c>
      <c r="G1602">
        <v>3</v>
      </c>
      <c r="H1602">
        <v>17</v>
      </c>
      <c r="I1602" t="s">
        <v>45</v>
      </c>
      <c r="J1602" cm="1">
        <f t="array" ref="J1602">IFERROR(
    _xlfn.XLOOKUP(G1602, 'Wedgewood Pharm-GA-Yr2-2025'!$E$106:$L$106,
        _xlfn.XLOOKUP('Rate Load'!H1602, 'Wedgewood Pharm-GA-Yr2-2025'!$D$123:$D$152,
            'Wedgewood Pharm-GA-Yr2-2025'!$E$123:$L$152, 0, 0),
        0, 0),
    _xlfn.XLOOKUP(G1602, 'Wedgewood Pharm-GA-Yr2-2025'!$E$106:$L$106,
        _xlfn.XLOOKUP('Rate Load'!L1602, 'Wedgewood Pharm-GA-Yr2-2025'!$D$123:$D$152,
            'Wedgewood Pharm-GA-Yr2-2025'!$E$123:$L$152, 0, 0),
        0, 0)
)</f>
        <v>11.27</v>
      </c>
      <c r="K1602" t="s">
        <v>46</v>
      </c>
      <c r="L1602" t="s">
        <v>13</v>
      </c>
      <c r="M1602">
        <v>3</v>
      </c>
      <c r="N1602" t="str">
        <f t="shared" si="24"/>
        <v>INSERT INTO TNL_RATING.dbo.usps_rate_master VALUES ('USPS', '2/13/2025', '2/13/2026', 12659, 'US', 'USPS Ground Advantage', 3, 17, 'L', 11.27, 'Wedgewood_USPS_2025', 'NonCubic','3');</v>
      </c>
    </row>
    <row r="1603" spans="1:14" x14ac:dyDescent="0.3">
      <c r="A1603" t="s">
        <v>11</v>
      </c>
      <c r="B1603" s="1" t="s">
        <v>43</v>
      </c>
      <c r="C1603" s="1" t="s">
        <v>44</v>
      </c>
      <c r="D1603">
        <v>12659</v>
      </c>
      <c r="E1603" t="s">
        <v>12</v>
      </c>
      <c r="F1603" t="s">
        <v>51</v>
      </c>
      <c r="G1603">
        <v>3</v>
      </c>
      <c r="H1603">
        <v>18</v>
      </c>
      <c r="I1603" t="s">
        <v>45</v>
      </c>
      <c r="J1603" cm="1">
        <f t="array" ref="J1603">IFERROR(
    _xlfn.XLOOKUP(G1603, 'Wedgewood Pharm-GA-Yr2-2025'!$E$106:$L$106,
        _xlfn.XLOOKUP('Rate Load'!H1603, 'Wedgewood Pharm-GA-Yr2-2025'!$D$123:$D$152,
            'Wedgewood Pharm-GA-Yr2-2025'!$E$123:$L$152, 0, 0),
        0, 0),
    _xlfn.XLOOKUP(G1603, 'Wedgewood Pharm-GA-Yr2-2025'!$E$106:$L$106,
        _xlfn.XLOOKUP('Rate Load'!L1603, 'Wedgewood Pharm-GA-Yr2-2025'!$D$123:$D$152,
            'Wedgewood Pharm-GA-Yr2-2025'!$E$123:$L$152, 0, 0),
        0, 0)
)</f>
        <v>11.44</v>
      </c>
      <c r="K1603" t="s">
        <v>46</v>
      </c>
      <c r="L1603" t="s">
        <v>13</v>
      </c>
      <c r="M1603">
        <v>3</v>
      </c>
      <c r="N1603" t="str">
        <f t="shared" ref="N1603:N1666" si="25">"INSERT INTO TNL_RATING.dbo.usps_rate_master VALUES ('" &amp; A1603 &amp; "', '" &amp; B1603 &amp; "', '" &amp; C1603 &amp; "', " &amp; D1603 &amp; ", '" &amp; E1603 &amp; "', '" &amp; F1603 &amp; "', " &amp; G1603 &amp; ", " &amp; H1603 &amp; ", '" &amp; I1603 &amp; "', " &amp; J1603 &amp; ", '" &amp; K1603 &amp; "', '" &amp; L1603 &amp; "','" &amp; M1603 &amp; "');"</f>
        <v>INSERT INTO TNL_RATING.dbo.usps_rate_master VALUES ('USPS', '2/13/2025', '2/13/2026', 12659, 'US', 'USPS Ground Advantage', 3, 18, 'L', 11.44, 'Wedgewood_USPS_2025', 'NonCubic','3');</v>
      </c>
    </row>
    <row r="1604" spans="1:14" x14ac:dyDescent="0.3">
      <c r="A1604" t="s">
        <v>11</v>
      </c>
      <c r="B1604" s="1" t="s">
        <v>43</v>
      </c>
      <c r="C1604" s="1" t="s">
        <v>44</v>
      </c>
      <c r="D1604">
        <v>12659</v>
      </c>
      <c r="E1604" t="s">
        <v>12</v>
      </c>
      <c r="F1604" t="s">
        <v>51</v>
      </c>
      <c r="G1604">
        <v>3</v>
      </c>
      <c r="H1604">
        <v>19</v>
      </c>
      <c r="I1604" t="s">
        <v>45</v>
      </c>
      <c r="J1604" cm="1">
        <f t="array" ref="J1604">IFERROR(
    _xlfn.XLOOKUP(G1604, 'Wedgewood Pharm-GA-Yr2-2025'!$E$106:$L$106,
        _xlfn.XLOOKUP('Rate Load'!H1604, 'Wedgewood Pharm-GA-Yr2-2025'!$D$123:$D$152,
            'Wedgewood Pharm-GA-Yr2-2025'!$E$123:$L$152, 0, 0),
        0, 0),
    _xlfn.XLOOKUP(G1604, 'Wedgewood Pharm-GA-Yr2-2025'!$E$106:$L$106,
        _xlfn.XLOOKUP('Rate Load'!L1604, 'Wedgewood Pharm-GA-Yr2-2025'!$D$123:$D$152,
            'Wedgewood Pharm-GA-Yr2-2025'!$E$123:$L$152, 0, 0),
        0, 0)
)</f>
        <v>11.91</v>
      </c>
      <c r="K1604" t="s">
        <v>46</v>
      </c>
      <c r="L1604" t="s">
        <v>13</v>
      </c>
      <c r="M1604">
        <v>3</v>
      </c>
      <c r="N1604" t="str">
        <f t="shared" si="25"/>
        <v>INSERT INTO TNL_RATING.dbo.usps_rate_master VALUES ('USPS', '2/13/2025', '2/13/2026', 12659, 'US', 'USPS Ground Advantage', 3, 19, 'L', 11.91, 'Wedgewood_USPS_2025', 'NonCubic','3');</v>
      </c>
    </row>
    <row r="1605" spans="1:14" x14ac:dyDescent="0.3">
      <c r="A1605" t="s">
        <v>11</v>
      </c>
      <c r="B1605" s="1" t="s">
        <v>43</v>
      </c>
      <c r="C1605" s="1" t="s">
        <v>44</v>
      </c>
      <c r="D1605">
        <v>12659</v>
      </c>
      <c r="E1605" t="s">
        <v>12</v>
      </c>
      <c r="F1605" t="s">
        <v>51</v>
      </c>
      <c r="G1605">
        <v>3</v>
      </c>
      <c r="H1605">
        <v>20</v>
      </c>
      <c r="I1605" t="s">
        <v>45</v>
      </c>
      <c r="J1605" cm="1">
        <f t="array" ref="J1605">IFERROR(
    _xlfn.XLOOKUP(G1605, 'Wedgewood Pharm-GA-Yr2-2025'!$E$106:$L$106,
        _xlfn.XLOOKUP('Rate Load'!H1605, 'Wedgewood Pharm-GA-Yr2-2025'!$D$123:$D$152,
            'Wedgewood Pharm-GA-Yr2-2025'!$E$123:$L$152, 0, 0),
        0, 0),
    _xlfn.XLOOKUP(G1605, 'Wedgewood Pharm-GA-Yr2-2025'!$E$106:$L$106,
        _xlfn.XLOOKUP('Rate Load'!L1605, 'Wedgewood Pharm-GA-Yr2-2025'!$D$123:$D$152,
            'Wedgewood Pharm-GA-Yr2-2025'!$E$123:$L$152, 0, 0),
        0, 0)
)</f>
        <v>12.2</v>
      </c>
      <c r="K1605" t="s">
        <v>46</v>
      </c>
      <c r="L1605" t="s">
        <v>13</v>
      </c>
      <c r="M1605">
        <v>3</v>
      </c>
      <c r="N1605" t="str">
        <f t="shared" si="25"/>
        <v>INSERT INTO TNL_RATING.dbo.usps_rate_master VALUES ('USPS', '2/13/2025', '2/13/2026', 12659, 'US', 'USPS Ground Advantage', 3, 20, 'L', 12.2, 'Wedgewood_USPS_2025', 'NonCubic','3');</v>
      </c>
    </row>
    <row r="1606" spans="1:14" x14ac:dyDescent="0.3">
      <c r="A1606" t="s">
        <v>11</v>
      </c>
      <c r="B1606" s="1" t="s">
        <v>43</v>
      </c>
      <c r="C1606" s="1" t="s">
        <v>44</v>
      </c>
      <c r="D1606">
        <v>12659</v>
      </c>
      <c r="E1606" t="s">
        <v>12</v>
      </c>
      <c r="F1606" t="s">
        <v>51</v>
      </c>
      <c r="G1606">
        <v>4</v>
      </c>
      <c r="H1606">
        <v>1</v>
      </c>
      <c r="I1606" t="s">
        <v>45</v>
      </c>
      <c r="J1606" cm="1">
        <f t="array" ref="J1606">IFERROR(
    _xlfn.XLOOKUP(G1606, 'Wedgewood Pharm-GA-Yr2-2025'!$E$106:$L$106,
        _xlfn.XLOOKUP('Rate Load'!H1606, 'Wedgewood Pharm-GA-Yr2-2025'!$D$123:$D$152,
            'Wedgewood Pharm-GA-Yr2-2025'!$E$123:$L$152, 0, 0),
        0, 0),
    _xlfn.XLOOKUP(G1606, 'Wedgewood Pharm-GA-Yr2-2025'!$E$106:$L$106,
        _xlfn.XLOOKUP('Rate Load'!L1606, 'Wedgewood Pharm-GA-Yr2-2025'!$D$123:$D$152,
            'Wedgewood Pharm-GA-Yr2-2025'!$E$123:$L$152, 0, 0),
        0, 0)
)</f>
        <v>6.1099999999999994</v>
      </c>
      <c r="K1606" t="s">
        <v>46</v>
      </c>
      <c r="L1606" t="s">
        <v>13</v>
      </c>
      <c r="M1606">
        <v>3</v>
      </c>
      <c r="N1606" t="str">
        <f t="shared" si="25"/>
        <v>INSERT INTO TNL_RATING.dbo.usps_rate_master VALUES ('USPS', '2/13/2025', '2/13/2026', 12659, 'US', 'USPS Ground Advantage', 4, 1, 'L', 6.11, 'Wedgewood_USPS_2025', 'NonCubic','3');</v>
      </c>
    </row>
    <row r="1607" spans="1:14" x14ac:dyDescent="0.3">
      <c r="A1607" t="s">
        <v>11</v>
      </c>
      <c r="B1607" s="1" t="s">
        <v>43</v>
      </c>
      <c r="C1607" s="1" t="s">
        <v>44</v>
      </c>
      <c r="D1607">
        <v>12659</v>
      </c>
      <c r="E1607" t="s">
        <v>12</v>
      </c>
      <c r="F1607" t="s">
        <v>51</v>
      </c>
      <c r="G1607">
        <v>4</v>
      </c>
      <c r="H1607">
        <v>2</v>
      </c>
      <c r="I1607" t="s">
        <v>45</v>
      </c>
      <c r="J1607" cm="1">
        <f t="array" ref="J1607">IFERROR(
    _xlfn.XLOOKUP(G1607, 'Wedgewood Pharm-GA-Yr2-2025'!$E$106:$L$106,
        _xlfn.XLOOKUP('Rate Load'!H1607, 'Wedgewood Pharm-GA-Yr2-2025'!$D$123:$D$152,
            'Wedgewood Pharm-GA-Yr2-2025'!$E$123:$L$152, 0, 0),
        0, 0),
    _xlfn.XLOOKUP(G1607, 'Wedgewood Pharm-GA-Yr2-2025'!$E$106:$L$106,
        _xlfn.XLOOKUP('Rate Load'!L1607, 'Wedgewood Pharm-GA-Yr2-2025'!$D$123:$D$152,
            'Wedgewood Pharm-GA-Yr2-2025'!$E$123:$L$152, 0, 0),
        0, 0)
)</f>
        <v>6.49</v>
      </c>
      <c r="K1607" t="s">
        <v>46</v>
      </c>
      <c r="L1607" t="s">
        <v>13</v>
      </c>
      <c r="M1607">
        <v>3</v>
      </c>
      <c r="N1607" t="str">
        <f t="shared" si="25"/>
        <v>INSERT INTO TNL_RATING.dbo.usps_rate_master VALUES ('USPS', '2/13/2025', '2/13/2026', 12659, 'US', 'USPS Ground Advantage', 4, 2, 'L', 6.49, 'Wedgewood_USPS_2025', 'NonCubic','3');</v>
      </c>
    </row>
    <row r="1608" spans="1:14" x14ac:dyDescent="0.3">
      <c r="A1608" t="s">
        <v>11</v>
      </c>
      <c r="B1608" s="1" t="s">
        <v>43</v>
      </c>
      <c r="C1608" s="1" t="s">
        <v>44</v>
      </c>
      <c r="D1608">
        <v>12659</v>
      </c>
      <c r="E1608" t="s">
        <v>12</v>
      </c>
      <c r="F1608" t="s">
        <v>51</v>
      </c>
      <c r="G1608">
        <v>4</v>
      </c>
      <c r="H1608">
        <v>3</v>
      </c>
      <c r="I1608" t="s">
        <v>45</v>
      </c>
      <c r="J1608" cm="1">
        <f t="array" ref="J1608">IFERROR(
    _xlfn.XLOOKUP(G1608, 'Wedgewood Pharm-GA-Yr2-2025'!$E$106:$L$106,
        _xlfn.XLOOKUP('Rate Load'!H1608, 'Wedgewood Pharm-GA-Yr2-2025'!$D$123:$D$152,
            'Wedgewood Pharm-GA-Yr2-2025'!$E$123:$L$152, 0, 0),
        0, 0),
    _xlfn.XLOOKUP(G1608, 'Wedgewood Pharm-GA-Yr2-2025'!$E$106:$L$106,
        _xlfn.XLOOKUP('Rate Load'!L1608, 'Wedgewood Pharm-GA-Yr2-2025'!$D$123:$D$152,
            'Wedgewood Pharm-GA-Yr2-2025'!$E$123:$L$152, 0, 0),
        0, 0)
)</f>
        <v>6.88</v>
      </c>
      <c r="K1608" t="s">
        <v>46</v>
      </c>
      <c r="L1608" t="s">
        <v>13</v>
      </c>
      <c r="M1608">
        <v>3</v>
      </c>
      <c r="N1608" t="str">
        <f t="shared" si="25"/>
        <v>INSERT INTO TNL_RATING.dbo.usps_rate_master VALUES ('USPS', '2/13/2025', '2/13/2026', 12659, 'US', 'USPS Ground Advantage', 4, 3, 'L', 6.88, 'Wedgewood_USPS_2025', 'NonCubic','3');</v>
      </c>
    </row>
    <row r="1609" spans="1:14" x14ac:dyDescent="0.3">
      <c r="A1609" t="s">
        <v>11</v>
      </c>
      <c r="B1609" s="1" t="s">
        <v>43</v>
      </c>
      <c r="C1609" s="1" t="s">
        <v>44</v>
      </c>
      <c r="D1609">
        <v>12659</v>
      </c>
      <c r="E1609" t="s">
        <v>12</v>
      </c>
      <c r="F1609" t="s">
        <v>51</v>
      </c>
      <c r="G1609">
        <v>4</v>
      </c>
      <c r="H1609">
        <v>4</v>
      </c>
      <c r="I1609" t="s">
        <v>45</v>
      </c>
      <c r="J1609" cm="1">
        <f t="array" ref="J1609">IFERROR(
    _xlfn.XLOOKUP(G1609, 'Wedgewood Pharm-GA-Yr2-2025'!$E$106:$L$106,
        _xlfn.XLOOKUP('Rate Load'!H1609, 'Wedgewood Pharm-GA-Yr2-2025'!$D$123:$D$152,
            'Wedgewood Pharm-GA-Yr2-2025'!$E$123:$L$152, 0, 0),
        0, 0),
    _xlfn.XLOOKUP(G1609, 'Wedgewood Pharm-GA-Yr2-2025'!$E$106:$L$106,
        _xlfn.XLOOKUP('Rate Load'!L1609, 'Wedgewood Pharm-GA-Yr2-2025'!$D$123:$D$152,
            'Wedgewood Pharm-GA-Yr2-2025'!$E$123:$L$152, 0, 0),
        0, 0)
)</f>
        <v>7.3199999999999994</v>
      </c>
      <c r="K1609" t="s">
        <v>46</v>
      </c>
      <c r="L1609" t="s">
        <v>13</v>
      </c>
      <c r="M1609">
        <v>3</v>
      </c>
      <c r="N1609" t="str">
        <f t="shared" si="25"/>
        <v>INSERT INTO TNL_RATING.dbo.usps_rate_master VALUES ('USPS', '2/13/2025', '2/13/2026', 12659, 'US', 'USPS Ground Advantage', 4, 4, 'L', 7.32, 'Wedgewood_USPS_2025', 'NonCubic','3');</v>
      </c>
    </row>
    <row r="1610" spans="1:14" x14ac:dyDescent="0.3">
      <c r="A1610" t="s">
        <v>11</v>
      </c>
      <c r="B1610" s="1" t="s">
        <v>43</v>
      </c>
      <c r="C1610" s="1" t="s">
        <v>44</v>
      </c>
      <c r="D1610">
        <v>12659</v>
      </c>
      <c r="E1610" t="s">
        <v>12</v>
      </c>
      <c r="F1610" t="s">
        <v>51</v>
      </c>
      <c r="G1610">
        <v>4</v>
      </c>
      <c r="H1610">
        <v>5</v>
      </c>
      <c r="I1610" t="s">
        <v>45</v>
      </c>
      <c r="J1610" cm="1">
        <f t="array" ref="J1610">IFERROR(
    _xlfn.XLOOKUP(G1610, 'Wedgewood Pharm-GA-Yr2-2025'!$E$106:$L$106,
        _xlfn.XLOOKUP('Rate Load'!H1610, 'Wedgewood Pharm-GA-Yr2-2025'!$D$123:$D$152,
            'Wedgewood Pharm-GA-Yr2-2025'!$E$123:$L$152, 0, 0),
        0, 0),
    _xlfn.XLOOKUP(G1610, 'Wedgewood Pharm-GA-Yr2-2025'!$E$106:$L$106,
        _xlfn.XLOOKUP('Rate Load'!L1610, 'Wedgewood Pharm-GA-Yr2-2025'!$D$123:$D$152,
            'Wedgewood Pharm-GA-Yr2-2025'!$E$123:$L$152, 0, 0),
        0, 0)
)</f>
        <v>7.56</v>
      </c>
      <c r="K1610" t="s">
        <v>46</v>
      </c>
      <c r="L1610" t="s">
        <v>13</v>
      </c>
      <c r="M1610">
        <v>3</v>
      </c>
      <c r="N1610" t="str">
        <f t="shared" si="25"/>
        <v>INSERT INTO TNL_RATING.dbo.usps_rate_master VALUES ('USPS', '2/13/2025', '2/13/2026', 12659, 'US', 'USPS Ground Advantage', 4, 5, 'L', 7.56, 'Wedgewood_USPS_2025', 'NonCubic','3');</v>
      </c>
    </row>
    <row r="1611" spans="1:14" x14ac:dyDescent="0.3">
      <c r="A1611" t="s">
        <v>11</v>
      </c>
      <c r="B1611" s="1" t="s">
        <v>43</v>
      </c>
      <c r="C1611" s="1" t="s">
        <v>44</v>
      </c>
      <c r="D1611">
        <v>12659</v>
      </c>
      <c r="E1611" t="s">
        <v>12</v>
      </c>
      <c r="F1611" t="s">
        <v>51</v>
      </c>
      <c r="G1611">
        <v>4</v>
      </c>
      <c r="H1611">
        <v>6</v>
      </c>
      <c r="I1611" t="s">
        <v>45</v>
      </c>
      <c r="J1611" cm="1">
        <f t="array" ref="J1611">IFERROR(
    _xlfn.XLOOKUP(G1611, 'Wedgewood Pharm-GA-Yr2-2025'!$E$106:$L$106,
        _xlfn.XLOOKUP('Rate Load'!H1611, 'Wedgewood Pharm-GA-Yr2-2025'!$D$123:$D$152,
            'Wedgewood Pharm-GA-Yr2-2025'!$E$123:$L$152, 0, 0),
        0, 0),
    _xlfn.XLOOKUP(G1611, 'Wedgewood Pharm-GA-Yr2-2025'!$E$106:$L$106,
        _xlfn.XLOOKUP('Rate Load'!L1611, 'Wedgewood Pharm-GA-Yr2-2025'!$D$123:$D$152,
            'Wedgewood Pharm-GA-Yr2-2025'!$E$123:$L$152, 0, 0),
        0, 0)
)</f>
        <v>7.89</v>
      </c>
      <c r="K1611" t="s">
        <v>46</v>
      </c>
      <c r="L1611" t="s">
        <v>13</v>
      </c>
      <c r="M1611">
        <v>3</v>
      </c>
      <c r="N1611" t="str">
        <f t="shared" si="25"/>
        <v>INSERT INTO TNL_RATING.dbo.usps_rate_master VALUES ('USPS', '2/13/2025', '2/13/2026', 12659, 'US', 'USPS Ground Advantage', 4, 6, 'L', 7.89, 'Wedgewood_USPS_2025', 'NonCubic','3');</v>
      </c>
    </row>
    <row r="1612" spans="1:14" x14ac:dyDescent="0.3">
      <c r="A1612" t="s">
        <v>11</v>
      </c>
      <c r="B1612" s="1" t="s">
        <v>43</v>
      </c>
      <c r="C1612" s="1" t="s">
        <v>44</v>
      </c>
      <c r="D1612">
        <v>12659</v>
      </c>
      <c r="E1612" t="s">
        <v>12</v>
      </c>
      <c r="F1612" t="s">
        <v>51</v>
      </c>
      <c r="G1612">
        <v>4</v>
      </c>
      <c r="H1612">
        <v>7</v>
      </c>
      <c r="I1612" t="s">
        <v>45</v>
      </c>
      <c r="J1612" cm="1">
        <f t="array" ref="J1612">IFERROR(
    _xlfn.XLOOKUP(G1612, 'Wedgewood Pharm-GA-Yr2-2025'!$E$106:$L$106,
        _xlfn.XLOOKUP('Rate Load'!H1612, 'Wedgewood Pharm-GA-Yr2-2025'!$D$123:$D$152,
            'Wedgewood Pharm-GA-Yr2-2025'!$E$123:$L$152, 0, 0),
        0, 0),
    _xlfn.XLOOKUP(G1612, 'Wedgewood Pharm-GA-Yr2-2025'!$E$106:$L$106,
        _xlfn.XLOOKUP('Rate Load'!L1612, 'Wedgewood Pharm-GA-Yr2-2025'!$D$123:$D$152,
            'Wedgewood Pharm-GA-Yr2-2025'!$E$123:$L$152, 0, 0),
        0, 0)
)</f>
        <v>8.2099999999999991</v>
      </c>
      <c r="K1612" t="s">
        <v>46</v>
      </c>
      <c r="L1612" t="s">
        <v>13</v>
      </c>
      <c r="M1612">
        <v>3</v>
      </c>
      <c r="N1612" t="str">
        <f t="shared" si="25"/>
        <v>INSERT INTO TNL_RATING.dbo.usps_rate_master VALUES ('USPS', '2/13/2025', '2/13/2026', 12659, 'US', 'USPS Ground Advantage', 4, 7, 'L', 8.21, 'Wedgewood_USPS_2025', 'NonCubic','3');</v>
      </c>
    </row>
    <row r="1613" spans="1:14" x14ac:dyDescent="0.3">
      <c r="A1613" t="s">
        <v>11</v>
      </c>
      <c r="B1613" s="1" t="s">
        <v>43</v>
      </c>
      <c r="C1613" s="1" t="s">
        <v>44</v>
      </c>
      <c r="D1613">
        <v>12659</v>
      </c>
      <c r="E1613" t="s">
        <v>12</v>
      </c>
      <c r="F1613" t="s">
        <v>51</v>
      </c>
      <c r="G1613">
        <v>4</v>
      </c>
      <c r="H1613">
        <v>8</v>
      </c>
      <c r="I1613" t="s">
        <v>45</v>
      </c>
      <c r="J1613" cm="1">
        <f t="array" ref="J1613">IFERROR(
    _xlfn.XLOOKUP(G1613, 'Wedgewood Pharm-GA-Yr2-2025'!$E$106:$L$106,
        _xlfn.XLOOKUP('Rate Load'!H1613, 'Wedgewood Pharm-GA-Yr2-2025'!$D$123:$D$152,
            'Wedgewood Pharm-GA-Yr2-2025'!$E$123:$L$152, 0, 0),
        0, 0),
    _xlfn.XLOOKUP(G1613, 'Wedgewood Pharm-GA-Yr2-2025'!$E$106:$L$106,
        _xlfn.XLOOKUP('Rate Load'!L1613, 'Wedgewood Pharm-GA-Yr2-2025'!$D$123:$D$152,
            'Wedgewood Pharm-GA-Yr2-2025'!$E$123:$L$152, 0, 0),
        0, 0)
)</f>
        <v>8.98</v>
      </c>
      <c r="K1613" t="s">
        <v>46</v>
      </c>
      <c r="L1613" t="s">
        <v>13</v>
      </c>
      <c r="M1613">
        <v>3</v>
      </c>
      <c r="N1613" t="str">
        <f t="shared" si="25"/>
        <v>INSERT INTO TNL_RATING.dbo.usps_rate_master VALUES ('USPS', '2/13/2025', '2/13/2026', 12659, 'US', 'USPS Ground Advantage', 4, 8, 'L', 8.98, 'Wedgewood_USPS_2025', 'NonCubic','3');</v>
      </c>
    </row>
    <row r="1614" spans="1:14" x14ac:dyDescent="0.3">
      <c r="A1614" t="s">
        <v>11</v>
      </c>
      <c r="B1614" s="1" t="s">
        <v>43</v>
      </c>
      <c r="C1614" s="1" t="s">
        <v>44</v>
      </c>
      <c r="D1614">
        <v>12659</v>
      </c>
      <c r="E1614" t="s">
        <v>12</v>
      </c>
      <c r="F1614" t="s">
        <v>51</v>
      </c>
      <c r="G1614">
        <v>4</v>
      </c>
      <c r="H1614">
        <v>9</v>
      </c>
      <c r="I1614" t="s">
        <v>45</v>
      </c>
      <c r="J1614" cm="1">
        <f t="array" ref="J1614">IFERROR(
    _xlfn.XLOOKUP(G1614, 'Wedgewood Pharm-GA-Yr2-2025'!$E$106:$L$106,
        _xlfn.XLOOKUP('Rate Load'!H1614, 'Wedgewood Pharm-GA-Yr2-2025'!$D$123:$D$152,
            'Wedgewood Pharm-GA-Yr2-2025'!$E$123:$L$152, 0, 0),
        0, 0),
    _xlfn.XLOOKUP(G1614, 'Wedgewood Pharm-GA-Yr2-2025'!$E$106:$L$106,
        _xlfn.XLOOKUP('Rate Load'!L1614, 'Wedgewood Pharm-GA-Yr2-2025'!$D$123:$D$152,
            'Wedgewood Pharm-GA-Yr2-2025'!$E$123:$L$152, 0, 0),
        0, 0)
)</f>
        <v>9.34</v>
      </c>
      <c r="K1614" t="s">
        <v>46</v>
      </c>
      <c r="L1614" t="s">
        <v>13</v>
      </c>
      <c r="M1614">
        <v>3</v>
      </c>
      <c r="N1614" t="str">
        <f t="shared" si="25"/>
        <v>INSERT INTO TNL_RATING.dbo.usps_rate_master VALUES ('USPS', '2/13/2025', '2/13/2026', 12659, 'US', 'USPS Ground Advantage', 4, 9, 'L', 9.34, 'Wedgewood_USPS_2025', 'NonCubic','3');</v>
      </c>
    </row>
    <row r="1615" spans="1:14" x14ac:dyDescent="0.3">
      <c r="A1615" t="s">
        <v>11</v>
      </c>
      <c r="B1615" s="1" t="s">
        <v>43</v>
      </c>
      <c r="C1615" s="1" t="s">
        <v>44</v>
      </c>
      <c r="D1615">
        <v>12659</v>
      </c>
      <c r="E1615" t="s">
        <v>12</v>
      </c>
      <c r="F1615" t="s">
        <v>51</v>
      </c>
      <c r="G1615">
        <v>4</v>
      </c>
      <c r="H1615">
        <v>10</v>
      </c>
      <c r="I1615" t="s">
        <v>45</v>
      </c>
      <c r="J1615" cm="1">
        <f t="array" ref="J1615">IFERROR(
    _xlfn.XLOOKUP(G1615, 'Wedgewood Pharm-GA-Yr2-2025'!$E$106:$L$106,
        _xlfn.XLOOKUP('Rate Load'!H1615, 'Wedgewood Pharm-GA-Yr2-2025'!$D$123:$D$152,
            'Wedgewood Pharm-GA-Yr2-2025'!$E$123:$L$152, 0, 0),
        0, 0),
    _xlfn.XLOOKUP(G1615, 'Wedgewood Pharm-GA-Yr2-2025'!$E$106:$L$106,
        _xlfn.XLOOKUP('Rate Load'!L1615, 'Wedgewood Pharm-GA-Yr2-2025'!$D$123:$D$152,
            'Wedgewood Pharm-GA-Yr2-2025'!$E$123:$L$152, 0, 0),
        0, 0)
)</f>
        <v>9.48</v>
      </c>
      <c r="K1615" t="s">
        <v>46</v>
      </c>
      <c r="L1615" t="s">
        <v>13</v>
      </c>
      <c r="M1615">
        <v>3</v>
      </c>
      <c r="N1615" t="str">
        <f t="shared" si="25"/>
        <v>INSERT INTO TNL_RATING.dbo.usps_rate_master VALUES ('USPS', '2/13/2025', '2/13/2026', 12659, 'US', 'USPS Ground Advantage', 4, 10, 'L', 9.48, 'Wedgewood_USPS_2025', 'NonCubic','3');</v>
      </c>
    </row>
    <row r="1616" spans="1:14" x14ac:dyDescent="0.3">
      <c r="A1616" t="s">
        <v>11</v>
      </c>
      <c r="B1616" s="1" t="s">
        <v>43</v>
      </c>
      <c r="C1616" s="1" t="s">
        <v>44</v>
      </c>
      <c r="D1616">
        <v>12659</v>
      </c>
      <c r="E1616" t="s">
        <v>12</v>
      </c>
      <c r="F1616" t="s">
        <v>51</v>
      </c>
      <c r="G1616">
        <v>4</v>
      </c>
      <c r="H1616">
        <v>11</v>
      </c>
      <c r="I1616" t="s">
        <v>45</v>
      </c>
      <c r="J1616" cm="1">
        <f t="array" ref="J1616">IFERROR(
    _xlfn.XLOOKUP(G1616, 'Wedgewood Pharm-GA-Yr2-2025'!$E$106:$L$106,
        _xlfn.XLOOKUP('Rate Load'!H1616, 'Wedgewood Pharm-GA-Yr2-2025'!$D$123:$D$152,
            'Wedgewood Pharm-GA-Yr2-2025'!$E$123:$L$152, 0, 0),
        0, 0),
    _xlfn.XLOOKUP(G1616, 'Wedgewood Pharm-GA-Yr2-2025'!$E$106:$L$106,
        _xlfn.XLOOKUP('Rate Load'!L1616, 'Wedgewood Pharm-GA-Yr2-2025'!$D$123:$D$152,
            'Wedgewood Pharm-GA-Yr2-2025'!$E$123:$L$152, 0, 0),
        0, 0)
)</f>
        <v>10.049999999999999</v>
      </c>
      <c r="K1616" t="s">
        <v>46</v>
      </c>
      <c r="L1616" t="s">
        <v>13</v>
      </c>
      <c r="M1616">
        <v>3</v>
      </c>
      <c r="N1616" t="str">
        <f t="shared" si="25"/>
        <v>INSERT INTO TNL_RATING.dbo.usps_rate_master VALUES ('USPS', '2/13/2025', '2/13/2026', 12659, 'US', 'USPS Ground Advantage', 4, 11, 'L', 10.05, 'Wedgewood_USPS_2025', 'NonCubic','3');</v>
      </c>
    </row>
    <row r="1617" spans="1:14" x14ac:dyDescent="0.3">
      <c r="A1617" t="s">
        <v>11</v>
      </c>
      <c r="B1617" s="1" t="s">
        <v>43</v>
      </c>
      <c r="C1617" s="1" t="s">
        <v>44</v>
      </c>
      <c r="D1617">
        <v>12659</v>
      </c>
      <c r="E1617" t="s">
        <v>12</v>
      </c>
      <c r="F1617" t="s">
        <v>51</v>
      </c>
      <c r="G1617">
        <v>4</v>
      </c>
      <c r="H1617">
        <v>12</v>
      </c>
      <c r="I1617" t="s">
        <v>45</v>
      </c>
      <c r="J1617" cm="1">
        <f t="array" ref="J1617">IFERROR(
    _xlfn.XLOOKUP(G1617, 'Wedgewood Pharm-GA-Yr2-2025'!$E$106:$L$106,
        _xlfn.XLOOKUP('Rate Load'!H1617, 'Wedgewood Pharm-GA-Yr2-2025'!$D$123:$D$152,
            'Wedgewood Pharm-GA-Yr2-2025'!$E$123:$L$152, 0, 0),
        0, 0),
    _xlfn.XLOOKUP(G1617, 'Wedgewood Pharm-GA-Yr2-2025'!$E$106:$L$106,
        _xlfn.XLOOKUP('Rate Load'!L1617, 'Wedgewood Pharm-GA-Yr2-2025'!$D$123:$D$152,
            'Wedgewood Pharm-GA-Yr2-2025'!$E$123:$L$152, 0, 0),
        0, 0)
)</f>
        <v>10.28</v>
      </c>
      <c r="K1617" t="s">
        <v>46</v>
      </c>
      <c r="L1617" t="s">
        <v>13</v>
      </c>
      <c r="M1617">
        <v>3</v>
      </c>
      <c r="N1617" t="str">
        <f t="shared" si="25"/>
        <v>INSERT INTO TNL_RATING.dbo.usps_rate_master VALUES ('USPS', '2/13/2025', '2/13/2026', 12659, 'US', 'USPS Ground Advantage', 4, 12, 'L', 10.28, 'Wedgewood_USPS_2025', 'NonCubic','3');</v>
      </c>
    </row>
    <row r="1618" spans="1:14" x14ac:dyDescent="0.3">
      <c r="A1618" t="s">
        <v>11</v>
      </c>
      <c r="B1618" s="1" t="s">
        <v>43</v>
      </c>
      <c r="C1618" s="1" t="s">
        <v>44</v>
      </c>
      <c r="D1618">
        <v>12659</v>
      </c>
      <c r="E1618" t="s">
        <v>12</v>
      </c>
      <c r="F1618" t="s">
        <v>51</v>
      </c>
      <c r="G1618">
        <v>4</v>
      </c>
      <c r="H1618">
        <v>13</v>
      </c>
      <c r="I1618" t="s">
        <v>45</v>
      </c>
      <c r="J1618" cm="1">
        <f t="array" ref="J1618">IFERROR(
    _xlfn.XLOOKUP(G1618, 'Wedgewood Pharm-GA-Yr2-2025'!$E$106:$L$106,
        _xlfn.XLOOKUP('Rate Load'!H1618, 'Wedgewood Pharm-GA-Yr2-2025'!$D$123:$D$152,
            'Wedgewood Pharm-GA-Yr2-2025'!$E$123:$L$152, 0, 0),
        0, 0),
    _xlfn.XLOOKUP(G1618, 'Wedgewood Pharm-GA-Yr2-2025'!$E$106:$L$106,
        _xlfn.XLOOKUP('Rate Load'!L1618, 'Wedgewood Pharm-GA-Yr2-2025'!$D$123:$D$152,
            'Wedgewood Pharm-GA-Yr2-2025'!$E$123:$L$152, 0, 0),
        0, 0)
)</f>
        <v>10.6</v>
      </c>
      <c r="K1618" t="s">
        <v>46</v>
      </c>
      <c r="L1618" t="s">
        <v>13</v>
      </c>
      <c r="M1618">
        <v>3</v>
      </c>
      <c r="N1618" t="str">
        <f t="shared" si="25"/>
        <v>INSERT INTO TNL_RATING.dbo.usps_rate_master VALUES ('USPS', '2/13/2025', '2/13/2026', 12659, 'US', 'USPS Ground Advantage', 4, 13, 'L', 10.6, 'Wedgewood_USPS_2025', 'NonCubic','3');</v>
      </c>
    </row>
    <row r="1619" spans="1:14" x14ac:dyDescent="0.3">
      <c r="A1619" t="s">
        <v>11</v>
      </c>
      <c r="B1619" s="1" t="s">
        <v>43</v>
      </c>
      <c r="C1619" s="1" t="s">
        <v>44</v>
      </c>
      <c r="D1619">
        <v>12659</v>
      </c>
      <c r="E1619" t="s">
        <v>12</v>
      </c>
      <c r="F1619" t="s">
        <v>51</v>
      </c>
      <c r="G1619">
        <v>4</v>
      </c>
      <c r="H1619">
        <v>14</v>
      </c>
      <c r="I1619" t="s">
        <v>45</v>
      </c>
      <c r="J1619" cm="1">
        <f t="array" ref="J1619">IFERROR(
    _xlfn.XLOOKUP(G1619, 'Wedgewood Pharm-GA-Yr2-2025'!$E$106:$L$106,
        _xlfn.XLOOKUP('Rate Load'!H1619, 'Wedgewood Pharm-GA-Yr2-2025'!$D$123:$D$152,
            'Wedgewood Pharm-GA-Yr2-2025'!$E$123:$L$152, 0, 0),
        0, 0),
    _xlfn.XLOOKUP(G1619, 'Wedgewood Pharm-GA-Yr2-2025'!$E$106:$L$106,
        _xlfn.XLOOKUP('Rate Load'!L1619, 'Wedgewood Pharm-GA-Yr2-2025'!$D$123:$D$152,
            'Wedgewood Pharm-GA-Yr2-2025'!$E$123:$L$152, 0, 0),
        0, 0)
)</f>
        <v>10.77</v>
      </c>
      <c r="K1619" t="s">
        <v>46</v>
      </c>
      <c r="L1619" t="s">
        <v>13</v>
      </c>
      <c r="M1619">
        <v>3</v>
      </c>
      <c r="N1619" t="str">
        <f t="shared" si="25"/>
        <v>INSERT INTO TNL_RATING.dbo.usps_rate_master VALUES ('USPS', '2/13/2025', '2/13/2026', 12659, 'US', 'USPS Ground Advantage', 4, 14, 'L', 10.77, 'Wedgewood_USPS_2025', 'NonCubic','3');</v>
      </c>
    </row>
    <row r="1620" spans="1:14" x14ac:dyDescent="0.3">
      <c r="A1620" t="s">
        <v>11</v>
      </c>
      <c r="B1620" s="1" t="s">
        <v>43</v>
      </c>
      <c r="C1620" s="1" t="s">
        <v>44</v>
      </c>
      <c r="D1620">
        <v>12659</v>
      </c>
      <c r="E1620" t="s">
        <v>12</v>
      </c>
      <c r="F1620" t="s">
        <v>51</v>
      </c>
      <c r="G1620">
        <v>4</v>
      </c>
      <c r="H1620">
        <v>15</v>
      </c>
      <c r="I1620" t="s">
        <v>45</v>
      </c>
      <c r="J1620" cm="1">
        <f t="array" ref="J1620">IFERROR(
    _xlfn.XLOOKUP(G1620, 'Wedgewood Pharm-GA-Yr2-2025'!$E$106:$L$106,
        _xlfn.XLOOKUP('Rate Load'!H1620, 'Wedgewood Pharm-GA-Yr2-2025'!$D$123:$D$152,
            'Wedgewood Pharm-GA-Yr2-2025'!$E$123:$L$152, 0, 0),
        0, 0),
    _xlfn.XLOOKUP(G1620, 'Wedgewood Pharm-GA-Yr2-2025'!$E$106:$L$106,
        _xlfn.XLOOKUP('Rate Load'!L1620, 'Wedgewood Pharm-GA-Yr2-2025'!$D$123:$D$152,
            'Wedgewood Pharm-GA-Yr2-2025'!$E$123:$L$152, 0, 0),
        0, 0)
)</f>
        <v>11.129999999999999</v>
      </c>
      <c r="K1620" t="s">
        <v>46</v>
      </c>
      <c r="L1620" t="s">
        <v>13</v>
      </c>
      <c r="M1620">
        <v>3</v>
      </c>
      <c r="N1620" t="str">
        <f t="shared" si="25"/>
        <v>INSERT INTO TNL_RATING.dbo.usps_rate_master VALUES ('USPS', '2/13/2025', '2/13/2026', 12659, 'US', 'USPS Ground Advantage', 4, 15, 'L', 11.13, 'Wedgewood_USPS_2025', 'NonCubic','3');</v>
      </c>
    </row>
    <row r="1621" spans="1:14" x14ac:dyDescent="0.3">
      <c r="A1621" t="s">
        <v>11</v>
      </c>
      <c r="B1621" s="1" t="s">
        <v>43</v>
      </c>
      <c r="C1621" s="1" t="s">
        <v>44</v>
      </c>
      <c r="D1621">
        <v>12659</v>
      </c>
      <c r="E1621" t="s">
        <v>12</v>
      </c>
      <c r="F1621" t="s">
        <v>51</v>
      </c>
      <c r="G1621">
        <v>4</v>
      </c>
      <c r="H1621">
        <v>16</v>
      </c>
      <c r="I1621" t="s">
        <v>45</v>
      </c>
      <c r="J1621" cm="1">
        <f t="array" ref="J1621">IFERROR(
    _xlfn.XLOOKUP(G1621, 'Wedgewood Pharm-GA-Yr2-2025'!$E$106:$L$106,
        _xlfn.XLOOKUP('Rate Load'!H1621, 'Wedgewood Pharm-GA-Yr2-2025'!$D$123:$D$152,
            'Wedgewood Pharm-GA-Yr2-2025'!$E$123:$L$152, 0, 0),
        0, 0),
    _xlfn.XLOOKUP(G1621, 'Wedgewood Pharm-GA-Yr2-2025'!$E$106:$L$106,
        _xlfn.XLOOKUP('Rate Load'!L1621, 'Wedgewood Pharm-GA-Yr2-2025'!$D$123:$D$152,
            'Wedgewood Pharm-GA-Yr2-2025'!$E$123:$L$152, 0, 0),
        0, 0)
)</f>
        <v>11.34</v>
      </c>
      <c r="K1621" t="s">
        <v>46</v>
      </c>
      <c r="L1621" t="s">
        <v>13</v>
      </c>
      <c r="M1621">
        <v>3</v>
      </c>
      <c r="N1621" t="str">
        <f t="shared" si="25"/>
        <v>INSERT INTO TNL_RATING.dbo.usps_rate_master VALUES ('USPS', '2/13/2025', '2/13/2026', 12659, 'US', 'USPS Ground Advantage', 4, 16, 'L', 11.34, 'Wedgewood_USPS_2025', 'NonCubic','3');</v>
      </c>
    </row>
    <row r="1622" spans="1:14" x14ac:dyDescent="0.3">
      <c r="A1622" t="s">
        <v>11</v>
      </c>
      <c r="B1622" s="1" t="s">
        <v>43</v>
      </c>
      <c r="C1622" s="1" t="s">
        <v>44</v>
      </c>
      <c r="D1622">
        <v>12659</v>
      </c>
      <c r="E1622" t="s">
        <v>12</v>
      </c>
      <c r="F1622" t="s">
        <v>51</v>
      </c>
      <c r="G1622">
        <v>4</v>
      </c>
      <c r="H1622">
        <v>17</v>
      </c>
      <c r="I1622" t="s">
        <v>45</v>
      </c>
      <c r="J1622" cm="1">
        <f t="array" ref="J1622">IFERROR(
    _xlfn.XLOOKUP(G1622, 'Wedgewood Pharm-GA-Yr2-2025'!$E$106:$L$106,
        _xlfn.XLOOKUP('Rate Load'!H1622, 'Wedgewood Pharm-GA-Yr2-2025'!$D$123:$D$152,
            'Wedgewood Pharm-GA-Yr2-2025'!$E$123:$L$152, 0, 0),
        0, 0),
    _xlfn.XLOOKUP(G1622, 'Wedgewood Pharm-GA-Yr2-2025'!$E$106:$L$106,
        _xlfn.XLOOKUP('Rate Load'!L1622, 'Wedgewood Pharm-GA-Yr2-2025'!$D$123:$D$152,
            'Wedgewood Pharm-GA-Yr2-2025'!$E$123:$L$152, 0, 0),
        0, 0)
)</f>
        <v>11.69</v>
      </c>
      <c r="K1622" t="s">
        <v>46</v>
      </c>
      <c r="L1622" t="s">
        <v>13</v>
      </c>
      <c r="M1622">
        <v>3</v>
      </c>
      <c r="N1622" t="str">
        <f t="shared" si="25"/>
        <v>INSERT INTO TNL_RATING.dbo.usps_rate_master VALUES ('USPS', '2/13/2025', '2/13/2026', 12659, 'US', 'USPS Ground Advantage', 4, 17, 'L', 11.69, 'Wedgewood_USPS_2025', 'NonCubic','3');</v>
      </c>
    </row>
    <row r="1623" spans="1:14" x14ac:dyDescent="0.3">
      <c r="A1623" t="s">
        <v>11</v>
      </c>
      <c r="B1623" s="1" t="s">
        <v>43</v>
      </c>
      <c r="C1623" s="1" t="s">
        <v>44</v>
      </c>
      <c r="D1623">
        <v>12659</v>
      </c>
      <c r="E1623" t="s">
        <v>12</v>
      </c>
      <c r="F1623" t="s">
        <v>51</v>
      </c>
      <c r="G1623">
        <v>4</v>
      </c>
      <c r="H1623">
        <v>18</v>
      </c>
      <c r="I1623" t="s">
        <v>45</v>
      </c>
      <c r="J1623" cm="1">
        <f t="array" ref="J1623">IFERROR(
    _xlfn.XLOOKUP(G1623, 'Wedgewood Pharm-GA-Yr2-2025'!$E$106:$L$106,
        _xlfn.XLOOKUP('Rate Load'!H1623, 'Wedgewood Pharm-GA-Yr2-2025'!$D$123:$D$152,
            'Wedgewood Pharm-GA-Yr2-2025'!$E$123:$L$152, 0, 0),
        0, 0),
    _xlfn.XLOOKUP(G1623, 'Wedgewood Pharm-GA-Yr2-2025'!$E$106:$L$106,
        _xlfn.XLOOKUP('Rate Load'!L1623, 'Wedgewood Pharm-GA-Yr2-2025'!$D$123:$D$152,
            'Wedgewood Pharm-GA-Yr2-2025'!$E$123:$L$152, 0, 0),
        0, 0)
)</f>
        <v>11.9</v>
      </c>
      <c r="K1623" t="s">
        <v>46</v>
      </c>
      <c r="L1623" t="s">
        <v>13</v>
      </c>
      <c r="M1623">
        <v>3</v>
      </c>
      <c r="N1623" t="str">
        <f t="shared" si="25"/>
        <v>INSERT INTO TNL_RATING.dbo.usps_rate_master VALUES ('USPS', '2/13/2025', '2/13/2026', 12659, 'US', 'USPS Ground Advantage', 4, 18, 'L', 11.9, 'Wedgewood_USPS_2025', 'NonCubic','3');</v>
      </c>
    </row>
    <row r="1624" spans="1:14" x14ac:dyDescent="0.3">
      <c r="A1624" t="s">
        <v>11</v>
      </c>
      <c r="B1624" s="1" t="s">
        <v>43</v>
      </c>
      <c r="C1624" s="1" t="s">
        <v>44</v>
      </c>
      <c r="D1624">
        <v>12659</v>
      </c>
      <c r="E1624" t="s">
        <v>12</v>
      </c>
      <c r="F1624" t="s">
        <v>51</v>
      </c>
      <c r="G1624">
        <v>4</v>
      </c>
      <c r="H1624">
        <v>19</v>
      </c>
      <c r="I1624" t="s">
        <v>45</v>
      </c>
      <c r="J1624" cm="1">
        <f t="array" ref="J1624">IFERROR(
    _xlfn.XLOOKUP(G1624, 'Wedgewood Pharm-GA-Yr2-2025'!$E$106:$L$106,
        _xlfn.XLOOKUP('Rate Load'!H1624, 'Wedgewood Pharm-GA-Yr2-2025'!$D$123:$D$152,
            'Wedgewood Pharm-GA-Yr2-2025'!$E$123:$L$152, 0, 0),
        0, 0),
    _xlfn.XLOOKUP(G1624, 'Wedgewood Pharm-GA-Yr2-2025'!$E$106:$L$106,
        _xlfn.XLOOKUP('Rate Load'!L1624, 'Wedgewood Pharm-GA-Yr2-2025'!$D$123:$D$152,
            'Wedgewood Pharm-GA-Yr2-2025'!$E$123:$L$152, 0, 0),
        0, 0)
)</f>
        <v>12.379999999999999</v>
      </c>
      <c r="K1624" t="s">
        <v>46</v>
      </c>
      <c r="L1624" t="s">
        <v>13</v>
      </c>
      <c r="M1624">
        <v>3</v>
      </c>
      <c r="N1624" t="str">
        <f t="shared" si="25"/>
        <v>INSERT INTO TNL_RATING.dbo.usps_rate_master VALUES ('USPS', '2/13/2025', '2/13/2026', 12659, 'US', 'USPS Ground Advantage', 4, 19, 'L', 12.38, 'Wedgewood_USPS_2025', 'NonCubic','3');</v>
      </c>
    </row>
    <row r="1625" spans="1:14" x14ac:dyDescent="0.3">
      <c r="A1625" t="s">
        <v>11</v>
      </c>
      <c r="B1625" s="1" t="s">
        <v>43</v>
      </c>
      <c r="C1625" s="1" t="s">
        <v>44</v>
      </c>
      <c r="D1625">
        <v>12659</v>
      </c>
      <c r="E1625" t="s">
        <v>12</v>
      </c>
      <c r="F1625" t="s">
        <v>51</v>
      </c>
      <c r="G1625">
        <v>4</v>
      </c>
      <c r="H1625">
        <v>20</v>
      </c>
      <c r="I1625" t="s">
        <v>45</v>
      </c>
      <c r="J1625" cm="1">
        <f t="array" ref="J1625">IFERROR(
    _xlfn.XLOOKUP(G1625, 'Wedgewood Pharm-GA-Yr2-2025'!$E$106:$L$106,
        _xlfn.XLOOKUP('Rate Load'!H1625, 'Wedgewood Pharm-GA-Yr2-2025'!$D$123:$D$152,
            'Wedgewood Pharm-GA-Yr2-2025'!$E$123:$L$152, 0, 0),
        0, 0),
    _xlfn.XLOOKUP(G1625, 'Wedgewood Pharm-GA-Yr2-2025'!$E$106:$L$106,
        _xlfn.XLOOKUP('Rate Load'!L1625, 'Wedgewood Pharm-GA-Yr2-2025'!$D$123:$D$152,
            'Wedgewood Pharm-GA-Yr2-2025'!$E$123:$L$152, 0, 0),
        0, 0)
)</f>
        <v>12.72</v>
      </c>
      <c r="K1625" t="s">
        <v>46</v>
      </c>
      <c r="L1625" t="s">
        <v>13</v>
      </c>
      <c r="M1625">
        <v>3</v>
      </c>
      <c r="N1625" t="str">
        <f t="shared" si="25"/>
        <v>INSERT INTO TNL_RATING.dbo.usps_rate_master VALUES ('USPS', '2/13/2025', '2/13/2026', 12659, 'US', 'USPS Ground Advantage', 4, 20, 'L', 12.72, 'Wedgewood_USPS_2025', 'NonCubic','3');</v>
      </c>
    </row>
    <row r="1626" spans="1:14" x14ac:dyDescent="0.3">
      <c r="A1626" t="s">
        <v>11</v>
      </c>
      <c r="B1626" s="1" t="s">
        <v>43</v>
      </c>
      <c r="C1626" s="1" t="s">
        <v>44</v>
      </c>
      <c r="D1626">
        <v>12659</v>
      </c>
      <c r="E1626" t="s">
        <v>12</v>
      </c>
      <c r="F1626" t="s">
        <v>51</v>
      </c>
      <c r="G1626">
        <v>5</v>
      </c>
      <c r="H1626">
        <v>1</v>
      </c>
      <c r="I1626" t="s">
        <v>45</v>
      </c>
      <c r="J1626" cm="1">
        <f t="array" ref="J1626">IFERROR(
    _xlfn.XLOOKUP(G1626, 'Wedgewood Pharm-GA-Yr2-2025'!$E$106:$L$106,
        _xlfn.XLOOKUP('Rate Load'!H1626, 'Wedgewood Pharm-GA-Yr2-2025'!$D$123:$D$152,
            'Wedgewood Pharm-GA-Yr2-2025'!$E$123:$L$152, 0, 0),
        0, 0),
    _xlfn.XLOOKUP(G1626, 'Wedgewood Pharm-GA-Yr2-2025'!$E$106:$L$106,
        _xlfn.XLOOKUP('Rate Load'!L1626, 'Wedgewood Pharm-GA-Yr2-2025'!$D$123:$D$152,
            'Wedgewood Pharm-GA-Yr2-2025'!$E$123:$L$152, 0, 0),
        0, 0)
)</f>
        <v>6.39</v>
      </c>
      <c r="K1626" t="s">
        <v>46</v>
      </c>
      <c r="L1626" t="s">
        <v>13</v>
      </c>
      <c r="M1626">
        <v>3</v>
      </c>
      <c r="N1626" t="str">
        <f t="shared" si="25"/>
        <v>INSERT INTO TNL_RATING.dbo.usps_rate_master VALUES ('USPS', '2/13/2025', '2/13/2026', 12659, 'US', 'USPS Ground Advantage', 5, 1, 'L', 6.39, 'Wedgewood_USPS_2025', 'NonCubic','3');</v>
      </c>
    </row>
    <row r="1627" spans="1:14" x14ac:dyDescent="0.3">
      <c r="A1627" t="s">
        <v>11</v>
      </c>
      <c r="B1627" s="1" t="s">
        <v>43</v>
      </c>
      <c r="C1627" s="1" t="s">
        <v>44</v>
      </c>
      <c r="D1627">
        <v>12659</v>
      </c>
      <c r="E1627" t="s">
        <v>12</v>
      </c>
      <c r="F1627" t="s">
        <v>51</v>
      </c>
      <c r="G1627">
        <v>5</v>
      </c>
      <c r="H1627">
        <v>2</v>
      </c>
      <c r="I1627" t="s">
        <v>45</v>
      </c>
      <c r="J1627" cm="1">
        <f t="array" ref="J1627">IFERROR(
    _xlfn.XLOOKUP(G1627, 'Wedgewood Pharm-GA-Yr2-2025'!$E$106:$L$106,
        _xlfn.XLOOKUP('Rate Load'!H1627, 'Wedgewood Pharm-GA-Yr2-2025'!$D$123:$D$152,
            'Wedgewood Pharm-GA-Yr2-2025'!$E$123:$L$152, 0, 0),
        0, 0),
    _xlfn.XLOOKUP(G1627, 'Wedgewood Pharm-GA-Yr2-2025'!$E$106:$L$106,
        _xlfn.XLOOKUP('Rate Load'!L1627, 'Wedgewood Pharm-GA-Yr2-2025'!$D$123:$D$152,
            'Wedgewood Pharm-GA-Yr2-2025'!$E$123:$L$152, 0, 0),
        0, 0)
)</f>
        <v>6.79</v>
      </c>
      <c r="K1627" t="s">
        <v>46</v>
      </c>
      <c r="L1627" t="s">
        <v>13</v>
      </c>
      <c r="M1627">
        <v>3</v>
      </c>
      <c r="N1627" t="str">
        <f t="shared" si="25"/>
        <v>INSERT INTO TNL_RATING.dbo.usps_rate_master VALUES ('USPS', '2/13/2025', '2/13/2026', 12659, 'US', 'USPS Ground Advantage', 5, 2, 'L', 6.79, 'Wedgewood_USPS_2025', 'NonCubic','3');</v>
      </c>
    </row>
    <row r="1628" spans="1:14" x14ac:dyDescent="0.3">
      <c r="A1628" t="s">
        <v>11</v>
      </c>
      <c r="B1628" s="1" t="s">
        <v>43</v>
      </c>
      <c r="C1628" s="1" t="s">
        <v>44</v>
      </c>
      <c r="D1628">
        <v>12659</v>
      </c>
      <c r="E1628" t="s">
        <v>12</v>
      </c>
      <c r="F1628" t="s">
        <v>51</v>
      </c>
      <c r="G1628">
        <v>5</v>
      </c>
      <c r="H1628">
        <v>3</v>
      </c>
      <c r="I1628" t="s">
        <v>45</v>
      </c>
      <c r="J1628" cm="1">
        <f t="array" ref="J1628">IFERROR(
    _xlfn.XLOOKUP(G1628, 'Wedgewood Pharm-GA-Yr2-2025'!$E$106:$L$106,
        _xlfn.XLOOKUP('Rate Load'!H1628, 'Wedgewood Pharm-GA-Yr2-2025'!$D$123:$D$152,
            'Wedgewood Pharm-GA-Yr2-2025'!$E$123:$L$152, 0, 0),
        0, 0),
    _xlfn.XLOOKUP(G1628, 'Wedgewood Pharm-GA-Yr2-2025'!$E$106:$L$106,
        _xlfn.XLOOKUP('Rate Load'!L1628, 'Wedgewood Pharm-GA-Yr2-2025'!$D$123:$D$152,
            'Wedgewood Pharm-GA-Yr2-2025'!$E$123:$L$152, 0, 0),
        0, 0)
)</f>
        <v>7.39</v>
      </c>
      <c r="K1628" t="s">
        <v>46</v>
      </c>
      <c r="L1628" t="s">
        <v>13</v>
      </c>
      <c r="M1628">
        <v>3</v>
      </c>
      <c r="N1628" t="str">
        <f t="shared" si="25"/>
        <v>INSERT INTO TNL_RATING.dbo.usps_rate_master VALUES ('USPS', '2/13/2025', '2/13/2026', 12659, 'US', 'USPS Ground Advantage', 5, 3, 'L', 7.39, 'Wedgewood_USPS_2025', 'NonCubic','3');</v>
      </c>
    </row>
    <row r="1629" spans="1:14" x14ac:dyDescent="0.3">
      <c r="A1629" t="s">
        <v>11</v>
      </c>
      <c r="B1629" s="1" t="s">
        <v>43</v>
      </c>
      <c r="C1629" s="1" t="s">
        <v>44</v>
      </c>
      <c r="D1629">
        <v>12659</v>
      </c>
      <c r="E1629" t="s">
        <v>12</v>
      </c>
      <c r="F1629" t="s">
        <v>51</v>
      </c>
      <c r="G1629">
        <v>5</v>
      </c>
      <c r="H1629">
        <v>4</v>
      </c>
      <c r="I1629" t="s">
        <v>45</v>
      </c>
      <c r="J1629" cm="1">
        <f t="array" ref="J1629">IFERROR(
    _xlfn.XLOOKUP(G1629, 'Wedgewood Pharm-GA-Yr2-2025'!$E$106:$L$106,
        _xlfn.XLOOKUP('Rate Load'!H1629, 'Wedgewood Pharm-GA-Yr2-2025'!$D$123:$D$152,
            'Wedgewood Pharm-GA-Yr2-2025'!$E$123:$L$152, 0, 0),
        0, 0),
    _xlfn.XLOOKUP(G1629, 'Wedgewood Pharm-GA-Yr2-2025'!$E$106:$L$106,
        _xlfn.XLOOKUP('Rate Load'!L1629, 'Wedgewood Pharm-GA-Yr2-2025'!$D$123:$D$152,
            'Wedgewood Pharm-GA-Yr2-2025'!$E$123:$L$152, 0, 0),
        0, 0)
)</f>
        <v>8.2799999999999994</v>
      </c>
      <c r="K1629" t="s">
        <v>46</v>
      </c>
      <c r="L1629" t="s">
        <v>13</v>
      </c>
      <c r="M1629">
        <v>3</v>
      </c>
      <c r="N1629" t="str">
        <f t="shared" si="25"/>
        <v>INSERT INTO TNL_RATING.dbo.usps_rate_master VALUES ('USPS', '2/13/2025', '2/13/2026', 12659, 'US', 'USPS Ground Advantage', 5, 4, 'L', 8.28, 'Wedgewood_USPS_2025', 'NonCubic','3');</v>
      </c>
    </row>
    <row r="1630" spans="1:14" x14ac:dyDescent="0.3">
      <c r="A1630" t="s">
        <v>11</v>
      </c>
      <c r="B1630" s="1" t="s">
        <v>43</v>
      </c>
      <c r="C1630" s="1" t="s">
        <v>44</v>
      </c>
      <c r="D1630">
        <v>12659</v>
      </c>
      <c r="E1630" t="s">
        <v>12</v>
      </c>
      <c r="F1630" t="s">
        <v>51</v>
      </c>
      <c r="G1630">
        <v>5</v>
      </c>
      <c r="H1630">
        <v>5</v>
      </c>
      <c r="I1630" t="s">
        <v>45</v>
      </c>
      <c r="J1630" cm="1">
        <f t="array" ref="J1630">IFERROR(
    _xlfn.XLOOKUP(G1630, 'Wedgewood Pharm-GA-Yr2-2025'!$E$106:$L$106,
        _xlfn.XLOOKUP('Rate Load'!H1630, 'Wedgewood Pharm-GA-Yr2-2025'!$D$123:$D$152,
            'Wedgewood Pharm-GA-Yr2-2025'!$E$123:$L$152, 0, 0),
        0, 0),
    _xlfn.XLOOKUP(G1630, 'Wedgewood Pharm-GA-Yr2-2025'!$E$106:$L$106,
        _xlfn.XLOOKUP('Rate Load'!L1630, 'Wedgewood Pharm-GA-Yr2-2025'!$D$123:$D$152,
            'Wedgewood Pharm-GA-Yr2-2025'!$E$123:$L$152, 0, 0),
        0, 0)
)</f>
        <v>8.52</v>
      </c>
      <c r="K1630" t="s">
        <v>46</v>
      </c>
      <c r="L1630" t="s">
        <v>13</v>
      </c>
      <c r="M1630">
        <v>3</v>
      </c>
      <c r="N1630" t="str">
        <f t="shared" si="25"/>
        <v>INSERT INTO TNL_RATING.dbo.usps_rate_master VALUES ('USPS', '2/13/2025', '2/13/2026', 12659, 'US', 'USPS Ground Advantage', 5, 5, 'L', 8.52, 'Wedgewood_USPS_2025', 'NonCubic','3');</v>
      </c>
    </row>
    <row r="1631" spans="1:14" x14ac:dyDescent="0.3">
      <c r="A1631" t="s">
        <v>11</v>
      </c>
      <c r="B1631" s="1" t="s">
        <v>43</v>
      </c>
      <c r="C1631" s="1" t="s">
        <v>44</v>
      </c>
      <c r="D1631">
        <v>12659</v>
      </c>
      <c r="E1631" t="s">
        <v>12</v>
      </c>
      <c r="F1631" t="s">
        <v>51</v>
      </c>
      <c r="G1631">
        <v>5</v>
      </c>
      <c r="H1631">
        <v>6</v>
      </c>
      <c r="I1631" t="s">
        <v>45</v>
      </c>
      <c r="J1631" cm="1">
        <f t="array" ref="J1631">IFERROR(
    _xlfn.XLOOKUP(G1631, 'Wedgewood Pharm-GA-Yr2-2025'!$E$106:$L$106,
        _xlfn.XLOOKUP('Rate Load'!H1631, 'Wedgewood Pharm-GA-Yr2-2025'!$D$123:$D$152,
            'Wedgewood Pharm-GA-Yr2-2025'!$E$123:$L$152, 0, 0),
        0, 0),
    _xlfn.XLOOKUP(G1631, 'Wedgewood Pharm-GA-Yr2-2025'!$E$106:$L$106,
        _xlfn.XLOOKUP('Rate Load'!L1631, 'Wedgewood Pharm-GA-Yr2-2025'!$D$123:$D$152,
            'Wedgewood Pharm-GA-Yr2-2025'!$E$123:$L$152, 0, 0),
        0, 0)
)</f>
        <v>9.61</v>
      </c>
      <c r="K1631" t="s">
        <v>46</v>
      </c>
      <c r="L1631" t="s">
        <v>13</v>
      </c>
      <c r="M1631">
        <v>3</v>
      </c>
      <c r="N1631" t="str">
        <f t="shared" si="25"/>
        <v>INSERT INTO TNL_RATING.dbo.usps_rate_master VALUES ('USPS', '2/13/2025', '2/13/2026', 12659, 'US', 'USPS Ground Advantage', 5, 6, 'L', 9.61, 'Wedgewood_USPS_2025', 'NonCubic','3');</v>
      </c>
    </row>
    <row r="1632" spans="1:14" x14ac:dyDescent="0.3">
      <c r="A1632" t="s">
        <v>11</v>
      </c>
      <c r="B1632" s="1" t="s">
        <v>43</v>
      </c>
      <c r="C1632" s="1" t="s">
        <v>44</v>
      </c>
      <c r="D1632">
        <v>12659</v>
      </c>
      <c r="E1632" t="s">
        <v>12</v>
      </c>
      <c r="F1632" t="s">
        <v>51</v>
      </c>
      <c r="G1632">
        <v>5</v>
      </c>
      <c r="H1632">
        <v>7</v>
      </c>
      <c r="I1632" t="s">
        <v>45</v>
      </c>
      <c r="J1632" cm="1">
        <f t="array" ref="J1632">IFERROR(
    _xlfn.XLOOKUP(G1632, 'Wedgewood Pharm-GA-Yr2-2025'!$E$106:$L$106,
        _xlfn.XLOOKUP('Rate Load'!H1632, 'Wedgewood Pharm-GA-Yr2-2025'!$D$123:$D$152,
            'Wedgewood Pharm-GA-Yr2-2025'!$E$123:$L$152, 0, 0),
        0, 0),
    _xlfn.XLOOKUP(G1632, 'Wedgewood Pharm-GA-Yr2-2025'!$E$106:$L$106,
        _xlfn.XLOOKUP('Rate Load'!L1632, 'Wedgewood Pharm-GA-Yr2-2025'!$D$123:$D$152,
            'Wedgewood Pharm-GA-Yr2-2025'!$E$123:$L$152, 0, 0),
        0, 0)
)</f>
        <v>9.93</v>
      </c>
      <c r="K1632" t="s">
        <v>46</v>
      </c>
      <c r="L1632" t="s">
        <v>13</v>
      </c>
      <c r="M1632">
        <v>3</v>
      </c>
      <c r="N1632" t="str">
        <f t="shared" si="25"/>
        <v>INSERT INTO TNL_RATING.dbo.usps_rate_master VALUES ('USPS', '2/13/2025', '2/13/2026', 12659, 'US', 'USPS Ground Advantage', 5, 7, 'L', 9.93, 'Wedgewood_USPS_2025', 'NonCubic','3');</v>
      </c>
    </row>
    <row r="1633" spans="1:14" x14ac:dyDescent="0.3">
      <c r="A1633" t="s">
        <v>11</v>
      </c>
      <c r="B1633" s="1" t="s">
        <v>43</v>
      </c>
      <c r="C1633" s="1" t="s">
        <v>44</v>
      </c>
      <c r="D1633">
        <v>12659</v>
      </c>
      <c r="E1633" t="s">
        <v>12</v>
      </c>
      <c r="F1633" t="s">
        <v>51</v>
      </c>
      <c r="G1633">
        <v>5</v>
      </c>
      <c r="H1633">
        <v>8</v>
      </c>
      <c r="I1633" t="s">
        <v>45</v>
      </c>
      <c r="J1633" cm="1">
        <f t="array" ref="J1633">IFERROR(
    _xlfn.XLOOKUP(G1633, 'Wedgewood Pharm-GA-Yr2-2025'!$E$106:$L$106,
        _xlfn.XLOOKUP('Rate Load'!H1633, 'Wedgewood Pharm-GA-Yr2-2025'!$D$123:$D$152,
            'Wedgewood Pharm-GA-Yr2-2025'!$E$123:$L$152, 0, 0),
        0, 0),
    _xlfn.XLOOKUP(G1633, 'Wedgewood Pharm-GA-Yr2-2025'!$E$106:$L$106,
        _xlfn.XLOOKUP('Rate Load'!L1633, 'Wedgewood Pharm-GA-Yr2-2025'!$D$123:$D$152,
            'Wedgewood Pharm-GA-Yr2-2025'!$E$123:$L$152, 0, 0),
        0, 0)
)</f>
        <v>10.18</v>
      </c>
      <c r="K1633" t="s">
        <v>46</v>
      </c>
      <c r="L1633" t="s">
        <v>13</v>
      </c>
      <c r="M1633">
        <v>3</v>
      </c>
      <c r="N1633" t="str">
        <f t="shared" si="25"/>
        <v>INSERT INTO TNL_RATING.dbo.usps_rate_master VALUES ('USPS', '2/13/2025', '2/13/2026', 12659, 'US', 'USPS Ground Advantage', 5, 8, 'L', 10.18, 'Wedgewood_USPS_2025', 'NonCubic','3');</v>
      </c>
    </row>
    <row r="1634" spans="1:14" x14ac:dyDescent="0.3">
      <c r="A1634" t="s">
        <v>11</v>
      </c>
      <c r="B1634" s="1" t="s">
        <v>43</v>
      </c>
      <c r="C1634" s="1" t="s">
        <v>44</v>
      </c>
      <c r="D1634">
        <v>12659</v>
      </c>
      <c r="E1634" t="s">
        <v>12</v>
      </c>
      <c r="F1634" t="s">
        <v>51</v>
      </c>
      <c r="G1634">
        <v>5</v>
      </c>
      <c r="H1634">
        <v>9</v>
      </c>
      <c r="I1634" t="s">
        <v>45</v>
      </c>
      <c r="J1634" cm="1">
        <f t="array" ref="J1634">IFERROR(
    _xlfn.XLOOKUP(G1634, 'Wedgewood Pharm-GA-Yr2-2025'!$E$106:$L$106,
        _xlfn.XLOOKUP('Rate Load'!H1634, 'Wedgewood Pharm-GA-Yr2-2025'!$D$123:$D$152,
            'Wedgewood Pharm-GA-Yr2-2025'!$E$123:$L$152, 0, 0),
        0, 0),
    _xlfn.XLOOKUP(G1634, 'Wedgewood Pharm-GA-Yr2-2025'!$E$106:$L$106,
        _xlfn.XLOOKUP('Rate Load'!L1634, 'Wedgewood Pharm-GA-Yr2-2025'!$D$123:$D$152,
            'Wedgewood Pharm-GA-Yr2-2025'!$E$123:$L$152, 0, 0),
        0, 0)
)</f>
        <v>10.36</v>
      </c>
      <c r="K1634" t="s">
        <v>46</v>
      </c>
      <c r="L1634" t="s">
        <v>13</v>
      </c>
      <c r="M1634">
        <v>3</v>
      </c>
      <c r="N1634" t="str">
        <f t="shared" si="25"/>
        <v>INSERT INTO TNL_RATING.dbo.usps_rate_master VALUES ('USPS', '2/13/2025', '2/13/2026', 12659, 'US', 'USPS Ground Advantage', 5, 9, 'L', 10.36, 'Wedgewood_USPS_2025', 'NonCubic','3');</v>
      </c>
    </row>
    <row r="1635" spans="1:14" x14ac:dyDescent="0.3">
      <c r="A1635" t="s">
        <v>11</v>
      </c>
      <c r="B1635" s="1" t="s">
        <v>43</v>
      </c>
      <c r="C1635" s="1" t="s">
        <v>44</v>
      </c>
      <c r="D1635">
        <v>12659</v>
      </c>
      <c r="E1635" t="s">
        <v>12</v>
      </c>
      <c r="F1635" t="s">
        <v>51</v>
      </c>
      <c r="G1635">
        <v>5</v>
      </c>
      <c r="H1635">
        <v>10</v>
      </c>
      <c r="I1635" t="s">
        <v>45</v>
      </c>
      <c r="J1635" cm="1">
        <f t="array" ref="J1635">IFERROR(
    _xlfn.XLOOKUP(G1635, 'Wedgewood Pharm-GA-Yr2-2025'!$E$106:$L$106,
        _xlfn.XLOOKUP('Rate Load'!H1635, 'Wedgewood Pharm-GA-Yr2-2025'!$D$123:$D$152,
            'Wedgewood Pharm-GA-Yr2-2025'!$E$123:$L$152, 0, 0),
        0, 0),
    _xlfn.XLOOKUP(G1635, 'Wedgewood Pharm-GA-Yr2-2025'!$E$106:$L$106,
        _xlfn.XLOOKUP('Rate Load'!L1635, 'Wedgewood Pharm-GA-Yr2-2025'!$D$123:$D$152,
            'Wedgewood Pharm-GA-Yr2-2025'!$E$123:$L$152, 0, 0),
        0, 0)
)</f>
        <v>10.62</v>
      </c>
      <c r="K1635" t="s">
        <v>46</v>
      </c>
      <c r="L1635" t="s">
        <v>13</v>
      </c>
      <c r="M1635">
        <v>3</v>
      </c>
      <c r="N1635" t="str">
        <f t="shared" si="25"/>
        <v>INSERT INTO TNL_RATING.dbo.usps_rate_master VALUES ('USPS', '2/13/2025', '2/13/2026', 12659, 'US', 'USPS Ground Advantage', 5, 10, 'L', 10.62, 'Wedgewood_USPS_2025', 'NonCubic','3');</v>
      </c>
    </row>
    <row r="1636" spans="1:14" x14ac:dyDescent="0.3">
      <c r="A1636" t="s">
        <v>11</v>
      </c>
      <c r="B1636" s="1" t="s">
        <v>43</v>
      </c>
      <c r="C1636" s="1" t="s">
        <v>44</v>
      </c>
      <c r="D1636">
        <v>12659</v>
      </c>
      <c r="E1636" t="s">
        <v>12</v>
      </c>
      <c r="F1636" t="s">
        <v>51</v>
      </c>
      <c r="G1636">
        <v>5</v>
      </c>
      <c r="H1636">
        <v>11</v>
      </c>
      <c r="I1636" t="s">
        <v>45</v>
      </c>
      <c r="J1636" cm="1">
        <f t="array" ref="J1636">IFERROR(
    _xlfn.XLOOKUP(G1636, 'Wedgewood Pharm-GA-Yr2-2025'!$E$106:$L$106,
        _xlfn.XLOOKUP('Rate Load'!H1636, 'Wedgewood Pharm-GA-Yr2-2025'!$D$123:$D$152,
            'Wedgewood Pharm-GA-Yr2-2025'!$E$123:$L$152, 0, 0),
        0, 0),
    _xlfn.XLOOKUP(G1636, 'Wedgewood Pharm-GA-Yr2-2025'!$E$106:$L$106,
        _xlfn.XLOOKUP('Rate Load'!L1636, 'Wedgewood Pharm-GA-Yr2-2025'!$D$123:$D$152,
            'Wedgewood Pharm-GA-Yr2-2025'!$E$123:$L$152, 0, 0),
        0, 0)
)</f>
        <v>10.9</v>
      </c>
      <c r="K1636" t="s">
        <v>46</v>
      </c>
      <c r="L1636" t="s">
        <v>13</v>
      </c>
      <c r="M1636">
        <v>3</v>
      </c>
      <c r="N1636" t="str">
        <f t="shared" si="25"/>
        <v>INSERT INTO TNL_RATING.dbo.usps_rate_master VALUES ('USPS', '2/13/2025', '2/13/2026', 12659, 'US', 'USPS Ground Advantage', 5, 11, 'L', 10.9, 'Wedgewood_USPS_2025', 'NonCubic','3');</v>
      </c>
    </row>
    <row r="1637" spans="1:14" x14ac:dyDescent="0.3">
      <c r="A1637" t="s">
        <v>11</v>
      </c>
      <c r="B1637" s="1" t="s">
        <v>43</v>
      </c>
      <c r="C1637" s="1" t="s">
        <v>44</v>
      </c>
      <c r="D1637">
        <v>12659</v>
      </c>
      <c r="E1637" t="s">
        <v>12</v>
      </c>
      <c r="F1637" t="s">
        <v>51</v>
      </c>
      <c r="G1637">
        <v>5</v>
      </c>
      <c r="H1637">
        <v>12</v>
      </c>
      <c r="I1637" t="s">
        <v>45</v>
      </c>
      <c r="J1637" cm="1">
        <f t="array" ref="J1637">IFERROR(
    _xlfn.XLOOKUP(G1637, 'Wedgewood Pharm-GA-Yr2-2025'!$E$106:$L$106,
        _xlfn.XLOOKUP('Rate Load'!H1637, 'Wedgewood Pharm-GA-Yr2-2025'!$D$123:$D$152,
            'Wedgewood Pharm-GA-Yr2-2025'!$E$123:$L$152, 0, 0),
        0, 0),
    _xlfn.XLOOKUP(G1637, 'Wedgewood Pharm-GA-Yr2-2025'!$E$106:$L$106,
        _xlfn.XLOOKUP('Rate Load'!L1637, 'Wedgewood Pharm-GA-Yr2-2025'!$D$123:$D$152,
            'Wedgewood Pharm-GA-Yr2-2025'!$E$123:$L$152, 0, 0),
        0, 0)
)</f>
        <v>11.2</v>
      </c>
      <c r="K1637" t="s">
        <v>46</v>
      </c>
      <c r="L1637" t="s">
        <v>13</v>
      </c>
      <c r="M1637">
        <v>3</v>
      </c>
      <c r="N1637" t="str">
        <f t="shared" si="25"/>
        <v>INSERT INTO TNL_RATING.dbo.usps_rate_master VALUES ('USPS', '2/13/2025', '2/13/2026', 12659, 'US', 'USPS Ground Advantage', 5, 12, 'L', 11.2, 'Wedgewood_USPS_2025', 'NonCubic','3');</v>
      </c>
    </row>
    <row r="1638" spans="1:14" x14ac:dyDescent="0.3">
      <c r="A1638" t="s">
        <v>11</v>
      </c>
      <c r="B1638" s="1" t="s">
        <v>43</v>
      </c>
      <c r="C1638" s="1" t="s">
        <v>44</v>
      </c>
      <c r="D1638">
        <v>12659</v>
      </c>
      <c r="E1638" t="s">
        <v>12</v>
      </c>
      <c r="F1638" t="s">
        <v>51</v>
      </c>
      <c r="G1638">
        <v>5</v>
      </c>
      <c r="H1638">
        <v>13</v>
      </c>
      <c r="I1638" t="s">
        <v>45</v>
      </c>
      <c r="J1638" cm="1">
        <f t="array" ref="J1638">IFERROR(
    _xlfn.XLOOKUP(G1638, 'Wedgewood Pharm-GA-Yr2-2025'!$E$106:$L$106,
        _xlfn.XLOOKUP('Rate Load'!H1638, 'Wedgewood Pharm-GA-Yr2-2025'!$D$123:$D$152,
            'Wedgewood Pharm-GA-Yr2-2025'!$E$123:$L$152, 0, 0),
        0, 0),
    _xlfn.XLOOKUP(G1638, 'Wedgewood Pharm-GA-Yr2-2025'!$E$106:$L$106,
        _xlfn.XLOOKUP('Rate Load'!L1638, 'Wedgewood Pharm-GA-Yr2-2025'!$D$123:$D$152,
            'Wedgewood Pharm-GA-Yr2-2025'!$E$123:$L$152, 0, 0),
        0, 0)
)</f>
        <v>11.61</v>
      </c>
      <c r="K1638" t="s">
        <v>46</v>
      </c>
      <c r="L1638" t="s">
        <v>13</v>
      </c>
      <c r="M1638">
        <v>3</v>
      </c>
      <c r="N1638" t="str">
        <f t="shared" si="25"/>
        <v>INSERT INTO TNL_RATING.dbo.usps_rate_master VALUES ('USPS', '2/13/2025', '2/13/2026', 12659, 'US', 'USPS Ground Advantage', 5, 13, 'L', 11.61, 'Wedgewood_USPS_2025', 'NonCubic','3');</v>
      </c>
    </row>
    <row r="1639" spans="1:14" x14ac:dyDescent="0.3">
      <c r="A1639" t="s">
        <v>11</v>
      </c>
      <c r="B1639" s="1" t="s">
        <v>43</v>
      </c>
      <c r="C1639" s="1" t="s">
        <v>44</v>
      </c>
      <c r="D1639">
        <v>12659</v>
      </c>
      <c r="E1639" t="s">
        <v>12</v>
      </c>
      <c r="F1639" t="s">
        <v>51</v>
      </c>
      <c r="G1639">
        <v>5</v>
      </c>
      <c r="H1639">
        <v>14</v>
      </c>
      <c r="I1639" t="s">
        <v>45</v>
      </c>
      <c r="J1639" cm="1">
        <f t="array" ref="J1639">IFERROR(
    _xlfn.XLOOKUP(G1639, 'Wedgewood Pharm-GA-Yr2-2025'!$E$106:$L$106,
        _xlfn.XLOOKUP('Rate Load'!H1639, 'Wedgewood Pharm-GA-Yr2-2025'!$D$123:$D$152,
            'Wedgewood Pharm-GA-Yr2-2025'!$E$123:$L$152, 0, 0),
        0, 0),
    _xlfn.XLOOKUP(G1639, 'Wedgewood Pharm-GA-Yr2-2025'!$E$106:$L$106,
        _xlfn.XLOOKUP('Rate Load'!L1639, 'Wedgewood Pharm-GA-Yr2-2025'!$D$123:$D$152,
            'Wedgewood Pharm-GA-Yr2-2025'!$E$123:$L$152, 0, 0),
        0, 0)
)</f>
        <v>11.91</v>
      </c>
      <c r="K1639" t="s">
        <v>46</v>
      </c>
      <c r="L1639" t="s">
        <v>13</v>
      </c>
      <c r="M1639">
        <v>3</v>
      </c>
      <c r="N1639" t="str">
        <f t="shared" si="25"/>
        <v>INSERT INTO TNL_RATING.dbo.usps_rate_master VALUES ('USPS', '2/13/2025', '2/13/2026', 12659, 'US', 'USPS Ground Advantage', 5, 14, 'L', 11.91, 'Wedgewood_USPS_2025', 'NonCubic','3');</v>
      </c>
    </row>
    <row r="1640" spans="1:14" x14ac:dyDescent="0.3">
      <c r="A1640" t="s">
        <v>11</v>
      </c>
      <c r="B1640" s="1" t="s">
        <v>43</v>
      </c>
      <c r="C1640" s="1" t="s">
        <v>44</v>
      </c>
      <c r="D1640">
        <v>12659</v>
      </c>
      <c r="E1640" t="s">
        <v>12</v>
      </c>
      <c r="F1640" t="s">
        <v>51</v>
      </c>
      <c r="G1640">
        <v>5</v>
      </c>
      <c r="H1640">
        <v>15</v>
      </c>
      <c r="I1640" t="s">
        <v>45</v>
      </c>
      <c r="J1640" cm="1">
        <f t="array" ref="J1640">IFERROR(
    _xlfn.XLOOKUP(G1640, 'Wedgewood Pharm-GA-Yr2-2025'!$E$106:$L$106,
        _xlfn.XLOOKUP('Rate Load'!H1640, 'Wedgewood Pharm-GA-Yr2-2025'!$D$123:$D$152,
            'Wedgewood Pharm-GA-Yr2-2025'!$E$123:$L$152, 0, 0),
        0, 0),
    _xlfn.XLOOKUP(G1640, 'Wedgewood Pharm-GA-Yr2-2025'!$E$106:$L$106,
        _xlfn.XLOOKUP('Rate Load'!L1640, 'Wedgewood Pharm-GA-Yr2-2025'!$D$123:$D$152,
            'Wedgewood Pharm-GA-Yr2-2025'!$E$123:$L$152, 0, 0),
        0, 0)
)</f>
        <v>12.47</v>
      </c>
      <c r="K1640" t="s">
        <v>46</v>
      </c>
      <c r="L1640" t="s">
        <v>13</v>
      </c>
      <c r="M1640">
        <v>3</v>
      </c>
      <c r="N1640" t="str">
        <f t="shared" si="25"/>
        <v>INSERT INTO TNL_RATING.dbo.usps_rate_master VALUES ('USPS', '2/13/2025', '2/13/2026', 12659, 'US', 'USPS Ground Advantage', 5, 15, 'L', 12.47, 'Wedgewood_USPS_2025', 'NonCubic','3');</v>
      </c>
    </row>
    <row r="1641" spans="1:14" x14ac:dyDescent="0.3">
      <c r="A1641" t="s">
        <v>11</v>
      </c>
      <c r="B1641" s="1" t="s">
        <v>43</v>
      </c>
      <c r="C1641" s="1" t="s">
        <v>44</v>
      </c>
      <c r="D1641">
        <v>12659</v>
      </c>
      <c r="E1641" t="s">
        <v>12</v>
      </c>
      <c r="F1641" t="s">
        <v>51</v>
      </c>
      <c r="G1641">
        <v>5</v>
      </c>
      <c r="H1641">
        <v>16</v>
      </c>
      <c r="I1641" t="s">
        <v>45</v>
      </c>
      <c r="J1641" cm="1">
        <f t="array" ref="J1641">IFERROR(
    _xlfn.XLOOKUP(G1641, 'Wedgewood Pharm-GA-Yr2-2025'!$E$106:$L$106,
        _xlfn.XLOOKUP('Rate Load'!H1641, 'Wedgewood Pharm-GA-Yr2-2025'!$D$123:$D$152,
            'Wedgewood Pharm-GA-Yr2-2025'!$E$123:$L$152, 0, 0),
        0, 0),
    _xlfn.XLOOKUP(G1641, 'Wedgewood Pharm-GA-Yr2-2025'!$E$106:$L$106,
        _xlfn.XLOOKUP('Rate Load'!L1641, 'Wedgewood Pharm-GA-Yr2-2025'!$D$123:$D$152,
            'Wedgewood Pharm-GA-Yr2-2025'!$E$123:$L$152, 0, 0),
        0, 0)
)</f>
        <v>12.73</v>
      </c>
      <c r="K1641" t="s">
        <v>46</v>
      </c>
      <c r="L1641" t="s">
        <v>13</v>
      </c>
      <c r="M1641">
        <v>3</v>
      </c>
      <c r="N1641" t="str">
        <f t="shared" si="25"/>
        <v>INSERT INTO TNL_RATING.dbo.usps_rate_master VALUES ('USPS', '2/13/2025', '2/13/2026', 12659, 'US', 'USPS Ground Advantage', 5, 16, 'L', 12.73, 'Wedgewood_USPS_2025', 'NonCubic','3');</v>
      </c>
    </row>
    <row r="1642" spans="1:14" x14ac:dyDescent="0.3">
      <c r="A1642" t="s">
        <v>11</v>
      </c>
      <c r="B1642" s="1" t="s">
        <v>43</v>
      </c>
      <c r="C1642" s="1" t="s">
        <v>44</v>
      </c>
      <c r="D1642">
        <v>12659</v>
      </c>
      <c r="E1642" t="s">
        <v>12</v>
      </c>
      <c r="F1642" t="s">
        <v>51</v>
      </c>
      <c r="G1642">
        <v>5</v>
      </c>
      <c r="H1642">
        <v>17</v>
      </c>
      <c r="I1642" t="s">
        <v>45</v>
      </c>
      <c r="J1642" cm="1">
        <f t="array" ref="J1642">IFERROR(
    _xlfn.XLOOKUP(G1642, 'Wedgewood Pharm-GA-Yr2-2025'!$E$106:$L$106,
        _xlfn.XLOOKUP('Rate Load'!H1642, 'Wedgewood Pharm-GA-Yr2-2025'!$D$123:$D$152,
            'Wedgewood Pharm-GA-Yr2-2025'!$E$123:$L$152, 0, 0),
        0, 0),
    _xlfn.XLOOKUP(G1642, 'Wedgewood Pharm-GA-Yr2-2025'!$E$106:$L$106,
        _xlfn.XLOOKUP('Rate Load'!L1642, 'Wedgewood Pharm-GA-Yr2-2025'!$D$123:$D$152,
            'Wedgewood Pharm-GA-Yr2-2025'!$E$123:$L$152, 0, 0),
        0, 0)
)</f>
        <v>13.26</v>
      </c>
      <c r="K1642" t="s">
        <v>46</v>
      </c>
      <c r="L1642" t="s">
        <v>13</v>
      </c>
      <c r="M1642">
        <v>3</v>
      </c>
      <c r="N1642" t="str">
        <f t="shared" si="25"/>
        <v>INSERT INTO TNL_RATING.dbo.usps_rate_master VALUES ('USPS', '2/13/2025', '2/13/2026', 12659, 'US', 'USPS Ground Advantage', 5, 17, 'L', 13.26, 'Wedgewood_USPS_2025', 'NonCubic','3');</v>
      </c>
    </row>
    <row r="1643" spans="1:14" x14ac:dyDescent="0.3">
      <c r="A1643" t="s">
        <v>11</v>
      </c>
      <c r="B1643" s="1" t="s">
        <v>43</v>
      </c>
      <c r="C1643" s="1" t="s">
        <v>44</v>
      </c>
      <c r="D1643">
        <v>12659</v>
      </c>
      <c r="E1643" t="s">
        <v>12</v>
      </c>
      <c r="F1643" t="s">
        <v>51</v>
      </c>
      <c r="G1643">
        <v>5</v>
      </c>
      <c r="H1643">
        <v>18</v>
      </c>
      <c r="I1643" t="s">
        <v>45</v>
      </c>
      <c r="J1643" cm="1">
        <f t="array" ref="J1643">IFERROR(
    _xlfn.XLOOKUP(G1643, 'Wedgewood Pharm-GA-Yr2-2025'!$E$106:$L$106,
        _xlfn.XLOOKUP('Rate Load'!H1643, 'Wedgewood Pharm-GA-Yr2-2025'!$D$123:$D$152,
            'Wedgewood Pharm-GA-Yr2-2025'!$E$123:$L$152, 0, 0),
        0, 0),
    _xlfn.XLOOKUP(G1643, 'Wedgewood Pharm-GA-Yr2-2025'!$E$106:$L$106,
        _xlfn.XLOOKUP('Rate Load'!L1643, 'Wedgewood Pharm-GA-Yr2-2025'!$D$123:$D$152,
            'Wedgewood Pharm-GA-Yr2-2025'!$E$123:$L$152, 0, 0),
        0, 0)
)</f>
        <v>13.79</v>
      </c>
      <c r="K1643" t="s">
        <v>46</v>
      </c>
      <c r="L1643" t="s">
        <v>13</v>
      </c>
      <c r="M1643">
        <v>3</v>
      </c>
      <c r="N1643" t="str">
        <f t="shared" si="25"/>
        <v>INSERT INTO TNL_RATING.dbo.usps_rate_master VALUES ('USPS', '2/13/2025', '2/13/2026', 12659, 'US', 'USPS Ground Advantage', 5, 18, 'L', 13.79, 'Wedgewood_USPS_2025', 'NonCubic','3');</v>
      </c>
    </row>
    <row r="1644" spans="1:14" x14ac:dyDescent="0.3">
      <c r="A1644" t="s">
        <v>11</v>
      </c>
      <c r="B1644" s="1" t="s">
        <v>43</v>
      </c>
      <c r="C1644" s="1" t="s">
        <v>44</v>
      </c>
      <c r="D1644">
        <v>12659</v>
      </c>
      <c r="E1644" t="s">
        <v>12</v>
      </c>
      <c r="F1644" t="s">
        <v>51</v>
      </c>
      <c r="G1644">
        <v>5</v>
      </c>
      <c r="H1644">
        <v>19</v>
      </c>
      <c r="I1644" t="s">
        <v>45</v>
      </c>
      <c r="J1644" cm="1">
        <f t="array" ref="J1644">IFERROR(
    _xlfn.XLOOKUP(G1644, 'Wedgewood Pharm-GA-Yr2-2025'!$E$106:$L$106,
        _xlfn.XLOOKUP('Rate Load'!H1644, 'Wedgewood Pharm-GA-Yr2-2025'!$D$123:$D$152,
            'Wedgewood Pharm-GA-Yr2-2025'!$E$123:$L$152, 0, 0),
        0, 0),
    _xlfn.XLOOKUP(G1644, 'Wedgewood Pharm-GA-Yr2-2025'!$E$106:$L$106,
        _xlfn.XLOOKUP('Rate Load'!L1644, 'Wedgewood Pharm-GA-Yr2-2025'!$D$123:$D$152,
            'Wedgewood Pharm-GA-Yr2-2025'!$E$123:$L$152, 0, 0),
        0, 0)
)</f>
        <v>14.58</v>
      </c>
      <c r="K1644" t="s">
        <v>46</v>
      </c>
      <c r="L1644" t="s">
        <v>13</v>
      </c>
      <c r="M1644">
        <v>3</v>
      </c>
      <c r="N1644" t="str">
        <f t="shared" si="25"/>
        <v>INSERT INTO TNL_RATING.dbo.usps_rate_master VALUES ('USPS', '2/13/2025', '2/13/2026', 12659, 'US', 'USPS Ground Advantage', 5, 19, 'L', 14.58, 'Wedgewood_USPS_2025', 'NonCubic','3');</v>
      </c>
    </row>
    <row r="1645" spans="1:14" x14ac:dyDescent="0.3">
      <c r="A1645" t="s">
        <v>11</v>
      </c>
      <c r="B1645" s="1" t="s">
        <v>43</v>
      </c>
      <c r="C1645" s="1" t="s">
        <v>44</v>
      </c>
      <c r="D1645">
        <v>12659</v>
      </c>
      <c r="E1645" t="s">
        <v>12</v>
      </c>
      <c r="F1645" t="s">
        <v>51</v>
      </c>
      <c r="G1645">
        <v>5</v>
      </c>
      <c r="H1645">
        <v>20</v>
      </c>
      <c r="I1645" t="s">
        <v>45</v>
      </c>
      <c r="J1645" cm="1">
        <f t="array" ref="J1645">IFERROR(
    _xlfn.XLOOKUP(G1645, 'Wedgewood Pharm-GA-Yr2-2025'!$E$106:$L$106,
        _xlfn.XLOOKUP('Rate Load'!H1645, 'Wedgewood Pharm-GA-Yr2-2025'!$D$123:$D$152,
            'Wedgewood Pharm-GA-Yr2-2025'!$E$123:$L$152, 0, 0),
        0, 0),
    _xlfn.XLOOKUP(G1645, 'Wedgewood Pharm-GA-Yr2-2025'!$E$106:$L$106,
        _xlfn.XLOOKUP('Rate Load'!L1645, 'Wedgewood Pharm-GA-Yr2-2025'!$D$123:$D$152,
            'Wedgewood Pharm-GA-Yr2-2025'!$E$123:$L$152, 0, 0),
        0, 0)
)</f>
        <v>15</v>
      </c>
      <c r="K1645" t="s">
        <v>46</v>
      </c>
      <c r="L1645" t="s">
        <v>13</v>
      </c>
      <c r="M1645">
        <v>3</v>
      </c>
      <c r="N1645" t="str">
        <f t="shared" si="25"/>
        <v>INSERT INTO TNL_RATING.dbo.usps_rate_master VALUES ('USPS', '2/13/2025', '2/13/2026', 12659, 'US', 'USPS Ground Advantage', 5, 20, 'L', 15, 'Wedgewood_USPS_2025', 'NonCubic','3');</v>
      </c>
    </row>
    <row r="1646" spans="1:14" x14ac:dyDescent="0.3">
      <c r="A1646" t="s">
        <v>11</v>
      </c>
      <c r="B1646" s="1" t="s">
        <v>43</v>
      </c>
      <c r="C1646" s="1" t="s">
        <v>44</v>
      </c>
      <c r="D1646">
        <v>12659</v>
      </c>
      <c r="E1646" t="s">
        <v>12</v>
      </c>
      <c r="F1646" t="s">
        <v>51</v>
      </c>
      <c r="G1646">
        <v>6</v>
      </c>
      <c r="H1646">
        <v>1</v>
      </c>
      <c r="I1646" t="s">
        <v>45</v>
      </c>
      <c r="J1646" cm="1">
        <f t="array" ref="J1646">IFERROR(
    _xlfn.XLOOKUP(G1646, 'Wedgewood Pharm-GA-Yr2-2025'!$E$106:$L$106,
        _xlfn.XLOOKUP('Rate Load'!H1646, 'Wedgewood Pharm-GA-Yr2-2025'!$D$123:$D$152,
            'Wedgewood Pharm-GA-Yr2-2025'!$E$123:$L$152, 0, 0),
        0, 0),
    _xlfn.XLOOKUP(G1646, 'Wedgewood Pharm-GA-Yr2-2025'!$E$106:$L$106,
        _xlfn.XLOOKUP('Rate Load'!L1646, 'Wedgewood Pharm-GA-Yr2-2025'!$D$123:$D$152,
            'Wedgewood Pharm-GA-Yr2-2025'!$E$123:$L$152, 0, 0),
        0, 0)
)</f>
        <v>6.6</v>
      </c>
      <c r="K1646" t="s">
        <v>46</v>
      </c>
      <c r="L1646" t="s">
        <v>13</v>
      </c>
      <c r="M1646">
        <v>3</v>
      </c>
      <c r="N1646" t="str">
        <f t="shared" si="25"/>
        <v>INSERT INTO TNL_RATING.dbo.usps_rate_master VALUES ('USPS', '2/13/2025', '2/13/2026', 12659, 'US', 'USPS Ground Advantage', 6, 1, 'L', 6.6, 'Wedgewood_USPS_2025', 'NonCubic','3');</v>
      </c>
    </row>
    <row r="1647" spans="1:14" x14ac:dyDescent="0.3">
      <c r="A1647" t="s">
        <v>11</v>
      </c>
      <c r="B1647" s="1" t="s">
        <v>43</v>
      </c>
      <c r="C1647" s="1" t="s">
        <v>44</v>
      </c>
      <c r="D1647">
        <v>12659</v>
      </c>
      <c r="E1647" t="s">
        <v>12</v>
      </c>
      <c r="F1647" t="s">
        <v>51</v>
      </c>
      <c r="G1647">
        <v>6</v>
      </c>
      <c r="H1647">
        <v>2</v>
      </c>
      <c r="I1647" t="s">
        <v>45</v>
      </c>
      <c r="J1647" cm="1">
        <f t="array" ref="J1647">IFERROR(
    _xlfn.XLOOKUP(G1647, 'Wedgewood Pharm-GA-Yr2-2025'!$E$106:$L$106,
        _xlfn.XLOOKUP('Rate Load'!H1647, 'Wedgewood Pharm-GA-Yr2-2025'!$D$123:$D$152,
            'Wedgewood Pharm-GA-Yr2-2025'!$E$123:$L$152, 0, 0),
        0, 0),
    _xlfn.XLOOKUP(G1647, 'Wedgewood Pharm-GA-Yr2-2025'!$E$106:$L$106,
        _xlfn.XLOOKUP('Rate Load'!L1647, 'Wedgewood Pharm-GA-Yr2-2025'!$D$123:$D$152,
            'Wedgewood Pharm-GA-Yr2-2025'!$E$123:$L$152, 0, 0),
        0, 0)
)</f>
        <v>7.6099999999999994</v>
      </c>
      <c r="K1647" t="s">
        <v>46</v>
      </c>
      <c r="L1647" t="s">
        <v>13</v>
      </c>
      <c r="M1647">
        <v>3</v>
      </c>
      <c r="N1647" t="str">
        <f t="shared" si="25"/>
        <v>INSERT INTO TNL_RATING.dbo.usps_rate_master VALUES ('USPS', '2/13/2025', '2/13/2026', 12659, 'US', 'USPS Ground Advantage', 6, 2, 'L', 7.61, 'Wedgewood_USPS_2025', 'NonCubic','3');</v>
      </c>
    </row>
    <row r="1648" spans="1:14" x14ac:dyDescent="0.3">
      <c r="A1648" t="s">
        <v>11</v>
      </c>
      <c r="B1648" s="1" t="s">
        <v>43</v>
      </c>
      <c r="C1648" s="1" t="s">
        <v>44</v>
      </c>
      <c r="D1648">
        <v>12659</v>
      </c>
      <c r="E1648" t="s">
        <v>12</v>
      </c>
      <c r="F1648" t="s">
        <v>51</v>
      </c>
      <c r="G1648">
        <v>6</v>
      </c>
      <c r="H1648">
        <v>3</v>
      </c>
      <c r="I1648" t="s">
        <v>45</v>
      </c>
      <c r="J1648" cm="1">
        <f t="array" ref="J1648">IFERROR(
    _xlfn.XLOOKUP(G1648, 'Wedgewood Pharm-GA-Yr2-2025'!$E$106:$L$106,
        _xlfn.XLOOKUP('Rate Load'!H1648, 'Wedgewood Pharm-GA-Yr2-2025'!$D$123:$D$152,
            'Wedgewood Pharm-GA-Yr2-2025'!$E$123:$L$152, 0, 0),
        0, 0),
    _xlfn.XLOOKUP(G1648, 'Wedgewood Pharm-GA-Yr2-2025'!$E$106:$L$106,
        _xlfn.XLOOKUP('Rate Load'!L1648, 'Wedgewood Pharm-GA-Yr2-2025'!$D$123:$D$152,
            'Wedgewood Pharm-GA-Yr2-2025'!$E$123:$L$152, 0, 0),
        0, 0)
)</f>
        <v>8.82</v>
      </c>
      <c r="K1648" t="s">
        <v>46</v>
      </c>
      <c r="L1648" t="s">
        <v>13</v>
      </c>
      <c r="M1648">
        <v>3</v>
      </c>
      <c r="N1648" t="str">
        <f t="shared" si="25"/>
        <v>INSERT INTO TNL_RATING.dbo.usps_rate_master VALUES ('USPS', '2/13/2025', '2/13/2026', 12659, 'US', 'USPS Ground Advantage', 6, 3, 'L', 8.82, 'Wedgewood_USPS_2025', 'NonCubic','3');</v>
      </c>
    </row>
    <row r="1649" spans="1:14" x14ac:dyDescent="0.3">
      <c r="A1649" t="s">
        <v>11</v>
      </c>
      <c r="B1649" s="1" t="s">
        <v>43</v>
      </c>
      <c r="C1649" s="1" t="s">
        <v>44</v>
      </c>
      <c r="D1649">
        <v>12659</v>
      </c>
      <c r="E1649" t="s">
        <v>12</v>
      </c>
      <c r="F1649" t="s">
        <v>51</v>
      </c>
      <c r="G1649">
        <v>6</v>
      </c>
      <c r="H1649">
        <v>4</v>
      </c>
      <c r="I1649" t="s">
        <v>45</v>
      </c>
      <c r="J1649" cm="1">
        <f t="array" ref="J1649">IFERROR(
    _xlfn.XLOOKUP(G1649, 'Wedgewood Pharm-GA-Yr2-2025'!$E$106:$L$106,
        _xlfn.XLOOKUP('Rate Load'!H1649, 'Wedgewood Pharm-GA-Yr2-2025'!$D$123:$D$152,
            'Wedgewood Pharm-GA-Yr2-2025'!$E$123:$L$152, 0, 0),
        0, 0),
    _xlfn.XLOOKUP(G1649, 'Wedgewood Pharm-GA-Yr2-2025'!$E$106:$L$106,
        _xlfn.XLOOKUP('Rate Load'!L1649, 'Wedgewood Pharm-GA-Yr2-2025'!$D$123:$D$152,
            'Wedgewood Pharm-GA-Yr2-2025'!$E$123:$L$152, 0, 0),
        0, 0)
)</f>
        <v>9.33</v>
      </c>
      <c r="K1649" t="s">
        <v>46</v>
      </c>
      <c r="L1649" t="s">
        <v>13</v>
      </c>
      <c r="M1649">
        <v>3</v>
      </c>
      <c r="N1649" t="str">
        <f t="shared" si="25"/>
        <v>INSERT INTO TNL_RATING.dbo.usps_rate_master VALUES ('USPS', '2/13/2025', '2/13/2026', 12659, 'US', 'USPS Ground Advantage', 6, 4, 'L', 9.33, 'Wedgewood_USPS_2025', 'NonCubic','3');</v>
      </c>
    </row>
    <row r="1650" spans="1:14" x14ac:dyDescent="0.3">
      <c r="A1650" t="s">
        <v>11</v>
      </c>
      <c r="B1650" s="1" t="s">
        <v>43</v>
      </c>
      <c r="C1650" s="1" t="s">
        <v>44</v>
      </c>
      <c r="D1650">
        <v>12659</v>
      </c>
      <c r="E1650" t="s">
        <v>12</v>
      </c>
      <c r="F1650" t="s">
        <v>51</v>
      </c>
      <c r="G1650">
        <v>6</v>
      </c>
      <c r="H1650">
        <v>5</v>
      </c>
      <c r="I1650" t="s">
        <v>45</v>
      </c>
      <c r="J1650" cm="1">
        <f t="array" ref="J1650">IFERROR(
    _xlfn.XLOOKUP(G1650, 'Wedgewood Pharm-GA-Yr2-2025'!$E$106:$L$106,
        _xlfn.XLOOKUP('Rate Load'!H1650, 'Wedgewood Pharm-GA-Yr2-2025'!$D$123:$D$152,
            'Wedgewood Pharm-GA-Yr2-2025'!$E$123:$L$152, 0, 0),
        0, 0),
    _xlfn.XLOOKUP(G1650, 'Wedgewood Pharm-GA-Yr2-2025'!$E$106:$L$106,
        _xlfn.XLOOKUP('Rate Load'!L1650, 'Wedgewood Pharm-GA-Yr2-2025'!$D$123:$D$152,
            'Wedgewood Pharm-GA-Yr2-2025'!$E$123:$L$152, 0, 0),
        0, 0)
)</f>
        <v>9.89</v>
      </c>
      <c r="K1650" t="s">
        <v>46</v>
      </c>
      <c r="L1650" t="s">
        <v>13</v>
      </c>
      <c r="M1650">
        <v>3</v>
      </c>
      <c r="N1650" t="str">
        <f t="shared" si="25"/>
        <v>INSERT INTO TNL_RATING.dbo.usps_rate_master VALUES ('USPS', '2/13/2025', '2/13/2026', 12659, 'US', 'USPS Ground Advantage', 6, 5, 'L', 9.89, 'Wedgewood_USPS_2025', 'NonCubic','3');</v>
      </c>
    </row>
    <row r="1651" spans="1:14" x14ac:dyDescent="0.3">
      <c r="A1651" t="s">
        <v>11</v>
      </c>
      <c r="B1651" s="1" t="s">
        <v>43</v>
      </c>
      <c r="C1651" s="1" t="s">
        <v>44</v>
      </c>
      <c r="D1651">
        <v>12659</v>
      </c>
      <c r="E1651" t="s">
        <v>12</v>
      </c>
      <c r="F1651" t="s">
        <v>51</v>
      </c>
      <c r="G1651">
        <v>6</v>
      </c>
      <c r="H1651">
        <v>6</v>
      </c>
      <c r="I1651" t="s">
        <v>45</v>
      </c>
      <c r="J1651" cm="1">
        <f t="array" ref="J1651">IFERROR(
    _xlfn.XLOOKUP(G1651, 'Wedgewood Pharm-GA-Yr2-2025'!$E$106:$L$106,
        _xlfn.XLOOKUP('Rate Load'!H1651, 'Wedgewood Pharm-GA-Yr2-2025'!$D$123:$D$152,
            'Wedgewood Pharm-GA-Yr2-2025'!$E$123:$L$152, 0, 0),
        0, 0),
    _xlfn.XLOOKUP(G1651, 'Wedgewood Pharm-GA-Yr2-2025'!$E$106:$L$106,
        _xlfn.XLOOKUP('Rate Load'!L1651, 'Wedgewood Pharm-GA-Yr2-2025'!$D$123:$D$152,
            'Wedgewood Pharm-GA-Yr2-2025'!$E$123:$L$152, 0, 0),
        0, 0)
)</f>
        <v>10.15</v>
      </c>
      <c r="K1651" t="s">
        <v>46</v>
      </c>
      <c r="L1651" t="s">
        <v>13</v>
      </c>
      <c r="M1651">
        <v>3</v>
      </c>
      <c r="N1651" t="str">
        <f t="shared" si="25"/>
        <v>INSERT INTO TNL_RATING.dbo.usps_rate_master VALUES ('USPS', '2/13/2025', '2/13/2026', 12659, 'US', 'USPS Ground Advantage', 6, 6, 'L', 10.15, 'Wedgewood_USPS_2025', 'NonCubic','3');</v>
      </c>
    </row>
    <row r="1652" spans="1:14" x14ac:dyDescent="0.3">
      <c r="A1652" t="s">
        <v>11</v>
      </c>
      <c r="B1652" s="1" t="s">
        <v>43</v>
      </c>
      <c r="C1652" s="1" t="s">
        <v>44</v>
      </c>
      <c r="D1652">
        <v>12659</v>
      </c>
      <c r="E1652" t="s">
        <v>12</v>
      </c>
      <c r="F1652" t="s">
        <v>51</v>
      </c>
      <c r="G1652">
        <v>6</v>
      </c>
      <c r="H1652">
        <v>7</v>
      </c>
      <c r="I1652" t="s">
        <v>45</v>
      </c>
      <c r="J1652" cm="1">
        <f t="array" ref="J1652">IFERROR(
    _xlfn.XLOOKUP(G1652, 'Wedgewood Pharm-GA-Yr2-2025'!$E$106:$L$106,
        _xlfn.XLOOKUP('Rate Load'!H1652, 'Wedgewood Pharm-GA-Yr2-2025'!$D$123:$D$152,
            'Wedgewood Pharm-GA-Yr2-2025'!$E$123:$L$152, 0, 0),
        0, 0),
    _xlfn.XLOOKUP(G1652, 'Wedgewood Pharm-GA-Yr2-2025'!$E$106:$L$106,
        _xlfn.XLOOKUP('Rate Load'!L1652, 'Wedgewood Pharm-GA-Yr2-2025'!$D$123:$D$152,
            'Wedgewood Pharm-GA-Yr2-2025'!$E$123:$L$152, 0, 0),
        0, 0)
)</f>
        <v>10.45</v>
      </c>
      <c r="K1652" t="s">
        <v>46</v>
      </c>
      <c r="L1652" t="s">
        <v>13</v>
      </c>
      <c r="M1652">
        <v>3</v>
      </c>
      <c r="N1652" t="str">
        <f t="shared" si="25"/>
        <v>INSERT INTO TNL_RATING.dbo.usps_rate_master VALUES ('USPS', '2/13/2025', '2/13/2026', 12659, 'US', 'USPS Ground Advantage', 6, 7, 'L', 10.45, 'Wedgewood_USPS_2025', 'NonCubic','3');</v>
      </c>
    </row>
    <row r="1653" spans="1:14" x14ac:dyDescent="0.3">
      <c r="A1653" t="s">
        <v>11</v>
      </c>
      <c r="B1653" s="1" t="s">
        <v>43</v>
      </c>
      <c r="C1653" s="1" t="s">
        <v>44</v>
      </c>
      <c r="D1653">
        <v>12659</v>
      </c>
      <c r="E1653" t="s">
        <v>12</v>
      </c>
      <c r="F1653" t="s">
        <v>51</v>
      </c>
      <c r="G1653">
        <v>6</v>
      </c>
      <c r="H1653">
        <v>8</v>
      </c>
      <c r="I1653" t="s">
        <v>45</v>
      </c>
      <c r="J1653" cm="1">
        <f t="array" ref="J1653">IFERROR(
    _xlfn.XLOOKUP(G1653, 'Wedgewood Pharm-GA-Yr2-2025'!$E$106:$L$106,
        _xlfn.XLOOKUP('Rate Load'!H1653, 'Wedgewood Pharm-GA-Yr2-2025'!$D$123:$D$152,
            'Wedgewood Pharm-GA-Yr2-2025'!$E$123:$L$152, 0, 0),
        0, 0),
    _xlfn.XLOOKUP(G1653, 'Wedgewood Pharm-GA-Yr2-2025'!$E$106:$L$106,
        _xlfn.XLOOKUP('Rate Load'!L1653, 'Wedgewood Pharm-GA-Yr2-2025'!$D$123:$D$152,
            'Wedgewood Pharm-GA-Yr2-2025'!$E$123:$L$152, 0, 0),
        0, 0)
)</f>
        <v>10.81</v>
      </c>
      <c r="K1653" t="s">
        <v>46</v>
      </c>
      <c r="L1653" t="s">
        <v>13</v>
      </c>
      <c r="M1653">
        <v>3</v>
      </c>
      <c r="N1653" t="str">
        <f t="shared" si="25"/>
        <v>INSERT INTO TNL_RATING.dbo.usps_rate_master VALUES ('USPS', '2/13/2025', '2/13/2026', 12659, 'US', 'USPS Ground Advantage', 6, 8, 'L', 10.81, 'Wedgewood_USPS_2025', 'NonCubic','3');</v>
      </c>
    </row>
    <row r="1654" spans="1:14" x14ac:dyDescent="0.3">
      <c r="A1654" t="s">
        <v>11</v>
      </c>
      <c r="B1654" s="1" t="s">
        <v>43</v>
      </c>
      <c r="C1654" s="1" t="s">
        <v>44</v>
      </c>
      <c r="D1654">
        <v>12659</v>
      </c>
      <c r="E1654" t="s">
        <v>12</v>
      </c>
      <c r="F1654" t="s">
        <v>51</v>
      </c>
      <c r="G1654">
        <v>6</v>
      </c>
      <c r="H1654">
        <v>9</v>
      </c>
      <c r="I1654" t="s">
        <v>45</v>
      </c>
      <c r="J1654" cm="1">
        <f t="array" ref="J1654">IFERROR(
    _xlfn.XLOOKUP(G1654, 'Wedgewood Pharm-GA-Yr2-2025'!$E$106:$L$106,
        _xlfn.XLOOKUP('Rate Load'!H1654, 'Wedgewood Pharm-GA-Yr2-2025'!$D$123:$D$152,
            'Wedgewood Pharm-GA-Yr2-2025'!$E$123:$L$152, 0, 0),
        0, 0),
    _xlfn.XLOOKUP(G1654, 'Wedgewood Pharm-GA-Yr2-2025'!$E$106:$L$106,
        _xlfn.XLOOKUP('Rate Load'!L1654, 'Wedgewood Pharm-GA-Yr2-2025'!$D$123:$D$152,
            'Wedgewood Pharm-GA-Yr2-2025'!$E$123:$L$152, 0, 0),
        0, 0)
)</f>
        <v>11.08</v>
      </c>
      <c r="K1654" t="s">
        <v>46</v>
      </c>
      <c r="L1654" t="s">
        <v>13</v>
      </c>
      <c r="M1654">
        <v>3</v>
      </c>
      <c r="N1654" t="str">
        <f t="shared" si="25"/>
        <v>INSERT INTO TNL_RATING.dbo.usps_rate_master VALUES ('USPS', '2/13/2025', '2/13/2026', 12659, 'US', 'USPS Ground Advantage', 6, 9, 'L', 11.08, 'Wedgewood_USPS_2025', 'NonCubic','3');</v>
      </c>
    </row>
    <row r="1655" spans="1:14" x14ac:dyDescent="0.3">
      <c r="A1655" t="s">
        <v>11</v>
      </c>
      <c r="B1655" s="1" t="s">
        <v>43</v>
      </c>
      <c r="C1655" s="1" t="s">
        <v>44</v>
      </c>
      <c r="D1655">
        <v>12659</v>
      </c>
      <c r="E1655" t="s">
        <v>12</v>
      </c>
      <c r="F1655" t="s">
        <v>51</v>
      </c>
      <c r="G1655">
        <v>6</v>
      </c>
      <c r="H1655">
        <v>10</v>
      </c>
      <c r="I1655" t="s">
        <v>45</v>
      </c>
      <c r="J1655" cm="1">
        <f t="array" ref="J1655">IFERROR(
    _xlfn.XLOOKUP(G1655, 'Wedgewood Pharm-GA-Yr2-2025'!$E$106:$L$106,
        _xlfn.XLOOKUP('Rate Load'!H1655, 'Wedgewood Pharm-GA-Yr2-2025'!$D$123:$D$152,
            'Wedgewood Pharm-GA-Yr2-2025'!$E$123:$L$152, 0, 0),
        0, 0),
    _xlfn.XLOOKUP(G1655, 'Wedgewood Pharm-GA-Yr2-2025'!$E$106:$L$106,
        _xlfn.XLOOKUP('Rate Load'!L1655, 'Wedgewood Pharm-GA-Yr2-2025'!$D$123:$D$152,
            'Wedgewood Pharm-GA-Yr2-2025'!$E$123:$L$152, 0, 0),
        0, 0)
)</f>
        <v>11.37</v>
      </c>
      <c r="K1655" t="s">
        <v>46</v>
      </c>
      <c r="L1655" t="s">
        <v>13</v>
      </c>
      <c r="M1655">
        <v>3</v>
      </c>
      <c r="N1655" t="str">
        <f t="shared" si="25"/>
        <v>INSERT INTO TNL_RATING.dbo.usps_rate_master VALUES ('USPS', '2/13/2025', '2/13/2026', 12659, 'US', 'USPS Ground Advantage', 6, 10, 'L', 11.37, 'Wedgewood_USPS_2025', 'NonCubic','3');</v>
      </c>
    </row>
    <row r="1656" spans="1:14" x14ac:dyDescent="0.3">
      <c r="A1656" t="s">
        <v>11</v>
      </c>
      <c r="B1656" s="1" t="s">
        <v>43</v>
      </c>
      <c r="C1656" s="1" t="s">
        <v>44</v>
      </c>
      <c r="D1656">
        <v>12659</v>
      </c>
      <c r="E1656" t="s">
        <v>12</v>
      </c>
      <c r="F1656" t="s">
        <v>51</v>
      </c>
      <c r="G1656">
        <v>6</v>
      </c>
      <c r="H1656">
        <v>11</v>
      </c>
      <c r="I1656" t="s">
        <v>45</v>
      </c>
      <c r="J1656" cm="1">
        <f t="array" ref="J1656">IFERROR(
    _xlfn.XLOOKUP(G1656, 'Wedgewood Pharm-GA-Yr2-2025'!$E$106:$L$106,
        _xlfn.XLOOKUP('Rate Load'!H1656, 'Wedgewood Pharm-GA-Yr2-2025'!$D$123:$D$152,
            'Wedgewood Pharm-GA-Yr2-2025'!$E$123:$L$152, 0, 0),
        0, 0),
    _xlfn.XLOOKUP(G1656, 'Wedgewood Pharm-GA-Yr2-2025'!$E$106:$L$106,
        _xlfn.XLOOKUP('Rate Load'!L1656, 'Wedgewood Pharm-GA-Yr2-2025'!$D$123:$D$152,
            'Wedgewood Pharm-GA-Yr2-2025'!$E$123:$L$152, 0, 0),
        0, 0)
)</f>
        <v>11.77</v>
      </c>
      <c r="K1656" t="s">
        <v>46</v>
      </c>
      <c r="L1656" t="s">
        <v>13</v>
      </c>
      <c r="M1656">
        <v>3</v>
      </c>
      <c r="N1656" t="str">
        <f t="shared" si="25"/>
        <v>INSERT INTO TNL_RATING.dbo.usps_rate_master VALUES ('USPS', '2/13/2025', '2/13/2026', 12659, 'US', 'USPS Ground Advantage', 6, 11, 'L', 11.77, 'Wedgewood_USPS_2025', 'NonCubic','3');</v>
      </c>
    </row>
    <row r="1657" spans="1:14" x14ac:dyDescent="0.3">
      <c r="A1657" t="s">
        <v>11</v>
      </c>
      <c r="B1657" s="1" t="s">
        <v>43</v>
      </c>
      <c r="C1657" s="1" t="s">
        <v>44</v>
      </c>
      <c r="D1657">
        <v>12659</v>
      </c>
      <c r="E1657" t="s">
        <v>12</v>
      </c>
      <c r="F1657" t="s">
        <v>51</v>
      </c>
      <c r="G1657">
        <v>6</v>
      </c>
      <c r="H1657">
        <v>12</v>
      </c>
      <c r="I1657" t="s">
        <v>45</v>
      </c>
      <c r="J1657" cm="1">
        <f t="array" ref="J1657">IFERROR(
    _xlfn.XLOOKUP(G1657, 'Wedgewood Pharm-GA-Yr2-2025'!$E$106:$L$106,
        _xlfn.XLOOKUP('Rate Load'!H1657, 'Wedgewood Pharm-GA-Yr2-2025'!$D$123:$D$152,
            'Wedgewood Pharm-GA-Yr2-2025'!$E$123:$L$152, 0, 0),
        0, 0),
    _xlfn.XLOOKUP(G1657, 'Wedgewood Pharm-GA-Yr2-2025'!$E$106:$L$106,
        _xlfn.XLOOKUP('Rate Load'!L1657, 'Wedgewood Pharm-GA-Yr2-2025'!$D$123:$D$152,
            'Wedgewood Pharm-GA-Yr2-2025'!$E$123:$L$152, 0, 0),
        0, 0)
)</f>
        <v>12.28</v>
      </c>
      <c r="K1657" t="s">
        <v>46</v>
      </c>
      <c r="L1657" t="s">
        <v>13</v>
      </c>
      <c r="M1657">
        <v>3</v>
      </c>
      <c r="N1657" t="str">
        <f t="shared" si="25"/>
        <v>INSERT INTO TNL_RATING.dbo.usps_rate_master VALUES ('USPS', '2/13/2025', '2/13/2026', 12659, 'US', 'USPS Ground Advantage', 6, 12, 'L', 12.28, 'Wedgewood_USPS_2025', 'NonCubic','3');</v>
      </c>
    </row>
    <row r="1658" spans="1:14" x14ac:dyDescent="0.3">
      <c r="A1658" t="s">
        <v>11</v>
      </c>
      <c r="B1658" s="1" t="s">
        <v>43</v>
      </c>
      <c r="C1658" s="1" t="s">
        <v>44</v>
      </c>
      <c r="D1658">
        <v>12659</v>
      </c>
      <c r="E1658" t="s">
        <v>12</v>
      </c>
      <c r="F1658" t="s">
        <v>51</v>
      </c>
      <c r="G1658">
        <v>6</v>
      </c>
      <c r="H1658">
        <v>13</v>
      </c>
      <c r="I1658" t="s">
        <v>45</v>
      </c>
      <c r="J1658" cm="1">
        <f t="array" ref="J1658">IFERROR(
    _xlfn.XLOOKUP(G1658, 'Wedgewood Pharm-GA-Yr2-2025'!$E$106:$L$106,
        _xlfn.XLOOKUP('Rate Load'!H1658, 'Wedgewood Pharm-GA-Yr2-2025'!$D$123:$D$152,
            'Wedgewood Pharm-GA-Yr2-2025'!$E$123:$L$152, 0, 0),
        0, 0),
    _xlfn.XLOOKUP(G1658, 'Wedgewood Pharm-GA-Yr2-2025'!$E$106:$L$106,
        _xlfn.XLOOKUP('Rate Load'!L1658, 'Wedgewood Pharm-GA-Yr2-2025'!$D$123:$D$152,
            'Wedgewood Pharm-GA-Yr2-2025'!$E$123:$L$152, 0, 0),
        0, 0)
)</f>
        <v>12.77</v>
      </c>
      <c r="K1658" t="s">
        <v>46</v>
      </c>
      <c r="L1658" t="s">
        <v>13</v>
      </c>
      <c r="M1658">
        <v>3</v>
      </c>
      <c r="N1658" t="str">
        <f t="shared" si="25"/>
        <v>INSERT INTO TNL_RATING.dbo.usps_rate_master VALUES ('USPS', '2/13/2025', '2/13/2026', 12659, 'US', 'USPS Ground Advantage', 6, 13, 'L', 12.77, 'Wedgewood_USPS_2025', 'NonCubic','3');</v>
      </c>
    </row>
    <row r="1659" spans="1:14" x14ac:dyDescent="0.3">
      <c r="A1659" t="s">
        <v>11</v>
      </c>
      <c r="B1659" s="1" t="s">
        <v>43</v>
      </c>
      <c r="C1659" s="1" t="s">
        <v>44</v>
      </c>
      <c r="D1659">
        <v>12659</v>
      </c>
      <c r="E1659" t="s">
        <v>12</v>
      </c>
      <c r="F1659" t="s">
        <v>51</v>
      </c>
      <c r="G1659">
        <v>6</v>
      </c>
      <c r="H1659">
        <v>14</v>
      </c>
      <c r="I1659" t="s">
        <v>45</v>
      </c>
      <c r="J1659" cm="1">
        <f t="array" ref="J1659">IFERROR(
    _xlfn.XLOOKUP(G1659, 'Wedgewood Pharm-GA-Yr2-2025'!$E$106:$L$106,
        _xlfn.XLOOKUP('Rate Load'!H1659, 'Wedgewood Pharm-GA-Yr2-2025'!$D$123:$D$152,
            'Wedgewood Pharm-GA-Yr2-2025'!$E$123:$L$152, 0, 0),
        0, 0),
    _xlfn.XLOOKUP(G1659, 'Wedgewood Pharm-GA-Yr2-2025'!$E$106:$L$106,
        _xlfn.XLOOKUP('Rate Load'!L1659, 'Wedgewood Pharm-GA-Yr2-2025'!$D$123:$D$152,
            'Wedgewood Pharm-GA-Yr2-2025'!$E$123:$L$152, 0, 0),
        0, 0)
)</f>
        <v>13.5</v>
      </c>
      <c r="K1659" t="s">
        <v>46</v>
      </c>
      <c r="L1659" t="s">
        <v>13</v>
      </c>
      <c r="M1659">
        <v>3</v>
      </c>
      <c r="N1659" t="str">
        <f t="shared" si="25"/>
        <v>INSERT INTO TNL_RATING.dbo.usps_rate_master VALUES ('USPS', '2/13/2025', '2/13/2026', 12659, 'US', 'USPS Ground Advantage', 6, 14, 'L', 13.5, 'Wedgewood_USPS_2025', 'NonCubic','3');</v>
      </c>
    </row>
    <row r="1660" spans="1:14" x14ac:dyDescent="0.3">
      <c r="A1660" t="s">
        <v>11</v>
      </c>
      <c r="B1660" s="1" t="s">
        <v>43</v>
      </c>
      <c r="C1660" s="1" t="s">
        <v>44</v>
      </c>
      <c r="D1660">
        <v>12659</v>
      </c>
      <c r="E1660" t="s">
        <v>12</v>
      </c>
      <c r="F1660" t="s">
        <v>51</v>
      </c>
      <c r="G1660">
        <v>6</v>
      </c>
      <c r="H1660">
        <v>15</v>
      </c>
      <c r="I1660" t="s">
        <v>45</v>
      </c>
      <c r="J1660" cm="1">
        <f t="array" ref="J1660">IFERROR(
    _xlfn.XLOOKUP(G1660, 'Wedgewood Pharm-GA-Yr2-2025'!$E$106:$L$106,
        _xlfn.XLOOKUP('Rate Load'!H1660, 'Wedgewood Pharm-GA-Yr2-2025'!$D$123:$D$152,
            'Wedgewood Pharm-GA-Yr2-2025'!$E$123:$L$152, 0, 0),
        0, 0),
    _xlfn.XLOOKUP(G1660, 'Wedgewood Pharm-GA-Yr2-2025'!$E$106:$L$106,
        _xlfn.XLOOKUP('Rate Load'!L1660, 'Wedgewood Pharm-GA-Yr2-2025'!$D$123:$D$152,
            'Wedgewood Pharm-GA-Yr2-2025'!$E$123:$L$152, 0, 0),
        0, 0)
)</f>
        <v>14.24</v>
      </c>
      <c r="K1660" t="s">
        <v>46</v>
      </c>
      <c r="L1660" t="s">
        <v>13</v>
      </c>
      <c r="M1660">
        <v>3</v>
      </c>
      <c r="N1660" t="str">
        <f t="shared" si="25"/>
        <v>INSERT INTO TNL_RATING.dbo.usps_rate_master VALUES ('USPS', '2/13/2025', '2/13/2026', 12659, 'US', 'USPS Ground Advantage', 6, 15, 'L', 14.24, 'Wedgewood_USPS_2025', 'NonCubic','3');</v>
      </c>
    </row>
    <row r="1661" spans="1:14" x14ac:dyDescent="0.3">
      <c r="A1661" t="s">
        <v>11</v>
      </c>
      <c r="B1661" s="1" t="s">
        <v>43</v>
      </c>
      <c r="C1661" s="1" t="s">
        <v>44</v>
      </c>
      <c r="D1661">
        <v>12659</v>
      </c>
      <c r="E1661" t="s">
        <v>12</v>
      </c>
      <c r="F1661" t="s">
        <v>51</v>
      </c>
      <c r="G1661">
        <v>6</v>
      </c>
      <c r="H1661">
        <v>16</v>
      </c>
      <c r="I1661" t="s">
        <v>45</v>
      </c>
      <c r="J1661" cm="1">
        <f t="array" ref="J1661">IFERROR(
    _xlfn.XLOOKUP(G1661, 'Wedgewood Pharm-GA-Yr2-2025'!$E$106:$L$106,
        _xlfn.XLOOKUP('Rate Load'!H1661, 'Wedgewood Pharm-GA-Yr2-2025'!$D$123:$D$152,
            'Wedgewood Pharm-GA-Yr2-2025'!$E$123:$L$152, 0, 0),
        0, 0),
    _xlfn.XLOOKUP(G1661, 'Wedgewood Pharm-GA-Yr2-2025'!$E$106:$L$106,
        _xlfn.XLOOKUP('Rate Load'!L1661, 'Wedgewood Pharm-GA-Yr2-2025'!$D$123:$D$152,
            'Wedgewood Pharm-GA-Yr2-2025'!$E$123:$L$152, 0, 0),
        0, 0)
)</f>
        <v>14.78</v>
      </c>
      <c r="K1661" t="s">
        <v>46</v>
      </c>
      <c r="L1661" t="s">
        <v>13</v>
      </c>
      <c r="M1661">
        <v>3</v>
      </c>
      <c r="N1661" t="str">
        <f t="shared" si="25"/>
        <v>INSERT INTO TNL_RATING.dbo.usps_rate_master VALUES ('USPS', '2/13/2025', '2/13/2026', 12659, 'US', 'USPS Ground Advantage', 6, 16, 'L', 14.78, 'Wedgewood_USPS_2025', 'NonCubic','3');</v>
      </c>
    </row>
    <row r="1662" spans="1:14" x14ac:dyDescent="0.3">
      <c r="A1662" t="s">
        <v>11</v>
      </c>
      <c r="B1662" s="1" t="s">
        <v>43</v>
      </c>
      <c r="C1662" s="1" t="s">
        <v>44</v>
      </c>
      <c r="D1662">
        <v>12659</v>
      </c>
      <c r="E1662" t="s">
        <v>12</v>
      </c>
      <c r="F1662" t="s">
        <v>51</v>
      </c>
      <c r="G1662">
        <v>6</v>
      </c>
      <c r="H1662">
        <v>17</v>
      </c>
      <c r="I1662" t="s">
        <v>45</v>
      </c>
      <c r="J1662" cm="1">
        <f t="array" ref="J1662">IFERROR(
    _xlfn.XLOOKUP(G1662, 'Wedgewood Pharm-GA-Yr2-2025'!$E$106:$L$106,
        _xlfn.XLOOKUP('Rate Load'!H1662, 'Wedgewood Pharm-GA-Yr2-2025'!$D$123:$D$152,
            'Wedgewood Pharm-GA-Yr2-2025'!$E$123:$L$152, 0, 0),
        0, 0),
    _xlfn.XLOOKUP(G1662, 'Wedgewood Pharm-GA-Yr2-2025'!$E$106:$L$106,
        _xlfn.XLOOKUP('Rate Load'!L1662, 'Wedgewood Pharm-GA-Yr2-2025'!$D$123:$D$152,
            'Wedgewood Pharm-GA-Yr2-2025'!$E$123:$L$152, 0, 0),
        0, 0)
)</f>
        <v>15.44</v>
      </c>
      <c r="K1662" t="s">
        <v>46</v>
      </c>
      <c r="L1662" t="s">
        <v>13</v>
      </c>
      <c r="M1662">
        <v>3</v>
      </c>
      <c r="N1662" t="str">
        <f t="shared" si="25"/>
        <v>INSERT INTO TNL_RATING.dbo.usps_rate_master VALUES ('USPS', '2/13/2025', '2/13/2026', 12659, 'US', 'USPS Ground Advantage', 6, 17, 'L', 15.44, 'Wedgewood_USPS_2025', 'NonCubic','3');</v>
      </c>
    </row>
    <row r="1663" spans="1:14" x14ac:dyDescent="0.3">
      <c r="A1663" t="s">
        <v>11</v>
      </c>
      <c r="B1663" s="1" t="s">
        <v>43</v>
      </c>
      <c r="C1663" s="1" t="s">
        <v>44</v>
      </c>
      <c r="D1663">
        <v>12659</v>
      </c>
      <c r="E1663" t="s">
        <v>12</v>
      </c>
      <c r="F1663" t="s">
        <v>51</v>
      </c>
      <c r="G1663">
        <v>6</v>
      </c>
      <c r="H1663">
        <v>18</v>
      </c>
      <c r="I1663" t="s">
        <v>45</v>
      </c>
      <c r="J1663" cm="1">
        <f t="array" ref="J1663">IFERROR(
    _xlfn.XLOOKUP(G1663, 'Wedgewood Pharm-GA-Yr2-2025'!$E$106:$L$106,
        _xlfn.XLOOKUP('Rate Load'!H1663, 'Wedgewood Pharm-GA-Yr2-2025'!$D$123:$D$152,
            'Wedgewood Pharm-GA-Yr2-2025'!$E$123:$L$152, 0, 0),
        0, 0),
    _xlfn.XLOOKUP(G1663, 'Wedgewood Pharm-GA-Yr2-2025'!$E$106:$L$106,
        _xlfn.XLOOKUP('Rate Load'!L1663, 'Wedgewood Pharm-GA-Yr2-2025'!$D$123:$D$152,
            'Wedgewood Pharm-GA-Yr2-2025'!$E$123:$L$152, 0, 0),
        0, 0)
)</f>
        <v>16.110000000000003</v>
      </c>
      <c r="K1663" t="s">
        <v>46</v>
      </c>
      <c r="L1663" t="s">
        <v>13</v>
      </c>
      <c r="M1663">
        <v>3</v>
      </c>
      <c r="N1663" t="str">
        <f t="shared" si="25"/>
        <v>INSERT INTO TNL_RATING.dbo.usps_rate_master VALUES ('USPS', '2/13/2025', '2/13/2026', 12659, 'US', 'USPS Ground Advantage', 6, 18, 'L', 16.11, 'Wedgewood_USPS_2025', 'NonCubic','3');</v>
      </c>
    </row>
    <row r="1664" spans="1:14" x14ac:dyDescent="0.3">
      <c r="A1664" t="s">
        <v>11</v>
      </c>
      <c r="B1664" s="1" t="s">
        <v>43</v>
      </c>
      <c r="C1664" s="1" t="s">
        <v>44</v>
      </c>
      <c r="D1664">
        <v>12659</v>
      </c>
      <c r="E1664" t="s">
        <v>12</v>
      </c>
      <c r="F1664" t="s">
        <v>51</v>
      </c>
      <c r="G1664">
        <v>6</v>
      </c>
      <c r="H1664">
        <v>19</v>
      </c>
      <c r="I1664" t="s">
        <v>45</v>
      </c>
      <c r="J1664" cm="1">
        <f t="array" ref="J1664">IFERROR(
    _xlfn.XLOOKUP(G1664, 'Wedgewood Pharm-GA-Yr2-2025'!$E$106:$L$106,
        _xlfn.XLOOKUP('Rate Load'!H1664, 'Wedgewood Pharm-GA-Yr2-2025'!$D$123:$D$152,
            'Wedgewood Pharm-GA-Yr2-2025'!$E$123:$L$152, 0, 0),
        0, 0),
    _xlfn.XLOOKUP(G1664, 'Wedgewood Pharm-GA-Yr2-2025'!$E$106:$L$106,
        _xlfn.XLOOKUP('Rate Load'!L1664, 'Wedgewood Pharm-GA-Yr2-2025'!$D$123:$D$152,
            'Wedgewood Pharm-GA-Yr2-2025'!$E$123:$L$152, 0, 0),
        0, 0)
)</f>
        <v>16.66</v>
      </c>
      <c r="K1664" t="s">
        <v>46</v>
      </c>
      <c r="L1664" t="s">
        <v>13</v>
      </c>
      <c r="M1664">
        <v>3</v>
      </c>
      <c r="N1664" t="str">
        <f t="shared" si="25"/>
        <v>INSERT INTO TNL_RATING.dbo.usps_rate_master VALUES ('USPS', '2/13/2025', '2/13/2026', 12659, 'US', 'USPS Ground Advantage', 6, 19, 'L', 16.66, 'Wedgewood_USPS_2025', 'NonCubic','3');</v>
      </c>
    </row>
    <row r="1665" spans="1:14" x14ac:dyDescent="0.3">
      <c r="A1665" t="s">
        <v>11</v>
      </c>
      <c r="B1665" s="1" t="s">
        <v>43</v>
      </c>
      <c r="C1665" s="1" t="s">
        <v>44</v>
      </c>
      <c r="D1665">
        <v>12659</v>
      </c>
      <c r="E1665" t="s">
        <v>12</v>
      </c>
      <c r="F1665" t="s">
        <v>51</v>
      </c>
      <c r="G1665">
        <v>6</v>
      </c>
      <c r="H1665">
        <v>20</v>
      </c>
      <c r="I1665" t="s">
        <v>45</v>
      </c>
      <c r="J1665" cm="1">
        <f t="array" ref="J1665">IFERROR(
    _xlfn.XLOOKUP(G1665, 'Wedgewood Pharm-GA-Yr2-2025'!$E$106:$L$106,
        _xlfn.XLOOKUP('Rate Load'!H1665, 'Wedgewood Pharm-GA-Yr2-2025'!$D$123:$D$152,
            'Wedgewood Pharm-GA-Yr2-2025'!$E$123:$L$152, 0, 0),
        0, 0),
    _xlfn.XLOOKUP(G1665, 'Wedgewood Pharm-GA-Yr2-2025'!$E$106:$L$106,
        _xlfn.XLOOKUP('Rate Load'!L1665, 'Wedgewood Pharm-GA-Yr2-2025'!$D$123:$D$152,
            'Wedgewood Pharm-GA-Yr2-2025'!$E$123:$L$152, 0, 0),
        0, 0)
)</f>
        <v>17.270000000000003</v>
      </c>
      <c r="K1665" t="s">
        <v>46</v>
      </c>
      <c r="L1665" t="s">
        <v>13</v>
      </c>
      <c r="M1665">
        <v>3</v>
      </c>
      <c r="N1665" t="str">
        <f t="shared" si="25"/>
        <v>INSERT INTO TNL_RATING.dbo.usps_rate_master VALUES ('USPS', '2/13/2025', '2/13/2026', 12659, 'US', 'USPS Ground Advantage', 6, 20, 'L', 17.27, 'Wedgewood_USPS_2025', 'NonCubic','3');</v>
      </c>
    </row>
    <row r="1666" spans="1:14" x14ac:dyDescent="0.3">
      <c r="A1666" t="s">
        <v>11</v>
      </c>
      <c r="B1666" s="1" t="s">
        <v>43</v>
      </c>
      <c r="C1666" s="1" t="s">
        <v>44</v>
      </c>
      <c r="D1666">
        <v>12659</v>
      </c>
      <c r="E1666" t="s">
        <v>12</v>
      </c>
      <c r="F1666" t="s">
        <v>51</v>
      </c>
      <c r="G1666">
        <v>7</v>
      </c>
      <c r="H1666">
        <v>1</v>
      </c>
      <c r="I1666" t="s">
        <v>45</v>
      </c>
      <c r="J1666" cm="1">
        <f t="array" ref="J1666">IFERROR(
    _xlfn.XLOOKUP(G1666, 'Wedgewood Pharm-GA-Yr2-2025'!$E$106:$L$106,
        _xlfn.XLOOKUP('Rate Load'!H1666, 'Wedgewood Pharm-GA-Yr2-2025'!$D$123:$D$152,
            'Wedgewood Pharm-GA-Yr2-2025'!$E$123:$L$152, 0, 0),
        0, 0),
    _xlfn.XLOOKUP(G1666, 'Wedgewood Pharm-GA-Yr2-2025'!$E$106:$L$106,
        _xlfn.XLOOKUP('Rate Load'!L1666, 'Wedgewood Pharm-GA-Yr2-2025'!$D$123:$D$152,
            'Wedgewood Pharm-GA-Yr2-2025'!$E$123:$L$152, 0, 0),
        0, 0)
)</f>
        <v>6.96</v>
      </c>
      <c r="K1666" t="s">
        <v>46</v>
      </c>
      <c r="L1666" t="s">
        <v>13</v>
      </c>
      <c r="M1666">
        <v>3</v>
      </c>
      <c r="N1666" t="str">
        <f t="shared" si="25"/>
        <v>INSERT INTO TNL_RATING.dbo.usps_rate_master VALUES ('USPS', '2/13/2025', '2/13/2026', 12659, 'US', 'USPS Ground Advantage', 7, 1, 'L', 6.96, 'Wedgewood_USPS_2025', 'NonCubic','3');</v>
      </c>
    </row>
    <row r="1667" spans="1:14" x14ac:dyDescent="0.3">
      <c r="A1667" t="s">
        <v>11</v>
      </c>
      <c r="B1667" s="1" t="s">
        <v>43</v>
      </c>
      <c r="C1667" s="1" t="s">
        <v>44</v>
      </c>
      <c r="D1667">
        <v>12659</v>
      </c>
      <c r="E1667" t="s">
        <v>12</v>
      </c>
      <c r="F1667" t="s">
        <v>51</v>
      </c>
      <c r="G1667">
        <v>7</v>
      </c>
      <c r="H1667">
        <v>2</v>
      </c>
      <c r="I1667" t="s">
        <v>45</v>
      </c>
      <c r="J1667" cm="1">
        <f t="array" ref="J1667">IFERROR(
    _xlfn.XLOOKUP(G1667, 'Wedgewood Pharm-GA-Yr2-2025'!$E$106:$L$106,
        _xlfn.XLOOKUP('Rate Load'!H1667, 'Wedgewood Pharm-GA-Yr2-2025'!$D$123:$D$152,
            'Wedgewood Pharm-GA-Yr2-2025'!$E$123:$L$152, 0, 0),
        0, 0),
    _xlfn.XLOOKUP(G1667, 'Wedgewood Pharm-GA-Yr2-2025'!$E$106:$L$106,
        _xlfn.XLOOKUP('Rate Load'!L1667, 'Wedgewood Pharm-GA-Yr2-2025'!$D$123:$D$152,
            'Wedgewood Pharm-GA-Yr2-2025'!$E$123:$L$152, 0, 0),
        0, 0)
)</f>
        <v>8.1</v>
      </c>
      <c r="K1667" t="s">
        <v>46</v>
      </c>
      <c r="L1667" t="s">
        <v>13</v>
      </c>
      <c r="M1667">
        <v>3</v>
      </c>
      <c r="N1667" t="str">
        <f t="shared" ref="N1667:N1730" si="26">"INSERT INTO TNL_RATING.dbo.usps_rate_master VALUES ('" &amp; A1667 &amp; "', '" &amp; B1667 &amp; "', '" &amp; C1667 &amp; "', " &amp; D1667 &amp; ", '" &amp; E1667 &amp; "', '" &amp; F1667 &amp; "', " &amp; G1667 &amp; ", " &amp; H1667 &amp; ", '" &amp; I1667 &amp; "', " &amp; J1667 &amp; ", '" &amp; K1667 &amp; "', '" &amp; L1667 &amp; "','" &amp; M1667 &amp; "');"</f>
        <v>INSERT INTO TNL_RATING.dbo.usps_rate_master VALUES ('USPS', '2/13/2025', '2/13/2026', 12659, 'US', 'USPS Ground Advantage', 7, 2, 'L', 8.1, 'Wedgewood_USPS_2025', 'NonCubic','3');</v>
      </c>
    </row>
    <row r="1668" spans="1:14" x14ac:dyDescent="0.3">
      <c r="A1668" t="s">
        <v>11</v>
      </c>
      <c r="B1668" s="1" t="s">
        <v>43</v>
      </c>
      <c r="C1668" s="1" t="s">
        <v>44</v>
      </c>
      <c r="D1668">
        <v>12659</v>
      </c>
      <c r="E1668" t="s">
        <v>12</v>
      </c>
      <c r="F1668" t="s">
        <v>51</v>
      </c>
      <c r="G1668">
        <v>7</v>
      </c>
      <c r="H1668">
        <v>3</v>
      </c>
      <c r="I1668" t="s">
        <v>45</v>
      </c>
      <c r="J1668" cm="1">
        <f t="array" ref="J1668">IFERROR(
    _xlfn.XLOOKUP(G1668, 'Wedgewood Pharm-GA-Yr2-2025'!$E$106:$L$106,
        _xlfn.XLOOKUP('Rate Load'!H1668, 'Wedgewood Pharm-GA-Yr2-2025'!$D$123:$D$152,
            'Wedgewood Pharm-GA-Yr2-2025'!$E$123:$L$152, 0, 0),
        0, 0),
    _xlfn.XLOOKUP(G1668, 'Wedgewood Pharm-GA-Yr2-2025'!$E$106:$L$106,
        _xlfn.XLOOKUP('Rate Load'!L1668, 'Wedgewood Pharm-GA-Yr2-2025'!$D$123:$D$152,
            'Wedgewood Pharm-GA-Yr2-2025'!$E$123:$L$152, 0, 0),
        0, 0)
)</f>
        <v>9.26</v>
      </c>
      <c r="K1668" t="s">
        <v>46</v>
      </c>
      <c r="L1668" t="s">
        <v>13</v>
      </c>
      <c r="M1668">
        <v>3</v>
      </c>
      <c r="N1668" t="str">
        <f t="shared" si="26"/>
        <v>INSERT INTO TNL_RATING.dbo.usps_rate_master VALUES ('USPS', '2/13/2025', '2/13/2026', 12659, 'US', 'USPS Ground Advantage', 7, 3, 'L', 9.26, 'Wedgewood_USPS_2025', 'NonCubic','3');</v>
      </c>
    </row>
    <row r="1669" spans="1:14" x14ac:dyDescent="0.3">
      <c r="A1669" t="s">
        <v>11</v>
      </c>
      <c r="B1669" s="1" t="s">
        <v>43</v>
      </c>
      <c r="C1669" s="1" t="s">
        <v>44</v>
      </c>
      <c r="D1669">
        <v>12659</v>
      </c>
      <c r="E1669" t="s">
        <v>12</v>
      </c>
      <c r="F1669" t="s">
        <v>51</v>
      </c>
      <c r="G1669">
        <v>7</v>
      </c>
      <c r="H1669">
        <v>4</v>
      </c>
      <c r="I1669" t="s">
        <v>45</v>
      </c>
      <c r="J1669" cm="1">
        <f t="array" ref="J1669">IFERROR(
    _xlfn.XLOOKUP(G1669, 'Wedgewood Pharm-GA-Yr2-2025'!$E$106:$L$106,
        _xlfn.XLOOKUP('Rate Load'!H1669, 'Wedgewood Pharm-GA-Yr2-2025'!$D$123:$D$152,
            'Wedgewood Pharm-GA-Yr2-2025'!$E$123:$L$152, 0, 0),
        0, 0),
    _xlfn.XLOOKUP(G1669, 'Wedgewood Pharm-GA-Yr2-2025'!$E$106:$L$106,
        _xlfn.XLOOKUP('Rate Load'!L1669, 'Wedgewood Pharm-GA-Yr2-2025'!$D$123:$D$152,
            'Wedgewood Pharm-GA-Yr2-2025'!$E$123:$L$152, 0, 0),
        0, 0)
)</f>
        <v>10.049999999999999</v>
      </c>
      <c r="K1669" t="s">
        <v>46</v>
      </c>
      <c r="L1669" t="s">
        <v>13</v>
      </c>
      <c r="M1669">
        <v>3</v>
      </c>
      <c r="N1669" t="str">
        <f t="shared" si="26"/>
        <v>INSERT INTO TNL_RATING.dbo.usps_rate_master VALUES ('USPS', '2/13/2025', '2/13/2026', 12659, 'US', 'USPS Ground Advantage', 7, 4, 'L', 10.05, 'Wedgewood_USPS_2025', 'NonCubic','3');</v>
      </c>
    </row>
    <row r="1670" spans="1:14" x14ac:dyDescent="0.3">
      <c r="A1670" t="s">
        <v>11</v>
      </c>
      <c r="B1670" s="1" t="s">
        <v>43</v>
      </c>
      <c r="C1670" s="1" t="s">
        <v>44</v>
      </c>
      <c r="D1670">
        <v>12659</v>
      </c>
      <c r="E1670" t="s">
        <v>12</v>
      </c>
      <c r="F1670" t="s">
        <v>51</v>
      </c>
      <c r="G1670">
        <v>7</v>
      </c>
      <c r="H1670">
        <v>5</v>
      </c>
      <c r="I1670" t="s">
        <v>45</v>
      </c>
      <c r="J1670" cm="1">
        <f t="array" ref="J1670">IFERROR(
    _xlfn.XLOOKUP(G1670, 'Wedgewood Pharm-GA-Yr2-2025'!$E$106:$L$106,
        _xlfn.XLOOKUP('Rate Load'!H1670, 'Wedgewood Pharm-GA-Yr2-2025'!$D$123:$D$152,
            'Wedgewood Pharm-GA-Yr2-2025'!$E$123:$L$152, 0, 0),
        0, 0),
    _xlfn.XLOOKUP(G1670, 'Wedgewood Pharm-GA-Yr2-2025'!$E$106:$L$106,
        _xlfn.XLOOKUP('Rate Load'!L1670, 'Wedgewood Pharm-GA-Yr2-2025'!$D$123:$D$152,
            'Wedgewood Pharm-GA-Yr2-2025'!$E$123:$L$152, 0, 0),
        0, 0)
)</f>
        <v>10.57</v>
      </c>
      <c r="K1670" t="s">
        <v>46</v>
      </c>
      <c r="L1670" t="s">
        <v>13</v>
      </c>
      <c r="M1670">
        <v>3</v>
      </c>
      <c r="N1670" t="str">
        <f t="shared" si="26"/>
        <v>INSERT INTO TNL_RATING.dbo.usps_rate_master VALUES ('USPS', '2/13/2025', '2/13/2026', 12659, 'US', 'USPS Ground Advantage', 7, 5, 'L', 10.57, 'Wedgewood_USPS_2025', 'NonCubic','3');</v>
      </c>
    </row>
    <row r="1671" spans="1:14" x14ac:dyDescent="0.3">
      <c r="A1671" t="s">
        <v>11</v>
      </c>
      <c r="B1671" s="1" t="s">
        <v>43</v>
      </c>
      <c r="C1671" s="1" t="s">
        <v>44</v>
      </c>
      <c r="D1671">
        <v>12659</v>
      </c>
      <c r="E1671" t="s">
        <v>12</v>
      </c>
      <c r="F1671" t="s">
        <v>51</v>
      </c>
      <c r="G1671">
        <v>7</v>
      </c>
      <c r="H1671">
        <v>6</v>
      </c>
      <c r="I1671" t="s">
        <v>45</v>
      </c>
      <c r="J1671" cm="1">
        <f t="array" ref="J1671">IFERROR(
    _xlfn.XLOOKUP(G1671, 'Wedgewood Pharm-GA-Yr2-2025'!$E$106:$L$106,
        _xlfn.XLOOKUP('Rate Load'!H1671, 'Wedgewood Pharm-GA-Yr2-2025'!$D$123:$D$152,
            'Wedgewood Pharm-GA-Yr2-2025'!$E$123:$L$152, 0, 0),
        0, 0),
    _xlfn.XLOOKUP(G1671, 'Wedgewood Pharm-GA-Yr2-2025'!$E$106:$L$106,
        _xlfn.XLOOKUP('Rate Load'!L1671, 'Wedgewood Pharm-GA-Yr2-2025'!$D$123:$D$152,
            'Wedgewood Pharm-GA-Yr2-2025'!$E$123:$L$152, 0, 0),
        0, 0)
)</f>
        <v>10.86</v>
      </c>
      <c r="K1671" t="s">
        <v>46</v>
      </c>
      <c r="L1671" t="s">
        <v>13</v>
      </c>
      <c r="M1671">
        <v>3</v>
      </c>
      <c r="N1671" t="str">
        <f t="shared" si="26"/>
        <v>INSERT INTO TNL_RATING.dbo.usps_rate_master VALUES ('USPS', '2/13/2025', '2/13/2026', 12659, 'US', 'USPS Ground Advantage', 7, 6, 'L', 10.86, 'Wedgewood_USPS_2025', 'NonCubic','3');</v>
      </c>
    </row>
    <row r="1672" spans="1:14" x14ac:dyDescent="0.3">
      <c r="A1672" t="s">
        <v>11</v>
      </c>
      <c r="B1672" s="1" t="s">
        <v>43</v>
      </c>
      <c r="C1672" s="1" t="s">
        <v>44</v>
      </c>
      <c r="D1672">
        <v>12659</v>
      </c>
      <c r="E1672" t="s">
        <v>12</v>
      </c>
      <c r="F1672" t="s">
        <v>51</v>
      </c>
      <c r="G1672">
        <v>7</v>
      </c>
      <c r="H1672">
        <v>7</v>
      </c>
      <c r="I1672" t="s">
        <v>45</v>
      </c>
      <c r="J1672" cm="1">
        <f t="array" ref="J1672">IFERROR(
    _xlfn.XLOOKUP(G1672, 'Wedgewood Pharm-GA-Yr2-2025'!$E$106:$L$106,
        _xlfn.XLOOKUP('Rate Load'!H1672, 'Wedgewood Pharm-GA-Yr2-2025'!$D$123:$D$152,
            'Wedgewood Pharm-GA-Yr2-2025'!$E$123:$L$152, 0, 0),
        0, 0),
    _xlfn.XLOOKUP(G1672, 'Wedgewood Pharm-GA-Yr2-2025'!$E$106:$L$106,
        _xlfn.XLOOKUP('Rate Load'!L1672, 'Wedgewood Pharm-GA-Yr2-2025'!$D$123:$D$152,
            'Wedgewood Pharm-GA-Yr2-2025'!$E$123:$L$152, 0, 0),
        0, 0)
)</f>
        <v>11.28</v>
      </c>
      <c r="K1672" t="s">
        <v>46</v>
      </c>
      <c r="L1672" t="s">
        <v>13</v>
      </c>
      <c r="M1672">
        <v>3</v>
      </c>
      <c r="N1672" t="str">
        <f t="shared" si="26"/>
        <v>INSERT INTO TNL_RATING.dbo.usps_rate_master VALUES ('USPS', '2/13/2025', '2/13/2026', 12659, 'US', 'USPS Ground Advantage', 7, 7, 'L', 11.28, 'Wedgewood_USPS_2025', 'NonCubic','3');</v>
      </c>
    </row>
    <row r="1673" spans="1:14" x14ac:dyDescent="0.3">
      <c r="A1673" t="s">
        <v>11</v>
      </c>
      <c r="B1673" s="1" t="s">
        <v>43</v>
      </c>
      <c r="C1673" s="1" t="s">
        <v>44</v>
      </c>
      <c r="D1673">
        <v>12659</v>
      </c>
      <c r="E1673" t="s">
        <v>12</v>
      </c>
      <c r="F1673" t="s">
        <v>51</v>
      </c>
      <c r="G1673">
        <v>7</v>
      </c>
      <c r="H1673">
        <v>8</v>
      </c>
      <c r="I1673" t="s">
        <v>45</v>
      </c>
      <c r="J1673" cm="1">
        <f t="array" ref="J1673">IFERROR(
    _xlfn.XLOOKUP(G1673, 'Wedgewood Pharm-GA-Yr2-2025'!$E$106:$L$106,
        _xlfn.XLOOKUP('Rate Load'!H1673, 'Wedgewood Pharm-GA-Yr2-2025'!$D$123:$D$152,
            'Wedgewood Pharm-GA-Yr2-2025'!$E$123:$L$152, 0, 0),
        0, 0),
    _xlfn.XLOOKUP(G1673, 'Wedgewood Pharm-GA-Yr2-2025'!$E$106:$L$106,
        _xlfn.XLOOKUP('Rate Load'!L1673, 'Wedgewood Pharm-GA-Yr2-2025'!$D$123:$D$152,
            'Wedgewood Pharm-GA-Yr2-2025'!$E$123:$L$152, 0, 0),
        0, 0)
)</f>
        <v>11.66</v>
      </c>
      <c r="K1673" t="s">
        <v>46</v>
      </c>
      <c r="L1673" t="s">
        <v>13</v>
      </c>
      <c r="M1673">
        <v>3</v>
      </c>
      <c r="N1673" t="str">
        <f t="shared" si="26"/>
        <v>INSERT INTO TNL_RATING.dbo.usps_rate_master VALUES ('USPS', '2/13/2025', '2/13/2026', 12659, 'US', 'USPS Ground Advantage', 7, 8, 'L', 11.66, 'Wedgewood_USPS_2025', 'NonCubic','3');</v>
      </c>
    </row>
    <row r="1674" spans="1:14" x14ac:dyDescent="0.3">
      <c r="A1674" t="s">
        <v>11</v>
      </c>
      <c r="B1674" s="1" t="s">
        <v>43</v>
      </c>
      <c r="C1674" s="1" t="s">
        <v>44</v>
      </c>
      <c r="D1674">
        <v>12659</v>
      </c>
      <c r="E1674" t="s">
        <v>12</v>
      </c>
      <c r="F1674" t="s">
        <v>51</v>
      </c>
      <c r="G1674">
        <v>7</v>
      </c>
      <c r="H1674">
        <v>9</v>
      </c>
      <c r="I1674" t="s">
        <v>45</v>
      </c>
      <c r="J1674" cm="1">
        <f t="array" ref="J1674">IFERROR(
    _xlfn.XLOOKUP(G1674, 'Wedgewood Pharm-GA-Yr2-2025'!$E$106:$L$106,
        _xlfn.XLOOKUP('Rate Load'!H1674, 'Wedgewood Pharm-GA-Yr2-2025'!$D$123:$D$152,
            'Wedgewood Pharm-GA-Yr2-2025'!$E$123:$L$152, 0, 0),
        0, 0),
    _xlfn.XLOOKUP(G1674, 'Wedgewood Pharm-GA-Yr2-2025'!$E$106:$L$106,
        _xlfn.XLOOKUP('Rate Load'!L1674, 'Wedgewood Pharm-GA-Yr2-2025'!$D$123:$D$152,
            'Wedgewood Pharm-GA-Yr2-2025'!$E$123:$L$152, 0, 0),
        0, 0)
)</f>
        <v>12.12</v>
      </c>
      <c r="K1674" t="s">
        <v>46</v>
      </c>
      <c r="L1674" t="s">
        <v>13</v>
      </c>
      <c r="M1674">
        <v>3</v>
      </c>
      <c r="N1674" t="str">
        <f t="shared" si="26"/>
        <v>INSERT INTO TNL_RATING.dbo.usps_rate_master VALUES ('USPS', '2/13/2025', '2/13/2026', 12659, 'US', 'USPS Ground Advantage', 7, 9, 'L', 12.12, 'Wedgewood_USPS_2025', 'NonCubic','3');</v>
      </c>
    </row>
    <row r="1675" spans="1:14" x14ac:dyDescent="0.3">
      <c r="A1675" t="s">
        <v>11</v>
      </c>
      <c r="B1675" s="1" t="s">
        <v>43</v>
      </c>
      <c r="C1675" s="1" t="s">
        <v>44</v>
      </c>
      <c r="D1675">
        <v>12659</v>
      </c>
      <c r="E1675" t="s">
        <v>12</v>
      </c>
      <c r="F1675" t="s">
        <v>51</v>
      </c>
      <c r="G1675">
        <v>7</v>
      </c>
      <c r="H1675">
        <v>10</v>
      </c>
      <c r="I1675" t="s">
        <v>45</v>
      </c>
      <c r="J1675" cm="1">
        <f t="array" ref="J1675">IFERROR(
    _xlfn.XLOOKUP(G1675, 'Wedgewood Pharm-GA-Yr2-2025'!$E$106:$L$106,
        _xlfn.XLOOKUP('Rate Load'!H1675, 'Wedgewood Pharm-GA-Yr2-2025'!$D$123:$D$152,
            'Wedgewood Pharm-GA-Yr2-2025'!$E$123:$L$152, 0, 0),
        0, 0),
    _xlfn.XLOOKUP(G1675, 'Wedgewood Pharm-GA-Yr2-2025'!$E$106:$L$106,
        _xlfn.XLOOKUP('Rate Load'!L1675, 'Wedgewood Pharm-GA-Yr2-2025'!$D$123:$D$152,
            'Wedgewood Pharm-GA-Yr2-2025'!$E$123:$L$152, 0, 0),
        0, 0)
)</f>
        <v>12.73</v>
      </c>
      <c r="K1675" t="s">
        <v>46</v>
      </c>
      <c r="L1675" t="s">
        <v>13</v>
      </c>
      <c r="M1675">
        <v>3</v>
      </c>
      <c r="N1675" t="str">
        <f t="shared" si="26"/>
        <v>INSERT INTO TNL_RATING.dbo.usps_rate_master VALUES ('USPS', '2/13/2025', '2/13/2026', 12659, 'US', 'USPS Ground Advantage', 7, 10, 'L', 12.73, 'Wedgewood_USPS_2025', 'NonCubic','3');</v>
      </c>
    </row>
    <row r="1676" spans="1:14" x14ac:dyDescent="0.3">
      <c r="A1676" t="s">
        <v>11</v>
      </c>
      <c r="B1676" s="1" t="s">
        <v>43</v>
      </c>
      <c r="C1676" s="1" t="s">
        <v>44</v>
      </c>
      <c r="D1676">
        <v>12659</v>
      </c>
      <c r="E1676" t="s">
        <v>12</v>
      </c>
      <c r="F1676" t="s">
        <v>51</v>
      </c>
      <c r="G1676">
        <v>7</v>
      </c>
      <c r="H1676">
        <v>11</v>
      </c>
      <c r="I1676" t="s">
        <v>45</v>
      </c>
      <c r="J1676" cm="1">
        <f t="array" ref="J1676">IFERROR(
    _xlfn.XLOOKUP(G1676, 'Wedgewood Pharm-GA-Yr2-2025'!$E$106:$L$106,
        _xlfn.XLOOKUP('Rate Load'!H1676, 'Wedgewood Pharm-GA-Yr2-2025'!$D$123:$D$152,
            'Wedgewood Pharm-GA-Yr2-2025'!$E$123:$L$152, 0, 0),
        0, 0),
    _xlfn.XLOOKUP(G1676, 'Wedgewood Pharm-GA-Yr2-2025'!$E$106:$L$106,
        _xlfn.XLOOKUP('Rate Load'!L1676, 'Wedgewood Pharm-GA-Yr2-2025'!$D$123:$D$152,
            'Wedgewood Pharm-GA-Yr2-2025'!$E$123:$L$152, 0, 0),
        0, 0)
)</f>
        <v>13.64</v>
      </c>
      <c r="K1676" t="s">
        <v>46</v>
      </c>
      <c r="L1676" t="s">
        <v>13</v>
      </c>
      <c r="M1676">
        <v>3</v>
      </c>
      <c r="N1676" t="str">
        <f t="shared" si="26"/>
        <v>INSERT INTO TNL_RATING.dbo.usps_rate_master VALUES ('USPS', '2/13/2025', '2/13/2026', 12659, 'US', 'USPS Ground Advantage', 7, 11, 'L', 13.64, 'Wedgewood_USPS_2025', 'NonCubic','3');</v>
      </c>
    </row>
    <row r="1677" spans="1:14" x14ac:dyDescent="0.3">
      <c r="A1677" t="s">
        <v>11</v>
      </c>
      <c r="B1677" s="1" t="s">
        <v>43</v>
      </c>
      <c r="C1677" s="1" t="s">
        <v>44</v>
      </c>
      <c r="D1677">
        <v>12659</v>
      </c>
      <c r="E1677" t="s">
        <v>12</v>
      </c>
      <c r="F1677" t="s">
        <v>51</v>
      </c>
      <c r="G1677">
        <v>7</v>
      </c>
      <c r="H1677">
        <v>12</v>
      </c>
      <c r="I1677" t="s">
        <v>45</v>
      </c>
      <c r="J1677" cm="1">
        <f t="array" ref="J1677">IFERROR(
    _xlfn.XLOOKUP(G1677, 'Wedgewood Pharm-GA-Yr2-2025'!$E$106:$L$106,
        _xlfn.XLOOKUP('Rate Load'!H1677, 'Wedgewood Pharm-GA-Yr2-2025'!$D$123:$D$152,
            'Wedgewood Pharm-GA-Yr2-2025'!$E$123:$L$152, 0, 0),
        0, 0),
    _xlfn.XLOOKUP(G1677, 'Wedgewood Pharm-GA-Yr2-2025'!$E$106:$L$106,
        _xlfn.XLOOKUP('Rate Load'!L1677, 'Wedgewood Pharm-GA-Yr2-2025'!$D$123:$D$152,
            'Wedgewood Pharm-GA-Yr2-2025'!$E$123:$L$152, 0, 0),
        0, 0)
)</f>
        <v>14.27</v>
      </c>
      <c r="K1677" t="s">
        <v>46</v>
      </c>
      <c r="L1677" t="s">
        <v>13</v>
      </c>
      <c r="M1677">
        <v>3</v>
      </c>
      <c r="N1677" t="str">
        <f t="shared" si="26"/>
        <v>INSERT INTO TNL_RATING.dbo.usps_rate_master VALUES ('USPS', '2/13/2025', '2/13/2026', 12659, 'US', 'USPS Ground Advantage', 7, 12, 'L', 14.27, 'Wedgewood_USPS_2025', 'NonCubic','3');</v>
      </c>
    </row>
    <row r="1678" spans="1:14" x14ac:dyDescent="0.3">
      <c r="A1678" t="s">
        <v>11</v>
      </c>
      <c r="B1678" s="1" t="s">
        <v>43</v>
      </c>
      <c r="C1678" s="1" t="s">
        <v>44</v>
      </c>
      <c r="D1678">
        <v>12659</v>
      </c>
      <c r="E1678" t="s">
        <v>12</v>
      </c>
      <c r="F1678" t="s">
        <v>51</v>
      </c>
      <c r="G1678">
        <v>7</v>
      </c>
      <c r="H1678">
        <v>13</v>
      </c>
      <c r="I1678" t="s">
        <v>45</v>
      </c>
      <c r="J1678" cm="1">
        <f t="array" ref="J1678">IFERROR(
    _xlfn.XLOOKUP(G1678, 'Wedgewood Pharm-GA-Yr2-2025'!$E$106:$L$106,
        _xlfn.XLOOKUP('Rate Load'!H1678, 'Wedgewood Pharm-GA-Yr2-2025'!$D$123:$D$152,
            'Wedgewood Pharm-GA-Yr2-2025'!$E$123:$L$152, 0, 0),
        0, 0),
    _xlfn.XLOOKUP(G1678, 'Wedgewood Pharm-GA-Yr2-2025'!$E$106:$L$106,
        _xlfn.XLOOKUP('Rate Load'!L1678, 'Wedgewood Pharm-GA-Yr2-2025'!$D$123:$D$152,
            'Wedgewood Pharm-GA-Yr2-2025'!$E$123:$L$152, 0, 0),
        0, 0)
)</f>
        <v>15.23</v>
      </c>
      <c r="K1678" t="s">
        <v>46</v>
      </c>
      <c r="L1678" t="s">
        <v>13</v>
      </c>
      <c r="M1678">
        <v>3</v>
      </c>
      <c r="N1678" t="str">
        <f t="shared" si="26"/>
        <v>INSERT INTO TNL_RATING.dbo.usps_rate_master VALUES ('USPS', '2/13/2025', '2/13/2026', 12659, 'US', 'USPS Ground Advantage', 7, 13, 'L', 15.23, 'Wedgewood_USPS_2025', 'NonCubic','3');</v>
      </c>
    </row>
    <row r="1679" spans="1:14" x14ac:dyDescent="0.3">
      <c r="A1679" t="s">
        <v>11</v>
      </c>
      <c r="B1679" s="1" t="s">
        <v>43</v>
      </c>
      <c r="C1679" s="1" t="s">
        <v>44</v>
      </c>
      <c r="D1679">
        <v>12659</v>
      </c>
      <c r="E1679" t="s">
        <v>12</v>
      </c>
      <c r="F1679" t="s">
        <v>51</v>
      </c>
      <c r="G1679">
        <v>7</v>
      </c>
      <c r="H1679">
        <v>14</v>
      </c>
      <c r="I1679" t="s">
        <v>45</v>
      </c>
      <c r="J1679" cm="1">
        <f t="array" ref="J1679">IFERROR(
    _xlfn.XLOOKUP(G1679, 'Wedgewood Pharm-GA-Yr2-2025'!$E$106:$L$106,
        _xlfn.XLOOKUP('Rate Load'!H1679, 'Wedgewood Pharm-GA-Yr2-2025'!$D$123:$D$152,
            'Wedgewood Pharm-GA-Yr2-2025'!$E$123:$L$152, 0, 0),
        0, 0),
    _xlfn.XLOOKUP(G1679, 'Wedgewood Pharm-GA-Yr2-2025'!$E$106:$L$106,
        _xlfn.XLOOKUP('Rate Load'!L1679, 'Wedgewood Pharm-GA-Yr2-2025'!$D$123:$D$152,
            'Wedgewood Pharm-GA-Yr2-2025'!$E$123:$L$152, 0, 0),
        0, 0)
)</f>
        <v>16.170000000000002</v>
      </c>
      <c r="K1679" t="s">
        <v>46</v>
      </c>
      <c r="L1679" t="s">
        <v>13</v>
      </c>
      <c r="M1679">
        <v>3</v>
      </c>
      <c r="N1679" t="str">
        <f t="shared" si="26"/>
        <v>INSERT INTO TNL_RATING.dbo.usps_rate_master VALUES ('USPS', '2/13/2025', '2/13/2026', 12659, 'US', 'USPS Ground Advantage', 7, 14, 'L', 16.17, 'Wedgewood_USPS_2025', 'NonCubic','3');</v>
      </c>
    </row>
    <row r="1680" spans="1:14" x14ac:dyDescent="0.3">
      <c r="A1680" t="s">
        <v>11</v>
      </c>
      <c r="B1680" s="1" t="s">
        <v>43</v>
      </c>
      <c r="C1680" s="1" t="s">
        <v>44</v>
      </c>
      <c r="D1680">
        <v>12659</v>
      </c>
      <c r="E1680" t="s">
        <v>12</v>
      </c>
      <c r="F1680" t="s">
        <v>51</v>
      </c>
      <c r="G1680">
        <v>7</v>
      </c>
      <c r="H1680">
        <v>15</v>
      </c>
      <c r="I1680" t="s">
        <v>45</v>
      </c>
      <c r="J1680" cm="1">
        <f t="array" ref="J1680">IFERROR(
    _xlfn.XLOOKUP(G1680, 'Wedgewood Pharm-GA-Yr2-2025'!$E$106:$L$106,
        _xlfn.XLOOKUP('Rate Load'!H1680, 'Wedgewood Pharm-GA-Yr2-2025'!$D$123:$D$152,
            'Wedgewood Pharm-GA-Yr2-2025'!$E$123:$L$152, 0, 0),
        0, 0),
    _xlfn.XLOOKUP(G1680, 'Wedgewood Pharm-GA-Yr2-2025'!$E$106:$L$106,
        _xlfn.XLOOKUP('Rate Load'!L1680, 'Wedgewood Pharm-GA-Yr2-2025'!$D$123:$D$152,
            'Wedgewood Pharm-GA-Yr2-2025'!$E$123:$L$152, 0, 0),
        0, 0)
)</f>
        <v>16.810000000000002</v>
      </c>
      <c r="K1680" t="s">
        <v>46</v>
      </c>
      <c r="L1680" t="s">
        <v>13</v>
      </c>
      <c r="M1680">
        <v>3</v>
      </c>
      <c r="N1680" t="str">
        <f t="shared" si="26"/>
        <v>INSERT INTO TNL_RATING.dbo.usps_rate_master VALUES ('USPS', '2/13/2025', '2/13/2026', 12659, 'US', 'USPS Ground Advantage', 7, 15, 'L', 16.81, 'Wedgewood_USPS_2025', 'NonCubic','3');</v>
      </c>
    </row>
    <row r="1681" spans="1:14" x14ac:dyDescent="0.3">
      <c r="A1681" t="s">
        <v>11</v>
      </c>
      <c r="B1681" s="1" t="s">
        <v>43</v>
      </c>
      <c r="C1681" s="1" t="s">
        <v>44</v>
      </c>
      <c r="D1681">
        <v>12659</v>
      </c>
      <c r="E1681" t="s">
        <v>12</v>
      </c>
      <c r="F1681" t="s">
        <v>51</v>
      </c>
      <c r="G1681">
        <v>7</v>
      </c>
      <c r="H1681">
        <v>16</v>
      </c>
      <c r="I1681" t="s">
        <v>45</v>
      </c>
      <c r="J1681" cm="1">
        <f t="array" ref="J1681">IFERROR(
    _xlfn.XLOOKUP(G1681, 'Wedgewood Pharm-GA-Yr2-2025'!$E$106:$L$106,
        _xlfn.XLOOKUP('Rate Load'!H1681, 'Wedgewood Pharm-GA-Yr2-2025'!$D$123:$D$152,
            'Wedgewood Pharm-GA-Yr2-2025'!$E$123:$L$152, 0, 0),
        0, 0),
    _xlfn.XLOOKUP(G1681, 'Wedgewood Pharm-GA-Yr2-2025'!$E$106:$L$106,
        _xlfn.XLOOKUP('Rate Load'!L1681, 'Wedgewood Pharm-GA-Yr2-2025'!$D$123:$D$152,
            'Wedgewood Pharm-GA-Yr2-2025'!$E$123:$L$152, 0, 0),
        0, 0)
)</f>
        <v>17.560000000000002</v>
      </c>
      <c r="K1681" t="s">
        <v>46</v>
      </c>
      <c r="L1681" t="s">
        <v>13</v>
      </c>
      <c r="M1681">
        <v>3</v>
      </c>
      <c r="N1681" t="str">
        <f t="shared" si="26"/>
        <v>INSERT INTO TNL_RATING.dbo.usps_rate_master VALUES ('USPS', '2/13/2025', '2/13/2026', 12659, 'US', 'USPS Ground Advantage', 7, 16, 'L', 17.56, 'Wedgewood_USPS_2025', 'NonCubic','3');</v>
      </c>
    </row>
    <row r="1682" spans="1:14" x14ac:dyDescent="0.3">
      <c r="A1682" t="s">
        <v>11</v>
      </c>
      <c r="B1682" s="1" t="s">
        <v>43</v>
      </c>
      <c r="C1682" s="1" t="s">
        <v>44</v>
      </c>
      <c r="D1682">
        <v>12659</v>
      </c>
      <c r="E1682" t="s">
        <v>12</v>
      </c>
      <c r="F1682" t="s">
        <v>51</v>
      </c>
      <c r="G1682">
        <v>7</v>
      </c>
      <c r="H1682">
        <v>17</v>
      </c>
      <c r="I1682" t="s">
        <v>45</v>
      </c>
      <c r="J1682" cm="1">
        <f t="array" ref="J1682">IFERROR(
    _xlfn.XLOOKUP(G1682, 'Wedgewood Pharm-GA-Yr2-2025'!$E$106:$L$106,
        _xlfn.XLOOKUP('Rate Load'!H1682, 'Wedgewood Pharm-GA-Yr2-2025'!$D$123:$D$152,
            'Wedgewood Pharm-GA-Yr2-2025'!$E$123:$L$152, 0, 0),
        0, 0),
    _xlfn.XLOOKUP(G1682, 'Wedgewood Pharm-GA-Yr2-2025'!$E$106:$L$106,
        _xlfn.XLOOKUP('Rate Load'!L1682, 'Wedgewood Pharm-GA-Yr2-2025'!$D$123:$D$152,
            'Wedgewood Pharm-GA-Yr2-2025'!$E$123:$L$152, 0, 0),
        0, 0)
)</f>
        <v>18.560000000000002</v>
      </c>
      <c r="K1682" t="s">
        <v>46</v>
      </c>
      <c r="L1682" t="s">
        <v>13</v>
      </c>
      <c r="M1682">
        <v>3</v>
      </c>
      <c r="N1682" t="str">
        <f t="shared" si="26"/>
        <v>INSERT INTO TNL_RATING.dbo.usps_rate_master VALUES ('USPS', '2/13/2025', '2/13/2026', 12659, 'US', 'USPS Ground Advantage', 7, 17, 'L', 18.56, 'Wedgewood_USPS_2025', 'NonCubic','3');</v>
      </c>
    </row>
    <row r="1683" spans="1:14" x14ac:dyDescent="0.3">
      <c r="A1683" t="s">
        <v>11</v>
      </c>
      <c r="B1683" s="1" t="s">
        <v>43</v>
      </c>
      <c r="C1683" s="1" t="s">
        <v>44</v>
      </c>
      <c r="D1683">
        <v>12659</v>
      </c>
      <c r="E1683" t="s">
        <v>12</v>
      </c>
      <c r="F1683" t="s">
        <v>51</v>
      </c>
      <c r="G1683">
        <v>7</v>
      </c>
      <c r="H1683">
        <v>18</v>
      </c>
      <c r="I1683" t="s">
        <v>45</v>
      </c>
      <c r="J1683" cm="1">
        <f t="array" ref="J1683">IFERROR(
    _xlfn.XLOOKUP(G1683, 'Wedgewood Pharm-GA-Yr2-2025'!$E$106:$L$106,
        _xlfn.XLOOKUP('Rate Load'!H1683, 'Wedgewood Pharm-GA-Yr2-2025'!$D$123:$D$152,
            'Wedgewood Pharm-GA-Yr2-2025'!$E$123:$L$152, 0, 0),
        0, 0),
    _xlfn.XLOOKUP(G1683, 'Wedgewood Pharm-GA-Yr2-2025'!$E$106:$L$106,
        _xlfn.XLOOKUP('Rate Load'!L1683, 'Wedgewood Pharm-GA-Yr2-2025'!$D$123:$D$152,
            'Wedgewood Pharm-GA-Yr2-2025'!$E$123:$L$152, 0, 0),
        0, 0)
)</f>
        <v>19.09</v>
      </c>
      <c r="K1683" t="s">
        <v>46</v>
      </c>
      <c r="L1683" t="s">
        <v>13</v>
      </c>
      <c r="M1683">
        <v>3</v>
      </c>
      <c r="N1683" t="str">
        <f t="shared" si="26"/>
        <v>INSERT INTO TNL_RATING.dbo.usps_rate_master VALUES ('USPS', '2/13/2025', '2/13/2026', 12659, 'US', 'USPS Ground Advantage', 7, 18, 'L', 19.09, 'Wedgewood_USPS_2025', 'NonCubic','3');</v>
      </c>
    </row>
    <row r="1684" spans="1:14" x14ac:dyDescent="0.3">
      <c r="A1684" t="s">
        <v>11</v>
      </c>
      <c r="B1684" s="1" t="s">
        <v>43</v>
      </c>
      <c r="C1684" s="1" t="s">
        <v>44</v>
      </c>
      <c r="D1684">
        <v>12659</v>
      </c>
      <c r="E1684" t="s">
        <v>12</v>
      </c>
      <c r="F1684" t="s">
        <v>51</v>
      </c>
      <c r="G1684">
        <v>7</v>
      </c>
      <c r="H1684">
        <v>19</v>
      </c>
      <c r="I1684" t="s">
        <v>45</v>
      </c>
      <c r="J1684" cm="1">
        <f t="array" ref="J1684">IFERROR(
    _xlfn.XLOOKUP(G1684, 'Wedgewood Pharm-GA-Yr2-2025'!$E$106:$L$106,
        _xlfn.XLOOKUP('Rate Load'!H1684, 'Wedgewood Pharm-GA-Yr2-2025'!$D$123:$D$152,
            'Wedgewood Pharm-GA-Yr2-2025'!$E$123:$L$152, 0, 0),
        0, 0),
    _xlfn.XLOOKUP(G1684, 'Wedgewood Pharm-GA-Yr2-2025'!$E$106:$L$106,
        _xlfn.XLOOKUP('Rate Load'!L1684, 'Wedgewood Pharm-GA-Yr2-2025'!$D$123:$D$152,
            'Wedgewood Pharm-GA-Yr2-2025'!$E$123:$L$152, 0, 0),
        0, 0)
)</f>
        <v>19.810000000000002</v>
      </c>
      <c r="K1684" t="s">
        <v>46</v>
      </c>
      <c r="L1684" t="s">
        <v>13</v>
      </c>
      <c r="M1684">
        <v>3</v>
      </c>
      <c r="N1684" t="str">
        <f t="shared" si="26"/>
        <v>INSERT INTO TNL_RATING.dbo.usps_rate_master VALUES ('USPS', '2/13/2025', '2/13/2026', 12659, 'US', 'USPS Ground Advantage', 7, 19, 'L', 19.81, 'Wedgewood_USPS_2025', 'NonCubic','3');</v>
      </c>
    </row>
    <row r="1685" spans="1:14" x14ac:dyDescent="0.3">
      <c r="A1685" t="s">
        <v>11</v>
      </c>
      <c r="B1685" s="1" t="s">
        <v>43</v>
      </c>
      <c r="C1685" s="1" t="s">
        <v>44</v>
      </c>
      <c r="D1685">
        <v>12659</v>
      </c>
      <c r="E1685" t="s">
        <v>12</v>
      </c>
      <c r="F1685" t="s">
        <v>51</v>
      </c>
      <c r="G1685">
        <v>7</v>
      </c>
      <c r="H1685">
        <v>20</v>
      </c>
      <c r="I1685" t="s">
        <v>45</v>
      </c>
      <c r="J1685" cm="1">
        <f t="array" ref="J1685">IFERROR(
    _xlfn.XLOOKUP(G1685, 'Wedgewood Pharm-GA-Yr2-2025'!$E$106:$L$106,
        _xlfn.XLOOKUP('Rate Load'!H1685, 'Wedgewood Pharm-GA-Yr2-2025'!$D$123:$D$152,
            'Wedgewood Pharm-GA-Yr2-2025'!$E$123:$L$152, 0, 0),
        0, 0),
    _xlfn.XLOOKUP(G1685, 'Wedgewood Pharm-GA-Yr2-2025'!$E$106:$L$106,
        _xlfn.XLOOKUP('Rate Load'!L1685, 'Wedgewood Pharm-GA-Yr2-2025'!$D$123:$D$152,
            'Wedgewood Pharm-GA-Yr2-2025'!$E$123:$L$152, 0, 0),
        0, 0)
)</f>
        <v>20.580000000000002</v>
      </c>
      <c r="K1685" t="s">
        <v>46</v>
      </c>
      <c r="L1685" t="s">
        <v>13</v>
      </c>
      <c r="M1685">
        <v>3</v>
      </c>
      <c r="N1685" t="str">
        <f t="shared" si="26"/>
        <v>INSERT INTO TNL_RATING.dbo.usps_rate_master VALUES ('USPS', '2/13/2025', '2/13/2026', 12659, 'US', 'USPS Ground Advantage', 7, 20, 'L', 20.58, 'Wedgewood_USPS_2025', 'NonCubic','3');</v>
      </c>
    </row>
    <row r="1686" spans="1:14" x14ac:dyDescent="0.3">
      <c r="A1686" t="s">
        <v>11</v>
      </c>
      <c r="B1686" s="1" t="s">
        <v>43</v>
      </c>
      <c r="C1686" s="1" t="s">
        <v>44</v>
      </c>
      <c r="D1686">
        <v>12659</v>
      </c>
      <c r="E1686" t="s">
        <v>12</v>
      </c>
      <c r="F1686" t="s">
        <v>51</v>
      </c>
      <c r="G1686">
        <v>8</v>
      </c>
      <c r="H1686">
        <v>1</v>
      </c>
      <c r="I1686" t="s">
        <v>45</v>
      </c>
      <c r="J1686" cm="1">
        <f t="array" ref="J1686">IFERROR(
    _xlfn.XLOOKUP(G1686, 'Wedgewood Pharm-GA-Yr2-2025'!$E$106:$L$106,
        _xlfn.XLOOKUP('Rate Load'!H1686, 'Wedgewood Pharm-GA-Yr2-2025'!$D$123:$D$152,
            'Wedgewood Pharm-GA-Yr2-2025'!$E$123:$L$152, 0, 0),
        0, 0),
    _xlfn.XLOOKUP(G1686, 'Wedgewood Pharm-GA-Yr2-2025'!$E$106:$L$106,
        _xlfn.XLOOKUP('Rate Load'!L1686, 'Wedgewood Pharm-GA-Yr2-2025'!$D$123:$D$152,
            'Wedgewood Pharm-GA-Yr2-2025'!$E$123:$L$152, 0, 0),
        0, 0)
)</f>
        <v>7.34</v>
      </c>
      <c r="K1686" t="s">
        <v>46</v>
      </c>
      <c r="L1686" t="s">
        <v>13</v>
      </c>
      <c r="M1686">
        <v>3</v>
      </c>
      <c r="N1686" t="str">
        <f t="shared" si="26"/>
        <v>INSERT INTO TNL_RATING.dbo.usps_rate_master VALUES ('USPS', '2/13/2025', '2/13/2026', 12659, 'US', 'USPS Ground Advantage', 8, 1, 'L', 7.34, 'Wedgewood_USPS_2025', 'NonCubic','3');</v>
      </c>
    </row>
    <row r="1687" spans="1:14" x14ac:dyDescent="0.3">
      <c r="A1687" t="s">
        <v>11</v>
      </c>
      <c r="B1687" s="1" t="s">
        <v>43</v>
      </c>
      <c r="C1687" s="1" t="s">
        <v>44</v>
      </c>
      <c r="D1687">
        <v>12659</v>
      </c>
      <c r="E1687" t="s">
        <v>12</v>
      </c>
      <c r="F1687" t="s">
        <v>51</v>
      </c>
      <c r="G1687">
        <v>8</v>
      </c>
      <c r="H1687">
        <v>2</v>
      </c>
      <c r="I1687" t="s">
        <v>45</v>
      </c>
      <c r="J1687" cm="1">
        <f t="array" ref="J1687">IFERROR(
    _xlfn.XLOOKUP(G1687, 'Wedgewood Pharm-GA-Yr2-2025'!$E$106:$L$106,
        _xlfn.XLOOKUP('Rate Load'!H1687, 'Wedgewood Pharm-GA-Yr2-2025'!$D$123:$D$152,
            'Wedgewood Pharm-GA-Yr2-2025'!$E$123:$L$152, 0, 0),
        0, 0),
    _xlfn.XLOOKUP(G1687, 'Wedgewood Pharm-GA-Yr2-2025'!$E$106:$L$106,
        _xlfn.XLOOKUP('Rate Load'!L1687, 'Wedgewood Pharm-GA-Yr2-2025'!$D$123:$D$152,
            'Wedgewood Pharm-GA-Yr2-2025'!$E$123:$L$152, 0, 0),
        0, 0)
)</f>
        <v>8.66</v>
      </c>
      <c r="K1687" t="s">
        <v>46</v>
      </c>
      <c r="L1687" t="s">
        <v>13</v>
      </c>
      <c r="M1687">
        <v>3</v>
      </c>
      <c r="N1687" t="str">
        <f t="shared" si="26"/>
        <v>INSERT INTO TNL_RATING.dbo.usps_rate_master VALUES ('USPS', '2/13/2025', '2/13/2026', 12659, 'US', 'USPS Ground Advantage', 8, 2, 'L', 8.66, 'Wedgewood_USPS_2025', 'NonCubic','3');</v>
      </c>
    </row>
    <row r="1688" spans="1:14" x14ac:dyDescent="0.3">
      <c r="A1688" t="s">
        <v>11</v>
      </c>
      <c r="B1688" s="1" t="s">
        <v>43</v>
      </c>
      <c r="C1688" s="1" t="s">
        <v>44</v>
      </c>
      <c r="D1688">
        <v>12659</v>
      </c>
      <c r="E1688" t="s">
        <v>12</v>
      </c>
      <c r="F1688" t="s">
        <v>51</v>
      </c>
      <c r="G1688">
        <v>8</v>
      </c>
      <c r="H1688">
        <v>3</v>
      </c>
      <c r="I1688" t="s">
        <v>45</v>
      </c>
      <c r="J1688" cm="1">
        <f t="array" ref="J1688">IFERROR(
    _xlfn.XLOOKUP(G1688, 'Wedgewood Pharm-GA-Yr2-2025'!$E$106:$L$106,
        _xlfn.XLOOKUP('Rate Load'!H1688, 'Wedgewood Pharm-GA-Yr2-2025'!$D$123:$D$152,
            'Wedgewood Pharm-GA-Yr2-2025'!$E$123:$L$152, 0, 0),
        0, 0),
    _xlfn.XLOOKUP(G1688, 'Wedgewood Pharm-GA-Yr2-2025'!$E$106:$L$106,
        _xlfn.XLOOKUP('Rate Load'!L1688, 'Wedgewood Pharm-GA-Yr2-2025'!$D$123:$D$152,
            'Wedgewood Pharm-GA-Yr2-2025'!$E$123:$L$152, 0, 0),
        0, 0)
)</f>
        <v>9.9499999999999993</v>
      </c>
      <c r="K1688" t="s">
        <v>46</v>
      </c>
      <c r="L1688" t="s">
        <v>13</v>
      </c>
      <c r="M1688">
        <v>3</v>
      </c>
      <c r="N1688" t="str">
        <f t="shared" si="26"/>
        <v>INSERT INTO TNL_RATING.dbo.usps_rate_master VALUES ('USPS', '2/13/2025', '2/13/2026', 12659, 'US', 'USPS Ground Advantage', 8, 3, 'L', 9.95, 'Wedgewood_USPS_2025', 'NonCubic','3');</v>
      </c>
    </row>
    <row r="1689" spans="1:14" x14ac:dyDescent="0.3">
      <c r="A1689" t="s">
        <v>11</v>
      </c>
      <c r="B1689" s="1" t="s">
        <v>43</v>
      </c>
      <c r="C1689" s="1" t="s">
        <v>44</v>
      </c>
      <c r="D1689">
        <v>12659</v>
      </c>
      <c r="E1689" t="s">
        <v>12</v>
      </c>
      <c r="F1689" t="s">
        <v>51</v>
      </c>
      <c r="G1689">
        <v>8</v>
      </c>
      <c r="H1689">
        <v>4</v>
      </c>
      <c r="I1689" t="s">
        <v>45</v>
      </c>
      <c r="J1689" cm="1">
        <f t="array" ref="J1689">IFERROR(
    _xlfn.XLOOKUP(G1689, 'Wedgewood Pharm-GA-Yr2-2025'!$E$106:$L$106,
        _xlfn.XLOOKUP('Rate Load'!H1689, 'Wedgewood Pharm-GA-Yr2-2025'!$D$123:$D$152,
            'Wedgewood Pharm-GA-Yr2-2025'!$E$123:$L$152, 0, 0),
        0, 0),
    _xlfn.XLOOKUP(G1689, 'Wedgewood Pharm-GA-Yr2-2025'!$E$106:$L$106,
        _xlfn.XLOOKUP('Rate Load'!L1689, 'Wedgewood Pharm-GA-Yr2-2025'!$D$123:$D$152,
            'Wedgewood Pharm-GA-Yr2-2025'!$E$123:$L$152, 0, 0),
        0, 0)
)</f>
        <v>10.83</v>
      </c>
      <c r="K1689" t="s">
        <v>46</v>
      </c>
      <c r="L1689" t="s">
        <v>13</v>
      </c>
      <c r="M1689">
        <v>3</v>
      </c>
      <c r="N1689" t="str">
        <f t="shared" si="26"/>
        <v>INSERT INTO TNL_RATING.dbo.usps_rate_master VALUES ('USPS', '2/13/2025', '2/13/2026', 12659, 'US', 'USPS Ground Advantage', 8, 4, 'L', 10.83, 'Wedgewood_USPS_2025', 'NonCubic','3');</v>
      </c>
    </row>
    <row r="1690" spans="1:14" x14ac:dyDescent="0.3">
      <c r="A1690" t="s">
        <v>11</v>
      </c>
      <c r="B1690" s="1" t="s">
        <v>43</v>
      </c>
      <c r="C1690" s="1" t="s">
        <v>44</v>
      </c>
      <c r="D1690">
        <v>12659</v>
      </c>
      <c r="E1690" t="s">
        <v>12</v>
      </c>
      <c r="F1690" t="s">
        <v>51</v>
      </c>
      <c r="G1690">
        <v>8</v>
      </c>
      <c r="H1690">
        <v>5</v>
      </c>
      <c r="I1690" t="s">
        <v>45</v>
      </c>
      <c r="J1690" cm="1">
        <f t="array" ref="J1690">IFERROR(
    _xlfn.XLOOKUP(G1690, 'Wedgewood Pharm-GA-Yr2-2025'!$E$106:$L$106,
        _xlfn.XLOOKUP('Rate Load'!H1690, 'Wedgewood Pharm-GA-Yr2-2025'!$D$123:$D$152,
            'Wedgewood Pharm-GA-Yr2-2025'!$E$123:$L$152, 0, 0),
        0, 0),
    _xlfn.XLOOKUP(G1690, 'Wedgewood Pharm-GA-Yr2-2025'!$E$106:$L$106,
        _xlfn.XLOOKUP('Rate Load'!L1690, 'Wedgewood Pharm-GA-Yr2-2025'!$D$123:$D$152,
            'Wedgewood Pharm-GA-Yr2-2025'!$E$123:$L$152, 0, 0),
        0, 0)
)</f>
        <v>11.49</v>
      </c>
      <c r="K1690" t="s">
        <v>46</v>
      </c>
      <c r="L1690" t="s">
        <v>13</v>
      </c>
      <c r="M1690">
        <v>3</v>
      </c>
      <c r="N1690" t="str">
        <f t="shared" si="26"/>
        <v>INSERT INTO TNL_RATING.dbo.usps_rate_master VALUES ('USPS', '2/13/2025', '2/13/2026', 12659, 'US', 'USPS Ground Advantage', 8, 5, 'L', 11.49, 'Wedgewood_USPS_2025', 'NonCubic','3');</v>
      </c>
    </row>
    <row r="1691" spans="1:14" x14ac:dyDescent="0.3">
      <c r="A1691" t="s">
        <v>11</v>
      </c>
      <c r="B1691" s="1" t="s">
        <v>43</v>
      </c>
      <c r="C1691" s="1" t="s">
        <v>44</v>
      </c>
      <c r="D1691">
        <v>12659</v>
      </c>
      <c r="E1691" t="s">
        <v>12</v>
      </c>
      <c r="F1691" t="s">
        <v>51</v>
      </c>
      <c r="G1691">
        <v>8</v>
      </c>
      <c r="H1691">
        <v>6</v>
      </c>
      <c r="I1691" t="s">
        <v>45</v>
      </c>
      <c r="J1691" cm="1">
        <f t="array" ref="J1691">IFERROR(
    _xlfn.XLOOKUP(G1691, 'Wedgewood Pharm-GA-Yr2-2025'!$E$106:$L$106,
        _xlfn.XLOOKUP('Rate Load'!H1691, 'Wedgewood Pharm-GA-Yr2-2025'!$D$123:$D$152,
            'Wedgewood Pharm-GA-Yr2-2025'!$E$123:$L$152, 0, 0),
        0, 0),
    _xlfn.XLOOKUP(G1691, 'Wedgewood Pharm-GA-Yr2-2025'!$E$106:$L$106,
        _xlfn.XLOOKUP('Rate Load'!L1691, 'Wedgewood Pharm-GA-Yr2-2025'!$D$123:$D$152,
            'Wedgewood Pharm-GA-Yr2-2025'!$E$123:$L$152, 0, 0),
        0, 0)
)</f>
        <v>11.799999999999999</v>
      </c>
      <c r="K1691" t="s">
        <v>46</v>
      </c>
      <c r="L1691" t="s">
        <v>13</v>
      </c>
      <c r="M1691">
        <v>3</v>
      </c>
      <c r="N1691" t="str">
        <f t="shared" si="26"/>
        <v>INSERT INTO TNL_RATING.dbo.usps_rate_master VALUES ('USPS', '2/13/2025', '2/13/2026', 12659, 'US', 'USPS Ground Advantage', 8, 6, 'L', 11.8, 'Wedgewood_USPS_2025', 'NonCubic','3');</v>
      </c>
    </row>
    <row r="1692" spans="1:14" x14ac:dyDescent="0.3">
      <c r="A1692" t="s">
        <v>11</v>
      </c>
      <c r="B1692" s="1" t="s">
        <v>43</v>
      </c>
      <c r="C1692" s="1" t="s">
        <v>44</v>
      </c>
      <c r="D1692">
        <v>12659</v>
      </c>
      <c r="E1692" t="s">
        <v>12</v>
      </c>
      <c r="F1692" t="s">
        <v>51</v>
      </c>
      <c r="G1692">
        <v>8</v>
      </c>
      <c r="H1692">
        <v>7</v>
      </c>
      <c r="I1692" t="s">
        <v>45</v>
      </c>
      <c r="J1692" cm="1">
        <f t="array" ref="J1692">IFERROR(
    _xlfn.XLOOKUP(G1692, 'Wedgewood Pharm-GA-Yr2-2025'!$E$106:$L$106,
        _xlfn.XLOOKUP('Rate Load'!H1692, 'Wedgewood Pharm-GA-Yr2-2025'!$D$123:$D$152,
            'Wedgewood Pharm-GA-Yr2-2025'!$E$123:$L$152, 0, 0),
        0, 0),
    _xlfn.XLOOKUP(G1692, 'Wedgewood Pharm-GA-Yr2-2025'!$E$106:$L$106,
        _xlfn.XLOOKUP('Rate Load'!L1692, 'Wedgewood Pharm-GA-Yr2-2025'!$D$123:$D$152,
            'Wedgewood Pharm-GA-Yr2-2025'!$E$123:$L$152, 0, 0),
        0, 0)
)</f>
        <v>12.39</v>
      </c>
      <c r="K1692" t="s">
        <v>46</v>
      </c>
      <c r="L1692" t="s">
        <v>13</v>
      </c>
      <c r="M1692">
        <v>3</v>
      </c>
      <c r="N1692" t="str">
        <f t="shared" si="26"/>
        <v>INSERT INTO TNL_RATING.dbo.usps_rate_master VALUES ('USPS', '2/13/2025', '2/13/2026', 12659, 'US', 'USPS Ground Advantage', 8, 7, 'L', 12.39, 'Wedgewood_USPS_2025', 'NonCubic','3');</v>
      </c>
    </row>
    <row r="1693" spans="1:14" x14ac:dyDescent="0.3">
      <c r="A1693" t="s">
        <v>11</v>
      </c>
      <c r="B1693" s="1" t="s">
        <v>43</v>
      </c>
      <c r="C1693" s="1" t="s">
        <v>44</v>
      </c>
      <c r="D1693">
        <v>12659</v>
      </c>
      <c r="E1693" t="s">
        <v>12</v>
      </c>
      <c r="F1693" t="s">
        <v>51</v>
      </c>
      <c r="G1693">
        <v>8</v>
      </c>
      <c r="H1693">
        <v>8</v>
      </c>
      <c r="I1693" t="s">
        <v>45</v>
      </c>
      <c r="J1693" cm="1">
        <f t="array" ref="J1693">IFERROR(
    _xlfn.XLOOKUP(G1693, 'Wedgewood Pharm-GA-Yr2-2025'!$E$106:$L$106,
        _xlfn.XLOOKUP('Rate Load'!H1693, 'Wedgewood Pharm-GA-Yr2-2025'!$D$123:$D$152,
            'Wedgewood Pharm-GA-Yr2-2025'!$E$123:$L$152, 0, 0),
        0, 0),
    _xlfn.XLOOKUP(G1693, 'Wedgewood Pharm-GA-Yr2-2025'!$E$106:$L$106,
        _xlfn.XLOOKUP('Rate Load'!L1693, 'Wedgewood Pharm-GA-Yr2-2025'!$D$123:$D$152,
            'Wedgewood Pharm-GA-Yr2-2025'!$E$123:$L$152, 0, 0),
        0, 0)
)</f>
        <v>12.85</v>
      </c>
      <c r="K1693" t="s">
        <v>46</v>
      </c>
      <c r="L1693" t="s">
        <v>13</v>
      </c>
      <c r="M1693">
        <v>3</v>
      </c>
      <c r="N1693" t="str">
        <f t="shared" si="26"/>
        <v>INSERT INTO TNL_RATING.dbo.usps_rate_master VALUES ('USPS', '2/13/2025', '2/13/2026', 12659, 'US', 'USPS Ground Advantage', 8, 8, 'L', 12.85, 'Wedgewood_USPS_2025', 'NonCubic','3');</v>
      </c>
    </row>
    <row r="1694" spans="1:14" x14ac:dyDescent="0.3">
      <c r="A1694" t="s">
        <v>11</v>
      </c>
      <c r="B1694" s="1" t="s">
        <v>43</v>
      </c>
      <c r="C1694" s="1" t="s">
        <v>44</v>
      </c>
      <c r="D1694">
        <v>12659</v>
      </c>
      <c r="E1694" t="s">
        <v>12</v>
      </c>
      <c r="F1694" t="s">
        <v>51</v>
      </c>
      <c r="G1694">
        <v>8</v>
      </c>
      <c r="H1694">
        <v>9</v>
      </c>
      <c r="I1694" t="s">
        <v>45</v>
      </c>
      <c r="J1694" cm="1">
        <f t="array" ref="J1694">IFERROR(
    _xlfn.XLOOKUP(G1694, 'Wedgewood Pharm-GA-Yr2-2025'!$E$106:$L$106,
        _xlfn.XLOOKUP('Rate Load'!H1694, 'Wedgewood Pharm-GA-Yr2-2025'!$D$123:$D$152,
            'Wedgewood Pharm-GA-Yr2-2025'!$E$123:$L$152, 0, 0),
        0, 0),
    _xlfn.XLOOKUP(G1694, 'Wedgewood Pharm-GA-Yr2-2025'!$E$106:$L$106,
        _xlfn.XLOOKUP('Rate Load'!L1694, 'Wedgewood Pharm-GA-Yr2-2025'!$D$123:$D$152,
            'Wedgewood Pharm-GA-Yr2-2025'!$E$123:$L$152, 0, 0),
        0, 0)
)</f>
        <v>13.47</v>
      </c>
      <c r="K1694" t="s">
        <v>46</v>
      </c>
      <c r="L1694" t="s">
        <v>13</v>
      </c>
      <c r="M1694">
        <v>3</v>
      </c>
      <c r="N1694" t="str">
        <f t="shared" si="26"/>
        <v>INSERT INTO TNL_RATING.dbo.usps_rate_master VALUES ('USPS', '2/13/2025', '2/13/2026', 12659, 'US', 'USPS Ground Advantage', 8, 9, 'L', 13.47, 'Wedgewood_USPS_2025', 'NonCubic','3');</v>
      </c>
    </row>
    <row r="1695" spans="1:14" x14ac:dyDescent="0.3">
      <c r="A1695" t="s">
        <v>11</v>
      </c>
      <c r="B1695" s="1" t="s">
        <v>43</v>
      </c>
      <c r="C1695" s="1" t="s">
        <v>44</v>
      </c>
      <c r="D1695">
        <v>12659</v>
      </c>
      <c r="E1695" t="s">
        <v>12</v>
      </c>
      <c r="F1695" t="s">
        <v>51</v>
      </c>
      <c r="G1695">
        <v>8</v>
      </c>
      <c r="H1695">
        <v>10</v>
      </c>
      <c r="I1695" t="s">
        <v>45</v>
      </c>
      <c r="J1695" cm="1">
        <f t="array" ref="J1695">IFERROR(
    _xlfn.XLOOKUP(G1695, 'Wedgewood Pharm-GA-Yr2-2025'!$E$106:$L$106,
        _xlfn.XLOOKUP('Rate Load'!H1695, 'Wedgewood Pharm-GA-Yr2-2025'!$D$123:$D$152,
            'Wedgewood Pharm-GA-Yr2-2025'!$E$123:$L$152, 0, 0),
        0, 0),
    _xlfn.XLOOKUP(G1695, 'Wedgewood Pharm-GA-Yr2-2025'!$E$106:$L$106,
        _xlfn.XLOOKUP('Rate Load'!L1695, 'Wedgewood Pharm-GA-Yr2-2025'!$D$123:$D$152,
            'Wedgewood Pharm-GA-Yr2-2025'!$E$123:$L$152, 0, 0),
        0, 0)
)</f>
        <v>14.23</v>
      </c>
      <c r="K1695" t="s">
        <v>46</v>
      </c>
      <c r="L1695" t="s">
        <v>13</v>
      </c>
      <c r="M1695">
        <v>3</v>
      </c>
      <c r="N1695" t="str">
        <f t="shared" si="26"/>
        <v>INSERT INTO TNL_RATING.dbo.usps_rate_master VALUES ('USPS', '2/13/2025', '2/13/2026', 12659, 'US', 'USPS Ground Advantage', 8, 10, 'L', 14.23, 'Wedgewood_USPS_2025', 'NonCubic','3');</v>
      </c>
    </row>
    <row r="1696" spans="1:14" x14ac:dyDescent="0.3">
      <c r="A1696" t="s">
        <v>11</v>
      </c>
      <c r="B1696" s="1" t="s">
        <v>43</v>
      </c>
      <c r="C1696" s="1" t="s">
        <v>44</v>
      </c>
      <c r="D1696">
        <v>12659</v>
      </c>
      <c r="E1696" t="s">
        <v>12</v>
      </c>
      <c r="F1696" t="s">
        <v>51</v>
      </c>
      <c r="G1696">
        <v>8</v>
      </c>
      <c r="H1696">
        <v>11</v>
      </c>
      <c r="I1696" t="s">
        <v>45</v>
      </c>
      <c r="J1696" cm="1">
        <f t="array" ref="J1696">IFERROR(
    _xlfn.XLOOKUP(G1696, 'Wedgewood Pharm-GA-Yr2-2025'!$E$106:$L$106,
        _xlfn.XLOOKUP('Rate Load'!H1696, 'Wedgewood Pharm-GA-Yr2-2025'!$D$123:$D$152,
            'Wedgewood Pharm-GA-Yr2-2025'!$E$123:$L$152, 0, 0),
        0, 0),
    _xlfn.XLOOKUP(G1696, 'Wedgewood Pharm-GA-Yr2-2025'!$E$106:$L$106,
        _xlfn.XLOOKUP('Rate Load'!L1696, 'Wedgewood Pharm-GA-Yr2-2025'!$D$123:$D$152,
            'Wedgewood Pharm-GA-Yr2-2025'!$E$123:$L$152, 0, 0),
        0, 0)
)</f>
        <v>15.049999999999999</v>
      </c>
      <c r="K1696" t="s">
        <v>46</v>
      </c>
      <c r="L1696" t="s">
        <v>13</v>
      </c>
      <c r="M1696">
        <v>3</v>
      </c>
      <c r="N1696" t="str">
        <f t="shared" si="26"/>
        <v>INSERT INTO TNL_RATING.dbo.usps_rate_master VALUES ('USPS', '2/13/2025', '2/13/2026', 12659, 'US', 'USPS Ground Advantage', 8, 11, 'L', 15.05, 'Wedgewood_USPS_2025', 'NonCubic','3');</v>
      </c>
    </row>
    <row r="1697" spans="1:14" x14ac:dyDescent="0.3">
      <c r="A1697" t="s">
        <v>11</v>
      </c>
      <c r="B1697" s="1" t="s">
        <v>43</v>
      </c>
      <c r="C1697" s="1" t="s">
        <v>44</v>
      </c>
      <c r="D1697">
        <v>12659</v>
      </c>
      <c r="E1697" t="s">
        <v>12</v>
      </c>
      <c r="F1697" t="s">
        <v>51</v>
      </c>
      <c r="G1697">
        <v>8</v>
      </c>
      <c r="H1697">
        <v>12</v>
      </c>
      <c r="I1697" t="s">
        <v>45</v>
      </c>
      <c r="J1697" cm="1">
        <f t="array" ref="J1697">IFERROR(
    _xlfn.XLOOKUP(G1697, 'Wedgewood Pharm-GA-Yr2-2025'!$E$106:$L$106,
        _xlfn.XLOOKUP('Rate Load'!H1697, 'Wedgewood Pharm-GA-Yr2-2025'!$D$123:$D$152,
            'Wedgewood Pharm-GA-Yr2-2025'!$E$123:$L$152, 0, 0),
        0, 0),
    _xlfn.XLOOKUP(G1697, 'Wedgewood Pharm-GA-Yr2-2025'!$E$106:$L$106,
        _xlfn.XLOOKUP('Rate Load'!L1697, 'Wedgewood Pharm-GA-Yr2-2025'!$D$123:$D$152,
            'Wedgewood Pharm-GA-Yr2-2025'!$E$123:$L$152, 0, 0),
        0, 0)
)</f>
        <v>15.84</v>
      </c>
      <c r="K1697" t="s">
        <v>46</v>
      </c>
      <c r="L1697" t="s">
        <v>13</v>
      </c>
      <c r="M1697">
        <v>3</v>
      </c>
      <c r="N1697" t="str">
        <f t="shared" si="26"/>
        <v>INSERT INTO TNL_RATING.dbo.usps_rate_master VALUES ('USPS', '2/13/2025', '2/13/2026', 12659, 'US', 'USPS Ground Advantage', 8, 12, 'L', 15.84, 'Wedgewood_USPS_2025', 'NonCubic','3');</v>
      </c>
    </row>
    <row r="1698" spans="1:14" x14ac:dyDescent="0.3">
      <c r="A1698" t="s">
        <v>11</v>
      </c>
      <c r="B1698" s="1" t="s">
        <v>43</v>
      </c>
      <c r="C1698" s="1" t="s">
        <v>44</v>
      </c>
      <c r="D1698">
        <v>12659</v>
      </c>
      <c r="E1698" t="s">
        <v>12</v>
      </c>
      <c r="F1698" t="s">
        <v>51</v>
      </c>
      <c r="G1698">
        <v>8</v>
      </c>
      <c r="H1698">
        <v>13</v>
      </c>
      <c r="I1698" t="s">
        <v>45</v>
      </c>
      <c r="J1698" cm="1">
        <f t="array" ref="J1698">IFERROR(
    _xlfn.XLOOKUP(G1698, 'Wedgewood Pharm-GA-Yr2-2025'!$E$106:$L$106,
        _xlfn.XLOOKUP('Rate Load'!H1698, 'Wedgewood Pharm-GA-Yr2-2025'!$D$123:$D$152,
            'Wedgewood Pharm-GA-Yr2-2025'!$E$123:$L$152, 0, 0),
        0, 0),
    _xlfn.XLOOKUP(G1698, 'Wedgewood Pharm-GA-Yr2-2025'!$E$106:$L$106,
        _xlfn.XLOOKUP('Rate Load'!L1698, 'Wedgewood Pharm-GA-Yr2-2025'!$D$123:$D$152,
            'Wedgewood Pharm-GA-Yr2-2025'!$E$123:$L$152, 0, 0),
        0, 0)
)</f>
        <v>16.89</v>
      </c>
      <c r="K1698" t="s">
        <v>46</v>
      </c>
      <c r="L1698" t="s">
        <v>13</v>
      </c>
      <c r="M1698">
        <v>3</v>
      </c>
      <c r="N1698" t="str">
        <f t="shared" si="26"/>
        <v>INSERT INTO TNL_RATING.dbo.usps_rate_master VALUES ('USPS', '2/13/2025', '2/13/2026', 12659, 'US', 'USPS Ground Advantage', 8, 13, 'L', 16.89, 'Wedgewood_USPS_2025', 'NonCubic','3');</v>
      </c>
    </row>
    <row r="1699" spans="1:14" x14ac:dyDescent="0.3">
      <c r="A1699" t="s">
        <v>11</v>
      </c>
      <c r="B1699" s="1" t="s">
        <v>43</v>
      </c>
      <c r="C1699" s="1" t="s">
        <v>44</v>
      </c>
      <c r="D1699">
        <v>12659</v>
      </c>
      <c r="E1699" t="s">
        <v>12</v>
      </c>
      <c r="F1699" t="s">
        <v>51</v>
      </c>
      <c r="G1699">
        <v>8</v>
      </c>
      <c r="H1699">
        <v>14</v>
      </c>
      <c r="I1699" t="s">
        <v>45</v>
      </c>
      <c r="J1699" cm="1">
        <f t="array" ref="J1699">IFERROR(
    _xlfn.XLOOKUP(G1699, 'Wedgewood Pharm-GA-Yr2-2025'!$E$106:$L$106,
        _xlfn.XLOOKUP('Rate Load'!H1699, 'Wedgewood Pharm-GA-Yr2-2025'!$D$123:$D$152,
            'Wedgewood Pharm-GA-Yr2-2025'!$E$123:$L$152, 0, 0),
        0, 0),
    _xlfn.XLOOKUP(G1699, 'Wedgewood Pharm-GA-Yr2-2025'!$E$106:$L$106,
        _xlfn.XLOOKUP('Rate Load'!L1699, 'Wedgewood Pharm-GA-Yr2-2025'!$D$123:$D$152,
            'Wedgewood Pharm-GA-Yr2-2025'!$E$123:$L$152, 0, 0),
        0, 0)
)</f>
        <v>17.96</v>
      </c>
      <c r="K1699" t="s">
        <v>46</v>
      </c>
      <c r="L1699" t="s">
        <v>13</v>
      </c>
      <c r="M1699">
        <v>3</v>
      </c>
      <c r="N1699" t="str">
        <f t="shared" si="26"/>
        <v>INSERT INTO TNL_RATING.dbo.usps_rate_master VALUES ('USPS', '2/13/2025', '2/13/2026', 12659, 'US', 'USPS Ground Advantage', 8, 14, 'L', 17.96, 'Wedgewood_USPS_2025', 'NonCubic','3');</v>
      </c>
    </row>
    <row r="1700" spans="1:14" x14ac:dyDescent="0.3">
      <c r="A1700" t="s">
        <v>11</v>
      </c>
      <c r="B1700" s="1" t="s">
        <v>43</v>
      </c>
      <c r="C1700" s="1" t="s">
        <v>44</v>
      </c>
      <c r="D1700">
        <v>12659</v>
      </c>
      <c r="E1700" t="s">
        <v>12</v>
      </c>
      <c r="F1700" t="s">
        <v>51</v>
      </c>
      <c r="G1700">
        <v>8</v>
      </c>
      <c r="H1700">
        <v>15</v>
      </c>
      <c r="I1700" t="s">
        <v>45</v>
      </c>
      <c r="J1700" cm="1">
        <f t="array" ref="J1700">IFERROR(
    _xlfn.XLOOKUP(G1700, 'Wedgewood Pharm-GA-Yr2-2025'!$E$106:$L$106,
        _xlfn.XLOOKUP('Rate Load'!H1700, 'Wedgewood Pharm-GA-Yr2-2025'!$D$123:$D$152,
            'Wedgewood Pharm-GA-Yr2-2025'!$E$123:$L$152, 0, 0),
        0, 0),
    _xlfn.XLOOKUP(G1700, 'Wedgewood Pharm-GA-Yr2-2025'!$E$106:$L$106,
        _xlfn.XLOOKUP('Rate Load'!L1700, 'Wedgewood Pharm-GA-Yr2-2025'!$D$123:$D$152,
            'Wedgewood Pharm-GA-Yr2-2025'!$E$123:$L$152, 0, 0),
        0, 0)
)</f>
        <v>19.060000000000002</v>
      </c>
      <c r="K1700" t="s">
        <v>46</v>
      </c>
      <c r="L1700" t="s">
        <v>13</v>
      </c>
      <c r="M1700">
        <v>3</v>
      </c>
      <c r="N1700" t="str">
        <f t="shared" si="26"/>
        <v>INSERT INTO TNL_RATING.dbo.usps_rate_master VALUES ('USPS', '2/13/2025', '2/13/2026', 12659, 'US', 'USPS Ground Advantage', 8, 15, 'L', 19.06, 'Wedgewood_USPS_2025', 'NonCubic','3');</v>
      </c>
    </row>
    <row r="1701" spans="1:14" x14ac:dyDescent="0.3">
      <c r="A1701" t="s">
        <v>11</v>
      </c>
      <c r="B1701" s="1" t="s">
        <v>43</v>
      </c>
      <c r="C1701" s="1" t="s">
        <v>44</v>
      </c>
      <c r="D1701">
        <v>12659</v>
      </c>
      <c r="E1701" t="s">
        <v>12</v>
      </c>
      <c r="F1701" t="s">
        <v>51</v>
      </c>
      <c r="G1701">
        <v>8</v>
      </c>
      <c r="H1701">
        <v>16</v>
      </c>
      <c r="I1701" t="s">
        <v>45</v>
      </c>
      <c r="J1701" cm="1">
        <f t="array" ref="J1701">IFERROR(
    _xlfn.XLOOKUP(G1701, 'Wedgewood Pharm-GA-Yr2-2025'!$E$106:$L$106,
        _xlfn.XLOOKUP('Rate Load'!H1701, 'Wedgewood Pharm-GA-Yr2-2025'!$D$123:$D$152,
            'Wedgewood Pharm-GA-Yr2-2025'!$E$123:$L$152, 0, 0),
        0, 0),
    _xlfn.XLOOKUP(G1701, 'Wedgewood Pharm-GA-Yr2-2025'!$E$106:$L$106,
        _xlfn.XLOOKUP('Rate Load'!L1701, 'Wedgewood Pharm-GA-Yr2-2025'!$D$123:$D$152,
            'Wedgewood Pharm-GA-Yr2-2025'!$E$123:$L$152, 0, 0),
        0, 0)
)</f>
        <v>19.75</v>
      </c>
      <c r="K1701" t="s">
        <v>46</v>
      </c>
      <c r="L1701" t="s">
        <v>13</v>
      </c>
      <c r="M1701">
        <v>3</v>
      </c>
      <c r="N1701" t="str">
        <f t="shared" si="26"/>
        <v>INSERT INTO TNL_RATING.dbo.usps_rate_master VALUES ('USPS', '2/13/2025', '2/13/2026', 12659, 'US', 'USPS Ground Advantage', 8, 16, 'L', 19.75, 'Wedgewood_USPS_2025', 'NonCubic','3');</v>
      </c>
    </row>
    <row r="1702" spans="1:14" x14ac:dyDescent="0.3">
      <c r="A1702" t="s">
        <v>11</v>
      </c>
      <c r="B1702" s="1" t="s">
        <v>43</v>
      </c>
      <c r="C1702" s="1" t="s">
        <v>44</v>
      </c>
      <c r="D1702">
        <v>12659</v>
      </c>
      <c r="E1702" t="s">
        <v>12</v>
      </c>
      <c r="F1702" t="s">
        <v>51</v>
      </c>
      <c r="G1702">
        <v>8</v>
      </c>
      <c r="H1702">
        <v>17</v>
      </c>
      <c r="I1702" t="s">
        <v>45</v>
      </c>
      <c r="J1702" cm="1">
        <f t="array" ref="J1702">IFERROR(
    _xlfn.XLOOKUP(G1702, 'Wedgewood Pharm-GA-Yr2-2025'!$E$106:$L$106,
        _xlfn.XLOOKUP('Rate Load'!H1702, 'Wedgewood Pharm-GA-Yr2-2025'!$D$123:$D$152,
            'Wedgewood Pharm-GA-Yr2-2025'!$E$123:$L$152, 0, 0),
        0, 0),
    _xlfn.XLOOKUP(G1702, 'Wedgewood Pharm-GA-Yr2-2025'!$E$106:$L$106,
        _xlfn.XLOOKUP('Rate Load'!L1702, 'Wedgewood Pharm-GA-Yr2-2025'!$D$123:$D$152,
            'Wedgewood Pharm-GA-Yr2-2025'!$E$123:$L$152, 0, 0),
        0, 0)
)</f>
        <v>20.48</v>
      </c>
      <c r="K1702" t="s">
        <v>46</v>
      </c>
      <c r="L1702" t="s">
        <v>13</v>
      </c>
      <c r="M1702">
        <v>3</v>
      </c>
      <c r="N1702" t="str">
        <f t="shared" si="26"/>
        <v>INSERT INTO TNL_RATING.dbo.usps_rate_master VALUES ('USPS', '2/13/2025', '2/13/2026', 12659, 'US', 'USPS Ground Advantage', 8, 17, 'L', 20.48, 'Wedgewood_USPS_2025', 'NonCubic','3');</v>
      </c>
    </row>
    <row r="1703" spans="1:14" x14ac:dyDescent="0.3">
      <c r="A1703" t="s">
        <v>11</v>
      </c>
      <c r="B1703" s="1" t="s">
        <v>43</v>
      </c>
      <c r="C1703" s="1" t="s">
        <v>44</v>
      </c>
      <c r="D1703">
        <v>12659</v>
      </c>
      <c r="E1703" t="s">
        <v>12</v>
      </c>
      <c r="F1703" t="s">
        <v>51</v>
      </c>
      <c r="G1703">
        <v>8</v>
      </c>
      <c r="H1703">
        <v>18</v>
      </c>
      <c r="I1703" t="s">
        <v>45</v>
      </c>
      <c r="J1703" cm="1">
        <f t="array" ref="J1703">IFERROR(
    _xlfn.XLOOKUP(G1703, 'Wedgewood Pharm-GA-Yr2-2025'!$E$106:$L$106,
        _xlfn.XLOOKUP('Rate Load'!H1703, 'Wedgewood Pharm-GA-Yr2-2025'!$D$123:$D$152,
            'Wedgewood Pharm-GA-Yr2-2025'!$E$123:$L$152, 0, 0),
        0, 0),
    _xlfn.XLOOKUP(G1703, 'Wedgewood Pharm-GA-Yr2-2025'!$E$106:$L$106,
        _xlfn.XLOOKUP('Rate Load'!L1703, 'Wedgewood Pharm-GA-Yr2-2025'!$D$123:$D$152,
            'Wedgewood Pharm-GA-Yr2-2025'!$E$123:$L$152, 0, 0),
        0, 0)
)</f>
        <v>21.630000000000003</v>
      </c>
      <c r="K1703" t="s">
        <v>46</v>
      </c>
      <c r="L1703" t="s">
        <v>13</v>
      </c>
      <c r="M1703">
        <v>3</v>
      </c>
      <c r="N1703" t="str">
        <f t="shared" si="26"/>
        <v>INSERT INTO TNL_RATING.dbo.usps_rate_master VALUES ('USPS', '2/13/2025', '2/13/2026', 12659, 'US', 'USPS Ground Advantage', 8, 18, 'L', 21.63, 'Wedgewood_USPS_2025', 'NonCubic','3');</v>
      </c>
    </row>
    <row r="1704" spans="1:14" x14ac:dyDescent="0.3">
      <c r="A1704" t="s">
        <v>11</v>
      </c>
      <c r="B1704" s="1" t="s">
        <v>43</v>
      </c>
      <c r="C1704" s="1" t="s">
        <v>44</v>
      </c>
      <c r="D1704">
        <v>12659</v>
      </c>
      <c r="E1704" t="s">
        <v>12</v>
      </c>
      <c r="F1704" t="s">
        <v>51</v>
      </c>
      <c r="G1704">
        <v>8</v>
      </c>
      <c r="H1704">
        <v>19</v>
      </c>
      <c r="I1704" t="s">
        <v>45</v>
      </c>
      <c r="J1704" cm="1">
        <f t="array" ref="J1704">IFERROR(
    _xlfn.XLOOKUP(G1704, 'Wedgewood Pharm-GA-Yr2-2025'!$E$106:$L$106,
        _xlfn.XLOOKUP('Rate Load'!H1704, 'Wedgewood Pharm-GA-Yr2-2025'!$D$123:$D$152,
            'Wedgewood Pharm-GA-Yr2-2025'!$E$123:$L$152, 0, 0),
        0, 0),
    _xlfn.XLOOKUP(G1704, 'Wedgewood Pharm-GA-Yr2-2025'!$E$106:$L$106,
        _xlfn.XLOOKUP('Rate Load'!L1704, 'Wedgewood Pharm-GA-Yr2-2025'!$D$123:$D$152,
            'Wedgewood Pharm-GA-Yr2-2025'!$E$123:$L$152, 0, 0),
        0, 0)
)</f>
        <v>22.540000000000003</v>
      </c>
      <c r="K1704" t="s">
        <v>46</v>
      </c>
      <c r="L1704" t="s">
        <v>13</v>
      </c>
      <c r="M1704">
        <v>3</v>
      </c>
      <c r="N1704" t="str">
        <f t="shared" si="26"/>
        <v>INSERT INTO TNL_RATING.dbo.usps_rate_master VALUES ('USPS', '2/13/2025', '2/13/2026', 12659, 'US', 'USPS Ground Advantage', 8, 19, 'L', 22.54, 'Wedgewood_USPS_2025', 'NonCubic','3');</v>
      </c>
    </row>
    <row r="1705" spans="1:14" x14ac:dyDescent="0.3">
      <c r="A1705" t="s">
        <v>11</v>
      </c>
      <c r="B1705" s="1" t="s">
        <v>43</v>
      </c>
      <c r="C1705" s="1" t="s">
        <v>44</v>
      </c>
      <c r="D1705">
        <v>12659</v>
      </c>
      <c r="E1705" t="s">
        <v>12</v>
      </c>
      <c r="F1705" t="s">
        <v>51</v>
      </c>
      <c r="G1705">
        <v>8</v>
      </c>
      <c r="H1705">
        <v>20</v>
      </c>
      <c r="I1705" t="s">
        <v>45</v>
      </c>
      <c r="J1705" cm="1">
        <f t="array" ref="J1705">IFERROR(
    _xlfn.XLOOKUP(G1705, 'Wedgewood Pharm-GA-Yr2-2025'!$E$106:$L$106,
        _xlfn.XLOOKUP('Rate Load'!H1705, 'Wedgewood Pharm-GA-Yr2-2025'!$D$123:$D$152,
            'Wedgewood Pharm-GA-Yr2-2025'!$E$123:$L$152, 0, 0),
        0, 0),
    _xlfn.XLOOKUP(G1705, 'Wedgewood Pharm-GA-Yr2-2025'!$E$106:$L$106,
        _xlfn.XLOOKUP('Rate Load'!L1705, 'Wedgewood Pharm-GA-Yr2-2025'!$D$123:$D$152,
            'Wedgewood Pharm-GA-Yr2-2025'!$E$123:$L$152, 0, 0),
        0, 0)
)</f>
        <v>23.580000000000002</v>
      </c>
      <c r="K1705" t="s">
        <v>46</v>
      </c>
      <c r="L1705" t="s">
        <v>13</v>
      </c>
      <c r="M1705">
        <v>3</v>
      </c>
      <c r="N1705" t="str">
        <f t="shared" si="26"/>
        <v>INSERT INTO TNL_RATING.dbo.usps_rate_master VALUES ('USPS', '2/13/2025', '2/13/2026', 12659, 'US', 'USPS Ground Advantage', 8, 20, 'L', 23.58, 'Wedgewood_USPS_2025', 'NonCubic','3');</v>
      </c>
    </row>
    <row r="1706" spans="1:14" x14ac:dyDescent="0.3">
      <c r="A1706" t="s">
        <v>11</v>
      </c>
      <c r="B1706" s="1" t="s">
        <v>43</v>
      </c>
      <c r="C1706" s="1" t="s">
        <v>44</v>
      </c>
      <c r="D1706">
        <v>12659</v>
      </c>
      <c r="E1706" t="s">
        <v>12</v>
      </c>
      <c r="F1706" t="s">
        <v>51</v>
      </c>
      <c r="G1706">
        <v>1</v>
      </c>
      <c r="H1706">
        <v>1</v>
      </c>
      <c r="I1706" t="s">
        <v>52</v>
      </c>
      <c r="J1706" cm="1">
        <f t="array" ref="J1706">IFERROR(
    _xlfn.XLOOKUP(G1706, 'Wedgewood Pharm-GA-Yr2-2025'!$E$4:$L$4,
        _xlfn.XLOOKUP('Rate Load'!H1706, 'Wedgewood Pharm-GA-Yr2-2025'!$D$5:$D$20,
            'Wedgewood Pharm-GA-Yr2-2025'!$E$5:$L$20, 0, 0),
        0, 0),
    _xlfn.XLOOKUP(G1706, 'Wedgewood Pharm-GA-Yr2-2025'!$E$4:$L$4,
        _xlfn.XLOOKUP('Rate Load'!L1706, 'Wedgewood Pharm-GA-Yr2-2025'!$D$5:$D$20,
            'Wedgewood Pharm-GA-Yr2-2025'!$E$5:$L$20, 0, 0),
        0, 0)
)</f>
        <v>3.3499999999999996</v>
      </c>
      <c r="K1706" t="s">
        <v>46</v>
      </c>
      <c r="L1706" t="s">
        <v>13</v>
      </c>
      <c r="M1706">
        <v>1</v>
      </c>
      <c r="N1706" t="str">
        <f t="shared" si="26"/>
        <v>INSERT INTO TNL_RATING.dbo.usps_rate_master VALUES ('USPS', '2/13/2025', '2/13/2026', 12659, 'US', 'USPS Ground Advantage', 1, 1, 'O', 3.35, 'Wedgewood_USPS_2025', 'NonCubic','1');</v>
      </c>
    </row>
    <row r="1707" spans="1:14" x14ac:dyDescent="0.3">
      <c r="A1707" t="s">
        <v>11</v>
      </c>
      <c r="B1707" s="1" t="s">
        <v>43</v>
      </c>
      <c r="C1707" s="1" t="s">
        <v>44</v>
      </c>
      <c r="D1707">
        <v>12659</v>
      </c>
      <c r="E1707" t="s">
        <v>12</v>
      </c>
      <c r="F1707" t="s">
        <v>51</v>
      </c>
      <c r="G1707">
        <v>1</v>
      </c>
      <c r="H1707">
        <v>2</v>
      </c>
      <c r="I1707" t="s">
        <v>52</v>
      </c>
      <c r="J1707" cm="1">
        <f t="array" ref="J1707">IFERROR(
    _xlfn.XLOOKUP(G1707, 'Wedgewood Pharm-GA-Yr2-2025'!$E$4:$L$4,
        _xlfn.XLOOKUP('Rate Load'!H1707, 'Wedgewood Pharm-GA-Yr2-2025'!$D$5:$D$20,
            'Wedgewood Pharm-GA-Yr2-2025'!$E$5:$L$20, 0, 0),
        0, 0),
    _xlfn.XLOOKUP(G1707, 'Wedgewood Pharm-GA-Yr2-2025'!$E$4:$L$4,
        _xlfn.XLOOKUP('Rate Load'!L1707, 'Wedgewood Pharm-GA-Yr2-2025'!$D$5:$D$20,
            'Wedgewood Pharm-GA-Yr2-2025'!$E$5:$L$20, 0, 0),
        0, 0)
)</f>
        <v>3.3499999999999996</v>
      </c>
      <c r="K1707" t="s">
        <v>46</v>
      </c>
      <c r="L1707" t="s">
        <v>13</v>
      </c>
      <c r="M1707">
        <v>1</v>
      </c>
      <c r="N1707" t="str">
        <f t="shared" si="26"/>
        <v>INSERT INTO TNL_RATING.dbo.usps_rate_master VALUES ('USPS', '2/13/2025', '2/13/2026', 12659, 'US', 'USPS Ground Advantage', 1, 2, 'O', 3.35, 'Wedgewood_USPS_2025', 'NonCubic','1');</v>
      </c>
    </row>
    <row r="1708" spans="1:14" x14ac:dyDescent="0.3">
      <c r="A1708" t="s">
        <v>11</v>
      </c>
      <c r="B1708" s="1" t="s">
        <v>43</v>
      </c>
      <c r="C1708" s="1" t="s">
        <v>44</v>
      </c>
      <c r="D1708">
        <v>12659</v>
      </c>
      <c r="E1708" t="s">
        <v>12</v>
      </c>
      <c r="F1708" t="s">
        <v>51</v>
      </c>
      <c r="G1708">
        <v>1</v>
      </c>
      <c r="H1708">
        <v>3</v>
      </c>
      <c r="I1708" t="s">
        <v>52</v>
      </c>
      <c r="J1708" cm="1">
        <f t="array" ref="J1708">IFERROR(
    _xlfn.XLOOKUP(G1708, 'Wedgewood Pharm-GA-Yr2-2025'!$E$4:$L$4,
        _xlfn.XLOOKUP('Rate Load'!H1708, 'Wedgewood Pharm-GA-Yr2-2025'!$D$5:$D$20,
            'Wedgewood Pharm-GA-Yr2-2025'!$E$5:$L$20, 0, 0),
        0, 0),
    _xlfn.XLOOKUP(G1708, 'Wedgewood Pharm-GA-Yr2-2025'!$E$4:$L$4,
        _xlfn.XLOOKUP('Rate Load'!L1708, 'Wedgewood Pharm-GA-Yr2-2025'!$D$5:$D$20,
            'Wedgewood Pharm-GA-Yr2-2025'!$E$5:$L$20, 0, 0),
        0, 0)
)</f>
        <v>3.3499999999999996</v>
      </c>
      <c r="K1708" t="s">
        <v>46</v>
      </c>
      <c r="L1708" t="s">
        <v>13</v>
      </c>
      <c r="M1708">
        <v>1</v>
      </c>
      <c r="N1708" t="str">
        <f t="shared" si="26"/>
        <v>INSERT INTO TNL_RATING.dbo.usps_rate_master VALUES ('USPS', '2/13/2025', '2/13/2026', 12659, 'US', 'USPS Ground Advantage', 1, 3, 'O', 3.35, 'Wedgewood_USPS_2025', 'NonCubic','1');</v>
      </c>
    </row>
    <row r="1709" spans="1:14" x14ac:dyDescent="0.3">
      <c r="A1709" t="s">
        <v>11</v>
      </c>
      <c r="B1709" s="1" t="s">
        <v>43</v>
      </c>
      <c r="C1709" s="1" t="s">
        <v>44</v>
      </c>
      <c r="D1709">
        <v>12659</v>
      </c>
      <c r="E1709" t="s">
        <v>12</v>
      </c>
      <c r="F1709" t="s">
        <v>51</v>
      </c>
      <c r="G1709">
        <v>1</v>
      </c>
      <c r="H1709">
        <v>4</v>
      </c>
      <c r="I1709" t="s">
        <v>52</v>
      </c>
      <c r="J1709" cm="1">
        <f t="array" ref="J1709">IFERROR(
    _xlfn.XLOOKUP(G1709, 'Wedgewood Pharm-GA-Yr2-2025'!$E$4:$L$4,
        _xlfn.XLOOKUP('Rate Load'!H1709, 'Wedgewood Pharm-GA-Yr2-2025'!$D$5:$D$20,
            'Wedgewood Pharm-GA-Yr2-2025'!$E$5:$L$20, 0, 0),
        0, 0),
    _xlfn.XLOOKUP(G1709, 'Wedgewood Pharm-GA-Yr2-2025'!$E$4:$L$4,
        _xlfn.XLOOKUP('Rate Load'!L1709, 'Wedgewood Pharm-GA-Yr2-2025'!$D$5:$D$20,
            'Wedgewood Pharm-GA-Yr2-2025'!$E$5:$L$20, 0, 0),
        0, 0)
)</f>
        <v>3.3499999999999996</v>
      </c>
      <c r="K1709" t="s">
        <v>46</v>
      </c>
      <c r="L1709" t="s">
        <v>13</v>
      </c>
      <c r="M1709">
        <v>1</v>
      </c>
      <c r="N1709" t="str">
        <f t="shared" si="26"/>
        <v>INSERT INTO TNL_RATING.dbo.usps_rate_master VALUES ('USPS', '2/13/2025', '2/13/2026', 12659, 'US', 'USPS Ground Advantage', 1, 4, 'O', 3.35, 'Wedgewood_USPS_2025', 'NonCubic','1');</v>
      </c>
    </row>
    <row r="1710" spans="1:14" x14ac:dyDescent="0.3">
      <c r="A1710" t="s">
        <v>11</v>
      </c>
      <c r="B1710" s="1" t="s">
        <v>43</v>
      </c>
      <c r="C1710" s="1" t="s">
        <v>44</v>
      </c>
      <c r="D1710">
        <v>12659</v>
      </c>
      <c r="E1710" t="s">
        <v>12</v>
      </c>
      <c r="F1710" t="s">
        <v>51</v>
      </c>
      <c r="G1710">
        <v>1</v>
      </c>
      <c r="H1710">
        <v>5</v>
      </c>
      <c r="I1710" t="s">
        <v>52</v>
      </c>
      <c r="J1710" cm="1">
        <f t="array" ref="J1710">IFERROR(
    _xlfn.XLOOKUP(G1710, 'Wedgewood Pharm-GA-Yr2-2025'!$E$4:$L$4,
        _xlfn.XLOOKUP('Rate Load'!H1710, 'Wedgewood Pharm-GA-Yr2-2025'!$D$5:$D$20,
            'Wedgewood Pharm-GA-Yr2-2025'!$E$5:$L$20, 0, 0),
        0, 0),
    _xlfn.XLOOKUP(G1710, 'Wedgewood Pharm-GA-Yr2-2025'!$E$4:$L$4,
        _xlfn.XLOOKUP('Rate Load'!L1710, 'Wedgewood Pharm-GA-Yr2-2025'!$D$5:$D$20,
            'Wedgewood Pharm-GA-Yr2-2025'!$E$5:$L$20, 0, 0),
        0, 0)
)</f>
        <v>4.1099999999999994</v>
      </c>
      <c r="K1710" t="s">
        <v>46</v>
      </c>
      <c r="L1710" t="s">
        <v>13</v>
      </c>
      <c r="M1710">
        <v>1</v>
      </c>
      <c r="N1710" t="str">
        <f t="shared" si="26"/>
        <v>INSERT INTO TNL_RATING.dbo.usps_rate_master VALUES ('USPS', '2/13/2025', '2/13/2026', 12659, 'US', 'USPS Ground Advantage', 1, 5, 'O', 4.11, 'Wedgewood_USPS_2025', 'NonCubic','1');</v>
      </c>
    </row>
    <row r="1711" spans="1:14" x14ac:dyDescent="0.3">
      <c r="A1711" t="s">
        <v>11</v>
      </c>
      <c r="B1711" s="1" t="s">
        <v>43</v>
      </c>
      <c r="C1711" s="1" t="s">
        <v>44</v>
      </c>
      <c r="D1711">
        <v>12659</v>
      </c>
      <c r="E1711" t="s">
        <v>12</v>
      </c>
      <c r="F1711" t="s">
        <v>51</v>
      </c>
      <c r="G1711">
        <v>1</v>
      </c>
      <c r="H1711">
        <v>6</v>
      </c>
      <c r="I1711" t="s">
        <v>52</v>
      </c>
      <c r="J1711" cm="1">
        <f t="array" ref="J1711">IFERROR(
    _xlfn.XLOOKUP(G1711, 'Wedgewood Pharm-GA-Yr2-2025'!$E$4:$L$4,
        _xlfn.XLOOKUP('Rate Load'!H1711, 'Wedgewood Pharm-GA-Yr2-2025'!$D$5:$D$20,
            'Wedgewood Pharm-GA-Yr2-2025'!$E$5:$L$20, 0, 0),
        0, 0),
    _xlfn.XLOOKUP(G1711, 'Wedgewood Pharm-GA-Yr2-2025'!$E$4:$L$4,
        _xlfn.XLOOKUP('Rate Load'!L1711, 'Wedgewood Pharm-GA-Yr2-2025'!$D$5:$D$20,
            'Wedgewood Pharm-GA-Yr2-2025'!$E$5:$L$20, 0, 0),
        0, 0)
)</f>
        <v>4.1099999999999994</v>
      </c>
      <c r="K1711" t="s">
        <v>46</v>
      </c>
      <c r="L1711" t="s">
        <v>13</v>
      </c>
      <c r="M1711">
        <v>1</v>
      </c>
      <c r="N1711" t="str">
        <f t="shared" si="26"/>
        <v>INSERT INTO TNL_RATING.dbo.usps_rate_master VALUES ('USPS', '2/13/2025', '2/13/2026', 12659, 'US', 'USPS Ground Advantage', 1, 6, 'O', 4.11, 'Wedgewood_USPS_2025', 'NonCubic','1');</v>
      </c>
    </row>
    <row r="1712" spans="1:14" x14ac:dyDescent="0.3">
      <c r="A1712" t="s">
        <v>11</v>
      </c>
      <c r="B1712" s="1" t="s">
        <v>43</v>
      </c>
      <c r="C1712" s="1" t="s">
        <v>44</v>
      </c>
      <c r="D1712">
        <v>12659</v>
      </c>
      <c r="E1712" t="s">
        <v>12</v>
      </c>
      <c r="F1712" t="s">
        <v>51</v>
      </c>
      <c r="G1712">
        <v>1</v>
      </c>
      <c r="H1712">
        <v>7</v>
      </c>
      <c r="I1712" t="s">
        <v>52</v>
      </c>
      <c r="J1712" cm="1">
        <f t="array" ref="J1712">IFERROR(
    _xlfn.XLOOKUP(G1712, 'Wedgewood Pharm-GA-Yr2-2025'!$E$4:$L$4,
        _xlfn.XLOOKUP('Rate Load'!H1712, 'Wedgewood Pharm-GA-Yr2-2025'!$D$5:$D$20,
            'Wedgewood Pharm-GA-Yr2-2025'!$E$5:$L$20, 0, 0),
        0, 0),
    _xlfn.XLOOKUP(G1712, 'Wedgewood Pharm-GA-Yr2-2025'!$E$4:$L$4,
        _xlfn.XLOOKUP('Rate Load'!L1712, 'Wedgewood Pharm-GA-Yr2-2025'!$D$5:$D$20,
            'Wedgewood Pharm-GA-Yr2-2025'!$E$5:$L$20, 0, 0),
        0, 0)
)</f>
        <v>4.1099999999999994</v>
      </c>
      <c r="K1712" t="s">
        <v>46</v>
      </c>
      <c r="L1712" t="s">
        <v>13</v>
      </c>
      <c r="M1712">
        <v>1</v>
      </c>
      <c r="N1712" t="str">
        <f t="shared" si="26"/>
        <v>INSERT INTO TNL_RATING.dbo.usps_rate_master VALUES ('USPS', '2/13/2025', '2/13/2026', 12659, 'US', 'USPS Ground Advantage', 1, 7, 'O', 4.11, 'Wedgewood_USPS_2025', 'NonCubic','1');</v>
      </c>
    </row>
    <row r="1713" spans="1:14" x14ac:dyDescent="0.3">
      <c r="A1713" t="s">
        <v>11</v>
      </c>
      <c r="B1713" s="1" t="s">
        <v>43</v>
      </c>
      <c r="C1713" s="1" t="s">
        <v>44</v>
      </c>
      <c r="D1713">
        <v>12659</v>
      </c>
      <c r="E1713" t="s">
        <v>12</v>
      </c>
      <c r="F1713" t="s">
        <v>51</v>
      </c>
      <c r="G1713">
        <v>1</v>
      </c>
      <c r="H1713">
        <v>8</v>
      </c>
      <c r="I1713" t="s">
        <v>52</v>
      </c>
      <c r="J1713" cm="1">
        <f t="array" ref="J1713">IFERROR(
    _xlfn.XLOOKUP(G1713, 'Wedgewood Pharm-GA-Yr2-2025'!$E$4:$L$4,
        _xlfn.XLOOKUP('Rate Load'!H1713, 'Wedgewood Pharm-GA-Yr2-2025'!$D$5:$D$20,
            'Wedgewood Pharm-GA-Yr2-2025'!$E$5:$L$20, 0, 0),
        0, 0),
    _xlfn.XLOOKUP(G1713, 'Wedgewood Pharm-GA-Yr2-2025'!$E$4:$L$4,
        _xlfn.XLOOKUP('Rate Load'!L1713, 'Wedgewood Pharm-GA-Yr2-2025'!$D$5:$D$20,
            'Wedgewood Pharm-GA-Yr2-2025'!$E$5:$L$20, 0, 0),
        0, 0)
)</f>
        <v>4.1099999999999994</v>
      </c>
      <c r="K1713" t="s">
        <v>46</v>
      </c>
      <c r="L1713" t="s">
        <v>13</v>
      </c>
      <c r="M1713">
        <v>1</v>
      </c>
      <c r="N1713" t="str">
        <f t="shared" si="26"/>
        <v>INSERT INTO TNL_RATING.dbo.usps_rate_master VALUES ('USPS', '2/13/2025', '2/13/2026', 12659, 'US', 'USPS Ground Advantage', 1, 8, 'O', 4.11, 'Wedgewood_USPS_2025', 'NonCubic','1');</v>
      </c>
    </row>
    <row r="1714" spans="1:14" x14ac:dyDescent="0.3">
      <c r="A1714" t="s">
        <v>11</v>
      </c>
      <c r="B1714" s="1" t="s">
        <v>43</v>
      </c>
      <c r="C1714" s="1" t="s">
        <v>44</v>
      </c>
      <c r="D1714">
        <v>12659</v>
      </c>
      <c r="E1714" t="s">
        <v>12</v>
      </c>
      <c r="F1714" t="s">
        <v>51</v>
      </c>
      <c r="G1714">
        <v>1</v>
      </c>
      <c r="H1714">
        <v>9</v>
      </c>
      <c r="I1714" t="s">
        <v>52</v>
      </c>
      <c r="J1714" cm="1">
        <f t="array" ref="J1714">IFERROR(
    _xlfn.XLOOKUP(G1714, 'Wedgewood Pharm-GA-Yr2-2025'!$E$4:$L$4,
        _xlfn.XLOOKUP('Rate Load'!H1714, 'Wedgewood Pharm-GA-Yr2-2025'!$D$5:$D$20,
            'Wedgewood Pharm-GA-Yr2-2025'!$E$5:$L$20, 0, 0),
        0, 0),
    _xlfn.XLOOKUP(G1714, 'Wedgewood Pharm-GA-Yr2-2025'!$E$4:$L$4,
        _xlfn.XLOOKUP('Rate Load'!L1714, 'Wedgewood Pharm-GA-Yr2-2025'!$D$5:$D$20,
            'Wedgewood Pharm-GA-Yr2-2025'!$E$5:$L$20, 0, 0),
        0, 0)
)</f>
        <v>4.7299999999999995</v>
      </c>
      <c r="K1714" t="s">
        <v>46</v>
      </c>
      <c r="L1714" t="s">
        <v>13</v>
      </c>
      <c r="M1714">
        <v>1</v>
      </c>
      <c r="N1714" t="str">
        <f t="shared" si="26"/>
        <v>INSERT INTO TNL_RATING.dbo.usps_rate_master VALUES ('USPS', '2/13/2025', '2/13/2026', 12659, 'US', 'USPS Ground Advantage', 1, 9, 'O', 4.73, 'Wedgewood_USPS_2025', 'NonCubic','1');</v>
      </c>
    </row>
    <row r="1715" spans="1:14" x14ac:dyDescent="0.3">
      <c r="A1715" t="s">
        <v>11</v>
      </c>
      <c r="B1715" s="1" t="s">
        <v>43</v>
      </c>
      <c r="C1715" s="1" t="s">
        <v>44</v>
      </c>
      <c r="D1715">
        <v>12659</v>
      </c>
      <c r="E1715" t="s">
        <v>12</v>
      </c>
      <c r="F1715" t="s">
        <v>51</v>
      </c>
      <c r="G1715">
        <v>1</v>
      </c>
      <c r="H1715">
        <v>10</v>
      </c>
      <c r="I1715" t="s">
        <v>52</v>
      </c>
      <c r="J1715" cm="1">
        <f t="array" ref="J1715">IFERROR(
    _xlfn.XLOOKUP(G1715, 'Wedgewood Pharm-GA-Yr2-2025'!$E$4:$L$4,
        _xlfn.XLOOKUP('Rate Load'!H1715, 'Wedgewood Pharm-GA-Yr2-2025'!$D$5:$D$20,
            'Wedgewood Pharm-GA-Yr2-2025'!$E$5:$L$20, 0, 0),
        0, 0),
    _xlfn.XLOOKUP(G1715, 'Wedgewood Pharm-GA-Yr2-2025'!$E$4:$L$4,
        _xlfn.XLOOKUP('Rate Load'!L1715, 'Wedgewood Pharm-GA-Yr2-2025'!$D$5:$D$20,
            'Wedgewood Pharm-GA-Yr2-2025'!$E$5:$L$20, 0, 0),
        0, 0)
)</f>
        <v>4.7299999999999995</v>
      </c>
      <c r="K1715" t="s">
        <v>46</v>
      </c>
      <c r="L1715" t="s">
        <v>13</v>
      </c>
      <c r="M1715">
        <v>1</v>
      </c>
      <c r="N1715" t="str">
        <f t="shared" si="26"/>
        <v>INSERT INTO TNL_RATING.dbo.usps_rate_master VALUES ('USPS', '2/13/2025', '2/13/2026', 12659, 'US', 'USPS Ground Advantage', 1, 10, 'O', 4.73, 'Wedgewood_USPS_2025', 'NonCubic','1');</v>
      </c>
    </row>
    <row r="1716" spans="1:14" x14ac:dyDescent="0.3">
      <c r="A1716" t="s">
        <v>11</v>
      </c>
      <c r="B1716" s="1" t="s">
        <v>43</v>
      </c>
      <c r="C1716" s="1" t="s">
        <v>44</v>
      </c>
      <c r="D1716">
        <v>12659</v>
      </c>
      <c r="E1716" t="s">
        <v>12</v>
      </c>
      <c r="F1716" t="s">
        <v>51</v>
      </c>
      <c r="G1716">
        <v>1</v>
      </c>
      <c r="H1716">
        <v>11</v>
      </c>
      <c r="I1716" t="s">
        <v>52</v>
      </c>
      <c r="J1716" cm="1">
        <f t="array" ref="J1716">IFERROR(
    _xlfn.XLOOKUP(G1716, 'Wedgewood Pharm-GA-Yr2-2025'!$E$4:$L$4,
        _xlfn.XLOOKUP('Rate Load'!H1716, 'Wedgewood Pharm-GA-Yr2-2025'!$D$5:$D$20,
            'Wedgewood Pharm-GA-Yr2-2025'!$E$5:$L$20, 0, 0),
        0, 0),
    _xlfn.XLOOKUP(G1716, 'Wedgewood Pharm-GA-Yr2-2025'!$E$4:$L$4,
        _xlfn.XLOOKUP('Rate Load'!L1716, 'Wedgewood Pharm-GA-Yr2-2025'!$D$5:$D$20,
            'Wedgewood Pharm-GA-Yr2-2025'!$E$5:$L$20, 0, 0),
        0, 0)
)</f>
        <v>4.7299999999999995</v>
      </c>
      <c r="K1716" t="s">
        <v>46</v>
      </c>
      <c r="L1716" t="s">
        <v>13</v>
      </c>
      <c r="M1716">
        <v>1</v>
      </c>
      <c r="N1716" t="str">
        <f t="shared" si="26"/>
        <v>INSERT INTO TNL_RATING.dbo.usps_rate_master VALUES ('USPS', '2/13/2025', '2/13/2026', 12659, 'US', 'USPS Ground Advantage', 1, 11, 'O', 4.73, 'Wedgewood_USPS_2025', 'NonCubic','1');</v>
      </c>
    </row>
    <row r="1717" spans="1:14" x14ac:dyDescent="0.3">
      <c r="A1717" t="s">
        <v>11</v>
      </c>
      <c r="B1717" s="1" t="s">
        <v>43</v>
      </c>
      <c r="C1717" s="1" t="s">
        <v>44</v>
      </c>
      <c r="D1717">
        <v>12659</v>
      </c>
      <c r="E1717" t="s">
        <v>12</v>
      </c>
      <c r="F1717" t="s">
        <v>51</v>
      </c>
      <c r="G1717">
        <v>1</v>
      </c>
      <c r="H1717">
        <v>12</v>
      </c>
      <c r="I1717" t="s">
        <v>52</v>
      </c>
      <c r="J1717" cm="1">
        <f t="array" ref="J1717">IFERROR(
    _xlfn.XLOOKUP(G1717, 'Wedgewood Pharm-GA-Yr2-2025'!$E$4:$L$4,
        _xlfn.XLOOKUP('Rate Load'!H1717, 'Wedgewood Pharm-GA-Yr2-2025'!$D$5:$D$20,
            'Wedgewood Pharm-GA-Yr2-2025'!$E$5:$L$20, 0, 0),
        0, 0),
    _xlfn.XLOOKUP(G1717, 'Wedgewood Pharm-GA-Yr2-2025'!$E$4:$L$4,
        _xlfn.XLOOKUP('Rate Load'!L1717, 'Wedgewood Pharm-GA-Yr2-2025'!$D$5:$D$20,
            'Wedgewood Pharm-GA-Yr2-2025'!$E$5:$L$20, 0, 0),
        0, 0)
)</f>
        <v>4.7299999999999995</v>
      </c>
      <c r="K1717" t="s">
        <v>46</v>
      </c>
      <c r="L1717" t="s">
        <v>13</v>
      </c>
      <c r="M1717">
        <v>1</v>
      </c>
      <c r="N1717" t="str">
        <f t="shared" si="26"/>
        <v>INSERT INTO TNL_RATING.dbo.usps_rate_master VALUES ('USPS', '2/13/2025', '2/13/2026', 12659, 'US', 'USPS Ground Advantage', 1, 12, 'O', 4.73, 'Wedgewood_USPS_2025', 'NonCubic','1');</v>
      </c>
    </row>
    <row r="1718" spans="1:14" x14ac:dyDescent="0.3">
      <c r="A1718" t="s">
        <v>11</v>
      </c>
      <c r="B1718" s="1" t="s">
        <v>43</v>
      </c>
      <c r="C1718" s="1" t="s">
        <v>44</v>
      </c>
      <c r="D1718">
        <v>12659</v>
      </c>
      <c r="E1718" t="s">
        <v>12</v>
      </c>
      <c r="F1718" t="s">
        <v>51</v>
      </c>
      <c r="G1718">
        <v>1</v>
      </c>
      <c r="H1718">
        <v>13</v>
      </c>
      <c r="I1718" t="s">
        <v>52</v>
      </c>
      <c r="J1718" cm="1">
        <f t="array" ref="J1718">IFERROR(
    _xlfn.XLOOKUP(G1718, 'Wedgewood Pharm-GA-Yr2-2025'!$E$4:$L$4,
        _xlfn.XLOOKUP('Rate Load'!H1718, 'Wedgewood Pharm-GA-Yr2-2025'!$D$5:$D$20,
            'Wedgewood Pharm-GA-Yr2-2025'!$E$5:$L$20, 0, 0),
        0, 0),
    _xlfn.XLOOKUP(G1718, 'Wedgewood Pharm-GA-Yr2-2025'!$E$4:$L$4,
        _xlfn.XLOOKUP('Rate Load'!L1718, 'Wedgewood Pharm-GA-Yr2-2025'!$D$5:$D$20,
            'Wedgewood Pharm-GA-Yr2-2025'!$E$5:$L$20, 0, 0),
        0, 0)
)</f>
        <v>5.2799999999999994</v>
      </c>
      <c r="K1718" t="s">
        <v>46</v>
      </c>
      <c r="L1718" t="s">
        <v>13</v>
      </c>
      <c r="M1718">
        <v>1</v>
      </c>
      <c r="N1718" t="str">
        <f t="shared" si="26"/>
        <v>INSERT INTO TNL_RATING.dbo.usps_rate_master VALUES ('USPS', '2/13/2025', '2/13/2026', 12659, 'US', 'USPS Ground Advantage', 1, 13, 'O', 5.28, 'Wedgewood_USPS_2025', 'NonCubic','1');</v>
      </c>
    </row>
    <row r="1719" spans="1:14" x14ac:dyDescent="0.3">
      <c r="A1719" t="s">
        <v>11</v>
      </c>
      <c r="B1719" s="1" t="s">
        <v>43</v>
      </c>
      <c r="C1719" s="1" t="s">
        <v>44</v>
      </c>
      <c r="D1719">
        <v>12659</v>
      </c>
      <c r="E1719" t="s">
        <v>12</v>
      </c>
      <c r="F1719" t="s">
        <v>51</v>
      </c>
      <c r="G1719">
        <v>1</v>
      </c>
      <c r="H1719">
        <v>14</v>
      </c>
      <c r="I1719" t="s">
        <v>52</v>
      </c>
      <c r="J1719" cm="1">
        <f t="array" ref="J1719">IFERROR(
    _xlfn.XLOOKUP(G1719, 'Wedgewood Pharm-GA-Yr2-2025'!$E$4:$L$4,
        _xlfn.XLOOKUP('Rate Load'!H1719, 'Wedgewood Pharm-GA-Yr2-2025'!$D$5:$D$20,
            'Wedgewood Pharm-GA-Yr2-2025'!$E$5:$L$20, 0, 0),
        0, 0),
    _xlfn.XLOOKUP(G1719, 'Wedgewood Pharm-GA-Yr2-2025'!$E$4:$L$4,
        _xlfn.XLOOKUP('Rate Load'!L1719, 'Wedgewood Pharm-GA-Yr2-2025'!$D$5:$D$20,
            'Wedgewood Pharm-GA-Yr2-2025'!$E$5:$L$20, 0, 0),
        0, 0)
)</f>
        <v>5.2799999999999994</v>
      </c>
      <c r="K1719" t="s">
        <v>46</v>
      </c>
      <c r="L1719" t="s">
        <v>13</v>
      </c>
      <c r="M1719">
        <v>1</v>
      </c>
      <c r="N1719" t="str">
        <f t="shared" si="26"/>
        <v>INSERT INTO TNL_RATING.dbo.usps_rate_master VALUES ('USPS', '2/13/2025', '2/13/2026', 12659, 'US', 'USPS Ground Advantage', 1, 14, 'O', 5.28, 'Wedgewood_USPS_2025', 'NonCubic','1');</v>
      </c>
    </row>
    <row r="1720" spans="1:14" x14ac:dyDescent="0.3">
      <c r="A1720" t="s">
        <v>11</v>
      </c>
      <c r="B1720" s="1" t="s">
        <v>43</v>
      </c>
      <c r="C1720" s="1" t="s">
        <v>44</v>
      </c>
      <c r="D1720">
        <v>12659</v>
      </c>
      <c r="E1720" t="s">
        <v>12</v>
      </c>
      <c r="F1720" t="s">
        <v>51</v>
      </c>
      <c r="G1720">
        <v>1</v>
      </c>
      <c r="H1720">
        <v>15</v>
      </c>
      <c r="I1720" t="s">
        <v>52</v>
      </c>
      <c r="J1720" cm="1">
        <f t="array" ref="J1720">IFERROR(
    _xlfn.XLOOKUP(G1720, 'Wedgewood Pharm-GA-Yr2-2025'!$E$4:$L$4,
        _xlfn.XLOOKUP('Rate Load'!H1720, 'Wedgewood Pharm-GA-Yr2-2025'!$D$5:$D$20,
            'Wedgewood Pharm-GA-Yr2-2025'!$E$5:$L$20, 0, 0),
        0, 0),
    _xlfn.XLOOKUP(G1720, 'Wedgewood Pharm-GA-Yr2-2025'!$E$4:$L$4,
        _xlfn.XLOOKUP('Rate Load'!L1720, 'Wedgewood Pharm-GA-Yr2-2025'!$D$5:$D$20,
            'Wedgewood Pharm-GA-Yr2-2025'!$E$5:$L$20, 0, 0),
        0, 0)
)</f>
        <v>5.2799999999999994</v>
      </c>
      <c r="K1720" t="s">
        <v>46</v>
      </c>
      <c r="L1720" t="s">
        <v>13</v>
      </c>
      <c r="M1720">
        <v>1</v>
      </c>
      <c r="N1720" t="str">
        <f t="shared" si="26"/>
        <v>INSERT INTO TNL_RATING.dbo.usps_rate_master VALUES ('USPS', '2/13/2025', '2/13/2026', 12659, 'US', 'USPS Ground Advantage', 1, 15, 'O', 5.28, 'Wedgewood_USPS_2025', 'NonCubic','1');</v>
      </c>
    </row>
    <row r="1721" spans="1:14" x14ac:dyDescent="0.3">
      <c r="A1721" t="s">
        <v>11</v>
      </c>
      <c r="B1721" s="1" t="s">
        <v>43</v>
      </c>
      <c r="C1721" s="1" t="s">
        <v>44</v>
      </c>
      <c r="D1721">
        <v>12659</v>
      </c>
      <c r="E1721" t="s">
        <v>12</v>
      </c>
      <c r="F1721" t="s">
        <v>51</v>
      </c>
      <c r="G1721">
        <v>1</v>
      </c>
      <c r="H1721">
        <v>15.999000000000001</v>
      </c>
      <c r="I1721" t="s">
        <v>52</v>
      </c>
      <c r="J1721" cm="1">
        <f t="array" ref="J1721">IFERROR(
    _xlfn.XLOOKUP(G1721, 'Wedgewood Pharm-GA-Yr2-2025'!$E$4:$L$4,
        _xlfn.XLOOKUP('Rate Load'!H1721, 'Wedgewood Pharm-GA-Yr2-2025'!$D$5:$D$20,
            'Wedgewood Pharm-GA-Yr2-2025'!$E$5:$L$20, 0, 0),
        0, 0),
    _xlfn.XLOOKUP(G1721, 'Wedgewood Pharm-GA-Yr2-2025'!$E$4:$L$4,
        _xlfn.XLOOKUP('Rate Load'!L1721, 'Wedgewood Pharm-GA-Yr2-2025'!$D$5:$D$20,
            'Wedgewood Pharm-GA-Yr2-2025'!$E$5:$L$20, 0, 0),
        0, 0)
)</f>
        <v>5.2799999999999994</v>
      </c>
      <c r="K1721" t="s">
        <v>46</v>
      </c>
      <c r="L1721" t="s">
        <v>13</v>
      </c>
      <c r="M1721">
        <v>1</v>
      </c>
      <c r="N1721" t="str">
        <f t="shared" si="26"/>
        <v>INSERT INTO TNL_RATING.dbo.usps_rate_master VALUES ('USPS', '2/13/2025', '2/13/2026', 12659, 'US', 'USPS Ground Advantage', 1, 15.999, 'O', 5.28, 'Wedgewood_USPS_2025', 'NonCubic','1');</v>
      </c>
    </row>
    <row r="1722" spans="1:14" x14ac:dyDescent="0.3">
      <c r="A1722" t="s">
        <v>11</v>
      </c>
      <c r="B1722" s="1" t="s">
        <v>43</v>
      </c>
      <c r="C1722" s="1" t="s">
        <v>44</v>
      </c>
      <c r="D1722">
        <v>12659</v>
      </c>
      <c r="E1722" t="s">
        <v>12</v>
      </c>
      <c r="F1722" t="s">
        <v>51</v>
      </c>
      <c r="G1722">
        <v>2</v>
      </c>
      <c r="H1722">
        <v>1</v>
      </c>
      <c r="I1722" t="s">
        <v>52</v>
      </c>
      <c r="J1722" cm="1">
        <f t="array" ref="J1722">IFERROR(
    _xlfn.XLOOKUP(G1722, 'Wedgewood Pharm-GA-Yr2-2025'!$E$4:$L$4,
        _xlfn.XLOOKUP('Rate Load'!H1722, 'Wedgewood Pharm-GA-Yr2-2025'!$D$5:$D$20,
            'Wedgewood Pharm-GA-Yr2-2025'!$E$5:$L$20, 0, 0),
        0, 0),
    _xlfn.XLOOKUP(G1722, 'Wedgewood Pharm-GA-Yr2-2025'!$E$4:$L$4,
        _xlfn.XLOOKUP('Rate Load'!L1722, 'Wedgewood Pharm-GA-Yr2-2025'!$D$5:$D$20,
            'Wedgewood Pharm-GA-Yr2-2025'!$E$5:$L$20, 0, 0),
        0, 0)
)</f>
        <v>3.4</v>
      </c>
      <c r="K1722" t="s">
        <v>46</v>
      </c>
      <c r="L1722" t="s">
        <v>13</v>
      </c>
      <c r="M1722">
        <v>1</v>
      </c>
      <c r="N1722" t="str">
        <f t="shared" si="26"/>
        <v>INSERT INTO TNL_RATING.dbo.usps_rate_master VALUES ('USPS', '2/13/2025', '2/13/2026', 12659, 'US', 'USPS Ground Advantage', 2, 1, 'O', 3.4, 'Wedgewood_USPS_2025', 'NonCubic','1');</v>
      </c>
    </row>
    <row r="1723" spans="1:14" x14ac:dyDescent="0.3">
      <c r="A1723" t="s">
        <v>11</v>
      </c>
      <c r="B1723" s="1" t="s">
        <v>43</v>
      </c>
      <c r="C1723" s="1" t="s">
        <v>44</v>
      </c>
      <c r="D1723">
        <v>12659</v>
      </c>
      <c r="E1723" t="s">
        <v>12</v>
      </c>
      <c r="F1723" t="s">
        <v>51</v>
      </c>
      <c r="G1723">
        <v>2</v>
      </c>
      <c r="H1723">
        <v>2</v>
      </c>
      <c r="I1723" t="s">
        <v>52</v>
      </c>
      <c r="J1723" cm="1">
        <f t="array" ref="J1723">IFERROR(
    _xlfn.XLOOKUP(G1723, 'Wedgewood Pharm-GA-Yr2-2025'!$E$4:$L$4,
        _xlfn.XLOOKUP('Rate Load'!H1723, 'Wedgewood Pharm-GA-Yr2-2025'!$D$5:$D$20,
            'Wedgewood Pharm-GA-Yr2-2025'!$E$5:$L$20, 0, 0),
        0, 0),
    _xlfn.XLOOKUP(G1723, 'Wedgewood Pharm-GA-Yr2-2025'!$E$4:$L$4,
        _xlfn.XLOOKUP('Rate Load'!L1723, 'Wedgewood Pharm-GA-Yr2-2025'!$D$5:$D$20,
            'Wedgewood Pharm-GA-Yr2-2025'!$E$5:$L$20, 0, 0),
        0, 0)
)</f>
        <v>3.4</v>
      </c>
      <c r="K1723" t="s">
        <v>46</v>
      </c>
      <c r="L1723" t="s">
        <v>13</v>
      </c>
      <c r="M1723">
        <v>1</v>
      </c>
      <c r="N1723" t="str">
        <f t="shared" si="26"/>
        <v>INSERT INTO TNL_RATING.dbo.usps_rate_master VALUES ('USPS', '2/13/2025', '2/13/2026', 12659, 'US', 'USPS Ground Advantage', 2, 2, 'O', 3.4, 'Wedgewood_USPS_2025', 'NonCubic','1');</v>
      </c>
    </row>
    <row r="1724" spans="1:14" x14ac:dyDescent="0.3">
      <c r="A1724" t="s">
        <v>11</v>
      </c>
      <c r="B1724" s="1" t="s">
        <v>43</v>
      </c>
      <c r="C1724" s="1" t="s">
        <v>44</v>
      </c>
      <c r="D1724">
        <v>12659</v>
      </c>
      <c r="E1724" t="s">
        <v>12</v>
      </c>
      <c r="F1724" t="s">
        <v>51</v>
      </c>
      <c r="G1724">
        <v>2</v>
      </c>
      <c r="H1724">
        <v>3</v>
      </c>
      <c r="I1724" t="s">
        <v>52</v>
      </c>
      <c r="J1724" cm="1">
        <f t="array" ref="J1724">IFERROR(
    _xlfn.XLOOKUP(G1724, 'Wedgewood Pharm-GA-Yr2-2025'!$E$4:$L$4,
        _xlfn.XLOOKUP('Rate Load'!H1724, 'Wedgewood Pharm-GA-Yr2-2025'!$D$5:$D$20,
            'Wedgewood Pharm-GA-Yr2-2025'!$E$5:$L$20, 0, 0),
        0, 0),
    _xlfn.XLOOKUP(G1724, 'Wedgewood Pharm-GA-Yr2-2025'!$E$4:$L$4,
        _xlfn.XLOOKUP('Rate Load'!L1724, 'Wedgewood Pharm-GA-Yr2-2025'!$D$5:$D$20,
            'Wedgewood Pharm-GA-Yr2-2025'!$E$5:$L$20, 0, 0),
        0, 0)
)</f>
        <v>3.4</v>
      </c>
      <c r="K1724" t="s">
        <v>46</v>
      </c>
      <c r="L1724" t="s">
        <v>13</v>
      </c>
      <c r="M1724">
        <v>1</v>
      </c>
      <c r="N1724" t="str">
        <f t="shared" si="26"/>
        <v>INSERT INTO TNL_RATING.dbo.usps_rate_master VALUES ('USPS', '2/13/2025', '2/13/2026', 12659, 'US', 'USPS Ground Advantage', 2, 3, 'O', 3.4, 'Wedgewood_USPS_2025', 'NonCubic','1');</v>
      </c>
    </row>
    <row r="1725" spans="1:14" x14ac:dyDescent="0.3">
      <c r="A1725" t="s">
        <v>11</v>
      </c>
      <c r="B1725" s="1" t="s">
        <v>43</v>
      </c>
      <c r="C1725" s="1" t="s">
        <v>44</v>
      </c>
      <c r="D1725">
        <v>12659</v>
      </c>
      <c r="E1725" t="s">
        <v>12</v>
      </c>
      <c r="F1725" t="s">
        <v>51</v>
      </c>
      <c r="G1725">
        <v>2</v>
      </c>
      <c r="H1725">
        <v>4</v>
      </c>
      <c r="I1725" t="s">
        <v>52</v>
      </c>
      <c r="J1725" cm="1">
        <f t="array" ref="J1725">IFERROR(
    _xlfn.XLOOKUP(G1725, 'Wedgewood Pharm-GA-Yr2-2025'!$E$4:$L$4,
        _xlfn.XLOOKUP('Rate Load'!H1725, 'Wedgewood Pharm-GA-Yr2-2025'!$D$5:$D$20,
            'Wedgewood Pharm-GA-Yr2-2025'!$E$5:$L$20, 0, 0),
        0, 0),
    _xlfn.XLOOKUP(G1725, 'Wedgewood Pharm-GA-Yr2-2025'!$E$4:$L$4,
        _xlfn.XLOOKUP('Rate Load'!L1725, 'Wedgewood Pharm-GA-Yr2-2025'!$D$5:$D$20,
            'Wedgewood Pharm-GA-Yr2-2025'!$E$5:$L$20, 0, 0),
        0, 0)
)</f>
        <v>3.4</v>
      </c>
      <c r="K1725" t="s">
        <v>46</v>
      </c>
      <c r="L1725" t="s">
        <v>13</v>
      </c>
      <c r="M1725">
        <v>1</v>
      </c>
      <c r="N1725" t="str">
        <f t="shared" si="26"/>
        <v>INSERT INTO TNL_RATING.dbo.usps_rate_master VALUES ('USPS', '2/13/2025', '2/13/2026', 12659, 'US', 'USPS Ground Advantage', 2, 4, 'O', 3.4, 'Wedgewood_USPS_2025', 'NonCubic','1');</v>
      </c>
    </row>
    <row r="1726" spans="1:14" x14ac:dyDescent="0.3">
      <c r="A1726" t="s">
        <v>11</v>
      </c>
      <c r="B1726" s="1" t="s">
        <v>43</v>
      </c>
      <c r="C1726" s="1" t="s">
        <v>44</v>
      </c>
      <c r="D1726">
        <v>12659</v>
      </c>
      <c r="E1726" t="s">
        <v>12</v>
      </c>
      <c r="F1726" t="s">
        <v>51</v>
      </c>
      <c r="G1726">
        <v>2</v>
      </c>
      <c r="H1726">
        <v>5</v>
      </c>
      <c r="I1726" t="s">
        <v>52</v>
      </c>
      <c r="J1726" cm="1">
        <f t="array" ref="J1726">IFERROR(
    _xlfn.XLOOKUP(G1726, 'Wedgewood Pharm-GA-Yr2-2025'!$E$4:$L$4,
        _xlfn.XLOOKUP('Rate Load'!H1726, 'Wedgewood Pharm-GA-Yr2-2025'!$D$5:$D$20,
            'Wedgewood Pharm-GA-Yr2-2025'!$E$5:$L$20, 0, 0),
        0, 0),
    _xlfn.XLOOKUP(G1726, 'Wedgewood Pharm-GA-Yr2-2025'!$E$4:$L$4,
        _xlfn.XLOOKUP('Rate Load'!L1726, 'Wedgewood Pharm-GA-Yr2-2025'!$D$5:$D$20,
            'Wedgewood Pharm-GA-Yr2-2025'!$E$5:$L$20, 0, 0),
        0, 0)
)</f>
        <v>4.18</v>
      </c>
      <c r="K1726" t="s">
        <v>46</v>
      </c>
      <c r="L1726" t="s">
        <v>13</v>
      </c>
      <c r="M1726">
        <v>1</v>
      </c>
      <c r="N1726" t="str">
        <f t="shared" si="26"/>
        <v>INSERT INTO TNL_RATING.dbo.usps_rate_master VALUES ('USPS', '2/13/2025', '2/13/2026', 12659, 'US', 'USPS Ground Advantage', 2, 5, 'O', 4.18, 'Wedgewood_USPS_2025', 'NonCubic','1');</v>
      </c>
    </row>
    <row r="1727" spans="1:14" x14ac:dyDescent="0.3">
      <c r="A1727" t="s">
        <v>11</v>
      </c>
      <c r="B1727" s="1" t="s">
        <v>43</v>
      </c>
      <c r="C1727" s="1" t="s">
        <v>44</v>
      </c>
      <c r="D1727">
        <v>12659</v>
      </c>
      <c r="E1727" t="s">
        <v>12</v>
      </c>
      <c r="F1727" t="s">
        <v>51</v>
      </c>
      <c r="G1727">
        <v>2</v>
      </c>
      <c r="H1727">
        <v>6</v>
      </c>
      <c r="I1727" t="s">
        <v>52</v>
      </c>
      <c r="J1727" cm="1">
        <f t="array" ref="J1727">IFERROR(
    _xlfn.XLOOKUP(G1727, 'Wedgewood Pharm-GA-Yr2-2025'!$E$4:$L$4,
        _xlfn.XLOOKUP('Rate Load'!H1727, 'Wedgewood Pharm-GA-Yr2-2025'!$D$5:$D$20,
            'Wedgewood Pharm-GA-Yr2-2025'!$E$5:$L$20, 0, 0),
        0, 0),
    _xlfn.XLOOKUP(G1727, 'Wedgewood Pharm-GA-Yr2-2025'!$E$4:$L$4,
        _xlfn.XLOOKUP('Rate Load'!L1727, 'Wedgewood Pharm-GA-Yr2-2025'!$D$5:$D$20,
            'Wedgewood Pharm-GA-Yr2-2025'!$E$5:$L$20, 0, 0),
        0, 0)
)</f>
        <v>4.18</v>
      </c>
      <c r="K1727" t="s">
        <v>46</v>
      </c>
      <c r="L1727" t="s">
        <v>13</v>
      </c>
      <c r="M1727">
        <v>1</v>
      </c>
      <c r="N1727" t="str">
        <f t="shared" si="26"/>
        <v>INSERT INTO TNL_RATING.dbo.usps_rate_master VALUES ('USPS', '2/13/2025', '2/13/2026', 12659, 'US', 'USPS Ground Advantage', 2, 6, 'O', 4.18, 'Wedgewood_USPS_2025', 'NonCubic','1');</v>
      </c>
    </row>
    <row r="1728" spans="1:14" x14ac:dyDescent="0.3">
      <c r="A1728" t="s">
        <v>11</v>
      </c>
      <c r="B1728" s="1" t="s">
        <v>43</v>
      </c>
      <c r="C1728" s="1" t="s">
        <v>44</v>
      </c>
      <c r="D1728">
        <v>12659</v>
      </c>
      <c r="E1728" t="s">
        <v>12</v>
      </c>
      <c r="F1728" t="s">
        <v>51</v>
      </c>
      <c r="G1728">
        <v>2</v>
      </c>
      <c r="H1728">
        <v>7</v>
      </c>
      <c r="I1728" t="s">
        <v>52</v>
      </c>
      <c r="J1728" cm="1">
        <f t="array" ref="J1728">IFERROR(
    _xlfn.XLOOKUP(G1728, 'Wedgewood Pharm-GA-Yr2-2025'!$E$4:$L$4,
        _xlfn.XLOOKUP('Rate Load'!H1728, 'Wedgewood Pharm-GA-Yr2-2025'!$D$5:$D$20,
            'Wedgewood Pharm-GA-Yr2-2025'!$E$5:$L$20, 0, 0),
        0, 0),
    _xlfn.XLOOKUP(G1728, 'Wedgewood Pharm-GA-Yr2-2025'!$E$4:$L$4,
        _xlfn.XLOOKUP('Rate Load'!L1728, 'Wedgewood Pharm-GA-Yr2-2025'!$D$5:$D$20,
            'Wedgewood Pharm-GA-Yr2-2025'!$E$5:$L$20, 0, 0),
        0, 0)
)</f>
        <v>4.18</v>
      </c>
      <c r="K1728" t="s">
        <v>46</v>
      </c>
      <c r="L1728" t="s">
        <v>13</v>
      </c>
      <c r="M1728">
        <v>1</v>
      </c>
      <c r="N1728" t="str">
        <f t="shared" si="26"/>
        <v>INSERT INTO TNL_RATING.dbo.usps_rate_master VALUES ('USPS', '2/13/2025', '2/13/2026', 12659, 'US', 'USPS Ground Advantage', 2, 7, 'O', 4.18, 'Wedgewood_USPS_2025', 'NonCubic','1');</v>
      </c>
    </row>
    <row r="1729" spans="1:14" x14ac:dyDescent="0.3">
      <c r="A1729" t="s">
        <v>11</v>
      </c>
      <c r="B1729" s="1" t="s">
        <v>43</v>
      </c>
      <c r="C1729" s="1" t="s">
        <v>44</v>
      </c>
      <c r="D1729">
        <v>12659</v>
      </c>
      <c r="E1729" t="s">
        <v>12</v>
      </c>
      <c r="F1729" t="s">
        <v>51</v>
      </c>
      <c r="G1729">
        <v>2</v>
      </c>
      <c r="H1729">
        <v>8</v>
      </c>
      <c r="I1729" t="s">
        <v>52</v>
      </c>
      <c r="J1729" cm="1">
        <f t="array" ref="J1729">IFERROR(
    _xlfn.XLOOKUP(G1729, 'Wedgewood Pharm-GA-Yr2-2025'!$E$4:$L$4,
        _xlfn.XLOOKUP('Rate Load'!H1729, 'Wedgewood Pharm-GA-Yr2-2025'!$D$5:$D$20,
            'Wedgewood Pharm-GA-Yr2-2025'!$E$5:$L$20, 0, 0),
        0, 0),
    _xlfn.XLOOKUP(G1729, 'Wedgewood Pharm-GA-Yr2-2025'!$E$4:$L$4,
        _xlfn.XLOOKUP('Rate Load'!L1729, 'Wedgewood Pharm-GA-Yr2-2025'!$D$5:$D$20,
            'Wedgewood Pharm-GA-Yr2-2025'!$E$5:$L$20, 0, 0),
        0, 0)
)</f>
        <v>4.18</v>
      </c>
      <c r="K1729" t="s">
        <v>46</v>
      </c>
      <c r="L1729" t="s">
        <v>13</v>
      </c>
      <c r="M1729">
        <v>1</v>
      </c>
      <c r="N1729" t="str">
        <f t="shared" si="26"/>
        <v>INSERT INTO TNL_RATING.dbo.usps_rate_master VALUES ('USPS', '2/13/2025', '2/13/2026', 12659, 'US', 'USPS Ground Advantage', 2, 8, 'O', 4.18, 'Wedgewood_USPS_2025', 'NonCubic','1');</v>
      </c>
    </row>
    <row r="1730" spans="1:14" x14ac:dyDescent="0.3">
      <c r="A1730" t="s">
        <v>11</v>
      </c>
      <c r="B1730" s="1" t="s">
        <v>43</v>
      </c>
      <c r="C1730" s="1" t="s">
        <v>44</v>
      </c>
      <c r="D1730">
        <v>12659</v>
      </c>
      <c r="E1730" t="s">
        <v>12</v>
      </c>
      <c r="F1730" t="s">
        <v>51</v>
      </c>
      <c r="G1730">
        <v>2</v>
      </c>
      <c r="H1730">
        <v>9</v>
      </c>
      <c r="I1730" t="s">
        <v>52</v>
      </c>
      <c r="J1730" cm="1">
        <f t="array" ref="J1730">IFERROR(
    _xlfn.XLOOKUP(G1730, 'Wedgewood Pharm-GA-Yr2-2025'!$E$4:$L$4,
        _xlfn.XLOOKUP('Rate Load'!H1730, 'Wedgewood Pharm-GA-Yr2-2025'!$D$5:$D$20,
            'Wedgewood Pharm-GA-Yr2-2025'!$E$5:$L$20, 0, 0),
        0, 0),
    _xlfn.XLOOKUP(G1730, 'Wedgewood Pharm-GA-Yr2-2025'!$E$4:$L$4,
        _xlfn.XLOOKUP('Rate Load'!L1730, 'Wedgewood Pharm-GA-Yr2-2025'!$D$5:$D$20,
            'Wedgewood Pharm-GA-Yr2-2025'!$E$5:$L$20, 0, 0),
        0, 0)
)</f>
        <v>4.8</v>
      </c>
      <c r="K1730" t="s">
        <v>46</v>
      </c>
      <c r="L1730" t="s">
        <v>13</v>
      </c>
      <c r="M1730">
        <v>1</v>
      </c>
      <c r="N1730" t="str">
        <f t="shared" si="26"/>
        <v>INSERT INTO TNL_RATING.dbo.usps_rate_master VALUES ('USPS', '2/13/2025', '2/13/2026', 12659, 'US', 'USPS Ground Advantage', 2, 9, 'O', 4.8, 'Wedgewood_USPS_2025', 'NonCubic','1');</v>
      </c>
    </row>
    <row r="1731" spans="1:14" x14ac:dyDescent="0.3">
      <c r="A1731" t="s">
        <v>11</v>
      </c>
      <c r="B1731" s="1" t="s">
        <v>43</v>
      </c>
      <c r="C1731" s="1" t="s">
        <v>44</v>
      </c>
      <c r="D1731">
        <v>12659</v>
      </c>
      <c r="E1731" t="s">
        <v>12</v>
      </c>
      <c r="F1731" t="s">
        <v>51</v>
      </c>
      <c r="G1731">
        <v>2</v>
      </c>
      <c r="H1731">
        <v>10</v>
      </c>
      <c r="I1731" t="s">
        <v>52</v>
      </c>
      <c r="J1731" cm="1">
        <f t="array" ref="J1731">IFERROR(
    _xlfn.XLOOKUP(G1731, 'Wedgewood Pharm-GA-Yr2-2025'!$E$4:$L$4,
        _xlfn.XLOOKUP('Rate Load'!H1731, 'Wedgewood Pharm-GA-Yr2-2025'!$D$5:$D$20,
            'Wedgewood Pharm-GA-Yr2-2025'!$E$5:$L$20, 0, 0),
        0, 0),
    _xlfn.XLOOKUP(G1731, 'Wedgewood Pharm-GA-Yr2-2025'!$E$4:$L$4,
        _xlfn.XLOOKUP('Rate Load'!L1731, 'Wedgewood Pharm-GA-Yr2-2025'!$D$5:$D$20,
            'Wedgewood Pharm-GA-Yr2-2025'!$E$5:$L$20, 0, 0),
        0, 0)
)</f>
        <v>4.8</v>
      </c>
      <c r="K1731" t="s">
        <v>46</v>
      </c>
      <c r="L1731" t="s">
        <v>13</v>
      </c>
      <c r="M1731">
        <v>1</v>
      </c>
      <c r="N1731" t="str">
        <f t="shared" ref="N1731:N1794" si="27">"INSERT INTO TNL_RATING.dbo.usps_rate_master VALUES ('" &amp; A1731 &amp; "', '" &amp; B1731 &amp; "', '" &amp; C1731 &amp; "', " &amp; D1731 &amp; ", '" &amp; E1731 &amp; "', '" &amp; F1731 &amp; "', " &amp; G1731 &amp; ", " &amp; H1731 &amp; ", '" &amp; I1731 &amp; "', " &amp; J1731 &amp; ", '" &amp; K1731 &amp; "', '" &amp; L1731 &amp; "','" &amp; M1731 &amp; "');"</f>
        <v>INSERT INTO TNL_RATING.dbo.usps_rate_master VALUES ('USPS', '2/13/2025', '2/13/2026', 12659, 'US', 'USPS Ground Advantage', 2, 10, 'O', 4.8, 'Wedgewood_USPS_2025', 'NonCubic','1');</v>
      </c>
    </row>
    <row r="1732" spans="1:14" x14ac:dyDescent="0.3">
      <c r="A1732" t="s">
        <v>11</v>
      </c>
      <c r="B1732" s="1" t="s">
        <v>43</v>
      </c>
      <c r="C1732" s="1" t="s">
        <v>44</v>
      </c>
      <c r="D1732">
        <v>12659</v>
      </c>
      <c r="E1732" t="s">
        <v>12</v>
      </c>
      <c r="F1732" t="s">
        <v>51</v>
      </c>
      <c r="G1732">
        <v>2</v>
      </c>
      <c r="H1732">
        <v>11</v>
      </c>
      <c r="I1732" t="s">
        <v>52</v>
      </c>
      <c r="J1732" cm="1">
        <f t="array" ref="J1732">IFERROR(
    _xlfn.XLOOKUP(G1732, 'Wedgewood Pharm-GA-Yr2-2025'!$E$4:$L$4,
        _xlfn.XLOOKUP('Rate Load'!H1732, 'Wedgewood Pharm-GA-Yr2-2025'!$D$5:$D$20,
            'Wedgewood Pharm-GA-Yr2-2025'!$E$5:$L$20, 0, 0),
        0, 0),
    _xlfn.XLOOKUP(G1732, 'Wedgewood Pharm-GA-Yr2-2025'!$E$4:$L$4,
        _xlfn.XLOOKUP('Rate Load'!L1732, 'Wedgewood Pharm-GA-Yr2-2025'!$D$5:$D$20,
            'Wedgewood Pharm-GA-Yr2-2025'!$E$5:$L$20, 0, 0),
        0, 0)
)</f>
        <v>4.8</v>
      </c>
      <c r="K1732" t="s">
        <v>46</v>
      </c>
      <c r="L1732" t="s">
        <v>13</v>
      </c>
      <c r="M1732">
        <v>1</v>
      </c>
      <c r="N1732" t="str">
        <f t="shared" si="27"/>
        <v>INSERT INTO TNL_RATING.dbo.usps_rate_master VALUES ('USPS', '2/13/2025', '2/13/2026', 12659, 'US', 'USPS Ground Advantage', 2, 11, 'O', 4.8, 'Wedgewood_USPS_2025', 'NonCubic','1');</v>
      </c>
    </row>
    <row r="1733" spans="1:14" x14ac:dyDescent="0.3">
      <c r="A1733" t="s">
        <v>11</v>
      </c>
      <c r="B1733" s="1" t="s">
        <v>43</v>
      </c>
      <c r="C1733" s="1" t="s">
        <v>44</v>
      </c>
      <c r="D1733">
        <v>12659</v>
      </c>
      <c r="E1733" t="s">
        <v>12</v>
      </c>
      <c r="F1733" t="s">
        <v>51</v>
      </c>
      <c r="G1733">
        <v>2</v>
      </c>
      <c r="H1733">
        <v>12</v>
      </c>
      <c r="I1733" t="s">
        <v>52</v>
      </c>
      <c r="J1733" cm="1">
        <f t="array" ref="J1733">IFERROR(
    _xlfn.XLOOKUP(G1733, 'Wedgewood Pharm-GA-Yr2-2025'!$E$4:$L$4,
        _xlfn.XLOOKUP('Rate Load'!H1733, 'Wedgewood Pharm-GA-Yr2-2025'!$D$5:$D$20,
            'Wedgewood Pharm-GA-Yr2-2025'!$E$5:$L$20, 0, 0),
        0, 0),
    _xlfn.XLOOKUP(G1733, 'Wedgewood Pharm-GA-Yr2-2025'!$E$4:$L$4,
        _xlfn.XLOOKUP('Rate Load'!L1733, 'Wedgewood Pharm-GA-Yr2-2025'!$D$5:$D$20,
            'Wedgewood Pharm-GA-Yr2-2025'!$E$5:$L$20, 0, 0),
        0, 0)
)</f>
        <v>4.8</v>
      </c>
      <c r="K1733" t="s">
        <v>46</v>
      </c>
      <c r="L1733" t="s">
        <v>13</v>
      </c>
      <c r="M1733">
        <v>1</v>
      </c>
      <c r="N1733" t="str">
        <f t="shared" si="27"/>
        <v>INSERT INTO TNL_RATING.dbo.usps_rate_master VALUES ('USPS', '2/13/2025', '2/13/2026', 12659, 'US', 'USPS Ground Advantage', 2, 12, 'O', 4.8, 'Wedgewood_USPS_2025', 'NonCubic','1');</v>
      </c>
    </row>
    <row r="1734" spans="1:14" x14ac:dyDescent="0.3">
      <c r="A1734" t="s">
        <v>11</v>
      </c>
      <c r="B1734" s="1" t="s">
        <v>43</v>
      </c>
      <c r="C1734" s="1" t="s">
        <v>44</v>
      </c>
      <c r="D1734">
        <v>12659</v>
      </c>
      <c r="E1734" t="s">
        <v>12</v>
      </c>
      <c r="F1734" t="s">
        <v>51</v>
      </c>
      <c r="G1734">
        <v>2</v>
      </c>
      <c r="H1734">
        <v>13</v>
      </c>
      <c r="I1734" t="s">
        <v>52</v>
      </c>
      <c r="J1734" cm="1">
        <f t="array" ref="J1734">IFERROR(
    _xlfn.XLOOKUP(G1734, 'Wedgewood Pharm-GA-Yr2-2025'!$E$4:$L$4,
        _xlfn.XLOOKUP('Rate Load'!H1734, 'Wedgewood Pharm-GA-Yr2-2025'!$D$5:$D$20,
            'Wedgewood Pharm-GA-Yr2-2025'!$E$5:$L$20, 0, 0),
        0, 0),
    _xlfn.XLOOKUP(G1734, 'Wedgewood Pharm-GA-Yr2-2025'!$E$4:$L$4,
        _xlfn.XLOOKUP('Rate Load'!L1734, 'Wedgewood Pharm-GA-Yr2-2025'!$D$5:$D$20,
            'Wedgewood Pharm-GA-Yr2-2025'!$E$5:$L$20, 0, 0),
        0, 0)
)</f>
        <v>5.3599999999999994</v>
      </c>
      <c r="K1734" t="s">
        <v>46</v>
      </c>
      <c r="L1734" t="s">
        <v>13</v>
      </c>
      <c r="M1734">
        <v>1</v>
      </c>
      <c r="N1734" t="str">
        <f t="shared" si="27"/>
        <v>INSERT INTO TNL_RATING.dbo.usps_rate_master VALUES ('USPS', '2/13/2025', '2/13/2026', 12659, 'US', 'USPS Ground Advantage', 2, 13, 'O', 5.36, 'Wedgewood_USPS_2025', 'NonCubic','1');</v>
      </c>
    </row>
    <row r="1735" spans="1:14" x14ac:dyDescent="0.3">
      <c r="A1735" t="s">
        <v>11</v>
      </c>
      <c r="B1735" s="1" t="s">
        <v>43</v>
      </c>
      <c r="C1735" s="1" t="s">
        <v>44</v>
      </c>
      <c r="D1735">
        <v>12659</v>
      </c>
      <c r="E1735" t="s">
        <v>12</v>
      </c>
      <c r="F1735" t="s">
        <v>51</v>
      </c>
      <c r="G1735">
        <v>2</v>
      </c>
      <c r="H1735">
        <v>14</v>
      </c>
      <c r="I1735" t="s">
        <v>52</v>
      </c>
      <c r="J1735" cm="1">
        <f t="array" ref="J1735">IFERROR(
    _xlfn.XLOOKUP(G1735, 'Wedgewood Pharm-GA-Yr2-2025'!$E$4:$L$4,
        _xlfn.XLOOKUP('Rate Load'!H1735, 'Wedgewood Pharm-GA-Yr2-2025'!$D$5:$D$20,
            'Wedgewood Pharm-GA-Yr2-2025'!$E$5:$L$20, 0, 0),
        0, 0),
    _xlfn.XLOOKUP(G1735, 'Wedgewood Pharm-GA-Yr2-2025'!$E$4:$L$4,
        _xlfn.XLOOKUP('Rate Load'!L1735, 'Wedgewood Pharm-GA-Yr2-2025'!$D$5:$D$20,
            'Wedgewood Pharm-GA-Yr2-2025'!$E$5:$L$20, 0, 0),
        0, 0)
)</f>
        <v>5.3599999999999994</v>
      </c>
      <c r="K1735" t="s">
        <v>46</v>
      </c>
      <c r="L1735" t="s">
        <v>13</v>
      </c>
      <c r="M1735">
        <v>1</v>
      </c>
      <c r="N1735" t="str">
        <f t="shared" si="27"/>
        <v>INSERT INTO TNL_RATING.dbo.usps_rate_master VALUES ('USPS', '2/13/2025', '2/13/2026', 12659, 'US', 'USPS Ground Advantage', 2, 14, 'O', 5.36, 'Wedgewood_USPS_2025', 'NonCubic','1');</v>
      </c>
    </row>
    <row r="1736" spans="1:14" x14ac:dyDescent="0.3">
      <c r="A1736" t="s">
        <v>11</v>
      </c>
      <c r="B1736" s="1" t="s">
        <v>43</v>
      </c>
      <c r="C1736" s="1" t="s">
        <v>44</v>
      </c>
      <c r="D1736">
        <v>12659</v>
      </c>
      <c r="E1736" t="s">
        <v>12</v>
      </c>
      <c r="F1736" t="s">
        <v>51</v>
      </c>
      <c r="G1736">
        <v>2</v>
      </c>
      <c r="H1736">
        <v>15</v>
      </c>
      <c r="I1736" t="s">
        <v>52</v>
      </c>
      <c r="J1736" cm="1">
        <f t="array" ref="J1736">IFERROR(
    _xlfn.XLOOKUP(G1736, 'Wedgewood Pharm-GA-Yr2-2025'!$E$4:$L$4,
        _xlfn.XLOOKUP('Rate Load'!H1736, 'Wedgewood Pharm-GA-Yr2-2025'!$D$5:$D$20,
            'Wedgewood Pharm-GA-Yr2-2025'!$E$5:$L$20, 0, 0),
        0, 0),
    _xlfn.XLOOKUP(G1736, 'Wedgewood Pharm-GA-Yr2-2025'!$E$4:$L$4,
        _xlfn.XLOOKUP('Rate Load'!L1736, 'Wedgewood Pharm-GA-Yr2-2025'!$D$5:$D$20,
            'Wedgewood Pharm-GA-Yr2-2025'!$E$5:$L$20, 0, 0),
        0, 0)
)</f>
        <v>5.3599999999999994</v>
      </c>
      <c r="K1736" t="s">
        <v>46</v>
      </c>
      <c r="L1736" t="s">
        <v>13</v>
      </c>
      <c r="M1736">
        <v>1</v>
      </c>
      <c r="N1736" t="str">
        <f t="shared" si="27"/>
        <v>INSERT INTO TNL_RATING.dbo.usps_rate_master VALUES ('USPS', '2/13/2025', '2/13/2026', 12659, 'US', 'USPS Ground Advantage', 2, 15, 'O', 5.36, 'Wedgewood_USPS_2025', 'NonCubic','1');</v>
      </c>
    </row>
    <row r="1737" spans="1:14" x14ac:dyDescent="0.3">
      <c r="A1737" t="s">
        <v>11</v>
      </c>
      <c r="B1737" s="1" t="s">
        <v>43</v>
      </c>
      <c r="C1737" s="1" t="s">
        <v>44</v>
      </c>
      <c r="D1737">
        <v>12659</v>
      </c>
      <c r="E1737" t="s">
        <v>12</v>
      </c>
      <c r="F1737" t="s">
        <v>51</v>
      </c>
      <c r="G1737">
        <v>2</v>
      </c>
      <c r="H1737">
        <v>15.999000000000001</v>
      </c>
      <c r="I1737" t="s">
        <v>52</v>
      </c>
      <c r="J1737" cm="1">
        <f t="array" ref="J1737">IFERROR(
    _xlfn.XLOOKUP(G1737, 'Wedgewood Pharm-GA-Yr2-2025'!$E$4:$L$4,
        _xlfn.XLOOKUP('Rate Load'!H1737, 'Wedgewood Pharm-GA-Yr2-2025'!$D$5:$D$20,
            'Wedgewood Pharm-GA-Yr2-2025'!$E$5:$L$20, 0, 0),
        0, 0),
    _xlfn.XLOOKUP(G1737, 'Wedgewood Pharm-GA-Yr2-2025'!$E$4:$L$4,
        _xlfn.XLOOKUP('Rate Load'!L1737, 'Wedgewood Pharm-GA-Yr2-2025'!$D$5:$D$20,
            'Wedgewood Pharm-GA-Yr2-2025'!$E$5:$L$20, 0, 0),
        0, 0)
)</f>
        <v>5.3599999999999994</v>
      </c>
      <c r="K1737" t="s">
        <v>46</v>
      </c>
      <c r="L1737" t="s">
        <v>13</v>
      </c>
      <c r="M1737">
        <v>1</v>
      </c>
      <c r="N1737" t="str">
        <f t="shared" si="27"/>
        <v>INSERT INTO TNL_RATING.dbo.usps_rate_master VALUES ('USPS', '2/13/2025', '2/13/2026', 12659, 'US', 'USPS Ground Advantage', 2, 15.999, 'O', 5.36, 'Wedgewood_USPS_2025', 'NonCubic','1');</v>
      </c>
    </row>
    <row r="1738" spans="1:14" x14ac:dyDescent="0.3">
      <c r="A1738" t="s">
        <v>11</v>
      </c>
      <c r="B1738" s="1" t="s">
        <v>43</v>
      </c>
      <c r="C1738" s="1" t="s">
        <v>44</v>
      </c>
      <c r="D1738">
        <v>12659</v>
      </c>
      <c r="E1738" t="s">
        <v>12</v>
      </c>
      <c r="F1738" t="s">
        <v>51</v>
      </c>
      <c r="G1738">
        <v>3</v>
      </c>
      <c r="H1738">
        <v>1</v>
      </c>
      <c r="I1738" t="s">
        <v>52</v>
      </c>
      <c r="J1738" cm="1">
        <f t="array" ref="J1738">IFERROR(
    _xlfn.XLOOKUP(G1738, 'Wedgewood Pharm-GA-Yr2-2025'!$E$4:$L$4,
        _xlfn.XLOOKUP('Rate Load'!H1738, 'Wedgewood Pharm-GA-Yr2-2025'!$D$5:$D$20,
            'Wedgewood Pharm-GA-Yr2-2025'!$E$5:$L$20, 0, 0),
        0, 0),
    _xlfn.XLOOKUP(G1738, 'Wedgewood Pharm-GA-Yr2-2025'!$E$4:$L$4,
        _xlfn.XLOOKUP('Rate Load'!L1738, 'Wedgewood Pharm-GA-Yr2-2025'!$D$5:$D$20,
            'Wedgewood Pharm-GA-Yr2-2025'!$E$5:$L$20, 0, 0),
        0, 0)
)</f>
        <v>3.42</v>
      </c>
      <c r="K1738" t="s">
        <v>46</v>
      </c>
      <c r="L1738" t="s">
        <v>13</v>
      </c>
      <c r="M1738">
        <v>1</v>
      </c>
      <c r="N1738" t="str">
        <f t="shared" si="27"/>
        <v>INSERT INTO TNL_RATING.dbo.usps_rate_master VALUES ('USPS', '2/13/2025', '2/13/2026', 12659, 'US', 'USPS Ground Advantage', 3, 1, 'O', 3.42, 'Wedgewood_USPS_2025', 'NonCubic','1');</v>
      </c>
    </row>
    <row r="1739" spans="1:14" x14ac:dyDescent="0.3">
      <c r="A1739" t="s">
        <v>11</v>
      </c>
      <c r="B1739" s="1" t="s">
        <v>43</v>
      </c>
      <c r="C1739" s="1" t="s">
        <v>44</v>
      </c>
      <c r="D1739">
        <v>12659</v>
      </c>
      <c r="E1739" t="s">
        <v>12</v>
      </c>
      <c r="F1739" t="s">
        <v>51</v>
      </c>
      <c r="G1739">
        <v>3</v>
      </c>
      <c r="H1739">
        <v>2</v>
      </c>
      <c r="I1739" t="s">
        <v>52</v>
      </c>
      <c r="J1739" cm="1">
        <f t="array" ref="J1739">IFERROR(
    _xlfn.XLOOKUP(G1739, 'Wedgewood Pharm-GA-Yr2-2025'!$E$4:$L$4,
        _xlfn.XLOOKUP('Rate Load'!H1739, 'Wedgewood Pharm-GA-Yr2-2025'!$D$5:$D$20,
            'Wedgewood Pharm-GA-Yr2-2025'!$E$5:$L$20, 0, 0),
        0, 0),
    _xlfn.XLOOKUP(G1739, 'Wedgewood Pharm-GA-Yr2-2025'!$E$4:$L$4,
        _xlfn.XLOOKUP('Rate Load'!L1739, 'Wedgewood Pharm-GA-Yr2-2025'!$D$5:$D$20,
            'Wedgewood Pharm-GA-Yr2-2025'!$E$5:$L$20, 0, 0),
        0, 0)
)</f>
        <v>3.42</v>
      </c>
      <c r="K1739" t="s">
        <v>46</v>
      </c>
      <c r="L1739" t="s">
        <v>13</v>
      </c>
      <c r="M1739">
        <v>1</v>
      </c>
      <c r="N1739" t="str">
        <f t="shared" si="27"/>
        <v>INSERT INTO TNL_RATING.dbo.usps_rate_master VALUES ('USPS', '2/13/2025', '2/13/2026', 12659, 'US', 'USPS Ground Advantage', 3, 2, 'O', 3.42, 'Wedgewood_USPS_2025', 'NonCubic','1');</v>
      </c>
    </row>
    <row r="1740" spans="1:14" x14ac:dyDescent="0.3">
      <c r="A1740" t="s">
        <v>11</v>
      </c>
      <c r="B1740" s="1" t="s">
        <v>43</v>
      </c>
      <c r="C1740" s="1" t="s">
        <v>44</v>
      </c>
      <c r="D1740">
        <v>12659</v>
      </c>
      <c r="E1740" t="s">
        <v>12</v>
      </c>
      <c r="F1740" t="s">
        <v>51</v>
      </c>
      <c r="G1740">
        <v>3</v>
      </c>
      <c r="H1740">
        <v>3</v>
      </c>
      <c r="I1740" t="s">
        <v>52</v>
      </c>
      <c r="J1740" cm="1">
        <f t="array" ref="J1740">IFERROR(
    _xlfn.XLOOKUP(G1740, 'Wedgewood Pharm-GA-Yr2-2025'!$E$4:$L$4,
        _xlfn.XLOOKUP('Rate Load'!H1740, 'Wedgewood Pharm-GA-Yr2-2025'!$D$5:$D$20,
            'Wedgewood Pharm-GA-Yr2-2025'!$E$5:$L$20, 0, 0),
        0, 0),
    _xlfn.XLOOKUP(G1740, 'Wedgewood Pharm-GA-Yr2-2025'!$E$4:$L$4,
        _xlfn.XLOOKUP('Rate Load'!L1740, 'Wedgewood Pharm-GA-Yr2-2025'!$D$5:$D$20,
            'Wedgewood Pharm-GA-Yr2-2025'!$E$5:$L$20, 0, 0),
        0, 0)
)</f>
        <v>3.42</v>
      </c>
      <c r="K1740" t="s">
        <v>46</v>
      </c>
      <c r="L1740" t="s">
        <v>13</v>
      </c>
      <c r="M1740">
        <v>1</v>
      </c>
      <c r="N1740" t="str">
        <f t="shared" si="27"/>
        <v>INSERT INTO TNL_RATING.dbo.usps_rate_master VALUES ('USPS', '2/13/2025', '2/13/2026', 12659, 'US', 'USPS Ground Advantage', 3, 3, 'O', 3.42, 'Wedgewood_USPS_2025', 'NonCubic','1');</v>
      </c>
    </row>
    <row r="1741" spans="1:14" x14ac:dyDescent="0.3">
      <c r="A1741" t="s">
        <v>11</v>
      </c>
      <c r="B1741" s="1" t="s">
        <v>43</v>
      </c>
      <c r="C1741" s="1" t="s">
        <v>44</v>
      </c>
      <c r="D1741">
        <v>12659</v>
      </c>
      <c r="E1741" t="s">
        <v>12</v>
      </c>
      <c r="F1741" t="s">
        <v>51</v>
      </c>
      <c r="G1741">
        <v>3</v>
      </c>
      <c r="H1741">
        <v>4</v>
      </c>
      <c r="I1741" t="s">
        <v>52</v>
      </c>
      <c r="J1741" cm="1">
        <f t="array" ref="J1741">IFERROR(
    _xlfn.XLOOKUP(G1741, 'Wedgewood Pharm-GA-Yr2-2025'!$E$4:$L$4,
        _xlfn.XLOOKUP('Rate Load'!H1741, 'Wedgewood Pharm-GA-Yr2-2025'!$D$5:$D$20,
            'Wedgewood Pharm-GA-Yr2-2025'!$E$5:$L$20, 0, 0),
        0, 0),
    _xlfn.XLOOKUP(G1741, 'Wedgewood Pharm-GA-Yr2-2025'!$E$4:$L$4,
        _xlfn.XLOOKUP('Rate Load'!L1741, 'Wedgewood Pharm-GA-Yr2-2025'!$D$5:$D$20,
            'Wedgewood Pharm-GA-Yr2-2025'!$E$5:$L$20, 0, 0),
        0, 0)
)</f>
        <v>3.42</v>
      </c>
      <c r="K1741" t="s">
        <v>46</v>
      </c>
      <c r="L1741" t="s">
        <v>13</v>
      </c>
      <c r="M1741">
        <v>1</v>
      </c>
      <c r="N1741" t="str">
        <f t="shared" si="27"/>
        <v>INSERT INTO TNL_RATING.dbo.usps_rate_master VALUES ('USPS', '2/13/2025', '2/13/2026', 12659, 'US', 'USPS Ground Advantage', 3, 4, 'O', 3.42, 'Wedgewood_USPS_2025', 'NonCubic','1');</v>
      </c>
    </row>
    <row r="1742" spans="1:14" x14ac:dyDescent="0.3">
      <c r="A1742" t="s">
        <v>11</v>
      </c>
      <c r="B1742" s="1" t="s">
        <v>43</v>
      </c>
      <c r="C1742" s="1" t="s">
        <v>44</v>
      </c>
      <c r="D1742">
        <v>12659</v>
      </c>
      <c r="E1742" t="s">
        <v>12</v>
      </c>
      <c r="F1742" t="s">
        <v>51</v>
      </c>
      <c r="G1742">
        <v>3</v>
      </c>
      <c r="H1742">
        <v>5</v>
      </c>
      <c r="I1742" t="s">
        <v>52</v>
      </c>
      <c r="J1742" cm="1">
        <f t="array" ref="J1742">IFERROR(
    _xlfn.XLOOKUP(G1742, 'Wedgewood Pharm-GA-Yr2-2025'!$E$4:$L$4,
        _xlfn.XLOOKUP('Rate Load'!H1742, 'Wedgewood Pharm-GA-Yr2-2025'!$D$5:$D$20,
            'Wedgewood Pharm-GA-Yr2-2025'!$E$5:$L$20, 0, 0),
        0, 0),
    _xlfn.XLOOKUP(G1742, 'Wedgewood Pharm-GA-Yr2-2025'!$E$4:$L$4,
        _xlfn.XLOOKUP('Rate Load'!L1742, 'Wedgewood Pharm-GA-Yr2-2025'!$D$5:$D$20,
            'Wedgewood Pharm-GA-Yr2-2025'!$E$5:$L$20, 0, 0),
        0, 0)
)</f>
        <v>4.22</v>
      </c>
      <c r="K1742" t="s">
        <v>46</v>
      </c>
      <c r="L1742" t="s">
        <v>13</v>
      </c>
      <c r="M1742">
        <v>1</v>
      </c>
      <c r="N1742" t="str">
        <f t="shared" si="27"/>
        <v>INSERT INTO TNL_RATING.dbo.usps_rate_master VALUES ('USPS', '2/13/2025', '2/13/2026', 12659, 'US', 'USPS Ground Advantage', 3, 5, 'O', 4.22, 'Wedgewood_USPS_2025', 'NonCubic','1');</v>
      </c>
    </row>
    <row r="1743" spans="1:14" x14ac:dyDescent="0.3">
      <c r="A1743" t="s">
        <v>11</v>
      </c>
      <c r="B1743" s="1" t="s">
        <v>43</v>
      </c>
      <c r="C1743" s="1" t="s">
        <v>44</v>
      </c>
      <c r="D1743">
        <v>12659</v>
      </c>
      <c r="E1743" t="s">
        <v>12</v>
      </c>
      <c r="F1743" t="s">
        <v>51</v>
      </c>
      <c r="G1743">
        <v>3</v>
      </c>
      <c r="H1743">
        <v>6</v>
      </c>
      <c r="I1743" t="s">
        <v>52</v>
      </c>
      <c r="J1743" cm="1">
        <f t="array" ref="J1743">IFERROR(
    _xlfn.XLOOKUP(G1743, 'Wedgewood Pharm-GA-Yr2-2025'!$E$4:$L$4,
        _xlfn.XLOOKUP('Rate Load'!H1743, 'Wedgewood Pharm-GA-Yr2-2025'!$D$5:$D$20,
            'Wedgewood Pharm-GA-Yr2-2025'!$E$5:$L$20, 0, 0),
        0, 0),
    _xlfn.XLOOKUP(G1743, 'Wedgewood Pharm-GA-Yr2-2025'!$E$4:$L$4,
        _xlfn.XLOOKUP('Rate Load'!L1743, 'Wedgewood Pharm-GA-Yr2-2025'!$D$5:$D$20,
            'Wedgewood Pharm-GA-Yr2-2025'!$E$5:$L$20, 0, 0),
        0, 0)
)</f>
        <v>4.22</v>
      </c>
      <c r="K1743" t="s">
        <v>46</v>
      </c>
      <c r="L1743" t="s">
        <v>13</v>
      </c>
      <c r="M1743">
        <v>1</v>
      </c>
      <c r="N1743" t="str">
        <f t="shared" si="27"/>
        <v>INSERT INTO TNL_RATING.dbo.usps_rate_master VALUES ('USPS', '2/13/2025', '2/13/2026', 12659, 'US', 'USPS Ground Advantage', 3, 6, 'O', 4.22, 'Wedgewood_USPS_2025', 'NonCubic','1');</v>
      </c>
    </row>
    <row r="1744" spans="1:14" x14ac:dyDescent="0.3">
      <c r="A1744" t="s">
        <v>11</v>
      </c>
      <c r="B1744" s="1" t="s">
        <v>43</v>
      </c>
      <c r="C1744" s="1" t="s">
        <v>44</v>
      </c>
      <c r="D1744">
        <v>12659</v>
      </c>
      <c r="E1744" t="s">
        <v>12</v>
      </c>
      <c r="F1744" t="s">
        <v>51</v>
      </c>
      <c r="G1744">
        <v>3</v>
      </c>
      <c r="H1744">
        <v>7</v>
      </c>
      <c r="I1744" t="s">
        <v>52</v>
      </c>
      <c r="J1744" cm="1">
        <f t="array" ref="J1744">IFERROR(
    _xlfn.XLOOKUP(G1744, 'Wedgewood Pharm-GA-Yr2-2025'!$E$4:$L$4,
        _xlfn.XLOOKUP('Rate Load'!H1744, 'Wedgewood Pharm-GA-Yr2-2025'!$D$5:$D$20,
            'Wedgewood Pharm-GA-Yr2-2025'!$E$5:$L$20, 0, 0),
        0, 0),
    _xlfn.XLOOKUP(G1744, 'Wedgewood Pharm-GA-Yr2-2025'!$E$4:$L$4,
        _xlfn.XLOOKUP('Rate Load'!L1744, 'Wedgewood Pharm-GA-Yr2-2025'!$D$5:$D$20,
            'Wedgewood Pharm-GA-Yr2-2025'!$E$5:$L$20, 0, 0),
        0, 0)
)</f>
        <v>4.22</v>
      </c>
      <c r="K1744" t="s">
        <v>46</v>
      </c>
      <c r="L1744" t="s">
        <v>13</v>
      </c>
      <c r="M1744">
        <v>1</v>
      </c>
      <c r="N1744" t="str">
        <f t="shared" si="27"/>
        <v>INSERT INTO TNL_RATING.dbo.usps_rate_master VALUES ('USPS', '2/13/2025', '2/13/2026', 12659, 'US', 'USPS Ground Advantage', 3, 7, 'O', 4.22, 'Wedgewood_USPS_2025', 'NonCubic','1');</v>
      </c>
    </row>
    <row r="1745" spans="1:14" x14ac:dyDescent="0.3">
      <c r="A1745" t="s">
        <v>11</v>
      </c>
      <c r="B1745" s="1" t="s">
        <v>43</v>
      </c>
      <c r="C1745" s="1" t="s">
        <v>44</v>
      </c>
      <c r="D1745">
        <v>12659</v>
      </c>
      <c r="E1745" t="s">
        <v>12</v>
      </c>
      <c r="F1745" t="s">
        <v>51</v>
      </c>
      <c r="G1745">
        <v>3</v>
      </c>
      <c r="H1745">
        <v>8</v>
      </c>
      <c r="I1745" t="s">
        <v>52</v>
      </c>
      <c r="J1745" cm="1">
        <f t="array" ref="J1745">IFERROR(
    _xlfn.XLOOKUP(G1745, 'Wedgewood Pharm-GA-Yr2-2025'!$E$4:$L$4,
        _xlfn.XLOOKUP('Rate Load'!H1745, 'Wedgewood Pharm-GA-Yr2-2025'!$D$5:$D$20,
            'Wedgewood Pharm-GA-Yr2-2025'!$E$5:$L$20, 0, 0),
        0, 0),
    _xlfn.XLOOKUP(G1745, 'Wedgewood Pharm-GA-Yr2-2025'!$E$4:$L$4,
        _xlfn.XLOOKUP('Rate Load'!L1745, 'Wedgewood Pharm-GA-Yr2-2025'!$D$5:$D$20,
            'Wedgewood Pharm-GA-Yr2-2025'!$E$5:$L$20, 0, 0),
        0, 0)
)</f>
        <v>4.22</v>
      </c>
      <c r="K1745" t="s">
        <v>46</v>
      </c>
      <c r="L1745" t="s">
        <v>13</v>
      </c>
      <c r="M1745">
        <v>1</v>
      </c>
      <c r="N1745" t="str">
        <f t="shared" si="27"/>
        <v>INSERT INTO TNL_RATING.dbo.usps_rate_master VALUES ('USPS', '2/13/2025', '2/13/2026', 12659, 'US', 'USPS Ground Advantage', 3, 8, 'O', 4.22, 'Wedgewood_USPS_2025', 'NonCubic','1');</v>
      </c>
    </row>
    <row r="1746" spans="1:14" x14ac:dyDescent="0.3">
      <c r="A1746" t="s">
        <v>11</v>
      </c>
      <c r="B1746" s="1" t="s">
        <v>43</v>
      </c>
      <c r="C1746" s="1" t="s">
        <v>44</v>
      </c>
      <c r="D1746">
        <v>12659</v>
      </c>
      <c r="E1746" t="s">
        <v>12</v>
      </c>
      <c r="F1746" t="s">
        <v>51</v>
      </c>
      <c r="G1746">
        <v>3</v>
      </c>
      <c r="H1746">
        <v>9</v>
      </c>
      <c r="I1746" t="s">
        <v>52</v>
      </c>
      <c r="J1746" cm="1">
        <f t="array" ref="J1746">IFERROR(
    _xlfn.XLOOKUP(G1746, 'Wedgewood Pharm-GA-Yr2-2025'!$E$4:$L$4,
        _xlfn.XLOOKUP('Rate Load'!H1746, 'Wedgewood Pharm-GA-Yr2-2025'!$D$5:$D$20,
            'Wedgewood Pharm-GA-Yr2-2025'!$E$5:$L$20, 0, 0),
        0, 0),
    _xlfn.XLOOKUP(G1746, 'Wedgewood Pharm-GA-Yr2-2025'!$E$4:$L$4,
        _xlfn.XLOOKUP('Rate Load'!L1746, 'Wedgewood Pharm-GA-Yr2-2025'!$D$5:$D$20,
            'Wedgewood Pharm-GA-Yr2-2025'!$E$5:$L$20, 0, 0),
        0, 0)
)</f>
        <v>4.8599999999999994</v>
      </c>
      <c r="K1746" t="s">
        <v>46</v>
      </c>
      <c r="L1746" t="s">
        <v>13</v>
      </c>
      <c r="M1746">
        <v>1</v>
      </c>
      <c r="N1746" t="str">
        <f t="shared" si="27"/>
        <v>INSERT INTO TNL_RATING.dbo.usps_rate_master VALUES ('USPS', '2/13/2025', '2/13/2026', 12659, 'US', 'USPS Ground Advantage', 3, 9, 'O', 4.86, 'Wedgewood_USPS_2025', 'NonCubic','1');</v>
      </c>
    </row>
    <row r="1747" spans="1:14" x14ac:dyDescent="0.3">
      <c r="A1747" t="s">
        <v>11</v>
      </c>
      <c r="B1747" s="1" t="s">
        <v>43</v>
      </c>
      <c r="C1747" s="1" t="s">
        <v>44</v>
      </c>
      <c r="D1747">
        <v>12659</v>
      </c>
      <c r="E1747" t="s">
        <v>12</v>
      </c>
      <c r="F1747" t="s">
        <v>51</v>
      </c>
      <c r="G1747">
        <v>3</v>
      </c>
      <c r="H1747">
        <v>10</v>
      </c>
      <c r="I1747" t="s">
        <v>52</v>
      </c>
      <c r="J1747" cm="1">
        <f t="array" ref="J1747">IFERROR(
    _xlfn.XLOOKUP(G1747, 'Wedgewood Pharm-GA-Yr2-2025'!$E$4:$L$4,
        _xlfn.XLOOKUP('Rate Load'!H1747, 'Wedgewood Pharm-GA-Yr2-2025'!$D$5:$D$20,
            'Wedgewood Pharm-GA-Yr2-2025'!$E$5:$L$20, 0, 0),
        0, 0),
    _xlfn.XLOOKUP(G1747, 'Wedgewood Pharm-GA-Yr2-2025'!$E$4:$L$4,
        _xlfn.XLOOKUP('Rate Load'!L1747, 'Wedgewood Pharm-GA-Yr2-2025'!$D$5:$D$20,
            'Wedgewood Pharm-GA-Yr2-2025'!$E$5:$L$20, 0, 0),
        0, 0)
)</f>
        <v>4.8599999999999994</v>
      </c>
      <c r="K1747" t="s">
        <v>46</v>
      </c>
      <c r="L1747" t="s">
        <v>13</v>
      </c>
      <c r="M1747">
        <v>1</v>
      </c>
      <c r="N1747" t="str">
        <f t="shared" si="27"/>
        <v>INSERT INTO TNL_RATING.dbo.usps_rate_master VALUES ('USPS', '2/13/2025', '2/13/2026', 12659, 'US', 'USPS Ground Advantage', 3, 10, 'O', 4.86, 'Wedgewood_USPS_2025', 'NonCubic','1');</v>
      </c>
    </row>
    <row r="1748" spans="1:14" x14ac:dyDescent="0.3">
      <c r="A1748" t="s">
        <v>11</v>
      </c>
      <c r="B1748" s="1" t="s">
        <v>43</v>
      </c>
      <c r="C1748" s="1" t="s">
        <v>44</v>
      </c>
      <c r="D1748">
        <v>12659</v>
      </c>
      <c r="E1748" t="s">
        <v>12</v>
      </c>
      <c r="F1748" t="s">
        <v>51</v>
      </c>
      <c r="G1748">
        <v>3</v>
      </c>
      <c r="H1748">
        <v>11</v>
      </c>
      <c r="I1748" t="s">
        <v>52</v>
      </c>
      <c r="J1748" cm="1">
        <f t="array" ref="J1748">IFERROR(
    _xlfn.XLOOKUP(G1748, 'Wedgewood Pharm-GA-Yr2-2025'!$E$4:$L$4,
        _xlfn.XLOOKUP('Rate Load'!H1748, 'Wedgewood Pharm-GA-Yr2-2025'!$D$5:$D$20,
            'Wedgewood Pharm-GA-Yr2-2025'!$E$5:$L$20, 0, 0),
        0, 0),
    _xlfn.XLOOKUP(G1748, 'Wedgewood Pharm-GA-Yr2-2025'!$E$4:$L$4,
        _xlfn.XLOOKUP('Rate Load'!L1748, 'Wedgewood Pharm-GA-Yr2-2025'!$D$5:$D$20,
            'Wedgewood Pharm-GA-Yr2-2025'!$E$5:$L$20, 0, 0),
        0, 0)
)</f>
        <v>4.8599999999999994</v>
      </c>
      <c r="K1748" t="s">
        <v>46</v>
      </c>
      <c r="L1748" t="s">
        <v>13</v>
      </c>
      <c r="M1748">
        <v>1</v>
      </c>
      <c r="N1748" t="str">
        <f t="shared" si="27"/>
        <v>INSERT INTO TNL_RATING.dbo.usps_rate_master VALUES ('USPS', '2/13/2025', '2/13/2026', 12659, 'US', 'USPS Ground Advantage', 3, 11, 'O', 4.86, 'Wedgewood_USPS_2025', 'NonCubic','1');</v>
      </c>
    </row>
    <row r="1749" spans="1:14" x14ac:dyDescent="0.3">
      <c r="A1749" t="s">
        <v>11</v>
      </c>
      <c r="B1749" s="1" t="s">
        <v>43</v>
      </c>
      <c r="C1749" s="1" t="s">
        <v>44</v>
      </c>
      <c r="D1749">
        <v>12659</v>
      </c>
      <c r="E1749" t="s">
        <v>12</v>
      </c>
      <c r="F1749" t="s">
        <v>51</v>
      </c>
      <c r="G1749">
        <v>3</v>
      </c>
      <c r="H1749">
        <v>12</v>
      </c>
      <c r="I1749" t="s">
        <v>52</v>
      </c>
      <c r="J1749" cm="1">
        <f t="array" ref="J1749">IFERROR(
    _xlfn.XLOOKUP(G1749, 'Wedgewood Pharm-GA-Yr2-2025'!$E$4:$L$4,
        _xlfn.XLOOKUP('Rate Load'!H1749, 'Wedgewood Pharm-GA-Yr2-2025'!$D$5:$D$20,
            'Wedgewood Pharm-GA-Yr2-2025'!$E$5:$L$20, 0, 0),
        0, 0),
    _xlfn.XLOOKUP(G1749, 'Wedgewood Pharm-GA-Yr2-2025'!$E$4:$L$4,
        _xlfn.XLOOKUP('Rate Load'!L1749, 'Wedgewood Pharm-GA-Yr2-2025'!$D$5:$D$20,
            'Wedgewood Pharm-GA-Yr2-2025'!$E$5:$L$20, 0, 0),
        0, 0)
)</f>
        <v>4.8599999999999994</v>
      </c>
      <c r="K1749" t="s">
        <v>46</v>
      </c>
      <c r="L1749" t="s">
        <v>13</v>
      </c>
      <c r="M1749">
        <v>1</v>
      </c>
      <c r="N1749" t="str">
        <f t="shared" si="27"/>
        <v>INSERT INTO TNL_RATING.dbo.usps_rate_master VALUES ('USPS', '2/13/2025', '2/13/2026', 12659, 'US', 'USPS Ground Advantage', 3, 12, 'O', 4.86, 'Wedgewood_USPS_2025', 'NonCubic','1');</v>
      </c>
    </row>
    <row r="1750" spans="1:14" x14ac:dyDescent="0.3">
      <c r="A1750" t="s">
        <v>11</v>
      </c>
      <c r="B1750" s="1" t="s">
        <v>43</v>
      </c>
      <c r="C1750" s="1" t="s">
        <v>44</v>
      </c>
      <c r="D1750">
        <v>12659</v>
      </c>
      <c r="E1750" t="s">
        <v>12</v>
      </c>
      <c r="F1750" t="s">
        <v>51</v>
      </c>
      <c r="G1750">
        <v>3</v>
      </c>
      <c r="H1750">
        <v>13</v>
      </c>
      <c r="I1750" t="s">
        <v>52</v>
      </c>
      <c r="J1750" cm="1">
        <f t="array" ref="J1750">IFERROR(
    _xlfn.XLOOKUP(G1750, 'Wedgewood Pharm-GA-Yr2-2025'!$E$4:$L$4,
        _xlfn.XLOOKUP('Rate Load'!H1750, 'Wedgewood Pharm-GA-Yr2-2025'!$D$5:$D$20,
            'Wedgewood Pharm-GA-Yr2-2025'!$E$5:$L$20, 0, 0),
        0, 0),
    _xlfn.XLOOKUP(G1750, 'Wedgewood Pharm-GA-Yr2-2025'!$E$4:$L$4,
        _xlfn.XLOOKUP('Rate Load'!L1750, 'Wedgewood Pharm-GA-Yr2-2025'!$D$5:$D$20,
            'Wedgewood Pharm-GA-Yr2-2025'!$E$5:$L$20, 0, 0),
        0, 0)
)</f>
        <v>5.42</v>
      </c>
      <c r="K1750" t="s">
        <v>46</v>
      </c>
      <c r="L1750" t="s">
        <v>13</v>
      </c>
      <c r="M1750">
        <v>1</v>
      </c>
      <c r="N1750" t="str">
        <f t="shared" si="27"/>
        <v>INSERT INTO TNL_RATING.dbo.usps_rate_master VALUES ('USPS', '2/13/2025', '2/13/2026', 12659, 'US', 'USPS Ground Advantage', 3, 13, 'O', 5.42, 'Wedgewood_USPS_2025', 'NonCubic','1');</v>
      </c>
    </row>
    <row r="1751" spans="1:14" x14ac:dyDescent="0.3">
      <c r="A1751" t="s">
        <v>11</v>
      </c>
      <c r="B1751" s="1" t="s">
        <v>43</v>
      </c>
      <c r="C1751" s="1" t="s">
        <v>44</v>
      </c>
      <c r="D1751">
        <v>12659</v>
      </c>
      <c r="E1751" t="s">
        <v>12</v>
      </c>
      <c r="F1751" t="s">
        <v>51</v>
      </c>
      <c r="G1751">
        <v>3</v>
      </c>
      <c r="H1751">
        <v>14</v>
      </c>
      <c r="I1751" t="s">
        <v>52</v>
      </c>
      <c r="J1751" cm="1">
        <f t="array" ref="J1751">IFERROR(
    _xlfn.XLOOKUP(G1751, 'Wedgewood Pharm-GA-Yr2-2025'!$E$4:$L$4,
        _xlfn.XLOOKUP('Rate Load'!H1751, 'Wedgewood Pharm-GA-Yr2-2025'!$D$5:$D$20,
            'Wedgewood Pharm-GA-Yr2-2025'!$E$5:$L$20, 0, 0),
        0, 0),
    _xlfn.XLOOKUP(G1751, 'Wedgewood Pharm-GA-Yr2-2025'!$E$4:$L$4,
        _xlfn.XLOOKUP('Rate Load'!L1751, 'Wedgewood Pharm-GA-Yr2-2025'!$D$5:$D$20,
            'Wedgewood Pharm-GA-Yr2-2025'!$E$5:$L$20, 0, 0),
        0, 0)
)</f>
        <v>5.42</v>
      </c>
      <c r="K1751" t="s">
        <v>46</v>
      </c>
      <c r="L1751" t="s">
        <v>13</v>
      </c>
      <c r="M1751">
        <v>1</v>
      </c>
      <c r="N1751" t="str">
        <f t="shared" si="27"/>
        <v>INSERT INTO TNL_RATING.dbo.usps_rate_master VALUES ('USPS', '2/13/2025', '2/13/2026', 12659, 'US', 'USPS Ground Advantage', 3, 14, 'O', 5.42, 'Wedgewood_USPS_2025', 'NonCubic','1');</v>
      </c>
    </row>
    <row r="1752" spans="1:14" x14ac:dyDescent="0.3">
      <c r="A1752" t="s">
        <v>11</v>
      </c>
      <c r="B1752" s="1" t="s">
        <v>43</v>
      </c>
      <c r="C1752" s="1" t="s">
        <v>44</v>
      </c>
      <c r="D1752">
        <v>12659</v>
      </c>
      <c r="E1752" t="s">
        <v>12</v>
      </c>
      <c r="F1752" t="s">
        <v>51</v>
      </c>
      <c r="G1752">
        <v>3</v>
      </c>
      <c r="H1752">
        <v>15</v>
      </c>
      <c r="I1752" t="s">
        <v>52</v>
      </c>
      <c r="J1752" cm="1">
        <f t="array" ref="J1752">IFERROR(
    _xlfn.XLOOKUP(G1752, 'Wedgewood Pharm-GA-Yr2-2025'!$E$4:$L$4,
        _xlfn.XLOOKUP('Rate Load'!H1752, 'Wedgewood Pharm-GA-Yr2-2025'!$D$5:$D$20,
            'Wedgewood Pharm-GA-Yr2-2025'!$E$5:$L$20, 0, 0),
        0, 0),
    _xlfn.XLOOKUP(G1752, 'Wedgewood Pharm-GA-Yr2-2025'!$E$4:$L$4,
        _xlfn.XLOOKUP('Rate Load'!L1752, 'Wedgewood Pharm-GA-Yr2-2025'!$D$5:$D$20,
            'Wedgewood Pharm-GA-Yr2-2025'!$E$5:$L$20, 0, 0),
        0, 0)
)</f>
        <v>5.42</v>
      </c>
      <c r="K1752" t="s">
        <v>46</v>
      </c>
      <c r="L1752" t="s">
        <v>13</v>
      </c>
      <c r="M1752">
        <v>1</v>
      </c>
      <c r="N1752" t="str">
        <f t="shared" si="27"/>
        <v>INSERT INTO TNL_RATING.dbo.usps_rate_master VALUES ('USPS', '2/13/2025', '2/13/2026', 12659, 'US', 'USPS Ground Advantage', 3, 15, 'O', 5.42, 'Wedgewood_USPS_2025', 'NonCubic','1');</v>
      </c>
    </row>
    <row r="1753" spans="1:14" x14ac:dyDescent="0.3">
      <c r="A1753" t="s">
        <v>11</v>
      </c>
      <c r="B1753" s="1" t="s">
        <v>43</v>
      </c>
      <c r="C1753" s="1" t="s">
        <v>44</v>
      </c>
      <c r="D1753">
        <v>12659</v>
      </c>
      <c r="E1753" t="s">
        <v>12</v>
      </c>
      <c r="F1753" t="s">
        <v>51</v>
      </c>
      <c r="G1753">
        <v>3</v>
      </c>
      <c r="H1753">
        <v>15.999000000000001</v>
      </c>
      <c r="I1753" t="s">
        <v>52</v>
      </c>
      <c r="J1753" cm="1">
        <f t="array" ref="J1753">IFERROR(
    _xlfn.XLOOKUP(G1753, 'Wedgewood Pharm-GA-Yr2-2025'!$E$4:$L$4,
        _xlfn.XLOOKUP('Rate Load'!H1753, 'Wedgewood Pharm-GA-Yr2-2025'!$D$5:$D$20,
            'Wedgewood Pharm-GA-Yr2-2025'!$E$5:$L$20, 0, 0),
        0, 0),
    _xlfn.XLOOKUP(G1753, 'Wedgewood Pharm-GA-Yr2-2025'!$E$4:$L$4,
        _xlfn.XLOOKUP('Rate Load'!L1753, 'Wedgewood Pharm-GA-Yr2-2025'!$D$5:$D$20,
            'Wedgewood Pharm-GA-Yr2-2025'!$E$5:$L$20, 0, 0),
        0, 0)
)</f>
        <v>5.42</v>
      </c>
      <c r="K1753" t="s">
        <v>46</v>
      </c>
      <c r="L1753" t="s">
        <v>13</v>
      </c>
      <c r="M1753">
        <v>1</v>
      </c>
      <c r="N1753" t="str">
        <f t="shared" si="27"/>
        <v>INSERT INTO TNL_RATING.dbo.usps_rate_master VALUES ('USPS', '2/13/2025', '2/13/2026', 12659, 'US', 'USPS Ground Advantage', 3, 15.999, 'O', 5.42, 'Wedgewood_USPS_2025', 'NonCubic','1');</v>
      </c>
    </row>
    <row r="1754" spans="1:14" x14ac:dyDescent="0.3">
      <c r="A1754" t="s">
        <v>11</v>
      </c>
      <c r="B1754" s="1" t="s">
        <v>43</v>
      </c>
      <c r="C1754" s="1" t="s">
        <v>44</v>
      </c>
      <c r="D1754">
        <v>12659</v>
      </c>
      <c r="E1754" t="s">
        <v>12</v>
      </c>
      <c r="F1754" t="s">
        <v>51</v>
      </c>
      <c r="G1754">
        <v>4</v>
      </c>
      <c r="H1754">
        <v>1</v>
      </c>
      <c r="I1754" t="s">
        <v>52</v>
      </c>
      <c r="J1754" cm="1">
        <f t="array" ref="J1754">IFERROR(
    _xlfn.XLOOKUP(G1754, 'Wedgewood Pharm-GA-Yr2-2025'!$E$4:$L$4,
        _xlfn.XLOOKUP('Rate Load'!H1754, 'Wedgewood Pharm-GA-Yr2-2025'!$D$5:$D$20,
            'Wedgewood Pharm-GA-Yr2-2025'!$E$5:$L$20, 0, 0),
        0, 0),
    _xlfn.XLOOKUP(G1754, 'Wedgewood Pharm-GA-Yr2-2025'!$E$4:$L$4,
        _xlfn.XLOOKUP('Rate Load'!L1754, 'Wedgewood Pharm-GA-Yr2-2025'!$D$5:$D$20,
            'Wedgewood Pharm-GA-Yr2-2025'!$E$5:$L$20, 0, 0),
        0, 0)
)</f>
        <v>3.51</v>
      </c>
      <c r="K1754" t="s">
        <v>46</v>
      </c>
      <c r="L1754" t="s">
        <v>13</v>
      </c>
      <c r="M1754">
        <v>1</v>
      </c>
      <c r="N1754" t="str">
        <f t="shared" si="27"/>
        <v>INSERT INTO TNL_RATING.dbo.usps_rate_master VALUES ('USPS', '2/13/2025', '2/13/2026', 12659, 'US', 'USPS Ground Advantage', 4, 1, 'O', 3.51, 'Wedgewood_USPS_2025', 'NonCubic','1');</v>
      </c>
    </row>
    <row r="1755" spans="1:14" x14ac:dyDescent="0.3">
      <c r="A1755" t="s">
        <v>11</v>
      </c>
      <c r="B1755" s="1" t="s">
        <v>43</v>
      </c>
      <c r="C1755" s="1" t="s">
        <v>44</v>
      </c>
      <c r="D1755">
        <v>12659</v>
      </c>
      <c r="E1755" t="s">
        <v>12</v>
      </c>
      <c r="F1755" t="s">
        <v>51</v>
      </c>
      <c r="G1755">
        <v>4</v>
      </c>
      <c r="H1755">
        <v>2</v>
      </c>
      <c r="I1755" t="s">
        <v>52</v>
      </c>
      <c r="J1755" cm="1">
        <f t="array" ref="J1755">IFERROR(
    _xlfn.XLOOKUP(G1755, 'Wedgewood Pharm-GA-Yr2-2025'!$E$4:$L$4,
        _xlfn.XLOOKUP('Rate Load'!H1755, 'Wedgewood Pharm-GA-Yr2-2025'!$D$5:$D$20,
            'Wedgewood Pharm-GA-Yr2-2025'!$E$5:$L$20, 0, 0),
        0, 0),
    _xlfn.XLOOKUP(G1755, 'Wedgewood Pharm-GA-Yr2-2025'!$E$4:$L$4,
        _xlfn.XLOOKUP('Rate Load'!L1755, 'Wedgewood Pharm-GA-Yr2-2025'!$D$5:$D$20,
            'Wedgewood Pharm-GA-Yr2-2025'!$E$5:$L$20, 0, 0),
        0, 0)
)</f>
        <v>3.51</v>
      </c>
      <c r="K1755" t="s">
        <v>46</v>
      </c>
      <c r="L1755" t="s">
        <v>13</v>
      </c>
      <c r="M1755">
        <v>1</v>
      </c>
      <c r="N1755" t="str">
        <f t="shared" si="27"/>
        <v>INSERT INTO TNL_RATING.dbo.usps_rate_master VALUES ('USPS', '2/13/2025', '2/13/2026', 12659, 'US', 'USPS Ground Advantage', 4, 2, 'O', 3.51, 'Wedgewood_USPS_2025', 'NonCubic','1');</v>
      </c>
    </row>
    <row r="1756" spans="1:14" x14ac:dyDescent="0.3">
      <c r="A1756" t="s">
        <v>11</v>
      </c>
      <c r="B1756" s="1" t="s">
        <v>43</v>
      </c>
      <c r="C1756" s="1" t="s">
        <v>44</v>
      </c>
      <c r="D1756">
        <v>12659</v>
      </c>
      <c r="E1756" t="s">
        <v>12</v>
      </c>
      <c r="F1756" t="s">
        <v>51</v>
      </c>
      <c r="G1756">
        <v>4</v>
      </c>
      <c r="H1756">
        <v>3</v>
      </c>
      <c r="I1756" t="s">
        <v>52</v>
      </c>
      <c r="J1756" cm="1">
        <f t="array" ref="J1756">IFERROR(
    _xlfn.XLOOKUP(G1756, 'Wedgewood Pharm-GA-Yr2-2025'!$E$4:$L$4,
        _xlfn.XLOOKUP('Rate Load'!H1756, 'Wedgewood Pharm-GA-Yr2-2025'!$D$5:$D$20,
            'Wedgewood Pharm-GA-Yr2-2025'!$E$5:$L$20, 0, 0),
        0, 0),
    _xlfn.XLOOKUP(G1756, 'Wedgewood Pharm-GA-Yr2-2025'!$E$4:$L$4,
        _xlfn.XLOOKUP('Rate Load'!L1756, 'Wedgewood Pharm-GA-Yr2-2025'!$D$5:$D$20,
            'Wedgewood Pharm-GA-Yr2-2025'!$E$5:$L$20, 0, 0),
        0, 0)
)</f>
        <v>3.51</v>
      </c>
      <c r="K1756" t="s">
        <v>46</v>
      </c>
      <c r="L1756" t="s">
        <v>13</v>
      </c>
      <c r="M1756">
        <v>1</v>
      </c>
      <c r="N1756" t="str">
        <f t="shared" si="27"/>
        <v>INSERT INTO TNL_RATING.dbo.usps_rate_master VALUES ('USPS', '2/13/2025', '2/13/2026', 12659, 'US', 'USPS Ground Advantage', 4, 3, 'O', 3.51, 'Wedgewood_USPS_2025', 'NonCubic','1');</v>
      </c>
    </row>
    <row r="1757" spans="1:14" x14ac:dyDescent="0.3">
      <c r="A1757" t="s">
        <v>11</v>
      </c>
      <c r="B1757" s="1" t="s">
        <v>43</v>
      </c>
      <c r="C1757" s="1" t="s">
        <v>44</v>
      </c>
      <c r="D1757">
        <v>12659</v>
      </c>
      <c r="E1757" t="s">
        <v>12</v>
      </c>
      <c r="F1757" t="s">
        <v>51</v>
      </c>
      <c r="G1757">
        <v>4</v>
      </c>
      <c r="H1757">
        <v>4</v>
      </c>
      <c r="I1757" t="s">
        <v>52</v>
      </c>
      <c r="J1757" cm="1">
        <f t="array" ref="J1757">IFERROR(
    _xlfn.XLOOKUP(G1757, 'Wedgewood Pharm-GA-Yr2-2025'!$E$4:$L$4,
        _xlfn.XLOOKUP('Rate Load'!H1757, 'Wedgewood Pharm-GA-Yr2-2025'!$D$5:$D$20,
            'Wedgewood Pharm-GA-Yr2-2025'!$E$5:$L$20, 0, 0),
        0, 0),
    _xlfn.XLOOKUP(G1757, 'Wedgewood Pharm-GA-Yr2-2025'!$E$4:$L$4,
        _xlfn.XLOOKUP('Rate Load'!L1757, 'Wedgewood Pharm-GA-Yr2-2025'!$D$5:$D$20,
            'Wedgewood Pharm-GA-Yr2-2025'!$E$5:$L$20, 0, 0),
        0, 0)
)</f>
        <v>3.51</v>
      </c>
      <c r="K1757" t="s">
        <v>46</v>
      </c>
      <c r="L1757" t="s">
        <v>13</v>
      </c>
      <c r="M1757">
        <v>1</v>
      </c>
      <c r="N1757" t="str">
        <f t="shared" si="27"/>
        <v>INSERT INTO TNL_RATING.dbo.usps_rate_master VALUES ('USPS', '2/13/2025', '2/13/2026', 12659, 'US', 'USPS Ground Advantage', 4, 4, 'O', 3.51, 'Wedgewood_USPS_2025', 'NonCubic','1');</v>
      </c>
    </row>
    <row r="1758" spans="1:14" x14ac:dyDescent="0.3">
      <c r="A1758" t="s">
        <v>11</v>
      </c>
      <c r="B1758" s="1" t="s">
        <v>43</v>
      </c>
      <c r="C1758" s="1" t="s">
        <v>44</v>
      </c>
      <c r="D1758">
        <v>12659</v>
      </c>
      <c r="E1758" t="s">
        <v>12</v>
      </c>
      <c r="F1758" t="s">
        <v>51</v>
      </c>
      <c r="G1758">
        <v>4</v>
      </c>
      <c r="H1758">
        <v>5</v>
      </c>
      <c r="I1758" t="s">
        <v>52</v>
      </c>
      <c r="J1758" cm="1">
        <f t="array" ref="J1758">IFERROR(
    _xlfn.XLOOKUP(G1758, 'Wedgewood Pharm-GA-Yr2-2025'!$E$4:$L$4,
        _xlfn.XLOOKUP('Rate Load'!H1758, 'Wedgewood Pharm-GA-Yr2-2025'!$D$5:$D$20,
            'Wedgewood Pharm-GA-Yr2-2025'!$E$5:$L$20, 0, 0),
        0, 0),
    _xlfn.XLOOKUP(G1758, 'Wedgewood Pharm-GA-Yr2-2025'!$E$4:$L$4,
        _xlfn.XLOOKUP('Rate Load'!L1758, 'Wedgewood Pharm-GA-Yr2-2025'!$D$5:$D$20,
            'Wedgewood Pharm-GA-Yr2-2025'!$E$5:$L$20, 0, 0),
        0, 0)
)</f>
        <v>4.2799999999999994</v>
      </c>
      <c r="K1758" t="s">
        <v>46</v>
      </c>
      <c r="L1758" t="s">
        <v>13</v>
      </c>
      <c r="M1758">
        <v>1</v>
      </c>
      <c r="N1758" t="str">
        <f t="shared" si="27"/>
        <v>INSERT INTO TNL_RATING.dbo.usps_rate_master VALUES ('USPS', '2/13/2025', '2/13/2026', 12659, 'US', 'USPS Ground Advantage', 4, 5, 'O', 4.28, 'Wedgewood_USPS_2025', 'NonCubic','1');</v>
      </c>
    </row>
    <row r="1759" spans="1:14" x14ac:dyDescent="0.3">
      <c r="A1759" t="s">
        <v>11</v>
      </c>
      <c r="B1759" s="1" t="s">
        <v>43</v>
      </c>
      <c r="C1759" s="1" t="s">
        <v>44</v>
      </c>
      <c r="D1759">
        <v>12659</v>
      </c>
      <c r="E1759" t="s">
        <v>12</v>
      </c>
      <c r="F1759" t="s">
        <v>51</v>
      </c>
      <c r="G1759">
        <v>4</v>
      </c>
      <c r="H1759">
        <v>6</v>
      </c>
      <c r="I1759" t="s">
        <v>52</v>
      </c>
      <c r="J1759" cm="1">
        <f t="array" ref="J1759">IFERROR(
    _xlfn.XLOOKUP(G1759, 'Wedgewood Pharm-GA-Yr2-2025'!$E$4:$L$4,
        _xlfn.XLOOKUP('Rate Load'!H1759, 'Wedgewood Pharm-GA-Yr2-2025'!$D$5:$D$20,
            'Wedgewood Pharm-GA-Yr2-2025'!$E$5:$L$20, 0, 0),
        0, 0),
    _xlfn.XLOOKUP(G1759, 'Wedgewood Pharm-GA-Yr2-2025'!$E$4:$L$4,
        _xlfn.XLOOKUP('Rate Load'!L1759, 'Wedgewood Pharm-GA-Yr2-2025'!$D$5:$D$20,
            'Wedgewood Pharm-GA-Yr2-2025'!$E$5:$L$20, 0, 0),
        0, 0)
)</f>
        <v>4.2799999999999994</v>
      </c>
      <c r="K1759" t="s">
        <v>46</v>
      </c>
      <c r="L1759" t="s">
        <v>13</v>
      </c>
      <c r="M1759">
        <v>1</v>
      </c>
      <c r="N1759" t="str">
        <f t="shared" si="27"/>
        <v>INSERT INTO TNL_RATING.dbo.usps_rate_master VALUES ('USPS', '2/13/2025', '2/13/2026', 12659, 'US', 'USPS Ground Advantage', 4, 6, 'O', 4.28, 'Wedgewood_USPS_2025', 'NonCubic','1');</v>
      </c>
    </row>
    <row r="1760" spans="1:14" x14ac:dyDescent="0.3">
      <c r="A1760" t="s">
        <v>11</v>
      </c>
      <c r="B1760" s="1" t="s">
        <v>43</v>
      </c>
      <c r="C1760" s="1" t="s">
        <v>44</v>
      </c>
      <c r="D1760">
        <v>12659</v>
      </c>
      <c r="E1760" t="s">
        <v>12</v>
      </c>
      <c r="F1760" t="s">
        <v>51</v>
      </c>
      <c r="G1760">
        <v>4</v>
      </c>
      <c r="H1760">
        <v>7</v>
      </c>
      <c r="I1760" t="s">
        <v>52</v>
      </c>
      <c r="J1760" cm="1">
        <f t="array" ref="J1760">IFERROR(
    _xlfn.XLOOKUP(G1760, 'Wedgewood Pharm-GA-Yr2-2025'!$E$4:$L$4,
        _xlfn.XLOOKUP('Rate Load'!H1760, 'Wedgewood Pharm-GA-Yr2-2025'!$D$5:$D$20,
            'Wedgewood Pharm-GA-Yr2-2025'!$E$5:$L$20, 0, 0),
        0, 0),
    _xlfn.XLOOKUP(G1760, 'Wedgewood Pharm-GA-Yr2-2025'!$E$4:$L$4,
        _xlfn.XLOOKUP('Rate Load'!L1760, 'Wedgewood Pharm-GA-Yr2-2025'!$D$5:$D$20,
            'Wedgewood Pharm-GA-Yr2-2025'!$E$5:$L$20, 0, 0),
        0, 0)
)</f>
        <v>4.2799999999999994</v>
      </c>
      <c r="K1760" t="s">
        <v>46</v>
      </c>
      <c r="L1760" t="s">
        <v>13</v>
      </c>
      <c r="M1760">
        <v>1</v>
      </c>
      <c r="N1760" t="str">
        <f t="shared" si="27"/>
        <v>INSERT INTO TNL_RATING.dbo.usps_rate_master VALUES ('USPS', '2/13/2025', '2/13/2026', 12659, 'US', 'USPS Ground Advantage', 4, 7, 'O', 4.28, 'Wedgewood_USPS_2025', 'NonCubic','1');</v>
      </c>
    </row>
    <row r="1761" spans="1:14" x14ac:dyDescent="0.3">
      <c r="A1761" t="s">
        <v>11</v>
      </c>
      <c r="B1761" s="1" t="s">
        <v>43</v>
      </c>
      <c r="C1761" s="1" t="s">
        <v>44</v>
      </c>
      <c r="D1761">
        <v>12659</v>
      </c>
      <c r="E1761" t="s">
        <v>12</v>
      </c>
      <c r="F1761" t="s">
        <v>51</v>
      </c>
      <c r="G1761">
        <v>4</v>
      </c>
      <c r="H1761">
        <v>8</v>
      </c>
      <c r="I1761" t="s">
        <v>52</v>
      </c>
      <c r="J1761" cm="1">
        <f t="array" ref="J1761">IFERROR(
    _xlfn.XLOOKUP(G1761, 'Wedgewood Pharm-GA-Yr2-2025'!$E$4:$L$4,
        _xlfn.XLOOKUP('Rate Load'!H1761, 'Wedgewood Pharm-GA-Yr2-2025'!$D$5:$D$20,
            'Wedgewood Pharm-GA-Yr2-2025'!$E$5:$L$20, 0, 0),
        0, 0),
    _xlfn.XLOOKUP(G1761, 'Wedgewood Pharm-GA-Yr2-2025'!$E$4:$L$4,
        _xlfn.XLOOKUP('Rate Load'!L1761, 'Wedgewood Pharm-GA-Yr2-2025'!$D$5:$D$20,
            'Wedgewood Pharm-GA-Yr2-2025'!$E$5:$L$20, 0, 0),
        0, 0)
)</f>
        <v>4.2799999999999994</v>
      </c>
      <c r="K1761" t="s">
        <v>46</v>
      </c>
      <c r="L1761" t="s">
        <v>13</v>
      </c>
      <c r="M1761">
        <v>1</v>
      </c>
      <c r="N1761" t="str">
        <f t="shared" si="27"/>
        <v>INSERT INTO TNL_RATING.dbo.usps_rate_master VALUES ('USPS', '2/13/2025', '2/13/2026', 12659, 'US', 'USPS Ground Advantage', 4, 8, 'O', 4.28, 'Wedgewood_USPS_2025', 'NonCubic','1');</v>
      </c>
    </row>
    <row r="1762" spans="1:14" x14ac:dyDescent="0.3">
      <c r="A1762" t="s">
        <v>11</v>
      </c>
      <c r="B1762" s="1" t="s">
        <v>43</v>
      </c>
      <c r="C1762" s="1" t="s">
        <v>44</v>
      </c>
      <c r="D1762">
        <v>12659</v>
      </c>
      <c r="E1762" t="s">
        <v>12</v>
      </c>
      <c r="F1762" t="s">
        <v>51</v>
      </c>
      <c r="G1762">
        <v>4</v>
      </c>
      <c r="H1762">
        <v>9</v>
      </c>
      <c r="I1762" t="s">
        <v>52</v>
      </c>
      <c r="J1762" cm="1">
        <f t="array" ref="J1762">IFERROR(
    _xlfn.XLOOKUP(G1762, 'Wedgewood Pharm-GA-Yr2-2025'!$E$4:$L$4,
        _xlfn.XLOOKUP('Rate Load'!H1762, 'Wedgewood Pharm-GA-Yr2-2025'!$D$5:$D$20,
            'Wedgewood Pharm-GA-Yr2-2025'!$E$5:$L$20, 0, 0),
        0, 0),
    _xlfn.XLOOKUP(G1762, 'Wedgewood Pharm-GA-Yr2-2025'!$E$4:$L$4,
        _xlfn.XLOOKUP('Rate Load'!L1762, 'Wedgewood Pharm-GA-Yr2-2025'!$D$5:$D$20,
            'Wedgewood Pharm-GA-Yr2-2025'!$E$5:$L$20, 0, 0),
        0, 0)
)</f>
        <v>4.92</v>
      </c>
      <c r="K1762" t="s">
        <v>46</v>
      </c>
      <c r="L1762" t="s">
        <v>13</v>
      </c>
      <c r="M1762">
        <v>1</v>
      </c>
      <c r="N1762" t="str">
        <f t="shared" si="27"/>
        <v>INSERT INTO TNL_RATING.dbo.usps_rate_master VALUES ('USPS', '2/13/2025', '2/13/2026', 12659, 'US', 'USPS Ground Advantage', 4, 9, 'O', 4.92, 'Wedgewood_USPS_2025', 'NonCubic','1');</v>
      </c>
    </row>
    <row r="1763" spans="1:14" x14ac:dyDescent="0.3">
      <c r="A1763" t="s">
        <v>11</v>
      </c>
      <c r="B1763" s="1" t="s">
        <v>43</v>
      </c>
      <c r="C1763" s="1" t="s">
        <v>44</v>
      </c>
      <c r="D1763">
        <v>12659</v>
      </c>
      <c r="E1763" t="s">
        <v>12</v>
      </c>
      <c r="F1763" t="s">
        <v>51</v>
      </c>
      <c r="G1763">
        <v>4</v>
      </c>
      <c r="H1763">
        <v>10</v>
      </c>
      <c r="I1763" t="s">
        <v>52</v>
      </c>
      <c r="J1763" cm="1">
        <f t="array" ref="J1763">IFERROR(
    _xlfn.XLOOKUP(G1763, 'Wedgewood Pharm-GA-Yr2-2025'!$E$4:$L$4,
        _xlfn.XLOOKUP('Rate Load'!H1763, 'Wedgewood Pharm-GA-Yr2-2025'!$D$5:$D$20,
            'Wedgewood Pharm-GA-Yr2-2025'!$E$5:$L$20, 0, 0),
        0, 0),
    _xlfn.XLOOKUP(G1763, 'Wedgewood Pharm-GA-Yr2-2025'!$E$4:$L$4,
        _xlfn.XLOOKUP('Rate Load'!L1763, 'Wedgewood Pharm-GA-Yr2-2025'!$D$5:$D$20,
            'Wedgewood Pharm-GA-Yr2-2025'!$E$5:$L$20, 0, 0),
        0, 0)
)</f>
        <v>4.92</v>
      </c>
      <c r="K1763" t="s">
        <v>46</v>
      </c>
      <c r="L1763" t="s">
        <v>13</v>
      </c>
      <c r="M1763">
        <v>1</v>
      </c>
      <c r="N1763" t="str">
        <f t="shared" si="27"/>
        <v>INSERT INTO TNL_RATING.dbo.usps_rate_master VALUES ('USPS', '2/13/2025', '2/13/2026', 12659, 'US', 'USPS Ground Advantage', 4, 10, 'O', 4.92, 'Wedgewood_USPS_2025', 'NonCubic','1');</v>
      </c>
    </row>
    <row r="1764" spans="1:14" x14ac:dyDescent="0.3">
      <c r="A1764" t="s">
        <v>11</v>
      </c>
      <c r="B1764" s="1" t="s">
        <v>43</v>
      </c>
      <c r="C1764" s="1" t="s">
        <v>44</v>
      </c>
      <c r="D1764">
        <v>12659</v>
      </c>
      <c r="E1764" t="s">
        <v>12</v>
      </c>
      <c r="F1764" t="s">
        <v>51</v>
      </c>
      <c r="G1764">
        <v>4</v>
      </c>
      <c r="H1764">
        <v>11</v>
      </c>
      <c r="I1764" t="s">
        <v>52</v>
      </c>
      <c r="J1764" cm="1">
        <f t="array" ref="J1764">IFERROR(
    _xlfn.XLOOKUP(G1764, 'Wedgewood Pharm-GA-Yr2-2025'!$E$4:$L$4,
        _xlfn.XLOOKUP('Rate Load'!H1764, 'Wedgewood Pharm-GA-Yr2-2025'!$D$5:$D$20,
            'Wedgewood Pharm-GA-Yr2-2025'!$E$5:$L$20, 0, 0),
        0, 0),
    _xlfn.XLOOKUP(G1764, 'Wedgewood Pharm-GA-Yr2-2025'!$E$4:$L$4,
        _xlfn.XLOOKUP('Rate Load'!L1764, 'Wedgewood Pharm-GA-Yr2-2025'!$D$5:$D$20,
            'Wedgewood Pharm-GA-Yr2-2025'!$E$5:$L$20, 0, 0),
        0, 0)
)</f>
        <v>4.92</v>
      </c>
      <c r="K1764" t="s">
        <v>46</v>
      </c>
      <c r="L1764" t="s">
        <v>13</v>
      </c>
      <c r="M1764">
        <v>1</v>
      </c>
      <c r="N1764" t="str">
        <f t="shared" si="27"/>
        <v>INSERT INTO TNL_RATING.dbo.usps_rate_master VALUES ('USPS', '2/13/2025', '2/13/2026', 12659, 'US', 'USPS Ground Advantage', 4, 11, 'O', 4.92, 'Wedgewood_USPS_2025', 'NonCubic','1');</v>
      </c>
    </row>
    <row r="1765" spans="1:14" x14ac:dyDescent="0.3">
      <c r="A1765" t="s">
        <v>11</v>
      </c>
      <c r="B1765" s="1" t="s">
        <v>43</v>
      </c>
      <c r="C1765" s="1" t="s">
        <v>44</v>
      </c>
      <c r="D1765">
        <v>12659</v>
      </c>
      <c r="E1765" t="s">
        <v>12</v>
      </c>
      <c r="F1765" t="s">
        <v>51</v>
      </c>
      <c r="G1765">
        <v>4</v>
      </c>
      <c r="H1765">
        <v>12</v>
      </c>
      <c r="I1765" t="s">
        <v>52</v>
      </c>
      <c r="J1765" cm="1">
        <f t="array" ref="J1765">IFERROR(
    _xlfn.XLOOKUP(G1765, 'Wedgewood Pharm-GA-Yr2-2025'!$E$4:$L$4,
        _xlfn.XLOOKUP('Rate Load'!H1765, 'Wedgewood Pharm-GA-Yr2-2025'!$D$5:$D$20,
            'Wedgewood Pharm-GA-Yr2-2025'!$E$5:$L$20, 0, 0),
        0, 0),
    _xlfn.XLOOKUP(G1765, 'Wedgewood Pharm-GA-Yr2-2025'!$E$4:$L$4,
        _xlfn.XLOOKUP('Rate Load'!L1765, 'Wedgewood Pharm-GA-Yr2-2025'!$D$5:$D$20,
            'Wedgewood Pharm-GA-Yr2-2025'!$E$5:$L$20, 0, 0),
        0, 0)
)</f>
        <v>4.92</v>
      </c>
      <c r="K1765" t="s">
        <v>46</v>
      </c>
      <c r="L1765" t="s">
        <v>13</v>
      </c>
      <c r="M1765">
        <v>1</v>
      </c>
      <c r="N1765" t="str">
        <f t="shared" si="27"/>
        <v>INSERT INTO TNL_RATING.dbo.usps_rate_master VALUES ('USPS', '2/13/2025', '2/13/2026', 12659, 'US', 'USPS Ground Advantage', 4, 12, 'O', 4.92, 'Wedgewood_USPS_2025', 'NonCubic','1');</v>
      </c>
    </row>
    <row r="1766" spans="1:14" x14ac:dyDescent="0.3">
      <c r="A1766" t="s">
        <v>11</v>
      </c>
      <c r="B1766" s="1" t="s">
        <v>43</v>
      </c>
      <c r="C1766" s="1" t="s">
        <v>44</v>
      </c>
      <c r="D1766">
        <v>12659</v>
      </c>
      <c r="E1766" t="s">
        <v>12</v>
      </c>
      <c r="F1766" t="s">
        <v>51</v>
      </c>
      <c r="G1766">
        <v>4</v>
      </c>
      <c r="H1766">
        <v>13</v>
      </c>
      <c r="I1766" t="s">
        <v>52</v>
      </c>
      <c r="J1766" cm="1">
        <f t="array" ref="J1766">IFERROR(
    _xlfn.XLOOKUP(G1766, 'Wedgewood Pharm-GA-Yr2-2025'!$E$4:$L$4,
        _xlfn.XLOOKUP('Rate Load'!H1766, 'Wedgewood Pharm-GA-Yr2-2025'!$D$5:$D$20,
            'Wedgewood Pharm-GA-Yr2-2025'!$E$5:$L$20, 0, 0),
        0, 0),
    _xlfn.XLOOKUP(G1766, 'Wedgewood Pharm-GA-Yr2-2025'!$E$4:$L$4,
        _xlfn.XLOOKUP('Rate Load'!L1766, 'Wedgewood Pharm-GA-Yr2-2025'!$D$5:$D$20,
            'Wedgewood Pharm-GA-Yr2-2025'!$E$5:$L$20, 0, 0),
        0, 0)
)</f>
        <v>5.4799999999999995</v>
      </c>
      <c r="K1766" t="s">
        <v>46</v>
      </c>
      <c r="L1766" t="s">
        <v>13</v>
      </c>
      <c r="M1766">
        <v>1</v>
      </c>
      <c r="N1766" t="str">
        <f t="shared" si="27"/>
        <v>INSERT INTO TNL_RATING.dbo.usps_rate_master VALUES ('USPS', '2/13/2025', '2/13/2026', 12659, 'US', 'USPS Ground Advantage', 4, 13, 'O', 5.48, 'Wedgewood_USPS_2025', 'NonCubic','1');</v>
      </c>
    </row>
    <row r="1767" spans="1:14" x14ac:dyDescent="0.3">
      <c r="A1767" t="s">
        <v>11</v>
      </c>
      <c r="B1767" s="1" t="s">
        <v>43</v>
      </c>
      <c r="C1767" s="1" t="s">
        <v>44</v>
      </c>
      <c r="D1767">
        <v>12659</v>
      </c>
      <c r="E1767" t="s">
        <v>12</v>
      </c>
      <c r="F1767" t="s">
        <v>51</v>
      </c>
      <c r="G1767">
        <v>4</v>
      </c>
      <c r="H1767">
        <v>14</v>
      </c>
      <c r="I1767" t="s">
        <v>52</v>
      </c>
      <c r="J1767" cm="1">
        <f t="array" ref="J1767">IFERROR(
    _xlfn.XLOOKUP(G1767, 'Wedgewood Pharm-GA-Yr2-2025'!$E$4:$L$4,
        _xlfn.XLOOKUP('Rate Load'!H1767, 'Wedgewood Pharm-GA-Yr2-2025'!$D$5:$D$20,
            'Wedgewood Pharm-GA-Yr2-2025'!$E$5:$L$20, 0, 0),
        0, 0),
    _xlfn.XLOOKUP(G1767, 'Wedgewood Pharm-GA-Yr2-2025'!$E$4:$L$4,
        _xlfn.XLOOKUP('Rate Load'!L1767, 'Wedgewood Pharm-GA-Yr2-2025'!$D$5:$D$20,
            'Wedgewood Pharm-GA-Yr2-2025'!$E$5:$L$20, 0, 0),
        0, 0)
)</f>
        <v>5.4799999999999995</v>
      </c>
      <c r="K1767" t="s">
        <v>46</v>
      </c>
      <c r="L1767" t="s">
        <v>13</v>
      </c>
      <c r="M1767">
        <v>1</v>
      </c>
      <c r="N1767" t="str">
        <f t="shared" si="27"/>
        <v>INSERT INTO TNL_RATING.dbo.usps_rate_master VALUES ('USPS', '2/13/2025', '2/13/2026', 12659, 'US', 'USPS Ground Advantage', 4, 14, 'O', 5.48, 'Wedgewood_USPS_2025', 'NonCubic','1');</v>
      </c>
    </row>
    <row r="1768" spans="1:14" x14ac:dyDescent="0.3">
      <c r="A1768" t="s">
        <v>11</v>
      </c>
      <c r="B1768" s="1" t="s">
        <v>43</v>
      </c>
      <c r="C1768" s="1" t="s">
        <v>44</v>
      </c>
      <c r="D1768">
        <v>12659</v>
      </c>
      <c r="E1768" t="s">
        <v>12</v>
      </c>
      <c r="F1768" t="s">
        <v>51</v>
      </c>
      <c r="G1768">
        <v>4</v>
      </c>
      <c r="H1768">
        <v>15</v>
      </c>
      <c r="I1768" t="s">
        <v>52</v>
      </c>
      <c r="J1768" cm="1">
        <f t="array" ref="J1768">IFERROR(
    _xlfn.XLOOKUP(G1768, 'Wedgewood Pharm-GA-Yr2-2025'!$E$4:$L$4,
        _xlfn.XLOOKUP('Rate Load'!H1768, 'Wedgewood Pharm-GA-Yr2-2025'!$D$5:$D$20,
            'Wedgewood Pharm-GA-Yr2-2025'!$E$5:$L$20, 0, 0),
        0, 0),
    _xlfn.XLOOKUP(G1768, 'Wedgewood Pharm-GA-Yr2-2025'!$E$4:$L$4,
        _xlfn.XLOOKUP('Rate Load'!L1768, 'Wedgewood Pharm-GA-Yr2-2025'!$D$5:$D$20,
            'Wedgewood Pharm-GA-Yr2-2025'!$E$5:$L$20, 0, 0),
        0, 0)
)</f>
        <v>5.4799999999999995</v>
      </c>
      <c r="K1768" t="s">
        <v>46</v>
      </c>
      <c r="L1768" t="s">
        <v>13</v>
      </c>
      <c r="M1768">
        <v>1</v>
      </c>
      <c r="N1768" t="str">
        <f t="shared" si="27"/>
        <v>INSERT INTO TNL_RATING.dbo.usps_rate_master VALUES ('USPS', '2/13/2025', '2/13/2026', 12659, 'US', 'USPS Ground Advantage', 4, 15, 'O', 5.48, 'Wedgewood_USPS_2025', 'NonCubic','1');</v>
      </c>
    </row>
    <row r="1769" spans="1:14" x14ac:dyDescent="0.3">
      <c r="A1769" t="s">
        <v>11</v>
      </c>
      <c r="B1769" s="1" t="s">
        <v>43</v>
      </c>
      <c r="C1769" s="1" t="s">
        <v>44</v>
      </c>
      <c r="D1769">
        <v>12659</v>
      </c>
      <c r="E1769" t="s">
        <v>12</v>
      </c>
      <c r="F1769" t="s">
        <v>51</v>
      </c>
      <c r="G1769">
        <v>4</v>
      </c>
      <c r="H1769">
        <v>15.999000000000001</v>
      </c>
      <c r="I1769" t="s">
        <v>52</v>
      </c>
      <c r="J1769" cm="1">
        <f t="array" ref="J1769">IFERROR(
    _xlfn.XLOOKUP(G1769, 'Wedgewood Pharm-GA-Yr2-2025'!$E$4:$L$4,
        _xlfn.XLOOKUP('Rate Load'!H1769, 'Wedgewood Pharm-GA-Yr2-2025'!$D$5:$D$20,
            'Wedgewood Pharm-GA-Yr2-2025'!$E$5:$L$20, 0, 0),
        0, 0),
    _xlfn.XLOOKUP(G1769, 'Wedgewood Pharm-GA-Yr2-2025'!$E$4:$L$4,
        _xlfn.XLOOKUP('Rate Load'!L1769, 'Wedgewood Pharm-GA-Yr2-2025'!$D$5:$D$20,
            'Wedgewood Pharm-GA-Yr2-2025'!$E$5:$L$20, 0, 0),
        0, 0)
)</f>
        <v>5.4799999999999995</v>
      </c>
      <c r="K1769" t="s">
        <v>46</v>
      </c>
      <c r="L1769" t="s">
        <v>13</v>
      </c>
      <c r="M1769">
        <v>1</v>
      </c>
      <c r="N1769" t="str">
        <f t="shared" si="27"/>
        <v>INSERT INTO TNL_RATING.dbo.usps_rate_master VALUES ('USPS', '2/13/2025', '2/13/2026', 12659, 'US', 'USPS Ground Advantage', 4, 15.999, 'O', 5.48, 'Wedgewood_USPS_2025', 'NonCubic','1');</v>
      </c>
    </row>
    <row r="1770" spans="1:14" x14ac:dyDescent="0.3">
      <c r="A1770" t="s">
        <v>11</v>
      </c>
      <c r="B1770" s="1" t="s">
        <v>43</v>
      </c>
      <c r="C1770" s="1" t="s">
        <v>44</v>
      </c>
      <c r="D1770">
        <v>12659</v>
      </c>
      <c r="E1770" t="s">
        <v>12</v>
      </c>
      <c r="F1770" t="s">
        <v>51</v>
      </c>
      <c r="G1770">
        <v>5</v>
      </c>
      <c r="H1770">
        <v>1</v>
      </c>
      <c r="I1770" t="s">
        <v>52</v>
      </c>
      <c r="J1770" cm="1">
        <f t="array" ref="J1770">IFERROR(
    _xlfn.XLOOKUP(G1770, 'Wedgewood Pharm-GA-Yr2-2025'!$E$4:$L$4,
        _xlfn.XLOOKUP('Rate Load'!H1770, 'Wedgewood Pharm-GA-Yr2-2025'!$D$5:$D$20,
            'Wedgewood Pharm-GA-Yr2-2025'!$E$5:$L$20, 0, 0),
        0, 0),
    _xlfn.XLOOKUP(G1770, 'Wedgewood Pharm-GA-Yr2-2025'!$E$4:$L$4,
        _xlfn.XLOOKUP('Rate Load'!L1770, 'Wedgewood Pharm-GA-Yr2-2025'!$D$5:$D$20,
            'Wedgewood Pharm-GA-Yr2-2025'!$E$5:$L$20, 0, 0),
        0, 0)
)</f>
        <v>3.59</v>
      </c>
      <c r="K1770" t="s">
        <v>46</v>
      </c>
      <c r="L1770" t="s">
        <v>13</v>
      </c>
      <c r="M1770">
        <v>1</v>
      </c>
      <c r="N1770" t="str">
        <f t="shared" si="27"/>
        <v>INSERT INTO TNL_RATING.dbo.usps_rate_master VALUES ('USPS', '2/13/2025', '2/13/2026', 12659, 'US', 'USPS Ground Advantage', 5, 1, 'O', 3.59, 'Wedgewood_USPS_2025', 'NonCubic','1');</v>
      </c>
    </row>
    <row r="1771" spans="1:14" x14ac:dyDescent="0.3">
      <c r="A1771" t="s">
        <v>11</v>
      </c>
      <c r="B1771" s="1" t="s">
        <v>43</v>
      </c>
      <c r="C1771" s="1" t="s">
        <v>44</v>
      </c>
      <c r="D1771">
        <v>12659</v>
      </c>
      <c r="E1771" t="s">
        <v>12</v>
      </c>
      <c r="F1771" t="s">
        <v>51</v>
      </c>
      <c r="G1771">
        <v>5</v>
      </c>
      <c r="H1771">
        <v>2</v>
      </c>
      <c r="I1771" t="s">
        <v>52</v>
      </c>
      <c r="J1771" cm="1">
        <f t="array" ref="J1771">IFERROR(
    _xlfn.XLOOKUP(G1771, 'Wedgewood Pharm-GA-Yr2-2025'!$E$4:$L$4,
        _xlfn.XLOOKUP('Rate Load'!H1771, 'Wedgewood Pharm-GA-Yr2-2025'!$D$5:$D$20,
            'Wedgewood Pharm-GA-Yr2-2025'!$E$5:$L$20, 0, 0),
        0, 0),
    _xlfn.XLOOKUP(G1771, 'Wedgewood Pharm-GA-Yr2-2025'!$E$4:$L$4,
        _xlfn.XLOOKUP('Rate Load'!L1771, 'Wedgewood Pharm-GA-Yr2-2025'!$D$5:$D$20,
            'Wedgewood Pharm-GA-Yr2-2025'!$E$5:$L$20, 0, 0),
        0, 0)
)</f>
        <v>3.59</v>
      </c>
      <c r="K1771" t="s">
        <v>46</v>
      </c>
      <c r="L1771" t="s">
        <v>13</v>
      </c>
      <c r="M1771">
        <v>1</v>
      </c>
      <c r="N1771" t="str">
        <f t="shared" si="27"/>
        <v>INSERT INTO TNL_RATING.dbo.usps_rate_master VALUES ('USPS', '2/13/2025', '2/13/2026', 12659, 'US', 'USPS Ground Advantage', 5, 2, 'O', 3.59, 'Wedgewood_USPS_2025', 'NonCubic','1');</v>
      </c>
    </row>
    <row r="1772" spans="1:14" x14ac:dyDescent="0.3">
      <c r="A1772" t="s">
        <v>11</v>
      </c>
      <c r="B1772" s="1" t="s">
        <v>43</v>
      </c>
      <c r="C1772" s="1" t="s">
        <v>44</v>
      </c>
      <c r="D1772">
        <v>12659</v>
      </c>
      <c r="E1772" t="s">
        <v>12</v>
      </c>
      <c r="F1772" t="s">
        <v>51</v>
      </c>
      <c r="G1772">
        <v>5</v>
      </c>
      <c r="H1772">
        <v>3</v>
      </c>
      <c r="I1772" t="s">
        <v>52</v>
      </c>
      <c r="J1772" cm="1">
        <f t="array" ref="J1772">IFERROR(
    _xlfn.XLOOKUP(G1772, 'Wedgewood Pharm-GA-Yr2-2025'!$E$4:$L$4,
        _xlfn.XLOOKUP('Rate Load'!H1772, 'Wedgewood Pharm-GA-Yr2-2025'!$D$5:$D$20,
            'Wedgewood Pharm-GA-Yr2-2025'!$E$5:$L$20, 0, 0),
        0, 0),
    _xlfn.XLOOKUP(G1772, 'Wedgewood Pharm-GA-Yr2-2025'!$E$4:$L$4,
        _xlfn.XLOOKUP('Rate Load'!L1772, 'Wedgewood Pharm-GA-Yr2-2025'!$D$5:$D$20,
            'Wedgewood Pharm-GA-Yr2-2025'!$E$5:$L$20, 0, 0),
        0, 0)
)</f>
        <v>3.59</v>
      </c>
      <c r="K1772" t="s">
        <v>46</v>
      </c>
      <c r="L1772" t="s">
        <v>13</v>
      </c>
      <c r="M1772">
        <v>1</v>
      </c>
      <c r="N1772" t="str">
        <f t="shared" si="27"/>
        <v>INSERT INTO TNL_RATING.dbo.usps_rate_master VALUES ('USPS', '2/13/2025', '2/13/2026', 12659, 'US', 'USPS Ground Advantage', 5, 3, 'O', 3.59, 'Wedgewood_USPS_2025', 'NonCubic','1');</v>
      </c>
    </row>
    <row r="1773" spans="1:14" x14ac:dyDescent="0.3">
      <c r="A1773" t="s">
        <v>11</v>
      </c>
      <c r="B1773" s="1" t="s">
        <v>43</v>
      </c>
      <c r="C1773" s="1" t="s">
        <v>44</v>
      </c>
      <c r="D1773">
        <v>12659</v>
      </c>
      <c r="E1773" t="s">
        <v>12</v>
      </c>
      <c r="F1773" t="s">
        <v>51</v>
      </c>
      <c r="G1773">
        <v>5</v>
      </c>
      <c r="H1773">
        <v>4</v>
      </c>
      <c r="I1773" t="s">
        <v>52</v>
      </c>
      <c r="J1773" cm="1">
        <f t="array" ref="J1773">IFERROR(
    _xlfn.XLOOKUP(G1773, 'Wedgewood Pharm-GA-Yr2-2025'!$E$4:$L$4,
        _xlfn.XLOOKUP('Rate Load'!H1773, 'Wedgewood Pharm-GA-Yr2-2025'!$D$5:$D$20,
            'Wedgewood Pharm-GA-Yr2-2025'!$E$5:$L$20, 0, 0),
        0, 0),
    _xlfn.XLOOKUP(G1773, 'Wedgewood Pharm-GA-Yr2-2025'!$E$4:$L$4,
        _xlfn.XLOOKUP('Rate Load'!L1773, 'Wedgewood Pharm-GA-Yr2-2025'!$D$5:$D$20,
            'Wedgewood Pharm-GA-Yr2-2025'!$E$5:$L$20, 0, 0),
        0, 0)
)</f>
        <v>3.59</v>
      </c>
      <c r="K1773" t="s">
        <v>46</v>
      </c>
      <c r="L1773" t="s">
        <v>13</v>
      </c>
      <c r="M1773">
        <v>1</v>
      </c>
      <c r="N1773" t="str">
        <f t="shared" si="27"/>
        <v>INSERT INTO TNL_RATING.dbo.usps_rate_master VALUES ('USPS', '2/13/2025', '2/13/2026', 12659, 'US', 'USPS Ground Advantage', 5, 4, 'O', 3.59, 'Wedgewood_USPS_2025', 'NonCubic','1');</v>
      </c>
    </row>
    <row r="1774" spans="1:14" x14ac:dyDescent="0.3">
      <c r="A1774" t="s">
        <v>11</v>
      </c>
      <c r="B1774" s="1" t="s">
        <v>43</v>
      </c>
      <c r="C1774" s="1" t="s">
        <v>44</v>
      </c>
      <c r="D1774">
        <v>12659</v>
      </c>
      <c r="E1774" t="s">
        <v>12</v>
      </c>
      <c r="F1774" t="s">
        <v>51</v>
      </c>
      <c r="G1774">
        <v>5</v>
      </c>
      <c r="H1774">
        <v>5</v>
      </c>
      <c r="I1774" t="s">
        <v>52</v>
      </c>
      <c r="J1774" cm="1">
        <f t="array" ref="J1774">IFERROR(
    _xlfn.XLOOKUP(G1774, 'Wedgewood Pharm-GA-Yr2-2025'!$E$4:$L$4,
        _xlfn.XLOOKUP('Rate Load'!H1774, 'Wedgewood Pharm-GA-Yr2-2025'!$D$5:$D$20,
            'Wedgewood Pharm-GA-Yr2-2025'!$E$5:$L$20, 0, 0),
        0, 0),
    _xlfn.XLOOKUP(G1774, 'Wedgewood Pharm-GA-Yr2-2025'!$E$4:$L$4,
        _xlfn.XLOOKUP('Rate Load'!L1774, 'Wedgewood Pharm-GA-Yr2-2025'!$D$5:$D$20,
            'Wedgewood Pharm-GA-Yr2-2025'!$E$5:$L$20, 0, 0),
        0, 0)
)</f>
        <v>4.33</v>
      </c>
      <c r="K1774" t="s">
        <v>46</v>
      </c>
      <c r="L1774" t="s">
        <v>13</v>
      </c>
      <c r="M1774">
        <v>1</v>
      </c>
      <c r="N1774" t="str">
        <f t="shared" si="27"/>
        <v>INSERT INTO TNL_RATING.dbo.usps_rate_master VALUES ('USPS', '2/13/2025', '2/13/2026', 12659, 'US', 'USPS Ground Advantage', 5, 5, 'O', 4.33, 'Wedgewood_USPS_2025', 'NonCubic','1');</v>
      </c>
    </row>
    <row r="1775" spans="1:14" x14ac:dyDescent="0.3">
      <c r="A1775" t="s">
        <v>11</v>
      </c>
      <c r="B1775" s="1" t="s">
        <v>43</v>
      </c>
      <c r="C1775" s="1" t="s">
        <v>44</v>
      </c>
      <c r="D1775">
        <v>12659</v>
      </c>
      <c r="E1775" t="s">
        <v>12</v>
      </c>
      <c r="F1775" t="s">
        <v>51</v>
      </c>
      <c r="G1775">
        <v>5</v>
      </c>
      <c r="H1775">
        <v>6</v>
      </c>
      <c r="I1775" t="s">
        <v>52</v>
      </c>
      <c r="J1775" cm="1">
        <f t="array" ref="J1775">IFERROR(
    _xlfn.XLOOKUP(G1775, 'Wedgewood Pharm-GA-Yr2-2025'!$E$4:$L$4,
        _xlfn.XLOOKUP('Rate Load'!H1775, 'Wedgewood Pharm-GA-Yr2-2025'!$D$5:$D$20,
            'Wedgewood Pharm-GA-Yr2-2025'!$E$5:$L$20, 0, 0),
        0, 0),
    _xlfn.XLOOKUP(G1775, 'Wedgewood Pharm-GA-Yr2-2025'!$E$4:$L$4,
        _xlfn.XLOOKUP('Rate Load'!L1775, 'Wedgewood Pharm-GA-Yr2-2025'!$D$5:$D$20,
            'Wedgewood Pharm-GA-Yr2-2025'!$E$5:$L$20, 0, 0),
        0, 0)
)</f>
        <v>4.33</v>
      </c>
      <c r="K1775" t="s">
        <v>46</v>
      </c>
      <c r="L1775" t="s">
        <v>13</v>
      </c>
      <c r="M1775">
        <v>1</v>
      </c>
      <c r="N1775" t="str">
        <f t="shared" si="27"/>
        <v>INSERT INTO TNL_RATING.dbo.usps_rate_master VALUES ('USPS', '2/13/2025', '2/13/2026', 12659, 'US', 'USPS Ground Advantage', 5, 6, 'O', 4.33, 'Wedgewood_USPS_2025', 'NonCubic','1');</v>
      </c>
    </row>
    <row r="1776" spans="1:14" x14ac:dyDescent="0.3">
      <c r="A1776" t="s">
        <v>11</v>
      </c>
      <c r="B1776" s="1" t="s">
        <v>43</v>
      </c>
      <c r="C1776" s="1" t="s">
        <v>44</v>
      </c>
      <c r="D1776">
        <v>12659</v>
      </c>
      <c r="E1776" t="s">
        <v>12</v>
      </c>
      <c r="F1776" t="s">
        <v>51</v>
      </c>
      <c r="G1776">
        <v>5</v>
      </c>
      <c r="H1776">
        <v>7</v>
      </c>
      <c r="I1776" t="s">
        <v>52</v>
      </c>
      <c r="J1776" cm="1">
        <f t="array" ref="J1776">IFERROR(
    _xlfn.XLOOKUP(G1776, 'Wedgewood Pharm-GA-Yr2-2025'!$E$4:$L$4,
        _xlfn.XLOOKUP('Rate Load'!H1776, 'Wedgewood Pharm-GA-Yr2-2025'!$D$5:$D$20,
            'Wedgewood Pharm-GA-Yr2-2025'!$E$5:$L$20, 0, 0),
        0, 0),
    _xlfn.XLOOKUP(G1776, 'Wedgewood Pharm-GA-Yr2-2025'!$E$4:$L$4,
        _xlfn.XLOOKUP('Rate Load'!L1776, 'Wedgewood Pharm-GA-Yr2-2025'!$D$5:$D$20,
            'Wedgewood Pharm-GA-Yr2-2025'!$E$5:$L$20, 0, 0),
        0, 0)
)</f>
        <v>4.33</v>
      </c>
      <c r="K1776" t="s">
        <v>46</v>
      </c>
      <c r="L1776" t="s">
        <v>13</v>
      </c>
      <c r="M1776">
        <v>1</v>
      </c>
      <c r="N1776" t="str">
        <f t="shared" si="27"/>
        <v>INSERT INTO TNL_RATING.dbo.usps_rate_master VALUES ('USPS', '2/13/2025', '2/13/2026', 12659, 'US', 'USPS Ground Advantage', 5, 7, 'O', 4.33, 'Wedgewood_USPS_2025', 'NonCubic','1');</v>
      </c>
    </row>
    <row r="1777" spans="1:14" x14ac:dyDescent="0.3">
      <c r="A1777" t="s">
        <v>11</v>
      </c>
      <c r="B1777" s="1" t="s">
        <v>43</v>
      </c>
      <c r="C1777" s="1" t="s">
        <v>44</v>
      </c>
      <c r="D1777">
        <v>12659</v>
      </c>
      <c r="E1777" t="s">
        <v>12</v>
      </c>
      <c r="F1777" t="s">
        <v>51</v>
      </c>
      <c r="G1777">
        <v>5</v>
      </c>
      <c r="H1777">
        <v>8</v>
      </c>
      <c r="I1777" t="s">
        <v>52</v>
      </c>
      <c r="J1777" cm="1">
        <f t="array" ref="J1777">IFERROR(
    _xlfn.XLOOKUP(G1777, 'Wedgewood Pharm-GA-Yr2-2025'!$E$4:$L$4,
        _xlfn.XLOOKUP('Rate Load'!H1777, 'Wedgewood Pharm-GA-Yr2-2025'!$D$5:$D$20,
            'Wedgewood Pharm-GA-Yr2-2025'!$E$5:$L$20, 0, 0),
        0, 0),
    _xlfn.XLOOKUP(G1777, 'Wedgewood Pharm-GA-Yr2-2025'!$E$4:$L$4,
        _xlfn.XLOOKUP('Rate Load'!L1777, 'Wedgewood Pharm-GA-Yr2-2025'!$D$5:$D$20,
            'Wedgewood Pharm-GA-Yr2-2025'!$E$5:$L$20, 0, 0),
        0, 0)
)</f>
        <v>4.33</v>
      </c>
      <c r="K1777" t="s">
        <v>46</v>
      </c>
      <c r="L1777" t="s">
        <v>13</v>
      </c>
      <c r="M1777">
        <v>1</v>
      </c>
      <c r="N1777" t="str">
        <f t="shared" si="27"/>
        <v>INSERT INTO TNL_RATING.dbo.usps_rate_master VALUES ('USPS', '2/13/2025', '2/13/2026', 12659, 'US', 'USPS Ground Advantage', 5, 8, 'O', 4.33, 'Wedgewood_USPS_2025', 'NonCubic','1');</v>
      </c>
    </row>
    <row r="1778" spans="1:14" x14ac:dyDescent="0.3">
      <c r="A1778" t="s">
        <v>11</v>
      </c>
      <c r="B1778" s="1" t="s">
        <v>43</v>
      </c>
      <c r="C1778" s="1" t="s">
        <v>44</v>
      </c>
      <c r="D1778">
        <v>12659</v>
      </c>
      <c r="E1778" t="s">
        <v>12</v>
      </c>
      <c r="F1778" t="s">
        <v>51</v>
      </c>
      <c r="G1778">
        <v>5</v>
      </c>
      <c r="H1778">
        <v>9</v>
      </c>
      <c r="I1778" t="s">
        <v>52</v>
      </c>
      <c r="J1778" cm="1">
        <f t="array" ref="J1778">IFERROR(
    _xlfn.XLOOKUP(G1778, 'Wedgewood Pharm-GA-Yr2-2025'!$E$4:$L$4,
        _xlfn.XLOOKUP('Rate Load'!H1778, 'Wedgewood Pharm-GA-Yr2-2025'!$D$5:$D$20,
            'Wedgewood Pharm-GA-Yr2-2025'!$E$5:$L$20, 0, 0),
        0, 0),
    _xlfn.XLOOKUP(G1778, 'Wedgewood Pharm-GA-Yr2-2025'!$E$4:$L$4,
        _xlfn.XLOOKUP('Rate Load'!L1778, 'Wedgewood Pharm-GA-Yr2-2025'!$D$5:$D$20,
            'Wedgewood Pharm-GA-Yr2-2025'!$E$5:$L$20, 0, 0),
        0, 0)
)</f>
        <v>5</v>
      </c>
      <c r="K1778" t="s">
        <v>46</v>
      </c>
      <c r="L1778" t="s">
        <v>13</v>
      </c>
      <c r="M1778">
        <v>1</v>
      </c>
      <c r="N1778" t="str">
        <f t="shared" si="27"/>
        <v>INSERT INTO TNL_RATING.dbo.usps_rate_master VALUES ('USPS', '2/13/2025', '2/13/2026', 12659, 'US', 'USPS Ground Advantage', 5, 9, 'O', 5, 'Wedgewood_USPS_2025', 'NonCubic','1');</v>
      </c>
    </row>
    <row r="1779" spans="1:14" x14ac:dyDescent="0.3">
      <c r="A1779" t="s">
        <v>11</v>
      </c>
      <c r="B1779" s="1" t="s">
        <v>43</v>
      </c>
      <c r="C1779" s="1" t="s">
        <v>44</v>
      </c>
      <c r="D1779">
        <v>12659</v>
      </c>
      <c r="E1779" t="s">
        <v>12</v>
      </c>
      <c r="F1779" t="s">
        <v>51</v>
      </c>
      <c r="G1779">
        <v>5</v>
      </c>
      <c r="H1779">
        <v>10</v>
      </c>
      <c r="I1779" t="s">
        <v>52</v>
      </c>
      <c r="J1779" cm="1">
        <f t="array" ref="J1779">IFERROR(
    _xlfn.XLOOKUP(G1779, 'Wedgewood Pharm-GA-Yr2-2025'!$E$4:$L$4,
        _xlfn.XLOOKUP('Rate Load'!H1779, 'Wedgewood Pharm-GA-Yr2-2025'!$D$5:$D$20,
            'Wedgewood Pharm-GA-Yr2-2025'!$E$5:$L$20, 0, 0),
        0, 0),
    _xlfn.XLOOKUP(G1779, 'Wedgewood Pharm-GA-Yr2-2025'!$E$4:$L$4,
        _xlfn.XLOOKUP('Rate Load'!L1779, 'Wedgewood Pharm-GA-Yr2-2025'!$D$5:$D$20,
            'Wedgewood Pharm-GA-Yr2-2025'!$E$5:$L$20, 0, 0),
        0, 0)
)</f>
        <v>5</v>
      </c>
      <c r="K1779" t="s">
        <v>46</v>
      </c>
      <c r="L1779" t="s">
        <v>13</v>
      </c>
      <c r="M1779">
        <v>1</v>
      </c>
      <c r="N1779" t="str">
        <f t="shared" si="27"/>
        <v>INSERT INTO TNL_RATING.dbo.usps_rate_master VALUES ('USPS', '2/13/2025', '2/13/2026', 12659, 'US', 'USPS Ground Advantage', 5, 10, 'O', 5, 'Wedgewood_USPS_2025', 'NonCubic','1');</v>
      </c>
    </row>
    <row r="1780" spans="1:14" x14ac:dyDescent="0.3">
      <c r="A1780" t="s">
        <v>11</v>
      </c>
      <c r="B1780" s="1" t="s">
        <v>43</v>
      </c>
      <c r="C1780" s="1" t="s">
        <v>44</v>
      </c>
      <c r="D1780">
        <v>12659</v>
      </c>
      <c r="E1780" t="s">
        <v>12</v>
      </c>
      <c r="F1780" t="s">
        <v>51</v>
      </c>
      <c r="G1780">
        <v>5</v>
      </c>
      <c r="H1780">
        <v>11</v>
      </c>
      <c r="I1780" t="s">
        <v>52</v>
      </c>
      <c r="J1780" cm="1">
        <f t="array" ref="J1780">IFERROR(
    _xlfn.XLOOKUP(G1780, 'Wedgewood Pharm-GA-Yr2-2025'!$E$4:$L$4,
        _xlfn.XLOOKUP('Rate Load'!H1780, 'Wedgewood Pharm-GA-Yr2-2025'!$D$5:$D$20,
            'Wedgewood Pharm-GA-Yr2-2025'!$E$5:$L$20, 0, 0),
        0, 0),
    _xlfn.XLOOKUP(G1780, 'Wedgewood Pharm-GA-Yr2-2025'!$E$4:$L$4,
        _xlfn.XLOOKUP('Rate Load'!L1780, 'Wedgewood Pharm-GA-Yr2-2025'!$D$5:$D$20,
            'Wedgewood Pharm-GA-Yr2-2025'!$E$5:$L$20, 0, 0),
        0, 0)
)</f>
        <v>5</v>
      </c>
      <c r="K1780" t="s">
        <v>46</v>
      </c>
      <c r="L1780" t="s">
        <v>13</v>
      </c>
      <c r="M1780">
        <v>1</v>
      </c>
      <c r="N1780" t="str">
        <f t="shared" si="27"/>
        <v>INSERT INTO TNL_RATING.dbo.usps_rate_master VALUES ('USPS', '2/13/2025', '2/13/2026', 12659, 'US', 'USPS Ground Advantage', 5, 11, 'O', 5, 'Wedgewood_USPS_2025', 'NonCubic','1');</v>
      </c>
    </row>
    <row r="1781" spans="1:14" x14ac:dyDescent="0.3">
      <c r="A1781" t="s">
        <v>11</v>
      </c>
      <c r="B1781" s="1" t="s">
        <v>43</v>
      </c>
      <c r="C1781" s="1" t="s">
        <v>44</v>
      </c>
      <c r="D1781">
        <v>12659</v>
      </c>
      <c r="E1781" t="s">
        <v>12</v>
      </c>
      <c r="F1781" t="s">
        <v>51</v>
      </c>
      <c r="G1781">
        <v>5</v>
      </c>
      <c r="H1781">
        <v>12</v>
      </c>
      <c r="I1781" t="s">
        <v>52</v>
      </c>
      <c r="J1781" cm="1">
        <f t="array" ref="J1781">IFERROR(
    _xlfn.XLOOKUP(G1781, 'Wedgewood Pharm-GA-Yr2-2025'!$E$4:$L$4,
        _xlfn.XLOOKUP('Rate Load'!H1781, 'Wedgewood Pharm-GA-Yr2-2025'!$D$5:$D$20,
            'Wedgewood Pharm-GA-Yr2-2025'!$E$5:$L$20, 0, 0),
        0, 0),
    _xlfn.XLOOKUP(G1781, 'Wedgewood Pharm-GA-Yr2-2025'!$E$4:$L$4,
        _xlfn.XLOOKUP('Rate Load'!L1781, 'Wedgewood Pharm-GA-Yr2-2025'!$D$5:$D$20,
            'Wedgewood Pharm-GA-Yr2-2025'!$E$5:$L$20, 0, 0),
        0, 0)
)</f>
        <v>5</v>
      </c>
      <c r="K1781" t="s">
        <v>46</v>
      </c>
      <c r="L1781" t="s">
        <v>13</v>
      </c>
      <c r="M1781">
        <v>1</v>
      </c>
      <c r="N1781" t="str">
        <f t="shared" si="27"/>
        <v>INSERT INTO TNL_RATING.dbo.usps_rate_master VALUES ('USPS', '2/13/2025', '2/13/2026', 12659, 'US', 'USPS Ground Advantage', 5, 12, 'O', 5, 'Wedgewood_USPS_2025', 'NonCubic','1');</v>
      </c>
    </row>
    <row r="1782" spans="1:14" x14ac:dyDescent="0.3">
      <c r="A1782" t="s">
        <v>11</v>
      </c>
      <c r="B1782" s="1" t="s">
        <v>43</v>
      </c>
      <c r="C1782" s="1" t="s">
        <v>44</v>
      </c>
      <c r="D1782">
        <v>12659</v>
      </c>
      <c r="E1782" t="s">
        <v>12</v>
      </c>
      <c r="F1782" t="s">
        <v>51</v>
      </c>
      <c r="G1782">
        <v>5</v>
      </c>
      <c r="H1782">
        <v>13</v>
      </c>
      <c r="I1782" t="s">
        <v>52</v>
      </c>
      <c r="J1782" cm="1">
        <f t="array" ref="J1782">IFERROR(
    _xlfn.XLOOKUP(G1782, 'Wedgewood Pharm-GA-Yr2-2025'!$E$4:$L$4,
        _xlfn.XLOOKUP('Rate Load'!H1782, 'Wedgewood Pharm-GA-Yr2-2025'!$D$5:$D$20,
            'Wedgewood Pharm-GA-Yr2-2025'!$E$5:$L$20, 0, 0),
        0, 0),
    _xlfn.XLOOKUP(G1782, 'Wedgewood Pharm-GA-Yr2-2025'!$E$4:$L$4,
        _xlfn.XLOOKUP('Rate Load'!L1782, 'Wedgewood Pharm-GA-Yr2-2025'!$D$5:$D$20,
            'Wedgewood Pharm-GA-Yr2-2025'!$E$5:$L$20, 0, 0),
        0, 0)
)</f>
        <v>5.6099999999999994</v>
      </c>
      <c r="K1782" t="s">
        <v>46</v>
      </c>
      <c r="L1782" t="s">
        <v>13</v>
      </c>
      <c r="M1782">
        <v>1</v>
      </c>
      <c r="N1782" t="str">
        <f t="shared" si="27"/>
        <v>INSERT INTO TNL_RATING.dbo.usps_rate_master VALUES ('USPS', '2/13/2025', '2/13/2026', 12659, 'US', 'USPS Ground Advantage', 5, 13, 'O', 5.61, 'Wedgewood_USPS_2025', 'NonCubic','1');</v>
      </c>
    </row>
    <row r="1783" spans="1:14" x14ac:dyDescent="0.3">
      <c r="A1783" t="s">
        <v>11</v>
      </c>
      <c r="B1783" s="1" t="s">
        <v>43</v>
      </c>
      <c r="C1783" s="1" t="s">
        <v>44</v>
      </c>
      <c r="D1783">
        <v>12659</v>
      </c>
      <c r="E1783" t="s">
        <v>12</v>
      </c>
      <c r="F1783" t="s">
        <v>51</v>
      </c>
      <c r="G1783">
        <v>5</v>
      </c>
      <c r="H1783">
        <v>14</v>
      </c>
      <c r="I1783" t="s">
        <v>52</v>
      </c>
      <c r="J1783" cm="1">
        <f t="array" ref="J1783">IFERROR(
    _xlfn.XLOOKUP(G1783, 'Wedgewood Pharm-GA-Yr2-2025'!$E$4:$L$4,
        _xlfn.XLOOKUP('Rate Load'!H1783, 'Wedgewood Pharm-GA-Yr2-2025'!$D$5:$D$20,
            'Wedgewood Pharm-GA-Yr2-2025'!$E$5:$L$20, 0, 0),
        0, 0),
    _xlfn.XLOOKUP(G1783, 'Wedgewood Pharm-GA-Yr2-2025'!$E$4:$L$4,
        _xlfn.XLOOKUP('Rate Load'!L1783, 'Wedgewood Pharm-GA-Yr2-2025'!$D$5:$D$20,
            'Wedgewood Pharm-GA-Yr2-2025'!$E$5:$L$20, 0, 0),
        0, 0)
)</f>
        <v>5.6099999999999994</v>
      </c>
      <c r="K1783" t="s">
        <v>46</v>
      </c>
      <c r="L1783" t="s">
        <v>13</v>
      </c>
      <c r="M1783">
        <v>1</v>
      </c>
      <c r="N1783" t="str">
        <f t="shared" si="27"/>
        <v>INSERT INTO TNL_RATING.dbo.usps_rate_master VALUES ('USPS', '2/13/2025', '2/13/2026', 12659, 'US', 'USPS Ground Advantage', 5, 14, 'O', 5.61, 'Wedgewood_USPS_2025', 'NonCubic','1');</v>
      </c>
    </row>
    <row r="1784" spans="1:14" x14ac:dyDescent="0.3">
      <c r="A1784" t="s">
        <v>11</v>
      </c>
      <c r="B1784" s="1" t="s">
        <v>43</v>
      </c>
      <c r="C1784" s="1" t="s">
        <v>44</v>
      </c>
      <c r="D1784">
        <v>12659</v>
      </c>
      <c r="E1784" t="s">
        <v>12</v>
      </c>
      <c r="F1784" t="s">
        <v>51</v>
      </c>
      <c r="G1784">
        <v>5</v>
      </c>
      <c r="H1784">
        <v>15</v>
      </c>
      <c r="I1784" t="s">
        <v>52</v>
      </c>
      <c r="J1784" cm="1">
        <f t="array" ref="J1784">IFERROR(
    _xlfn.XLOOKUP(G1784, 'Wedgewood Pharm-GA-Yr2-2025'!$E$4:$L$4,
        _xlfn.XLOOKUP('Rate Load'!H1784, 'Wedgewood Pharm-GA-Yr2-2025'!$D$5:$D$20,
            'Wedgewood Pharm-GA-Yr2-2025'!$E$5:$L$20, 0, 0),
        0, 0),
    _xlfn.XLOOKUP(G1784, 'Wedgewood Pharm-GA-Yr2-2025'!$E$4:$L$4,
        _xlfn.XLOOKUP('Rate Load'!L1784, 'Wedgewood Pharm-GA-Yr2-2025'!$D$5:$D$20,
            'Wedgewood Pharm-GA-Yr2-2025'!$E$5:$L$20, 0, 0),
        0, 0)
)</f>
        <v>5.6099999999999994</v>
      </c>
      <c r="K1784" t="s">
        <v>46</v>
      </c>
      <c r="L1784" t="s">
        <v>13</v>
      </c>
      <c r="M1784">
        <v>1</v>
      </c>
      <c r="N1784" t="str">
        <f t="shared" si="27"/>
        <v>INSERT INTO TNL_RATING.dbo.usps_rate_master VALUES ('USPS', '2/13/2025', '2/13/2026', 12659, 'US', 'USPS Ground Advantage', 5, 15, 'O', 5.61, 'Wedgewood_USPS_2025', 'NonCubic','1');</v>
      </c>
    </row>
    <row r="1785" spans="1:14" x14ac:dyDescent="0.3">
      <c r="A1785" t="s">
        <v>11</v>
      </c>
      <c r="B1785" s="1" t="s">
        <v>43</v>
      </c>
      <c r="C1785" s="1" t="s">
        <v>44</v>
      </c>
      <c r="D1785">
        <v>12659</v>
      </c>
      <c r="E1785" t="s">
        <v>12</v>
      </c>
      <c r="F1785" t="s">
        <v>51</v>
      </c>
      <c r="G1785">
        <v>5</v>
      </c>
      <c r="H1785">
        <v>15.999000000000001</v>
      </c>
      <c r="I1785" t="s">
        <v>52</v>
      </c>
      <c r="J1785" cm="1">
        <f t="array" ref="J1785">IFERROR(
    _xlfn.XLOOKUP(G1785, 'Wedgewood Pharm-GA-Yr2-2025'!$E$4:$L$4,
        _xlfn.XLOOKUP('Rate Load'!H1785, 'Wedgewood Pharm-GA-Yr2-2025'!$D$5:$D$20,
            'Wedgewood Pharm-GA-Yr2-2025'!$E$5:$L$20, 0, 0),
        0, 0),
    _xlfn.XLOOKUP(G1785, 'Wedgewood Pharm-GA-Yr2-2025'!$E$4:$L$4,
        _xlfn.XLOOKUP('Rate Load'!L1785, 'Wedgewood Pharm-GA-Yr2-2025'!$D$5:$D$20,
            'Wedgewood Pharm-GA-Yr2-2025'!$E$5:$L$20, 0, 0),
        0, 0)
)</f>
        <v>5.6099999999999994</v>
      </c>
      <c r="K1785" t="s">
        <v>46</v>
      </c>
      <c r="L1785" t="s">
        <v>13</v>
      </c>
      <c r="M1785">
        <v>1</v>
      </c>
      <c r="N1785" t="str">
        <f t="shared" si="27"/>
        <v>INSERT INTO TNL_RATING.dbo.usps_rate_master VALUES ('USPS', '2/13/2025', '2/13/2026', 12659, 'US', 'USPS Ground Advantage', 5, 15.999, 'O', 5.61, 'Wedgewood_USPS_2025', 'NonCubic','1');</v>
      </c>
    </row>
    <row r="1786" spans="1:14" x14ac:dyDescent="0.3">
      <c r="A1786" t="s">
        <v>11</v>
      </c>
      <c r="B1786" s="1" t="s">
        <v>43</v>
      </c>
      <c r="C1786" s="1" t="s">
        <v>44</v>
      </c>
      <c r="D1786">
        <v>12659</v>
      </c>
      <c r="E1786" t="s">
        <v>12</v>
      </c>
      <c r="F1786" t="s">
        <v>51</v>
      </c>
      <c r="G1786">
        <v>6</v>
      </c>
      <c r="H1786">
        <v>1</v>
      </c>
      <c r="I1786" t="s">
        <v>52</v>
      </c>
      <c r="J1786" cm="1">
        <f t="array" ref="J1786">IFERROR(
    _xlfn.XLOOKUP(G1786, 'Wedgewood Pharm-GA-Yr2-2025'!$E$4:$L$4,
        _xlfn.XLOOKUP('Rate Load'!H1786, 'Wedgewood Pharm-GA-Yr2-2025'!$D$5:$D$20,
            'Wedgewood Pharm-GA-Yr2-2025'!$E$5:$L$20, 0, 0),
        0, 0),
    _xlfn.XLOOKUP(G1786, 'Wedgewood Pharm-GA-Yr2-2025'!$E$4:$L$4,
        _xlfn.XLOOKUP('Rate Load'!L1786, 'Wedgewood Pharm-GA-Yr2-2025'!$D$5:$D$20,
            'Wedgewood Pharm-GA-Yr2-2025'!$E$5:$L$20, 0, 0),
        0, 0)
)</f>
        <v>3.6799999999999997</v>
      </c>
      <c r="K1786" t="s">
        <v>46</v>
      </c>
      <c r="L1786" t="s">
        <v>13</v>
      </c>
      <c r="M1786">
        <v>1</v>
      </c>
      <c r="N1786" t="str">
        <f t="shared" si="27"/>
        <v>INSERT INTO TNL_RATING.dbo.usps_rate_master VALUES ('USPS', '2/13/2025', '2/13/2026', 12659, 'US', 'USPS Ground Advantage', 6, 1, 'O', 3.68, 'Wedgewood_USPS_2025', 'NonCubic','1');</v>
      </c>
    </row>
    <row r="1787" spans="1:14" x14ac:dyDescent="0.3">
      <c r="A1787" t="s">
        <v>11</v>
      </c>
      <c r="B1787" s="1" t="s">
        <v>43</v>
      </c>
      <c r="C1787" s="1" t="s">
        <v>44</v>
      </c>
      <c r="D1787">
        <v>12659</v>
      </c>
      <c r="E1787" t="s">
        <v>12</v>
      </c>
      <c r="F1787" t="s">
        <v>51</v>
      </c>
      <c r="G1787">
        <v>6</v>
      </c>
      <c r="H1787">
        <v>2</v>
      </c>
      <c r="I1787" t="s">
        <v>52</v>
      </c>
      <c r="J1787" cm="1">
        <f t="array" ref="J1787">IFERROR(
    _xlfn.XLOOKUP(G1787, 'Wedgewood Pharm-GA-Yr2-2025'!$E$4:$L$4,
        _xlfn.XLOOKUP('Rate Load'!H1787, 'Wedgewood Pharm-GA-Yr2-2025'!$D$5:$D$20,
            'Wedgewood Pharm-GA-Yr2-2025'!$E$5:$L$20, 0, 0),
        0, 0),
    _xlfn.XLOOKUP(G1787, 'Wedgewood Pharm-GA-Yr2-2025'!$E$4:$L$4,
        _xlfn.XLOOKUP('Rate Load'!L1787, 'Wedgewood Pharm-GA-Yr2-2025'!$D$5:$D$20,
            'Wedgewood Pharm-GA-Yr2-2025'!$E$5:$L$20, 0, 0),
        0, 0)
)</f>
        <v>3.6799999999999997</v>
      </c>
      <c r="K1787" t="s">
        <v>46</v>
      </c>
      <c r="L1787" t="s">
        <v>13</v>
      </c>
      <c r="M1787">
        <v>1</v>
      </c>
      <c r="N1787" t="str">
        <f t="shared" si="27"/>
        <v>INSERT INTO TNL_RATING.dbo.usps_rate_master VALUES ('USPS', '2/13/2025', '2/13/2026', 12659, 'US', 'USPS Ground Advantage', 6, 2, 'O', 3.68, 'Wedgewood_USPS_2025', 'NonCubic','1');</v>
      </c>
    </row>
    <row r="1788" spans="1:14" x14ac:dyDescent="0.3">
      <c r="A1788" t="s">
        <v>11</v>
      </c>
      <c r="B1788" s="1" t="s">
        <v>43</v>
      </c>
      <c r="C1788" s="1" t="s">
        <v>44</v>
      </c>
      <c r="D1788">
        <v>12659</v>
      </c>
      <c r="E1788" t="s">
        <v>12</v>
      </c>
      <c r="F1788" t="s">
        <v>51</v>
      </c>
      <c r="G1788">
        <v>6</v>
      </c>
      <c r="H1788">
        <v>3</v>
      </c>
      <c r="I1788" t="s">
        <v>52</v>
      </c>
      <c r="J1788" cm="1">
        <f t="array" ref="J1788">IFERROR(
    _xlfn.XLOOKUP(G1788, 'Wedgewood Pharm-GA-Yr2-2025'!$E$4:$L$4,
        _xlfn.XLOOKUP('Rate Load'!H1788, 'Wedgewood Pharm-GA-Yr2-2025'!$D$5:$D$20,
            'Wedgewood Pharm-GA-Yr2-2025'!$E$5:$L$20, 0, 0),
        0, 0),
    _xlfn.XLOOKUP(G1788, 'Wedgewood Pharm-GA-Yr2-2025'!$E$4:$L$4,
        _xlfn.XLOOKUP('Rate Load'!L1788, 'Wedgewood Pharm-GA-Yr2-2025'!$D$5:$D$20,
            'Wedgewood Pharm-GA-Yr2-2025'!$E$5:$L$20, 0, 0),
        0, 0)
)</f>
        <v>3.6799999999999997</v>
      </c>
      <c r="K1788" t="s">
        <v>46</v>
      </c>
      <c r="L1788" t="s">
        <v>13</v>
      </c>
      <c r="M1788">
        <v>1</v>
      </c>
      <c r="N1788" t="str">
        <f t="shared" si="27"/>
        <v>INSERT INTO TNL_RATING.dbo.usps_rate_master VALUES ('USPS', '2/13/2025', '2/13/2026', 12659, 'US', 'USPS Ground Advantage', 6, 3, 'O', 3.68, 'Wedgewood_USPS_2025', 'NonCubic','1');</v>
      </c>
    </row>
    <row r="1789" spans="1:14" x14ac:dyDescent="0.3">
      <c r="A1789" t="s">
        <v>11</v>
      </c>
      <c r="B1789" s="1" t="s">
        <v>43</v>
      </c>
      <c r="C1789" s="1" t="s">
        <v>44</v>
      </c>
      <c r="D1789">
        <v>12659</v>
      </c>
      <c r="E1789" t="s">
        <v>12</v>
      </c>
      <c r="F1789" t="s">
        <v>51</v>
      </c>
      <c r="G1789">
        <v>6</v>
      </c>
      <c r="H1789">
        <v>4</v>
      </c>
      <c r="I1789" t="s">
        <v>52</v>
      </c>
      <c r="J1789" cm="1">
        <f t="array" ref="J1789">IFERROR(
    _xlfn.XLOOKUP(G1789, 'Wedgewood Pharm-GA-Yr2-2025'!$E$4:$L$4,
        _xlfn.XLOOKUP('Rate Load'!H1789, 'Wedgewood Pharm-GA-Yr2-2025'!$D$5:$D$20,
            'Wedgewood Pharm-GA-Yr2-2025'!$E$5:$L$20, 0, 0),
        0, 0),
    _xlfn.XLOOKUP(G1789, 'Wedgewood Pharm-GA-Yr2-2025'!$E$4:$L$4,
        _xlfn.XLOOKUP('Rate Load'!L1789, 'Wedgewood Pharm-GA-Yr2-2025'!$D$5:$D$20,
            'Wedgewood Pharm-GA-Yr2-2025'!$E$5:$L$20, 0, 0),
        0, 0)
)</f>
        <v>3.6799999999999997</v>
      </c>
      <c r="K1789" t="s">
        <v>46</v>
      </c>
      <c r="L1789" t="s">
        <v>13</v>
      </c>
      <c r="M1789">
        <v>1</v>
      </c>
      <c r="N1789" t="str">
        <f t="shared" si="27"/>
        <v>INSERT INTO TNL_RATING.dbo.usps_rate_master VALUES ('USPS', '2/13/2025', '2/13/2026', 12659, 'US', 'USPS Ground Advantage', 6, 4, 'O', 3.68, 'Wedgewood_USPS_2025', 'NonCubic','1');</v>
      </c>
    </row>
    <row r="1790" spans="1:14" x14ac:dyDescent="0.3">
      <c r="A1790" t="s">
        <v>11</v>
      </c>
      <c r="B1790" s="1" t="s">
        <v>43</v>
      </c>
      <c r="C1790" s="1" t="s">
        <v>44</v>
      </c>
      <c r="D1790">
        <v>12659</v>
      </c>
      <c r="E1790" t="s">
        <v>12</v>
      </c>
      <c r="F1790" t="s">
        <v>51</v>
      </c>
      <c r="G1790">
        <v>6</v>
      </c>
      <c r="H1790">
        <v>5</v>
      </c>
      <c r="I1790" t="s">
        <v>52</v>
      </c>
      <c r="J1790" cm="1">
        <f t="array" ref="J1790">IFERROR(
    _xlfn.XLOOKUP(G1790, 'Wedgewood Pharm-GA-Yr2-2025'!$E$4:$L$4,
        _xlfn.XLOOKUP('Rate Load'!H1790, 'Wedgewood Pharm-GA-Yr2-2025'!$D$5:$D$20,
            'Wedgewood Pharm-GA-Yr2-2025'!$E$5:$L$20, 0, 0),
        0, 0),
    _xlfn.XLOOKUP(G1790, 'Wedgewood Pharm-GA-Yr2-2025'!$E$4:$L$4,
        _xlfn.XLOOKUP('Rate Load'!L1790, 'Wedgewood Pharm-GA-Yr2-2025'!$D$5:$D$20,
            'Wedgewood Pharm-GA-Yr2-2025'!$E$5:$L$20, 0, 0),
        0, 0)
)</f>
        <v>4.37</v>
      </c>
      <c r="K1790" t="s">
        <v>46</v>
      </c>
      <c r="L1790" t="s">
        <v>13</v>
      </c>
      <c r="M1790">
        <v>1</v>
      </c>
      <c r="N1790" t="str">
        <f t="shared" si="27"/>
        <v>INSERT INTO TNL_RATING.dbo.usps_rate_master VALUES ('USPS', '2/13/2025', '2/13/2026', 12659, 'US', 'USPS Ground Advantage', 6, 5, 'O', 4.37, 'Wedgewood_USPS_2025', 'NonCubic','1');</v>
      </c>
    </row>
    <row r="1791" spans="1:14" x14ac:dyDescent="0.3">
      <c r="A1791" t="s">
        <v>11</v>
      </c>
      <c r="B1791" s="1" t="s">
        <v>43</v>
      </c>
      <c r="C1791" s="1" t="s">
        <v>44</v>
      </c>
      <c r="D1791">
        <v>12659</v>
      </c>
      <c r="E1791" t="s">
        <v>12</v>
      </c>
      <c r="F1791" t="s">
        <v>51</v>
      </c>
      <c r="G1791">
        <v>6</v>
      </c>
      <c r="H1791">
        <v>6</v>
      </c>
      <c r="I1791" t="s">
        <v>52</v>
      </c>
      <c r="J1791" cm="1">
        <f t="array" ref="J1791">IFERROR(
    _xlfn.XLOOKUP(G1791, 'Wedgewood Pharm-GA-Yr2-2025'!$E$4:$L$4,
        _xlfn.XLOOKUP('Rate Load'!H1791, 'Wedgewood Pharm-GA-Yr2-2025'!$D$5:$D$20,
            'Wedgewood Pharm-GA-Yr2-2025'!$E$5:$L$20, 0, 0),
        0, 0),
    _xlfn.XLOOKUP(G1791, 'Wedgewood Pharm-GA-Yr2-2025'!$E$4:$L$4,
        _xlfn.XLOOKUP('Rate Load'!L1791, 'Wedgewood Pharm-GA-Yr2-2025'!$D$5:$D$20,
            'Wedgewood Pharm-GA-Yr2-2025'!$E$5:$L$20, 0, 0),
        0, 0)
)</f>
        <v>4.37</v>
      </c>
      <c r="K1791" t="s">
        <v>46</v>
      </c>
      <c r="L1791" t="s">
        <v>13</v>
      </c>
      <c r="M1791">
        <v>1</v>
      </c>
      <c r="N1791" t="str">
        <f t="shared" si="27"/>
        <v>INSERT INTO TNL_RATING.dbo.usps_rate_master VALUES ('USPS', '2/13/2025', '2/13/2026', 12659, 'US', 'USPS Ground Advantage', 6, 6, 'O', 4.37, 'Wedgewood_USPS_2025', 'NonCubic','1');</v>
      </c>
    </row>
    <row r="1792" spans="1:14" x14ac:dyDescent="0.3">
      <c r="A1792" t="s">
        <v>11</v>
      </c>
      <c r="B1792" s="1" t="s">
        <v>43</v>
      </c>
      <c r="C1792" s="1" t="s">
        <v>44</v>
      </c>
      <c r="D1792">
        <v>12659</v>
      </c>
      <c r="E1792" t="s">
        <v>12</v>
      </c>
      <c r="F1792" t="s">
        <v>51</v>
      </c>
      <c r="G1792">
        <v>6</v>
      </c>
      <c r="H1792">
        <v>7</v>
      </c>
      <c r="I1792" t="s">
        <v>52</v>
      </c>
      <c r="J1792" cm="1">
        <f t="array" ref="J1792">IFERROR(
    _xlfn.XLOOKUP(G1792, 'Wedgewood Pharm-GA-Yr2-2025'!$E$4:$L$4,
        _xlfn.XLOOKUP('Rate Load'!H1792, 'Wedgewood Pharm-GA-Yr2-2025'!$D$5:$D$20,
            'Wedgewood Pharm-GA-Yr2-2025'!$E$5:$L$20, 0, 0),
        0, 0),
    _xlfn.XLOOKUP(G1792, 'Wedgewood Pharm-GA-Yr2-2025'!$E$4:$L$4,
        _xlfn.XLOOKUP('Rate Load'!L1792, 'Wedgewood Pharm-GA-Yr2-2025'!$D$5:$D$20,
            'Wedgewood Pharm-GA-Yr2-2025'!$E$5:$L$20, 0, 0),
        0, 0)
)</f>
        <v>4.37</v>
      </c>
      <c r="K1792" t="s">
        <v>46</v>
      </c>
      <c r="L1792" t="s">
        <v>13</v>
      </c>
      <c r="M1792">
        <v>1</v>
      </c>
      <c r="N1792" t="str">
        <f t="shared" si="27"/>
        <v>INSERT INTO TNL_RATING.dbo.usps_rate_master VALUES ('USPS', '2/13/2025', '2/13/2026', 12659, 'US', 'USPS Ground Advantage', 6, 7, 'O', 4.37, 'Wedgewood_USPS_2025', 'NonCubic','1');</v>
      </c>
    </row>
    <row r="1793" spans="1:14" x14ac:dyDescent="0.3">
      <c r="A1793" t="s">
        <v>11</v>
      </c>
      <c r="B1793" s="1" t="s">
        <v>43</v>
      </c>
      <c r="C1793" s="1" t="s">
        <v>44</v>
      </c>
      <c r="D1793">
        <v>12659</v>
      </c>
      <c r="E1793" t="s">
        <v>12</v>
      </c>
      <c r="F1793" t="s">
        <v>51</v>
      </c>
      <c r="G1793">
        <v>6</v>
      </c>
      <c r="H1793">
        <v>8</v>
      </c>
      <c r="I1793" t="s">
        <v>52</v>
      </c>
      <c r="J1793" cm="1">
        <f t="array" ref="J1793">IFERROR(
    _xlfn.XLOOKUP(G1793, 'Wedgewood Pharm-GA-Yr2-2025'!$E$4:$L$4,
        _xlfn.XLOOKUP('Rate Load'!H1793, 'Wedgewood Pharm-GA-Yr2-2025'!$D$5:$D$20,
            'Wedgewood Pharm-GA-Yr2-2025'!$E$5:$L$20, 0, 0),
        0, 0),
    _xlfn.XLOOKUP(G1793, 'Wedgewood Pharm-GA-Yr2-2025'!$E$4:$L$4,
        _xlfn.XLOOKUP('Rate Load'!L1793, 'Wedgewood Pharm-GA-Yr2-2025'!$D$5:$D$20,
            'Wedgewood Pharm-GA-Yr2-2025'!$E$5:$L$20, 0, 0),
        0, 0)
)</f>
        <v>4.37</v>
      </c>
      <c r="K1793" t="s">
        <v>46</v>
      </c>
      <c r="L1793" t="s">
        <v>13</v>
      </c>
      <c r="M1793">
        <v>1</v>
      </c>
      <c r="N1793" t="str">
        <f t="shared" si="27"/>
        <v>INSERT INTO TNL_RATING.dbo.usps_rate_master VALUES ('USPS', '2/13/2025', '2/13/2026', 12659, 'US', 'USPS Ground Advantage', 6, 8, 'O', 4.37, 'Wedgewood_USPS_2025', 'NonCubic','1');</v>
      </c>
    </row>
    <row r="1794" spans="1:14" x14ac:dyDescent="0.3">
      <c r="A1794" t="s">
        <v>11</v>
      </c>
      <c r="B1794" s="1" t="s">
        <v>43</v>
      </c>
      <c r="C1794" s="1" t="s">
        <v>44</v>
      </c>
      <c r="D1794">
        <v>12659</v>
      </c>
      <c r="E1794" t="s">
        <v>12</v>
      </c>
      <c r="F1794" t="s">
        <v>51</v>
      </c>
      <c r="G1794">
        <v>6</v>
      </c>
      <c r="H1794">
        <v>9</v>
      </c>
      <c r="I1794" t="s">
        <v>52</v>
      </c>
      <c r="J1794" cm="1">
        <f t="array" ref="J1794">IFERROR(
    _xlfn.XLOOKUP(G1794, 'Wedgewood Pharm-GA-Yr2-2025'!$E$4:$L$4,
        _xlfn.XLOOKUP('Rate Load'!H1794, 'Wedgewood Pharm-GA-Yr2-2025'!$D$5:$D$20,
            'Wedgewood Pharm-GA-Yr2-2025'!$E$5:$L$20, 0, 0),
        0, 0),
    _xlfn.XLOOKUP(G1794, 'Wedgewood Pharm-GA-Yr2-2025'!$E$4:$L$4,
        _xlfn.XLOOKUP('Rate Load'!L1794, 'Wedgewood Pharm-GA-Yr2-2025'!$D$5:$D$20,
            'Wedgewood Pharm-GA-Yr2-2025'!$E$5:$L$20, 0, 0),
        0, 0)
)</f>
        <v>5.16</v>
      </c>
      <c r="K1794" t="s">
        <v>46</v>
      </c>
      <c r="L1794" t="s">
        <v>13</v>
      </c>
      <c r="M1794">
        <v>1</v>
      </c>
      <c r="N1794" t="str">
        <f t="shared" si="27"/>
        <v>INSERT INTO TNL_RATING.dbo.usps_rate_master VALUES ('USPS', '2/13/2025', '2/13/2026', 12659, 'US', 'USPS Ground Advantage', 6, 9, 'O', 5.16, 'Wedgewood_USPS_2025', 'NonCubic','1');</v>
      </c>
    </row>
    <row r="1795" spans="1:14" x14ac:dyDescent="0.3">
      <c r="A1795" t="s">
        <v>11</v>
      </c>
      <c r="B1795" s="1" t="s">
        <v>43</v>
      </c>
      <c r="C1795" s="1" t="s">
        <v>44</v>
      </c>
      <c r="D1795">
        <v>12659</v>
      </c>
      <c r="E1795" t="s">
        <v>12</v>
      </c>
      <c r="F1795" t="s">
        <v>51</v>
      </c>
      <c r="G1795">
        <v>6</v>
      </c>
      <c r="H1795">
        <v>10</v>
      </c>
      <c r="I1795" t="s">
        <v>52</v>
      </c>
      <c r="J1795" cm="1">
        <f t="array" ref="J1795">IFERROR(
    _xlfn.XLOOKUP(G1795, 'Wedgewood Pharm-GA-Yr2-2025'!$E$4:$L$4,
        _xlfn.XLOOKUP('Rate Load'!H1795, 'Wedgewood Pharm-GA-Yr2-2025'!$D$5:$D$20,
            'Wedgewood Pharm-GA-Yr2-2025'!$E$5:$L$20, 0, 0),
        0, 0),
    _xlfn.XLOOKUP(G1795, 'Wedgewood Pharm-GA-Yr2-2025'!$E$4:$L$4,
        _xlfn.XLOOKUP('Rate Load'!L1795, 'Wedgewood Pharm-GA-Yr2-2025'!$D$5:$D$20,
            'Wedgewood Pharm-GA-Yr2-2025'!$E$5:$L$20, 0, 0),
        0, 0)
)</f>
        <v>5.16</v>
      </c>
      <c r="K1795" t="s">
        <v>46</v>
      </c>
      <c r="L1795" t="s">
        <v>13</v>
      </c>
      <c r="M1795">
        <v>1</v>
      </c>
      <c r="N1795" t="str">
        <f t="shared" ref="N1795:N1858" si="28">"INSERT INTO TNL_RATING.dbo.usps_rate_master VALUES ('" &amp; A1795 &amp; "', '" &amp; B1795 &amp; "', '" &amp; C1795 &amp; "', " &amp; D1795 &amp; ", '" &amp; E1795 &amp; "', '" &amp; F1795 &amp; "', " &amp; G1795 &amp; ", " &amp; H1795 &amp; ", '" &amp; I1795 &amp; "', " &amp; J1795 &amp; ", '" &amp; K1795 &amp; "', '" &amp; L1795 &amp; "','" &amp; M1795 &amp; "');"</f>
        <v>INSERT INTO TNL_RATING.dbo.usps_rate_master VALUES ('USPS', '2/13/2025', '2/13/2026', 12659, 'US', 'USPS Ground Advantage', 6, 10, 'O', 5.16, 'Wedgewood_USPS_2025', 'NonCubic','1');</v>
      </c>
    </row>
    <row r="1796" spans="1:14" x14ac:dyDescent="0.3">
      <c r="A1796" t="s">
        <v>11</v>
      </c>
      <c r="B1796" s="1" t="s">
        <v>43</v>
      </c>
      <c r="C1796" s="1" t="s">
        <v>44</v>
      </c>
      <c r="D1796">
        <v>12659</v>
      </c>
      <c r="E1796" t="s">
        <v>12</v>
      </c>
      <c r="F1796" t="s">
        <v>51</v>
      </c>
      <c r="G1796">
        <v>6</v>
      </c>
      <c r="H1796">
        <v>11</v>
      </c>
      <c r="I1796" t="s">
        <v>52</v>
      </c>
      <c r="J1796" cm="1">
        <f t="array" ref="J1796">IFERROR(
    _xlfn.XLOOKUP(G1796, 'Wedgewood Pharm-GA-Yr2-2025'!$E$4:$L$4,
        _xlfn.XLOOKUP('Rate Load'!H1796, 'Wedgewood Pharm-GA-Yr2-2025'!$D$5:$D$20,
            'Wedgewood Pharm-GA-Yr2-2025'!$E$5:$L$20, 0, 0),
        0, 0),
    _xlfn.XLOOKUP(G1796, 'Wedgewood Pharm-GA-Yr2-2025'!$E$4:$L$4,
        _xlfn.XLOOKUP('Rate Load'!L1796, 'Wedgewood Pharm-GA-Yr2-2025'!$D$5:$D$20,
            'Wedgewood Pharm-GA-Yr2-2025'!$E$5:$L$20, 0, 0),
        0, 0)
)</f>
        <v>5.16</v>
      </c>
      <c r="K1796" t="s">
        <v>46</v>
      </c>
      <c r="L1796" t="s">
        <v>13</v>
      </c>
      <c r="M1796">
        <v>1</v>
      </c>
      <c r="N1796" t="str">
        <f t="shared" si="28"/>
        <v>INSERT INTO TNL_RATING.dbo.usps_rate_master VALUES ('USPS', '2/13/2025', '2/13/2026', 12659, 'US', 'USPS Ground Advantage', 6, 11, 'O', 5.16, 'Wedgewood_USPS_2025', 'NonCubic','1');</v>
      </c>
    </row>
    <row r="1797" spans="1:14" x14ac:dyDescent="0.3">
      <c r="A1797" t="s">
        <v>11</v>
      </c>
      <c r="B1797" s="1" t="s">
        <v>43</v>
      </c>
      <c r="C1797" s="1" t="s">
        <v>44</v>
      </c>
      <c r="D1797">
        <v>12659</v>
      </c>
      <c r="E1797" t="s">
        <v>12</v>
      </c>
      <c r="F1797" t="s">
        <v>51</v>
      </c>
      <c r="G1797">
        <v>6</v>
      </c>
      <c r="H1797">
        <v>12</v>
      </c>
      <c r="I1797" t="s">
        <v>52</v>
      </c>
      <c r="J1797" cm="1">
        <f t="array" ref="J1797">IFERROR(
    _xlfn.XLOOKUP(G1797, 'Wedgewood Pharm-GA-Yr2-2025'!$E$4:$L$4,
        _xlfn.XLOOKUP('Rate Load'!H1797, 'Wedgewood Pharm-GA-Yr2-2025'!$D$5:$D$20,
            'Wedgewood Pharm-GA-Yr2-2025'!$E$5:$L$20, 0, 0),
        0, 0),
    _xlfn.XLOOKUP(G1797, 'Wedgewood Pharm-GA-Yr2-2025'!$E$4:$L$4,
        _xlfn.XLOOKUP('Rate Load'!L1797, 'Wedgewood Pharm-GA-Yr2-2025'!$D$5:$D$20,
            'Wedgewood Pharm-GA-Yr2-2025'!$E$5:$L$20, 0, 0),
        0, 0)
)</f>
        <v>5.16</v>
      </c>
      <c r="K1797" t="s">
        <v>46</v>
      </c>
      <c r="L1797" t="s">
        <v>13</v>
      </c>
      <c r="M1797">
        <v>1</v>
      </c>
      <c r="N1797" t="str">
        <f t="shared" si="28"/>
        <v>INSERT INTO TNL_RATING.dbo.usps_rate_master VALUES ('USPS', '2/13/2025', '2/13/2026', 12659, 'US', 'USPS Ground Advantage', 6, 12, 'O', 5.16, 'Wedgewood_USPS_2025', 'NonCubic','1');</v>
      </c>
    </row>
    <row r="1798" spans="1:14" x14ac:dyDescent="0.3">
      <c r="A1798" t="s">
        <v>11</v>
      </c>
      <c r="B1798" s="1" t="s">
        <v>43</v>
      </c>
      <c r="C1798" s="1" t="s">
        <v>44</v>
      </c>
      <c r="D1798">
        <v>12659</v>
      </c>
      <c r="E1798" t="s">
        <v>12</v>
      </c>
      <c r="F1798" t="s">
        <v>51</v>
      </c>
      <c r="G1798">
        <v>6</v>
      </c>
      <c r="H1798">
        <v>13</v>
      </c>
      <c r="I1798" t="s">
        <v>52</v>
      </c>
      <c r="J1798" cm="1">
        <f t="array" ref="J1798">IFERROR(
    _xlfn.XLOOKUP(G1798, 'Wedgewood Pharm-GA-Yr2-2025'!$E$4:$L$4,
        _xlfn.XLOOKUP('Rate Load'!H1798, 'Wedgewood Pharm-GA-Yr2-2025'!$D$5:$D$20,
            'Wedgewood Pharm-GA-Yr2-2025'!$E$5:$L$20, 0, 0),
        0, 0),
    _xlfn.XLOOKUP(G1798, 'Wedgewood Pharm-GA-Yr2-2025'!$E$4:$L$4,
        _xlfn.XLOOKUP('Rate Load'!L1798, 'Wedgewood Pharm-GA-Yr2-2025'!$D$5:$D$20,
            'Wedgewood Pharm-GA-Yr2-2025'!$E$5:$L$20, 0, 0),
        0, 0)
)</f>
        <v>5.8199999999999994</v>
      </c>
      <c r="K1798" t="s">
        <v>46</v>
      </c>
      <c r="L1798" t="s">
        <v>13</v>
      </c>
      <c r="M1798">
        <v>1</v>
      </c>
      <c r="N1798" t="str">
        <f t="shared" si="28"/>
        <v>INSERT INTO TNL_RATING.dbo.usps_rate_master VALUES ('USPS', '2/13/2025', '2/13/2026', 12659, 'US', 'USPS Ground Advantage', 6, 13, 'O', 5.82, 'Wedgewood_USPS_2025', 'NonCubic','1');</v>
      </c>
    </row>
    <row r="1799" spans="1:14" x14ac:dyDescent="0.3">
      <c r="A1799" t="s">
        <v>11</v>
      </c>
      <c r="B1799" s="1" t="s">
        <v>43</v>
      </c>
      <c r="C1799" s="1" t="s">
        <v>44</v>
      </c>
      <c r="D1799">
        <v>12659</v>
      </c>
      <c r="E1799" t="s">
        <v>12</v>
      </c>
      <c r="F1799" t="s">
        <v>51</v>
      </c>
      <c r="G1799">
        <v>6</v>
      </c>
      <c r="H1799">
        <v>14</v>
      </c>
      <c r="I1799" t="s">
        <v>52</v>
      </c>
      <c r="J1799" cm="1">
        <f t="array" ref="J1799">IFERROR(
    _xlfn.XLOOKUP(G1799, 'Wedgewood Pharm-GA-Yr2-2025'!$E$4:$L$4,
        _xlfn.XLOOKUP('Rate Load'!H1799, 'Wedgewood Pharm-GA-Yr2-2025'!$D$5:$D$20,
            'Wedgewood Pharm-GA-Yr2-2025'!$E$5:$L$20, 0, 0),
        0, 0),
    _xlfn.XLOOKUP(G1799, 'Wedgewood Pharm-GA-Yr2-2025'!$E$4:$L$4,
        _xlfn.XLOOKUP('Rate Load'!L1799, 'Wedgewood Pharm-GA-Yr2-2025'!$D$5:$D$20,
            'Wedgewood Pharm-GA-Yr2-2025'!$E$5:$L$20, 0, 0),
        0, 0)
)</f>
        <v>5.8199999999999994</v>
      </c>
      <c r="K1799" t="s">
        <v>46</v>
      </c>
      <c r="L1799" t="s">
        <v>13</v>
      </c>
      <c r="M1799">
        <v>1</v>
      </c>
      <c r="N1799" t="str">
        <f t="shared" si="28"/>
        <v>INSERT INTO TNL_RATING.dbo.usps_rate_master VALUES ('USPS', '2/13/2025', '2/13/2026', 12659, 'US', 'USPS Ground Advantage', 6, 14, 'O', 5.82, 'Wedgewood_USPS_2025', 'NonCubic','1');</v>
      </c>
    </row>
    <row r="1800" spans="1:14" x14ac:dyDescent="0.3">
      <c r="A1800" t="s">
        <v>11</v>
      </c>
      <c r="B1800" s="1" t="s">
        <v>43</v>
      </c>
      <c r="C1800" s="1" t="s">
        <v>44</v>
      </c>
      <c r="D1800">
        <v>12659</v>
      </c>
      <c r="E1800" t="s">
        <v>12</v>
      </c>
      <c r="F1800" t="s">
        <v>51</v>
      </c>
      <c r="G1800">
        <v>6</v>
      </c>
      <c r="H1800">
        <v>15</v>
      </c>
      <c r="I1800" t="s">
        <v>52</v>
      </c>
      <c r="J1800" cm="1">
        <f t="array" ref="J1800">IFERROR(
    _xlfn.XLOOKUP(G1800, 'Wedgewood Pharm-GA-Yr2-2025'!$E$4:$L$4,
        _xlfn.XLOOKUP('Rate Load'!H1800, 'Wedgewood Pharm-GA-Yr2-2025'!$D$5:$D$20,
            'Wedgewood Pharm-GA-Yr2-2025'!$E$5:$L$20, 0, 0),
        0, 0),
    _xlfn.XLOOKUP(G1800, 'Wedgewood Pharm-GA-Yr2-2025'!$E$4:$L$4,
        _xlfn.XLOOKUP('Rate Load'!L1800, 'Wedgewood Pharm-GA-Yr2-2025'!$D$5:$D$20,
            'Wedgewood Pharm-GA-Yr2-2025'!$E$5:$L$20, 0, 0),
        0, 0)
)</f>
        <v>5.8199999999999994</v>
      </c>
      <c r="K1800" t="s">
        <v>46</v>
      </c>
      <c r="L1800" t="s">
        <v>13</v>
      </c>
      <c r="M1800">
        <v>1</v>
      </c>
      <c r="N1800" t="str">
        <f t="shared" si="28"/>
        <v>INSERT INTO TNL_RATING.dbo.usps_rate_master VALUES ('USPS', '2/13/2025', '2/13/2026', 12659, 'US', 'USPS Ground Advantage', 6, 15, 'O', 5.82, 'Wedgewood_USPS_2025', 'NonCubic','1');</v>
      </c>
    </row>
    <row r="1801" spans="1:14" x14ac:dyDescent="0.3">
      <c r="A1801" t="s">
        <v>11</v>
      </c>
      <c r="B1801" s="1" t="s">
        <v>43</v>
      </c>
      <c r="C1801" s="1" t="s">
        <v>44</v>
      </c>
      <c r="D1801">
        <v>12659</v>
      </c>
      <c r="E1801" t="s">
        <v>12</v>
      </c>
      <c r="F1801" t="s">
        <v>51</v>
      </c>
      <c r="G1801">
        <v>6</v>
      </c>
      <c r="H1801">
        <v>15.999000000000001</v>
      </c>
      <c r="I1801" t="s">
        <v>52</v>
      </c>
      <c r="J1801" cm="1">
        <f t="array" ref="J1801">IFERROR(
    _xlfn.XLOOKUP(G1801, 'Wedgewood Pharm-GA-Yr2-2025'!$E$4:$L$4,
        _xlfn.XLOOKUP('Rate Load'!H1801, 'Wedgewood Pharm-GA-Yr2-2025'!$D$5:$D$20,
            'Wedgewood Pharm-GA-Yr2-2025'!$E$5:$L$20, 0, 0),
        0, 0),
    _xlfn.XLOOKUP(G1801, 'Wedgewood Pharm-GA-Yr2-2025'!$E$4:$L$4,
        _xlfn.XLOOKUP('Rate Load'!L1801, 'Wedgewood Pharm-GA-Yr2-2025'!$D$5:$D$20,
            'Wedgewood Pharm-GA-Yr2-2025'!$E$5:$L$20, 0, 0),
        0, 0)
)</f>
        <v>5.8199999999999994</v>
      </c>
      <c r="K1801" t="s">
        <v>46</v>
      </c>
      <c r="L1801" t="s">
        <v>13</v>
      </c>
      <c r="M1801">
        <v>1</v>
      </c>
      <c r="N1801" t="str">
        <f t="shared" si="28"/>
        <v>INSERT INTO TNL_RATING.dbo.usps_rate_master VALUES ('USPS', '2/13/2025', '2/13/2026', 12659, 'US', 'USPS Ground Advantage', 6, 15.999, 'O', 5.82, 'Wedgewood_USPS_2025', 'NonCubic','1');</v>
      </c>
    </row>
    <row r="1802" spans="1:14" x14ac:dyDescent="0.3">
      <c r="A1802" t="s">
        <v>11</v>
      </c>
      <c r="B1802" s="1" t="s">
        <v>43</v>
      </c>
      <c r="C1802" s="1" t="s">
        <v>44</v>
      </c>
      <c r="D1802">
        <v>12659</v>
      </c>
      <c r="E1802" t="s">
        <v>12</v>
      </c>
      <c r="F1802" t="s">
        <v>51</v>
      </c>
      <c r="G1802">
        <v>7</v>
      </c>
      <c r="H1802">
        <v>1</v>
      </c>
      <c r="I1802" t="s">
        <v>52</v>
      </c>
      <c r="J1802" cm="1">
        <f t="array" ref="J1802">IFERROR(
    _xlfn.XLOOKUP(G1802, 'Wedgewood Pharm-GA-Yr2-2025'!$E$4:$L$4,
        _xlfn.XLOOKUP('Rate Load'!H1802, 'Wedgewood Pharm-GA-Yr2-2025'!$D$5:$D$20,
            'Wedgewood Pharm-GA-Yr2-2025'!$E$5:$L$20, 0, 0),
        0, 0),
    _xlfn.XLOOKUP(G1802, 'Wedgewood Pharm-GA-Yr2-2025'!$E$4:$L$4,
        _xlfn.XLOOKUP('Rate Load'!L1802, 'Wedgewood Pharm-GA-Yr2-2025'!$D$5:$D$20,
            'Wedgewood Pharm-GA-Yr2-2025'!$E$5:$L$20, 0, 0),
        0, 0)
)</f>
        <v>3.75</v>
      </c>
      <c r="K1802" t="s">
        <v>46</v>
      </c>
      <c r="L1802" t="s">
        <v>13</v>
      </c>
      <c r="M1802">
        <v>1</v>
      </c>
      <c r="N1802" t="str">
        <f t="shared" si="28"/>
        <v>INSERT INTO TNL_RATING.dbo.usps_rate_master VALUES ('USPS', '2/13/2025', '2/13/2026', 12659, 'US', 'USPS Ground Advantage', 7, 1, 'O', 3.75, 'Wedgewood_USPS_2025', 'NonCubic','1');</v>
      </c>
    </row>
    <row r="1803" spans="1:14" x14ac:dyDescent="0.3">
      <c r="A1803" t="s">
        <v>11</v>
      </c>
      <c r="B1803" s="1" t="s">
        <v>43</v>
      </c>
      <c r="C1803" s="1" t="s">
        <v>44</v>
      </c>
      <c r="D1803">
        <v>12659</v>
      </c>
      <c r="E1803" t="s">
        <v>12</v>
      </c>
      <c r="F1803" t="s">
        <v>51</v>
      </c>
      <c r="G1803">
        <v>7</v>
      </c>
      <c r="H1803">
        <v>2</v>
      </c>
      <c r="I1803" t="s">
        <v>52</v>
      </c>
      <c r="J1803" cm="1">
        <f t="array" ref="J1803">IFERROR(
    _xlfn.XLOOKUP(G1803, 'Wedgewood Pharm-GA-Yr2-2025'!$E$4:$L$4,
        _xlfn.XLOOKUP('Rate Load'!H1803, 'Wedgewood Pharm-GA-Yr2-2025'!$D$5:$D$20,
            'Wedgewood Pharm-GA-Yr2-2025'!$E$5:$L$20, 0, 0),
        0, 0),
    _xlfn.XLOOKUP(G1803, 'Wedgewood Pharm-GA-Yr2-2025'!$E$4:$L$4,
        _xlfn.XLOOKUP('Rate Load'!L1803, 'Wedgewood Pharm-GA-Yr2-2025'!$D$5:$D$20,
            'Wedgewood Pharm-GA-Yr2-2025'!$E$5:$L$20, 0, 0),
        0, 0)
)</f>
        <v>3.75</v>
      </c>
      <c r="K1803" t="s">
        <v>46</v>
      </c>
      <c r="L1803" t="s">
        <v>13</v>
      </c>
      <c r="M1803">
        <v>1</v>
      </c>
      <c r="N1803" t="str">
        <f t="shared" si="28"/>
        <v>INSERT INTO TNL_RATING.dbo.usps_rate_master VALUES ('USPS', '2/13/2025', '2/13/2026', 12659, 'US', 'USPS Ground Advantage', 7, 2, 'O', 3.75, 'Wedgewood_USPS_2025', 'NonCubic','1');</v>
      </c>
    </row>
    <row r="1804" spans="1:14" x14ac:dyDescent="0.3">
      <c r="A1804" t="s">
        <v>11</v>
      </c>
      <c r="B1804" s="1" t="s">
        <v>43</v>
      </c>
      <c r="C1804" s="1" t="s">
        <v>44</v>
      </c>
      <c r="D1804">
        <v>12659</v>
      </c>
      <c r="E1804" t="s">
        <v>12</v>
      </c>
      <c r="F1804" t="s">
        <v>51</v>
      </c>
      <c r="G1804">
        <v>7</v>
      </c>
      <c r="H1804">
        <v>3</v>
      </c>
      <c r="I1804" t="s">
        <v>52</v>
      </c>
      <c r="J1804" cm="1">
        <f t="array" ref="J1804">IFERROR(
    _xlfn.XLOOKUP(G1804, 'Wedgewood Pharm-GA-Yr2-2025'!$E$4:$L$4,
        _xlfn.XLOOKUP('Rate Load'!H1804, 'Wedgewood Pharm-GA-Yr2-2025'!$D$5:$D$20,
            'Wedgewood Pharm-GA-Yr2-2025'!$E$5:$L$20, 0, 0),
        0, 0),
    _xlfn.XLOOKUP(G1804, 'Wedgewood Pharm-GA-Yr2-2025'!$E$4:$L$4,
        _xlfn.XLOOKUP('Rate Load'!L1804, 'Wedgewood Pharm-GA-Yr2-2025'!$D$5:$D$20,
            'Wedgewood Pharm-GA-Yr2-2025'!$E$5:$L$20, 0, 0),
        0, 0)
)</f>
        <v>3.75</v>
      </c>
      <c r="K1804" t="s">
        <v>46</v>
      </c>
      <c r="L1804" t="s">
        <v>13</v>
      </c>
      <c r="M1804">
        <v>1</v>
      </c>
      <c r="N1804" t="str">
        <f t="shared" si="28"/>
        <v>INSERT INTO TNL_RATING.dbo.usps_rate_master VALUES ('USPS', '2/13/2025', '2/13/2026', 12659, 'US', 'USPS Ground Advantage', 7, 3, 'O', 3.75, 'Wedgewood_USPS_2025', 'NonCubic','1');</v>
      </c>
    </row>
    <row r="1805" spans="1:14" x14ac:dyDescent="0.3">
      <c r="A1805" t="s">
        <v>11</v>
      </c>
      <c r="B1805" s="1" t="s">
        <v>43</v>
      </c>
      <c r="C1805" s="1" t="s">
        <v>44</v>
      </c>
      <c r="D1805">
        <v>12659</v>
      </c>
      <c r="E1805" t="s">
        <v>12</v>
      </c>
      <c r="F1805" t="s">
        <v>51</v>
      </c>
      <c r="G1805">
        <v>7</v>
      </c>
      <c r="H1805">
        <v>4</v>
      </c>
      <c r="I1805" t="s">
        <v>52</v>
      </c>
      <c r="J1805" cm="1">
        <f t="array" ref="J1805">IFERROR(
    _xlfn.XLOOKUP(G1805, 'Wedgewood Pharm-GA-Yr2-2025'!$E$4:$L$4,
        _xlfn.XLOOKUP('Rate Load'!H1805, 'Wedgewood Pharm-GA-Yr2-2025'!$D$5:$D$20,
            'Wedgewood Pharm-GA-Yr2-2025'!$E$5:$L$20, 0, 0),
        0, 0),
    _xlfn.XLOOKUP(G1805, 'Wedgewood Pharm-GA-Yr2-2025'!$E$4:$L$4,
        _xlfn.XLOOKUP('Rate Load'!L1805, 'Wedgewood Pharm-GA-Yr2-2025'!$D$5:$D$20,
            'Wedgewood Pharm-GA-Yr2-2025'!$E$5:$L$20, 0, 0),
        0, 0)
)</f>
        <v>3.75</v>
      </c>
      <c r="K1805" t="s">
        <v>46</v>
      </c>
      <c r="L1805" t="s">
        <v>13</v>
      </c>
      <c r="M1805">
        <v>1</v>
      </c>
      <c r="N1805" t="str">
        <f t="shared" si="28"/>
        <v>INSERT INTO TNL_RATING.dbo.usps_rate_master VALUES ('USPS', '2/13/2025', '2/13/2026', 12659, 'US', 'USPS Ground Advantage', 7, 4, 'O', 3.75, 'Wedgewood_USPS_2025', 'NonCubic','1');</v>
      </c>
    </row>
    <row r="1806" spans="1:14" x14ac:dyDescent="0.3">
      <c r="A1806" t="s">
        <v>11</v>
      </c>
      <c r="B1806" s="1" t="s">
        <v>43</v>
      </c>
      <c r="C1806" s="1" t="s">
        <v>44</v>
      </c>
      <c r="D1806">
        <v>12659</v>
      </c>
      <c r="E1806" t="s">
        <v>12</v>
      </c>
      <c r="F1806" t="s">
        <v>51</v>
      </c>
      <c r="G1806">
        <v>7</v>
      </c>
      <c r="H1806">
        <v>5</v>
      </c>
      <c r="I1806" t="s">
        <v>52</v>
      </c>
      <c r="J1806" cm="1">
        <f t="array" ref="J1806">IFERROR(
    _xlfn.XLOOKUP(G1806, 'Wedgewood Pharm-GA-Yr2-2025'!$E$4:$L$4,
        _xlfn.XLOOKUP('Rate Load'!H1806, 'Wedgewood Pharm-GA-Yr2-2025'!$D$5:$D$20,
            'Wedgewood Pharm-GA-Yr2-2025'!$E$5:$L$20, 0, 0),
        0, 0),
    _xlfn.XLOOKUP(G1806, 'Wedgewood Pharm-GA-Yr2-2025'!$E$4:$L$4,
        _xlfn.XLOOKUP('Rate Load'!L1806, 'Wedgewood Pharm-GA-Yr2-2025'!$D$5:$D$20,
            'Wedgewood Pharm-GA-Yr2-2025'!$E$5:$L$20, 0, 0),
        0, 0)
)</f>
        <v>4.4399999999999995</v>
      </c>
      <c r="K1806" t="s">
        <v>46</v>
      </c>
      <c r="L1806" t="s">
        <v>13</v>
      </c>
      <c r="M1806">
        <v>1</v>
      </c>
      <c r="N1806" t="str">
        <f t="shared" si="28"/>
        <v>INSERT INTO TNL_RATING.dbo.usps_rate_master VALUES ('USPS', '2/13/2025', '2/13/2026', 12659, 'US', 'USPS Ground Advantage', 7, 5, 'O', 4.44, 'Wedgewood_USPS_2025', 'NonCubic','1');</v>
      </c>
    </row>
    <row r="1807" spans="1:14" x14ac:dyDescent="0.3">
      <c r="A1807" t="s">
        <v>11</v>
      </c>
      <c r="B1807" s="1" t="s">
        <v>43</v>
      </c>
      <c r="C1807" s="1" t="s">
        <v>44</v>
      </c>
      <c r="D1807">
        <v>12659</v>
      </c>
      <c r="E1807" t="s">
        <v>12</v>
      </c>
      <c r="F1807" t="s">
        <v>51</v>
      </c>
      <c r="G1807">
        <v>7</v>
      </c>
      <c r="H1807">
        <v>6</v>
      </c>
      <c r="I1807" t="s">
        <v>52</v>
      </c>
      <c r="J1807" cm="1">
        <f t="array" ref="J1807">IFERROR(
    _xlfn.XLOOKUP(G1807, 'Wedgewood Pharm-GA-Yr2-2025'!$E$4:$L$4,
        _xlfn.XLOOKUP('Rate Load'!H1807, 'Wedgewood Pharm-GA-Yr2-2025'!$D$5:$D$20,
            'Wedgewood Pharm-GA-Yr2-2025'!$E$5:$L$20, 0, 0),
        0, 0),
    _xlfn.XLOOKUP(G1807, 'Wedgewood Pharm-GA-Yr2-2025'!$E$4:$L$4,
        _xlfn.XLOOKUP('Rate Load'!L1807, 'Wedgewood Pharm-GA-Yr2-2025'!$D$5:$D$20,
            'Wedgewood Pharm-GA-Yr2-2025'!$E$5:$L$20, 0, 0),
        0, 0)
)</f>
        <v>4.4399999999999995</v>
      </c>
      <c r="K1807" t="s">
        <v>46</v>
      </c>
      <c r="L1807" t="s">
        <v>13</v>
      </c>
      <c r="M1807">
        <v>1</v>
      </c>
      <c r="N1807" t="str">
        <f t="shared" si="28"/>
        <v>INSERT INTO TNL_RATING.dbo.usps_rate_master VALUES ('USPS', '2/13/2025', '2/13/2026', 12659, 'US', 'USPS Ground Advantage', 7, 6, 'O', 4.44, 'Wedgewood_USPS_2025', 'NonCubic','1');</v>
      </c>
    </row>
    <row r="1808" spans="1:14" x14ac:dyDescent="0.3">
      <c r="A1808" t="s">
        <v>11</v>
      </c>
      <c r="B1808" s="1" t="s">
        <v>43</v>
      </c>
      <c r="C1808" s="1" t="s">
        <v>44</v>
      </c>
      <c r="D1808">
        <v>12659</v>
      </c>
      <c r="E1808" t="s">
        <v>12</v>
      </c>
      <c r="F1808" t="s">
        <v>51</v>
      </c>
      <c r="G1808">
        <v>7</v>
      </c>
      <c r="H1808">
        <v>7</v>
      </c>
      <c r="I1808" t="s">
        <v>52</v>
      </c>
      <c r="J1808" cm="1">
        <f t="array" ref="J1808">IFERROR(
    _xlfn.XLOOKUP(G1808, 'Wedgewood Pharm-GA-Yr2-2025'!$E$4:$L$4,
        _xlfn.XLOOKUP('Rate Load'!H1808, 'Wedgewood Pharm-GA-Yr2-2025'!$D$5:$D$20,
            'Wedgewood Pharm-GA-Yr2-2025'!$E$5:$L$20, 0, 0),
        0, 0),
    _xlfn.XLOOKUP(G1808, 'Wedgewood Pharm-GA-Yr2-2025'!$E$4:$L$4,
        _xlfn.XLOOKUP('Rate Load'!L1808, 'Wedgewood Pharm-GA-Yr2-2025'!$D$5:$D$20,
            'Wedgewood Pharm-GA-Yr2-2025'!$E$5:$L$20, 0, 0),
        0, 0)
)</f>
        <v>4.4399999999999995</v>
      </c>
      <c r="K1808" t="s">
        <v>46</v>
      </c>
      <c r="L1808" t="s">
        <v>13</v>
      </c>
      <c r="M1808">
        <v>1</v>
      </c>
      <c r="N1808" t="str">
        <f t="shared" si="28"/>
        <v>INSERT INTO TNL_RATING.dbo.usps_rate_master VALUES ('USPS', '2/13/2025', '2/13/2026', 12659, 'US', 'USPS Ground Advantage', 7, 7, 'O', 4.44, 'Wedgewood_USPS_2025', 'NonCubic','1');</v>
      </c>
    </row>
    <row r="1809" spans="1:14" x14ac:dyDescent="0.3">
      <c r="A1809" t="s">
        <v>11</v>
      </c>
      <c r="B1809" s="1" t="s">
        <v>43</v>
      </c>
      <c r="C1809" s="1" t="s">
        <v>44</v>
      </c>
      <c r="D1809">
        <v>12659</v>
      </c>
      <c r="E1809" t="s">
        <v>12</v>
      </c>
      <c r="F1809" t="s">
        <v>51</v>
      </c>
      <c r="G1809">
        <v>7</v>
      </c>
      <c r="H1809">
        <v>8</v>
      </c>
      <c r="I1809" t="s">
        <v>52</v>
      </c>
      <c r="J1809" cm="1">
        <f t="array" ref="J1809">IFERROR(
    _xlfn.XLOOKUP(G1809, 'Wedgewood Pharm-GA-Yr2-2025'!$E$4:$L$4,
        _xlfn.XLOOKUP('Rate Load'!H1809, 'Wedgewood Pharm-GA-Yr2-2025'!$D$5:$D$20,
            'Wedgewood Pharm-GA-Yr2-2025'!$E$5:$L$20, 0, 0),
        0, 0),
    _xlfn.XLOOKUP(G1809, 'Wedgewood Pharm-GA-Yr2-2025'!$E$4:$L$4,
        _xlfn.XLOOKUP('Rate Load'!L1809, 'Wedgewood Pharm-GA-Yr2-2025'!$D$5:$D$20,
            'Wedgewood Pharm-GA-Yr2-2025'!$E$5:$L$20, 0, 0),
        0, 0)
)</f>
        <v>4.4399999999999995</v>
      </c>
      <c r="K1809" t="s">
        <v>46</v>
      </c>
      <c r="L1809" t="s">
        <v>13</v>
      </c>
      <c r="M1809">
        <v>1</v>
      </c>
      <c r="N1809" t="str">
        <f t="shared" si="28"/>
        <v>INSERT INTO TNL_RATING.dbo.usps_rate_master VALUES ('USPS', '2/13/2025', '2/13/2026', 12659, 'US', 'USPS Ground Advantage', 7, 8, 'O', 4.44, 'Wedgewood_USPS_2025', 'NonCubic','1');</v>
      </c>
    </row>
    <row r="1810" spans="1:14" x14ac:dyDescent="0.3">
      <c r="A1810" t="s">
        <v>11</v>
      </c>
      <c r="B1810" s="1" t="s">
        <v>43</v>
      </c>
      <c r="C1810" s="1" t="s">
        <v>44</v>
      </c>
      <c r="D1810">
        <v>12659</v>
      </c>
      <c r="E1810" t="s">
        <v>12</v>
      </c>
      <c r="F1810" t="s">
        <v>51</v>
      </c>
      <c r="G1810">
        <v>7</v>
      </c>
      <c r="H1810">
        <v>9</v>
      </c>
      <c r="I1810" t="s">
        <v>52</v>
      </c>
      <c r="J1810" cm="1">
        <f t="array" ref="J1810">IFERROR(
    _xlfn.XLOOKUP(G1810, 'Wedgewood Pharm-GA-Yr2-2025'!$E$4:$L$4,
        _xlfn.XLOOKUP('Rate Load'!H1810, 'Wedgewood Pharm-GA-Yr2-2025'!$D$5:$D$20,
            'Wedgewood Pharm-GA-Yr2-2025'!$E$5:$L$20, 0, 0),
        0, 0),
    _xlfn.XLOOKUP(G1810, 'Wedgewood Pharm-GA-Yr2-2025'!$E$4:$L$4,
        _xlfn.XLOOKUP('Rate Load'!L1810, 'Wedgewood Pharm-GA-Yr2-2025'!$D$5:$D$20,
            'Wedgewood Pharm-GA-Yr2-2025'!$E$5:$L$20, 0, 0),
        0, 0)
)</f>
        <v>5.29</v>
      </c>
      <c r="K1810" t="s">
        <v>46</v>
      </c>
      <c r="L1810" t="s">
        <v>13</v>
      </c>
      <c r="M1810">
        <v>1</v>
      </c>
      <c r="N1810" t="str">
        <f t="shared" si="28"/>
        <v>INSERT INTO TNL_RATING.dbo.usps_rate_master VALUES ('USPS', '2/13/2025', '2/13/2026', 12659, 'US', 'USPS Ground Advantage', 7, 9, 'O', 5.29, 'Wedgewood_USPS_2025', 'NonCubic','1');</v>
      </c>
    </row>
    <row r="1811" spans="1:14" x14ac:dyDescent="0.3">
      <c r="A1811" t="s">
        <v>11</v>
      </c>
      <c r="B1811" s="1" t="s">
        <v>43</v>
      </c>
      <c r="C1811" s="1" t="s">
        <v>44</v>
      </c>
      <c r="D1811">
        <v>12659</v>
      </c>
      <c r="E1811" t="s">
        <v>12</v>
      </c>
      <c r="F1811" t="s">
        <v>51</v>
      </c>
      <c r="G1811">
        <v>7</v>
      </c>
      <c r="H1811">
        <v>10</v>
      </c>
      <c r="I1811" t="s">
        <v>52</v>
      </c>
      <c r="J1811" cm="1">
        <f t="array" ref="J1811">IFERROR(
    _xlfn.XLOOKUP(G1811, 'Wedgewood Pharm-GA-Yr2-2025'!$E$4:$L$4,
        _xlfn.XLOOKUP('Rate Load'!H1811, 'Wedgewood Pharm-GA-Yr2-2025'!$D$5:$D$20,
            'Wedgewood Pharm-GA-Yr2-2025'!$E$5:$L$20, 0, 0),
        0, 0),
    _xlfn.XLOOKUP(G1811, 'Wedgewood Pharm-GA-Yr2-2025'!$E$4:$L$4,
        _xlfn.XLOOKUP('Rate Load'!L1811, 'Wedgewood Pharm-GA-Yr2-2025'!$D$5:$D$20,
            'Wedgewood Pharm-GA-Yr2-2025'!$E$5:$L$20, 0, 0),
        0, 0)
)</f>
        <v>5.29</v>
      </c>
      <c r="K1811" t="s">
        <v>46</v>
      </c>
      <c r="L1811" t="s">
        <v>13</v>
      </c>
      <c r="M1811">
        <v>1</v>
      </c>
      <c r="N1811" t="str">
        <f t="shared" si="28"/>
        <v>INSERT INTO TNL_RATING.dbo.usps_rate_master VALUES ('USPS', '2/13/2025', '2/13/2026', 12659, 'US', 'USPS Ground Advantage', 7, 10, 'O', 5.29, 'Wedgewood_USPS_2025', 'NonCubic','1');</v>
      </c>
    </row>
    <row r="1812" spans="1:14" x14ac:dyDescent="0.3">
      <c r="A1812" t="s">
        <v>11</v>
      </c>
      <c r="B1812" s="1" t="s">
        <v>43</v>
      </c>
      <c r="C1812" s="1" t="s">
        <v>44</v>
      </c>
      <c r="D1812">
        <v>12659</v>
      </c>
      <c r="E1812" t="s">
        <v>12</v>
      </c>
      <c r="F1812" t="s">
        <v>51</v>
      </c>
      <c r="G1812">
        <v>7</v>
      </c>
      <c r="H1812">
        <v>11</v>
      </c>
      <c r="I1812" t="s">
        <v>52</v>
      </c>
      <c r="J1812" cm="1">
        <f t="array" ref="J1812">IFERROR(
    _xlfn.XLOOKUP(G1812, 'Wedgewood Pharm-GA-Yr2-2025'!$E$4:$L$4,
        _xlfn.XLOOKUP('Rate Load'!H1812, 'Wedgewood Pharm-GA-Yr2-2025'!$D$5:$D$20,
            'Wedgewood Pharm-GA-Yr2-2025'!$E$5:$L$20, 0, 0),
        0, 0),
    _xlfn.XLOOKUP(G1812, 'Wedgewood Pharm-GA-Yr2-2025'!$E$4:$L$4,
        _xlfn.XLOOKUP('Rate Load'!L1812, 'Wedgewood Pharm-GA-Yr2-2025'!$D$5:$D$20,
            'Wedgewood Pharm-GA-Yr2-2025'!$E$5:$L$20, 0, 0),
        0, 0)
)</f>
        <v>5.29</v>
      </c>
      <c r="K1812" t="s">
        <v>46</v>
      </c>
      <c r="L1812" t="s">
        <v>13</v>
      </c>
      <c r="M1812">
        <v>1</v>
      </c>
      <c r="N1812" t="str">
        <f t="shared" si="28"/>
        <v>INSERT INTO TNL_RATING.dbo.usps_rate_master VALUES ('USPS', '2/13/2025', '2/13/2026', 12659, 'US', 'USPS Ground Advantage', 7, 11, 'O', 5.29, 'Wedgewood_USPS_2025', 'NonCubic','1');</v>
      </c>
    </row>
    <row r="1813" spans="1:14" x14ac:dyDescent="0.3">
      <c r="A1813" t="s">
        <v>11</v>
      </c>
      <c r="B1813" s="1" t="s">
        <v>43</v>
      </c>
      <c r="C1813" s="1" t="s">
        <v>44</v>
      </c>
      <c r="D1813">
        <v>12659</v>
      </c>
      <c r="E1813" t="s">
        <v>12</v>
      </c>
      <c r="F1813" t="s">
        <v>51</v>
      </c>
      <c r="G1813">
        <v>7</v>
      </c>
      <c r="H1813">
        <v>12</v>
      </c>
      <c r="I1813" t="s">
        <v>52</v>
      </c>
      <c r="J1813" cm="1">
        <f t="array" ref="J1813">IFERROR(
    _xlfn.XLOOKUP(G1813, 'Wedgewood Pharm-GA-Yr2-2025'!$E$4:$L$4,
        _xlfn.XLOOKUP('Rate Load'!H1813, 'Wedgewood Pharm-GA-Yr2-2025'!$D$5:$D$20,
            'Wedgewood Pharm-GA-Yr2-2025'!$E$5:$L$20, 0, 0),
        0, 0),
    _xlfn.XLOOKUP(G1813, 'Wedgewood Pharm-GA-Yr2-2025'!$E$4:$L$4,
        _xlfn.XLOOKUP('Rate Load'!L1813, 'Wedgewood Pharm-GA-Yr2-2025'!$D$5:$D$20,
            'Wedgewood Pharm-GA-Yr2-2025'!$E$5:$L$20, 0, 0),
        0, 0)
)</f>
        <v>5.29</v>
      </c>
      <c r="K1813" t="s">
        <v>46</v>
      </c>
      <c r="L1813" t="s">
        <v>13</v>
      </c>
      <c r="M1813">
        <v>1</v>
      </c>
      <c r="N1813" t="str">
        <f t="shared" si="28"/>
        <v>INSERT INTO TNL_RATING.dbo.usps_rate_master VALUES ('USPS', '2/13/2025', '2/13/2026', 12659, 'US', 'USPS Ground Advantage', 7, 12, 'O', 5.29, 'Wedgewood_USPS_2025', 'NonCubic','1');</v>
      </c>
    </row>
    <row r="1814" spans="1:14" x14ac:dyDescent="0.3">
      <c r="A1814" t="s">
        <v>11</v>
      </c>
      <c r="B1814" s="1" t="s">
        <v>43</v>
      </c>
      <c r="C1814" s="1" t="s">
        <v>44</v>
      </c>
      <c r="D1814">
        <v>12659</v>
      </c>
      <c r="E1814" t="s">
        <v>12</v>
      </c>
      <c r="F1814" t="s">
        <v>51</v>
      </c>
      <c r="G1814">
        <v>7</v>
      </c>
      <c r="H1814">
        <v>13</v>
      </c>
      <c r="I1814" t="s">
        <v>52</v>
      </c>
      <c r="J1814" cm="1">
        <f t="array" ref="J1814">IFERROR(
    _xlfn.XLOOKUP(G1814, 'Wedgewood Pharm-GA-Yr2-2025'!$E$4:$L$4,
        _xlfn.XLOOKUP('Rate Load'!H1814, 'Wedgewood Pharm-GA-Yr2-2025'!$D$5:$D$20,
            'Wedgewood Pharm-GA-Yr2-2025'!$E$5:$L$20, 0, 0),
        0, 0),
    _xlfn.XLOOKUP(G1814, 'Wedgewood Pharm-GA-Yr2-2025'!$E$4:$L$4,
        _xlfn.XLOOKUP('Rate Load'!L1814, 'Wedgewood Pharm-GA-Yr2-2025'!$D$5:$D$20,
            'Wedgewood Pharm-GA-Yr2-2025'!$E$5:$L$20, 0, 0),
        0, 0)
)</f>
        <v>5.95</v>
      </c>
      <c r="K1814" t="s">
        <v>46</v>
      </c>
      <c r="L1814" t="s">
        <v>13</v>
      </c>
      <c r="M1814">
        <v>1</v>
      </c>
      <c r="N1814" t="str">
        <f t="shared" si="28"/>
        <v>INSERT INTO TNL_RATING.dbo.usps_rate_master VALUES ('USPS', '2/13/2025', '2/13/2026', 12659, 'US', 'USPS Ground Advantage', 7, 13, 'O', 5.95, 'Wedgewood_USPS_2025', 'NonCubic','1');</v>
      </c>
    </row>
    <row r="1815" spans="1:14" x14ac:dyDescent="0.3">
      <c r="A1815" t="s">
        <v>11</v>
      </c>
      <c r="B1815" s="1" t="s">
        <v>43</v>
      </c>
      <c r="C1815" s="1" t="s">
        <v>44</v>
      </c>
      <c r="D1815">
        <v>12659</v>
      </c>
      <c r="E1815" t="s">
        <v>12</v>
      </c>
      <c r="F1815" t="s">
        <v>51</v>
      </c>
      <c r="G1815">
        <v>7</v>
      </c>
      <c r="H1815">
        <v>14</v>
      </c>
      <c r="I1815" t="s">
        <v>52</v>
      </c>
      <c r="J1815" cm="1">
        <f t="array" ref="J1815">IFERROR(
    _xlfn.XLOOKUP(G1815, 'Wedgewood Pharm-GA-Yr2-2025'!$E$4:$L$4,
        _xlfn.XLOOKUP('Rate Load'!H1815, 'Wedgewood Pharm-GA-Yr2-2025'!$D$5:$D$20,
            'Wedgewood Pharm-GA-Yr2-2025'!$E$5:$L$20, 0, 0),
        0, 0),
    _xlfn.XLOOKUP(G1815, 'Wedgewood Pharm-GA-Yr2-2025'!$E$4:$L$4,
        _xlfn.XLOOKUP('Rate Load'!L1815, 'Wedgewood Pharm-GA-Yr2-2025'!$D$5:$D$20,
            'Wedgewood Pharm-GA-Yr2-2025'!$E$5:$L$20, 0, 0),
        0, 0)
)</f>
        <v>5.95</v>
      </c>
      <c r="K1815" t="s">
        <v>46</v>
      </c>
      <c r="L1815" t="s">
        <v>13</v>
      </c>
      <c r="M1815">
        <v>1</v>
      </c>
      <c r="N1815" t="str">
        <f t="shared" si="28"/>
        <v>INSERT INTO TNL_RATING.dbo.usps_rate_master VALUES ('USPS', '2/13/2025', '2/13/2026', 12659, 'US', 'USPS Ground Advantage', 7, 14, 'O', 5.95, 'Wedgewood_USPS_2025', 'NonCubic','1');</v>
      </c>
    </row>
    <row r="1816" spans="1:14" x14ac:dyDescent="0.3">
      <c r="A1816" t="s">
        <v>11</v>
      </c>
      <c r="B1816" s="1" t="s">
        <v>43</v>
      </c>
      <c r="C1816" s="1" t="s">
        <v>44</v>
      </c>
      <c r="D1816">
        <v>12659</v>
      </c>
      <c r="E1816" t="s">
        <v>12</v>
      </c>
      <c r="F1816" t="s">
        <v>51</v>
      </c>
      <c r="G1816">
        <v>7</v>
      </c>
      <c r="H1816">
        <v>15</v>
      </c>
      <c r="I1816" t="s">
        <v>52</v>
      </c>
      <c r="J1816" cm="1">
        <f t="array" ref="J1816">IFERROR(
    _xlfn.XLOOKUP(G1816, 'Wedgewood Pharm-GA-Yr2-2025'!$E$4:$L$4,
        _xlfn.XLOOKUP('Rate Load'!H1816, 'Wedgewood Pharm-GA-Yr2-2025'!$D$5:$D$20,
            'Wedgewood Pharm-GA-Yr2-2025'!$E$5:$L$20, 0, 0),
        0, 0),
    _xlfn.XLOOKUP(G1816, 'Wedgewood Pharm-GA-Yr2-2025'!$E$4:$L$4,
        _xlfn.XLOOKUP('Rate Load'!L1816, 'Wedgewood Pharm-GA-Yr2-2025'!$D$5:$D$20,
            'Wedgewood Pharm-GA-Yr2-2025'!$E$5:$L$20, 0, 0),
        0, 0)
)</f>
        <v>5.95</v>
      </c>
      <c r="K1816" t="s">
        <v>46</v>
      </c>
      <c r="L1816" t="s">
        <v>13</v>
      </c>
      <c r="M1816">
        <v>1</v>
      </c>
      <c r="N1816" t="str">
        <f t="shared" si="28"/>
        <v>INSERT INTO TNL_RATING.dbo.usps_rate_master VALUES ('USPS', '2/13/2025', '2/13/2026', 12659, 'US', 'USPS Ground Advantage', 7, 15, 'O', 5.95, 'Wedgewood_USPS_2025', 'NonCubic','1');</v>
      </c>
    </row>
    <row r="1817" spans="1:14" x14ac:dyDescent="0.3">
      <c r="A1817" t="s">
        <v>11</v>
      </c>
      <c r="B1817" s="1" t="s">
        <v>43</v>
      </c>
      <c r="C1817" s="1" t="s">
        <v>44</v>
      </c>
      <c r="D1817">
        <v>12659</v>
      </c>
      <c r="E1817" t="s">
        <v>12</v>
      </c>
      <c r="F1817" t="s">
        <v>51</v>
      </c>
      <c r="G1817">
        <v>7</v>
      </c>
      <c r="H1817">
        <v>15.999000000000001</v>
      </c>
      <c r="I1817" t="s">
        <v>52</v>
      </c>
      <c r="J1817" cm="1">
        <f t="array" ref="J1817">IFERROR(
    _xlfn.XLOOKUP(G1817, 'Wedgewood Pharm-GA-Yr2-2025'!$E$4:$L$4,
        _xlfn.XLOOKUP('Rate Load'!H1817, 'Wedgewood Pharm-GA-Yr2-2025'!$D$5:$D$20,
            'Wedgewood Pharm-GA-Yr2-2025'!$E$5:$L$20, 0, 0),
        0, 0),
    _xlfn.XLOOKUP(G1817, 'Wedgewood Pharm-GA-Yr2-2025'!$E$4:$L$4,
        _xlfn.XLOOKUP('Rate Load'!L1817, 'Wedgewood Pharm-GA-Yr2-2025'!$D$5:$D$20,
            'Wedgewood Pharm-GA-Yr2-2025'!$E$5:$L$20, 0, 0),
        0, 0)
)</f>
        <v>5.95</v>
      </c>
      <c r="K1817" t="s">
        <v>46</v>
      </c>
      <c r="L1817" t="s">
        <v>13</v>
      </c>
      <c r="M1817">
        <v>1</v>
      </c>
      <c r="N1817" t="str">
        <f t="shared" si="28"/>
        <v>INSERT INTO TNL_RATING.dbo.usps_rate_master VALUES ('USPS', '2/13/2025', '2/13/2026', 12659, 'US', 'USPS Ground Advantage', 7, 15.999, 'O', 5.95, 'Wedgewood_USPS_2025', 'NonCubic','1');</v>
      </c>
    </row>
    <row r="1818" spans="1:14" x14ac:dyDescent="0.3">
      <c r="A1818" t="s">
        <v>11</v>
      </c>
      <c r="B1818" s="1" t="s">
        <v>43</v>
      </c>
      <c r="C1818" s="1" t="s">
        <v>44</v>
      </c>
      <c r="D1818">
        <v>12659</v>
      </c>
      <c r="E1818" t="s">
        <v>12</v>
      </c>
      <c r="F1818" t="s">
        <v>51</v>
      </c>
      <c r="G1818">
        <v>8</v>
      </c>
      <c r="H1818">
        <v>1</v>
      </c>
      <c r="I1818" t="s">
        <v>52</v>
      </c>
      <c r="J1818" cm="1">
        <f t="array" ref="J1818">IFERROR(
    _xlfn.XLOOKUP(G1818, 'Wedgewood Pharm-GA-Yr2-2025'!$E$4:$L$4,
        _xlfn.XLOOKUP('Rate Load'!H1818, 'Wedgewood Pharm-GA-Yr2-2025'!$D$5:$D$20,
            'Wedgewood Pharm-GA-Yr2-2025'!$E$5:$L$20, 0, 0),
        0, 0),
    _xlfn.XLOOKUP(G1818, 'Wedgewood Pharm-GA-Yr2-2025'!$E$4:$L$4,
        _xlfn.XLOOKUP('Rate Load'!L1818, 'Wedgewood Pharm-GA-Yr2-2025'!$D$5:$D$20,
            'Wedgewood Pharm-GA-Yr2-2025'!$E$5:$L$20, 0, 0),
        0, 0)
)</f>
        <v>3.9299999999999997</v>
      </c>
      <c r="K1818" t="s">
        <v>46</v>
      </c>
      <c r="L1818" t="s">
        <v>13</v>
      </c>
      <c r="M1818">
        <v>1</v>
      </c>
      <c r="N1818" t="str">
        <f t="shared" si="28"/>
        <v>INSERT INTO TNL_RATING.dbo.usps_rate_master VALUES ('USPS', '2/13/2025', '2/13/2026', 12659, 'US', 'USPS Ground Advantage', 8, 1, 'O', 3.93, 'Wedgewood_USPS_2025', 'NonCubic','1');</v>
      </c>
    </row>
    <row r="1819" spans="1:14" x14ac:dyDescent="0.3">
      <c r="A1819" t="s">
        <v>11</v>
      </c>
      <c r="B1819" s="1" t="s">
        <v>43</v>
      </c>
      <c r="C1819" s="1" t="s">
        <v>44</v>
      </c>
      <c r="D1819">
        <v>12659</v>
      </c>
      <c r="E1819" t="s">
        <v>12</v>
      </c>
      <c r="F1819" t="s">
        <v>51</v>
      </c>
      <c r="G1819">
        <v>8</v>
      </c>
      <c r="H1819">
        <v>2</v>
      </c>
      <c r="I1819" t="s">
        <v>52</v>
      </c>
      <c r="J1819" cm="1">
        <f t="array" ref="J1819">IFERROR(
    _xlfn.XLOOKUP(G1819, 'Wedgewood Pharm-GA-Yr2-2025'!$E$4:$L$4,
        _xlfn.XLOOKUP('Rate Load'!H1819, 'Wedgewood Pharm-GA-Yr2-2025'!$D$5:$D$20,
            'Wedgewood Pharm-GA-Yr2-2025'!$E$5:$L$20, 0, 0),
        0, 0),
    _xlfn.XLOOKUP(G1819, 'Wedgewood Pharm-GA-Yr2-2025'!$E$4:$L$4,
        _xlfn.XLOOKUP('Rate Load'!L1819, 'Wedgewood Pharm-GA-Yr2-2025'!$D$5:$D$20,
            'Wedgewood Pharm-GA-Yr2-2025'!$E$5:$L$20, 0, 0),
        0, 0)
)</f>
        <v>3.9299999999999997</v>
      </c>
      <c r="K1819" t="s">
        <v>46</v>
      </c>
      <c r="L1819" t="s">
        <v>13</v>
      </c>
      <c r="M1819">
        <v>1</v>
      </c>
      <c r="N1819" t="str">
        <f t="shared" si="28"/>
        <v>INSERT INTO TNL_RATING.dbo.usps_rate_master VALUES ('USPS', '2/13/2025', '2/13/2026', 12659, 'US', 'USPS Ground Advantage', 8, 2, 'O', 3.93, 'Wedgewood_USPS_2025', 'NonCubic','1');</v>
      </c>
    </row>
    <row r="1820" spans="1:14" x14ac:dyDescent="0.3">
      <c r="A1820" t="s">
        <v>11</v>
      </c>
      <c r="B1820" s="1" t="s">
        <v>43</v>
      </c>
      <c r="C1820" s="1" t="s">
        <v>44</v>
      </c>
      <c r="D1820">
        <v>12659</v>
      </c>
      <c r="E1820" t="s">
        <v>12</v>
      </c>
      <c r="F1820" t="s">
        <v>51</v>
      </c>
      <c r="G1820">
        <v>8</v>
      </c>
      <c r="H1820">
        <v>3</v>
      </c>
      <c r="I1820" t="s">
        <v>52</v>
      </c>
      <c r="J1820" cm="1">
        <f t="array" ref="J1820">IFERROR(
    _xlfn.XLOOKUP(G1820, 'Wedgewood Pharm-GA-Yr2-2025'!$E$4:$L$4,
        _xlfn.XLOOKUP('Rate Load'!H1820, 'Wedgewood Pharm-GA-Yr2-2025'!$D$5:$D$20,
            'Wedgewood Pharm-GA-Yr2-2025'!$E$5:$L$20, 0, 0),
        0, 0),
    _xlfn.XLOOKUP(G1820, 'Wedgewood Pharm-GA-Yr2-2025'!$E$4:$L$4,
        _xlfn.XLOOKUP('Rate Load'!L1820, 'Wedgewood Pharm-GA-Yr2-2025'!$D$5:$D$20,
            'Wedgewood Pharm-GA-Yr2-2025'!$E$5:$L$20, 0, 0),
        0, 0)
)</f>
        <v>3.9299999999999997</v>
      </c>
      <c r="K1820" t="s">
        <v>46</v>
      </c>
      <c r="L1820" t="s">
        <v>13</v>
      </c>
      <c r="M1820">
        <v>1</v>
      </c>
      <c r="N1820" t="str">
        <f t="shared" si="28"/>
        <v>INSERT INTO TNL_RATING.dbo.usps_rate_master VALUES ('USPS', '2/13/2025', '2/13/2026', 12659, 'US', 'USPS Ground Advantage', 8, 3, 'O', 3.93, 'Wedgewood_USPS_2025', 'NonCubic','1');</v>
      </c>
    </row>
    <row r="1821" spans="1:14" x14ac:dyDescent="0.3">
      <c r="A1821" t="s">
        <v>11</v>
      </c>
      <c r="B1821" s="1" t="s">
        <v>43</v>
      </c>
      <c r="C1821" s="1" t="s">
        <v>44</v>
      </c>
      <c r="D1821">
        <v>12659</v>
      </c>
      <c r="E1821" t="s">
        <v>12</v>
      </c>
      <c r="F1821" t="s">
        <v>51</v>
      </c>
      <c r="G1821">
        <v>8</v>
      </c>
      <c r="H1821">
        <v>4</v>
      </c>
      <c r="I1821" t="s">
        <v>52</v>
      </c>
      <c r="J1821" cm="1">
        <f t="array" ref="J1821">IFERROR(
    _xlfn.XLOOKUP(G1821, 'Wedgewood Pharm-GA-Yr2-2025'!$E$4:$L$4,
        _xlfn.XLOOKUP('Rate Load'!H1821, 'Wedgewood Pharm-GA-Yr2-2025'!$D$5:$D$20,
            'Wedgewood Pharm-GA-Yr2-2025'!$E$5:$L$20, 0, 0),
        0, 0),
    _xlfn.XLOOKUP(G1821, 'Wedgewood Pharm-GA-Yr2-2025'!$E$4:$L$4,
        _xlfn.XLOOKUP('Rate Load'!L1821, 'Wedgewood Pharm-GA-Yr2-2025'!$D$5:$D$20,
            'Wedgewood Pharm-GA-Yr2-2025'!$E$5:$L$20, 0, 0),
        0, 0)
)</f>
        <v>3.9299999999999997</v>
      </c>
      <c r="K1821" t="s">
        <v>46</v>
      </c>
      <c r="L1821" t="s">
        <v>13</v>
      </c>
      <c r="M1821">
        <v>1</v>
      </c>
      <c r="N1821" t="str">
        <f t="shared" si="28"/>
        <v>INSERT INTO TNL_RATING.dbo.usps_rate_master VALUES ('USPS', '2/13/2025', '2/13/2026', 12659, 'US', 'USPS Ground Advantage', 8, 4, 'O', 3.93, 'Wedgewood_USPS_2025', 'NonCubic','1');</v>
      </c>
    </row>
    <row r="1822" spans="1:14" x14ac:dyDescent="0.3">
      <c r="A1822" t="s">
        <v>11</v>
      </c>
      <c r="B1822" s="1" t="s">
        <v>43</v>
      </c>
      <c r="C1822" s="1" t="s">
        <v>44</v>
      </c>
      <c r="D1822">
        <v>12659</v>
      </c>
      <c r="E1822" t="s">
        <v>12</v>
      </c>
      <c r="F1822" t="s">
        <v>51</v>
      </c>
      <c r="G1822">
        <v>8</v>
      </c>
      <c r="H1822">
        <v>5</v>
      </c>
      <c r="I1822" t="s">
        <v>52</v>
      </c>
      <c r="J1822" cm="1">
        <f t="array" ref="J1822">IFERROR(
    _xlfn.XLOOKUP(G1822, 'Wedgewood Pharm-GA-Yr2-2025'!$E$4:$L$4,
        _xlfn.XLOOKUP('Rate Load'!H1822, 'Wedgewood Pharm-GA-Yr2-2025'!$D$5:$D$20,
            'Wedgewood Pharm-GA-Yr2-2025'!$E$5:$L$20, 0, 0),
        0, 0),
    _xlfn.XLOOKUP(G1822, 'Wedgewood Pharm-GA-Yr2-2025'!$E$4:$L$4,
        _xlfn.XLOOKUP('Rate Load'!L1822, 'Wedgewood Pharm-GA-Yr2-2025'!$D$5:$D$20,
            'Wedgewood Pharm-GA-Yr2-2025'!$E$5:$L$20, 0, 0),
        0, 0)
)</f>
        <v>4.58</v>
      </c>
      <c r="K1822" t="s">
        <v>46</v>
      </c>
      <c r="L1822" t="s">
        <v>13</v>
      </c>
      <c r="M1822">
        <v>1</v>
      </c>
      <c r="N1822" t="str">
        <f t="shared" si="28"/>
        <v>INSERT INTO TNL_RATING.dbo.usps_rate_master VALUES ('USPS', '2/13/2025', '2/13/2026', 12659, 'US', 'USPS Ground Advantage', 8, 5, 'O', 4.58, 'Wedgewood_USPS_2025', 'NonCubic','1');</v>
      </c>
    </row>
    <row r="1823" spans="1:14" x14ac:dyDescent="0.3">
      <c r="A1823" t="s">
        <v>11</v>
      </c>
      <c r="B1823" s="1" t="s">
        <v>43</v>
      </c>
      <c r="C1823" s="1" t="s">
        <v>44</v>
      </c>
      <c r="D1823">
        <v>12659</v>
      </c>
      <c r="E1823" t="s">
        <v>12</v>
      </c>
      <c r="F1823" t="s">
        <v>51</v>
      </c>
      <c r="G1823">
        <v>8</v>
      </c>
      <c r="H1823">
        <v>6</v>
      </c>
      <c r="I1823" t="s">
        <v>52</v>
      </c>
      <c r="J1823" cm="1">
        <f t="array" ref="J1823">IFERROR(
    _xlfn.XLOOKUP(G1823, 'Wedgewood Pharm-GA-Yr2-2025'!$E$4:$L$4,
        _xlfn.XLOOKUP('Rate Load'!H1823, 'Wedgewood Pharm-GA-Yr2-2025'!$D$5:$D$20,
            'Wedgewood Pharm-GA-Yr2-2025'!$E$5:$L$20, 0, 0),
        0, 0),
    _xlfn.XLOOKUP(G1823, 'Wedgewood Pharm-GA-Yr2-2025'!$E$4:$L$4,
        _xlfn.XLOOKUP('Rate Load'!L1823, 'Wedgewood Pharm-GA-Yr2-2025'!$D$5:$D$20,
            'Wedgewood Pharm-GA-Yr2-2025'!$E$5:$L$20, 0, 0),
        0, 0)
)</f>
        <v>4.58</v>
      </c>
      <c r="K1823" t="s">
        <v>46</v>
      </c>
      <c r="L1823" t="s">
        <v>13</v>
      </c>
      <c r="M1823">
        <v>1</v>
      </c>
      <c r="N1823" t="str">
        <f t="shared" si="28"/>
        <v>INSERT INTO TNL_RATING.dbo.usps_rate_master VALUES ('USPS', '2/13/2025', '2/13/2026', 12659, 'US', 'USPS Ground Advantage', 8, 6, 'O', 4.58, 'Wedgewood_USPS_2025', 'NonCubic','1');</v>
      </c>
    </row>
    <row r="1824" spans="1:14" x14ac:dyDescent="0.3">
      <c r="A1824" t="s">
        <v>11</v>
      </c>
      <c r="B1824" s="1" t="s">
        <v>43</v>
      </c>
      <c r="C1824" s="1" t="s">
        <v>44</v>
      </c>
      <c r="D1824">
        <v>12659</v>
      </c>
      <c r="E1824" t="s">
        <v>12</v>
      </c>
      <c r="F1824" t="s">
        <v>51</v>
      </c>
      <c r="G1824">
        <v>8</v>
      </c>
      <c r="H1824">
        <v>7</v>
      </c>
      <c r="I1824" t="s">
        <v>52</v>
      </c>
      <c r="J1824" cm="1">
        <f t="array" ref="J1824">IFERROR(
    _xlfn.XLOOKUP(G1824, 'Wedgewood Pharm-GA-Yr2-2025'!$E$4:$L$4,
        _xlfn.XLOOKUP('Rate Load'!H1824, 'Wedgewood Pharm-GA-Yr2-2025'!$D$5:$D$20,
            'Wedgewood Pharm-GA-Yr2-2025'!$E$5:$L$20, 0, 0),
        0, 0),
    _xlfn.XLOOKUP(G1824, 'Wedgewood Pharm-GA-Yr2-2025'!$E$4:$L$4,
        _xlfn.XLOOKUP('Rate Load'!L1824, 'Wedgewood Pharm-GA-Yr2-2025'!$D$5:$D$20,
            'Wedgewood Pharm-GA-Yr2-2025'!$E$5:$L$20, 0, 0),
        0, 0)
)</f>
        <v>4.58</v>
      </c>
      <c r="K1824" t="s">
        <v>46</v>
      </c>
      <c r="L1824" t="s">
        <v>13</v>
      </c>
      <c r="M1824">
        <v>1</v>
      </c>
      <c r="N1824" t="str">
        <f t="shared" si="28"/>
        <v>INSERT INTO TNL_RATING.dbo.usps_rate_master VALUES ('USPS', '2/13/2025', '2/13/2026', 12659, 'US', 'USPS Ground Advantage', 8, 7, 'O', 4.58, 'Wedgewood_USPS_2025', 'NonCubic','1');</v>
      </c>
    </row>
    <row r="1825" spans="1:14" x14ac:dyDescent="0.3">
      <c r="A1825" t="s">
        <v>11</v>
      </c>
      <c r="B1825" s="1" t="s">
        <v>43</v>
      </c>
      <c r="C1825" s="1" t="s">
        <v>44</v>
      </c>
      <c r="D1825">
        <v>12659</v>
      </c>
      <c r="E1825" t="s">
        <v>12</v>
      </c>
      <c r="F1825" t="s">
        <v>51</v>
      </c>
      <c r="G1825">
        <v>8</v>
      </c>
      <c r="H1825">
        <v>8</v>
      </c>
      <c r="I1825" t="s">
        <v>52</v>
      </c>
      <c r="J1825" cm="1">
        <f t="array" ref="J1825">IFERROR(
    _xlfn.XLOOKUP(G1825, 'Wedgewood Pharm-GA-Yr2-2025'!$E$4:$L$4,
        _xlfn.XLOOKUP('Rate Load'!H1825, 'Wedgewood Pharm-GA-Yr2-2025'!$D$5:$D$20,
            'Wedgewood Pharm-GA-Yr2-2025'!$E$5:$L$20, 0, 0),
        0, 0),
    _xlfn.XLOOKUP(G1825, 'Wedgewood Pharm-GA-Yr2-2025'!$E$4:$L$4,
        _xlfn.XLOOKUP('Rate Load'!L1825, 'Wedgewood Pharm-GA-Yr2-2025'!$D$5:$D$20,
            'Wedgewood Pharm-GA-Yr2-2025'!$E$5:$L$20, 0, 0),
        0, 0)
)</f>
        <v>4.58</v>
      </c>
      <c r="K1825" t="s">
        <v>46</v>
      </c>
      <c r="L1825" t="s">
        <v>13</v>
      </c>
      <c r="M1825">
        <v>1</v>
      </c>
      <c r="N1825" t="str">
        <f t="shared" si="28"/>
        <v>INSERT INTO TNL_RATING.dbo.usps_rate_master VALUES ('USPS', '2/13/2025', '2/13/2026', 12659, 'US', 'USPS Ground Advantage', 8, 8, 'O', 4.58, 'Wedgewood_USPS_2025', 'NonCubic','1');</v>
      </c>
    </row>
    <row r="1826" spans="1:14" x14ac:dyDescent="0.3">
      <c r="A1826" t="s">
        <v>11</v>
      </c>
      <c r="B1826" s="1" t="s">
        <v>43</v>
      </c>
      <c r="C1826" s="1" t="s">
        <v>44</v>
      </c>
      <c r="D1826">
        <v>12659</v>
      </c>
      <c r="E1826" t="s">
        <v>12</v>
      </c>
      <c r="F1826" t="s">
        <v>51</v>
      </c>
      <c r="G1826">
        <v>8</v>
      </c>
      <c r="H1826">
        <v>9</v>
      </c>
      <c r="I1826" t="s">
        <v>52</v>
      </c>
      <c r="J1826" cm="1">
        <f t="array" ref="J1826">IFERROR(
    _xlfn.XLOOKUP(G1826, 'Wedgewood Pharm-GA-Yr2-2025'!$E$4:$L$4,
        _xlfn.XLOOKUP('Rate Load'!H1826, 'Wedgewood Pharm-GA-Yr2-2025'!$D$5:$D$20,
            'Wedgewood Pharm-GA-Yr2-2025'!$E$5:$L$20, 0, 0),
        0, 0),
    _xlfn.XLOOKUP(G1826, 'Wedgewood Pharm-GA-Yr2-2025'!$E$4:$L$4,
        _xlfn.XLOOKUP('Rate Load'!L1826, 'Wedgewood Pharm-GA-Yr2-2025'!$D$5:$D$20,
            'Wedgewood Pharm-GA-Yr2-2025'!$E$5:$L$20, 0, 0),
        0, 0)
)</f>
        <v>5.45</v>
      </c>
      <c r="K1826" t="s">
        <v>46</v>
      </c>
      <c r="L1826" t="s">
        <v>13</v>
      </c>
      <c r="M1826">
        <v>1</v>
      </c>
      <c r="N1826" t="str">
        <f t="shared" si="28"/>
        <v>INSERT INTO TNL_RATING.dbo.usps_rate_master VALUES ('USPS', '2/13/2025', '2/13/2026', 12659, 'US', 'USPS Ground Advantage', 8, 9, 'O', 5.45, 'Wedgewood_USPS_2025', 'NonCubic','1');</v>
      </c>
    </row>
    <row r="1827" spans="1:14" x14ac:dyDescent="0.3">
      <c r="A1827" t="s">
        <v>11</v>
      </c>
      <c r="B1827" s="1" t="s">
        <v>43</v>
      </c>
      <c r="C1827" s="1" t="s">
        <v>44</v>
      </c>
      <c r="D1827">
        <v>12659</v>
      </c>
      <c r="E1827" t="s">
        <v>12</v>
      </c>
      <c r="F1827" t="s">
        <v>51</v>
      </c>
      <c r="G1827">
        <v>8</v>
      </c>
      <c r="H1827">
        <v>10</v>
      </c>
      <c r="I1827" t="s">
        <v>52</v>
      </c>
      <c r="J1827" cm="1">
        <f t="array" ref="J1827">IFERROR(
    _xlfn.XLOOKUP(G1827, 'Wedgewood Pharm-GA-Yr2-2025'!$E$4:$L$4,
        _xlfn.XLOOKUP('Rate Load'!H1827, 'Wedgewood Pharm-GA-Yr2-2025'!$D$5:$D$20,
            'Wedgewood Pharm-GA-Yr2-2025'!$E$5:$L$20, 0, 0),
        0, 0),
    _xlfn.XLOOKUP(G1827, 'Wedgewood Pharm-GA-Yr2-2025'!$E$4:$L$4,
        _xlfn.XLOOKUP('Rate Load'!L1827, 'Wedgewood Pharm-GA-Yr2-2025'!$D$5:$D$20,
            'Wedgewood Pharm-GA-Yr2-2025'!$E$5:$L$20, 0, 0),
        0, 0)
)</f>
        <v>5.45</v>
      </c>
      <c r="K1827" t="s">
        <v>46</v>
      </c>
      <c r="L1827" t="s">
        <v>13</v>
      </c>
      <c r="M1827">
        <v>1</v>
      </c>
      <c r="N1827" t="str">
        <f t="shared" si="28"/>
        <v>INSERT INTO TNL_RATING.dbo.usps_rate_master VALUES ('USPS', '2/13/2025', '2/13/2026', 12659, 'US', 'USPS Ground Advantage', 8, 10, 'O', 5.45, 'Wedgewood_USPS_2025', 'NonCubic','1');</v>
      </c>
    </row>
    <row r="1828" spans="1:14" x14ac:dyDescent="0.3">
      <c r="A1828" t="s">
        <v>11</v>
      </c>
      <c r="B1828" s="1" t="s">
        <v>43</v>
      </c>
      <c r="C1828" s="1" t="s">
        <v>44</v>
      </c>
      <c r="D1828">
        <v>12659</v>
      </c>
      <c r="E1828" t="s">
        <v>12</v>
      </c>
      <c r="F1828" t="s">
        <v>51</v>
      </c>
      <c r="G1828">
        <v>8</v>
      </c>
      <c r="H1828">
        <v>11</v>
      </c>
      <c r="I1828" t="s">
        <v>52</v>
      </c>
      <c r="J1828" cm="1">
        <f t="array" ref="J1828">IFERROR(
    _xlfn.XLOOKUP(G1828, 'Wedgewood Pharm-GA-Yr2-2025'!$E$4:$L$4,
        _xlfn.XLOOKUP('Rate Load'!H1828, 'Wedgewood Pharm-GA-Yr2-2025'!$D$5:$D$20,
            'Wedgewood Pharm-GA-Yr2-2025'!$E$5:$L$20, 0, 0),
        0, 0),
    _xlfn.XLOOKUP(G1828, 'Wedgewood Pharm-GA-Yr2-2025'!$E$4:$L$4,
        _xlfn.XLOOKUP('Rate Load'!L1828, 'Wedgewood Pharm-GA-Yr2-2025'!$D$5:$D$20,
            'Wedgewood Pharm-GA-Yr2-2025'!$E$5:$L$20, 0, 0),
        0, 0)
)</f>
        <v>5.45</v>
      </c>
      <c r="K1828" t="s">
        <v>46</v>
      </c>
      <c r="L1828" t="s">
        <v>13</v>
      </c>
      <c r="M1828">
        <v>1</v>
      </c>
      <c r="N1828" t="str">
        <f t="shared" si="28"/>
        <v>INSERT INTO TNL_RATING.dbo.usps_rate_master VALUES ('USPS', '2/13/2025', '2/13/2026', 12659, 'US', 'USPS Ground Advantage', 8, 11, 'O', 5.45, 'Wedgewood_USPS_2025', 'NonCubic','1');</v>
      </c>
    </row>
    <row r="1829" spans="1:14" x14ac:dyDescent="0.3">
      <c r="A1829" t="s">
        <v>11</v>
      </c>
      <c r="B1829" s="1" t="s">
        <v>43</v>
      </c>
      <c r="C1829" s="1" t="s">
        <v>44</v>
      </c>
      <c r="D1829">
        <v>12659</v>
      </c>
      <c r="E1829" t="s">
        <v>12</v>
      </c>
      <c r="F1829" t="s">
        <v>51</v>
      </c>
      <c r="G1829">
        <v>8</v>
      </c>
      <c r="H1829">
        <v>12</v>
      </c>
      <c r="I1829" t="s">
        <v>52</v>
      </c>
      <c r="J1829" cm="1">
        <f t="array" ref="J1829">IFERROR(
    _xlfn.XLOOKUP(G1829, 'Wedgewood Pharm-GA-Yr2-2025'!$E$4:$L$4,
        _xlfn.XLOOKUP('Rate Load'!H1829, 'Wedgewood Pharm-GA-Yr2-2025'!$D$5:$D$20,
            'Wedgewood Pharm-GA-Yr2-2025'!$E$5:$L$20, 0, 0),
        0, 0),
    _xlfn.XLOOKUP(G1829, 'Wedgewood Pharm-GA-Yr2-2025'!$E$4:$L$4,
        _xlfn.XLOOKUP('Rate Load'!L1829, 'Wedgewood Pharm-GA-Yr2-2025'!$D$5:$D$20,
            'Wedgewood Pharm-GA-Yr2-2025'!$E$5:$L$20, 0, 0),
        0, 0)
)</f>
        <v>5.45</v>
      </c>
      <c r="K1829" t="s">
        <v>46</v>
      </c>
      <c r="L1829" t="s">
        <v>13</v>
      </c>
      <c r="M1829">
        <v>1</v>
      </c>
      <c r="N1829" t="str">
        <f t="shared" si="28"/>
        <v>INSERT INTO TNL_RATING.dbo.usps_rate_master VALUES ('USPS', '2/13/2025', '2/13/2026', 12659, 'US', 'USPS Ground Advantage', 8, 12, 'O', 5.45, 'Wedgewood_USPS_2025', 'NonCubic','1');</v>
      </c>
    </row>
    <row r="1830" spans="1:14" x14ac:dyDescent="0.3">
      <c r="A1830" t="s">
        <v>11</v>
      </c>
      <c r="B1830" s="1" t="s">
        <v>43</v>
      </c>
      <c r="C1830" s="1" t="s">
        <v>44</v>
      </c>
      <c r="D1830">
        <v>12659</v>
      </c>
      <c r="E1830" t="s">
        <v>12</v>
      </c>
      <c r="F1830" t="s">
        <v>51</v>
      </c>
      <c r="G1830">
        <v>8</v>
      </c>
      <c r="H1830">
        <v>13</v>
      </c>
      <c r="I1830" t="s">
        <v>52</v>
      </c>
      <c r="J1830" cm="1">
        <f t="array" ref="J1830">IFERROR(
    _xlfn.XLOOKUP(G1830, 'Wedgewood Pharm-GA-Yr2-2025'!$E$4:$L$4,
        _xlfn.XLOOKUP('Rate Load'!H1830, 'Wedgewood Pharm-GA-Yr2-2025'!$D$5:$D$20,
            'Wedgewood Pharm-GA-Yr2-2025'!$E$5:$L$20, 0, 0),
        0, 0),
    _xlfn.XLOOKUP(G1830, 'Wedgewood Pharm-GA-Yr2-2025'!$E$4:$L$4,
        _xlfn.XLOOKUP('Rate Load'!L1830, 'Wedgewood Pharm-GA-Yr2-2025'!$D$5:$D$20,
            'Wedgewood Pharm-GA-Yr2-2025'!$E$5:$L$20, 0, 0),
        0, 0)
)</f>
        <v>6.12</v>
      </c>
      <c r="K1830" t="s">
        <v>46</v>
      </c>
      <c r="L1830" t="s">
        <v>13</v>
      </c>
      <c r="M1830">
        <v>1</v>
      </c>
      <c r="N1830" t="str">
        <f t="shared" si="28"/>
        <v>INSERT INTO TNL_RATING.dbo.usps_rate_master VALUES ('USPS', '2/13/2025', '2/13/2026', 12659, 'US', 'USPS Ground Advantage', 8, 13, 'O', 6.12, 'Wedgewood_USPS_2025', 'NonCubic','1');</v>
      </c>
    </row>
    <row r="1831" spans="1:14" x14ac:dyDescent="0.3">
      <c r="A1831" t="s">
        <v>11</v>
      </c>
      <c r="B1831" s="1" t="s">
        <v>43</v>
      </c>
      <c r="C1831" s="1" t="s">
        <v>44</v>
      </c>
      <c r="D1831">
        <v>12659</v>
      </c>
      <c r="E1831" t="s">
        <v>12</v>
      </c>
      <c r="F1831" t="s">
        <v>51</v>
      </c>
      <c r="G1831">
        <v>8</v>
      </c>
      <c r="H1831">
        <v>14</v>
      </c>
      <c r="I1831" t="s">
        <v>52</v>
      </c>
      <c r="J1831" cm="1">
        <f t="array" ref="J1831">IFERROR(
    _xlfn.XLOOKUP(G1831, 'Wedgewood Pharm-GA-Yr2-2025'!$E$4:$L$4,
        _xlfn.XLOOKUP('Rate Load'!H1831, 'Wedgewood Pharm-GA-Yr2-2025'!$D$5:$D$20,
            'Wedgewood Pharm-GA-Yr2-2025'!$E$5:$L$20, 0, 0),
        0, 0),
    _xlfn.XLOOKUP(G1831, 'Wedgewood Pharm-GA-Yr2-2025'!$E$4:$L$4,
        _xlfn.XLOOKUP('Rate Load'!L1831, 'Wedgewood Pharm-GA-Yr2-2025'!$D$5:$D$20,
            'Wedgewood Pharm-GA-Yr2-2025'!$E$5:$L$20, 0, 0),
        0, 0)
)</f>
        <v>6.12</v>
      </c>
      <c r="K1831" t="s">
        <v>46</v>
      </c>
      <c r="L1831" t="s">
        <v>13</v>
      </c>
      <c r="M1831">
        <v>1</v>
      </c>
      <c r="N1831" t="str">
        <f t="shared" si="28"/>
        <v>INSERT INTO TNL_RATING.dbo.usps_rate_master VALUES ('USPS', '2/13/2025', '2/13/2026', 12659, 'US', 'USPS Ground Advantage', 8, 14, 'O', 6.12, 'Wedgewood_USPS_2025', 'NonCubic','1');</v>
      </c>
    </row>
    <row r="1832" spans="1:14" x14ac:dyDescent="0.3">
      <c r="A1832" t="s">
        <v>11</v>
      </c>
      <c r="B1832" s="1" t="s">
        <v>43</v>
      </c>
      <c r="C1832" s="1" t="s">
        <v>44</v>
      </c>
      <c r="D1832">
        <v>12659</v>
      </c>
      <c r="E1832" t="s">
        <v>12</v>
      </c>
      <c r="F1832" t="s">
        <v>51</v>
      </c>
      <c r="G1832">
        <v>8</v>
      </c>
      <c r="H1832">
        <v>15</v>
      </c>
      <c r="I1832" t="s">
        <v>52</v>
      </c>
      <c r="J1832" cm="1">
        <f t="array" ref="J1832">IFERROR(
    _xlfn.XLOOKUP(G1832, 'Wedgewood Pharm-GA-Yr2-2025'!$E$4:$L$4,
        _xlfn.XLOOKUP('Rate Load'!H1832, 'Wedgewood Pharm-GA-Yr2-2025'!$D$5:$D$20,
            'Wedgewood Pharm-GA-Yr2-2025'!$E$5:$L$20, 0, 0),
        0, 0),
    _xlfn.XLOOKUP(G1832, 'Wedgewood Pharm-GA-Yr2-2025'!$E$4:$L$4,
        _xlfn.XLOOKUP('Rate Load'!L1832, 'Wedgewood Pharm-GA-Yr2-2025'!$D$5:$D$20,
            'Wedgewood Pharm-GA-Yr2-2025'!$E$5:$L$20, 0, 0),
        0, 0)
)</f>
        <v>6.12</v>
      </c>
      <c r="K1832" t="s">
        <v>46</v>
      </c>
      <c r="L1832" t="s">
        <v>13</v>
      </c>
      <c r="M1832">
        <v>1</v>
      </c>
      <c r="N1832" t="str">
        <f t="shared" si="28"/>
        <v>INSERT INTO TNL_RATING.dbo.usps_rate_master VALUES ('USPS', '2/13/2025', '2/13/2026', 12659, 'US', 'USPS Ground Advantage', 8, 15, 'O', 6.12, 'Wedgewood_USPS_2025', 'NonCubic','1');</v>
      </c>
    </row>
    <row r="1833" spans="1:14" x14ac:dyDescent="0.3">
      <c r="A1833" t="s">
        <v>11</v>
      </c>
      <c r="B1833" s="1" t="s">
        <v>43</v>
      </c>
      <c r="C1833" s="1" t="s">
        <v>44</v>
      </c>
      <c r="D1833">
        <v>12659</v>
      </c>
      <c r="E1833" t="s">
        <v>12</v>
      </c>
      <c r="F1833" t="s">
        <v>51</v>
      </c>
      <c r="G1833">
        <v>1</v>
      </c>
      <c r="H1833">
        <v>1</v>
      </c>
      <c r="I1833" t="s">
        <v>52</v>
      </c>
      <c r="J1833" cm="1">
        <f t="array" ref="J1833">IFERROR(
    _xlfn.XLOOKUP(G1833, 'Wedgewood Pharm-GA-Yr2-2025'!$E$55:$L$55,
        _xlfn.XLOOKUP('Rate Load'!H1833, 'Wedgewood Pharm-GA-Yr2-2025'!$D$56:$D$71,
            'Wedgewood Pharm-GA-Yr2-2025'!$E$56:$L$71, 0, 0),
        0, 0),
    _xlfn.XLOOKUP(G1833, 'Wedgewood Pharm-GA-Yr2-2025'!$E$55:$L$55,
        _xlfn.XLOOKUP('Rate Load'!L1833, 'Wedgewood Pharm-GA-Yr2-2025'!$D$56:$D$71,
            'Wedgewood Pharm-GA-Yr2-2025'!$E$56:$L$71, 0, 0),
        0, 0)
)</f>
        <v>3.2399999999999998</v>
      </c>
      <c r="K1833" t="s">
        <v>46</v>
      </c>
      <c r="L1833" t="s">
        <v>13</v>
      </c>
      <c r="M1833">
        <v>2</v>
      </c>
      <c r="N1833" t="str">
        <f t="shared" si="28"/>
        <v>INSERT INTO TNL_RATING.dbo.usps_rate_master VALUES ('USPS', '2/13/2025', '2/13/2026', 12659, 'US', 'USPS Ground Advantage', 1, 1, 'O', 3.24, 'Wedgewood_USPS_2025', 'NonCubic','2');</v>
      </c>
    </row>
    <row r="1834" spans="1:14" x14ac:dyDescent="0.3">
      <c r="A1834" t="s">
        <v>11</v>
      </c>
      <c r="B1834" s="1" t="s">
        <v>43</v>
      </c>
      <c r="C1834" s="1" t="s">
        <v>44</v>
      </c>
      <c r="D1834">
        <v>12659</v>
      </c>
      <c r="E1834" t="s">
        <v>12</v>
      </c>
      <c r="F1834" t="s">
        <v>51</v>
      </c>
      <c r="G1834">
        <v>1</v>
      </c>
      <c r="H1834">
        <v>2</v>
      </c>
      <c r="I1834" t="s">
        <v>52</v>
      </c>
      <c r="J1834" cm="1">
        <f t="array" ref="J1834">IFERROR(
    _xlfn.XLOOKUP(G1834, 'Wedgewood Pharm-GA-Yr2-2025'!$E$55:$L$55,
        _xlfn.XLOOKUP('Rate Load'!H1834, 'Wedgewood Pharm-GA-Yr2-2025'!$D$56:$D$71,
            'Wedgewood Pharm-GA-Yr2-2025'!$E$56:$L$71, 0, 0),
        0, 0),
    _xlfn.XLOOKUP(G1834, 'Wedgewood Pharm-GA-Yr2-2025'!$E$55:$L$55,
        _xlfn.XLOOKUP('Rate Load'!L1834, 'Wedgewood Pharm-GA-Yr2-2025'!$D$56:$D$71,
            'Wedgewood Pharm-GA-Yr2-2025'!$E$56:$L$71, 0, 0),
        0, 0)
)</f>
        <v>3.2399999999999998</v>
      </c>
      <c r="K1834" t="s">
        <v>46</v>
      </c>
      <c r="L1834" t="s">
        <v>13</v>
      </c>
      <c r="M1834">
        <v>2</v>
      </c>
      <c r="N1834" t="str">
        <f t="shared" si="28"/>
        <v>INSERT INTO TNL_RATING.dbo.usps_rate_master VALUES ('USPS', '2/13/2025', '2/13/2026', 12659, 'US', 'USPS Ground Advantage', 1, 2, 'O', 3.24, 'Wedgewood_USPS_2025', 'NonCubic','2');</v>
      </c>
    </row>
    <row r="1835" spans="1:14" x14ac:dyDescent="0.3">
      <c r="A1835" t="s">
        <v>11</v>
      </c>
      <c r="B1835" s="1" t="s">
        <v>43</v>
      </c>
      <c r="C1835" s="1" t="s">
        <v>44</v>
      </c>
      <c r="D1835">
        <v>12659</v>
      </c>
      <c r="E1835" t="s">
        <v>12</v>
      </c>
      <c r="F1835" t="s">
        <v>51</v>
      </c>
      <c r="G1835">
        <v>1</v>
      </c>
      <c r="H1835">
        <v>3</v>
      </c>
      <c r="I1835" t="s">
        <v>52</v>
      </c>
      <c r="J1835" cm="1">
        <f t="array" ref="J1835">IFERROR(
    _xlfn.XLOOKUP(G1835, 'Wedgewood Pharm-GA-Yr2-2025'!$E$55:$L$55,
        _xlfn.XLOOKUP('Rate Load'!H1835, 'Wedgewood Pharm-GA-Yr2-2025'!$D$56:$D$71,
            'Wedgewood Pharm-GA-Yr2-2025'!$E$56:$L$71, 0, 0),
        0, 0),
    _xlfn.XLOOKUP(G1835, 'Wedgewood Pharm-GA-Yr2-2025'!$E$55:$L$55,
        _xlfn.XLOOKUP('Rate Load'!L1835, 'Wedgewood Pharm-GA-Yr2-2025'!$D$56:$D$71,
            'Wedgewood Pharm-GA-Yr2-2025'!$E$56:$L$71, 0, 0),
        0, 0)
)</f>
        <v>3.2399999999999998</v>
      </c>
      <c r="K1835" t="s">
        <v>46</v>
      </c>
      <c r="L1835" t="s">
        <v>13</v>
      </c>
      <c r="M1835">
        <v>2</v>
      </c>
      <c r="N1835" t="str">
        <f t="shared" si="28"/>
        <v>INSERT INTO TNL_RATING.dbo.usps_rate_master VALUES ('USPS', '2/13/2025', '2/13/2026', 12659, 'US', 'USPS Ground Advantage', 1, 3, 'O', 3.24, 'Wedgewood_USPS_2025', 'NonCubic','2');</v>
      </c>
    </row>
    <row r="1836" spans="1:14" x14ac:dyDescent="0.3">
      <c r="A1836" t="s">
        <v>11</v>
      </c>
      <c r="B1836" s="1" t="s">
        <v>43</v>
      </c>
      <c r="C1836" s="1" t="s">
        <v>44</v>
      </c>
      <c r="D1836">
        <v>12659</v>
      </c>
      <c r="E1836" t="s">
        <v>12</v>
      </c>
      <c r="F1836" t="s">
        <v>51</v>
      </c>
      <c r="G1836">
        <v>1</v>
      </c>
      <c r="H1836">
        <v>4</v>
      </c>
      <c r="I1836" t="s">
        <v>52</v>
      </c>
      <c r="J1836" cm="1">
        <f t="array" ref="J1836">IFERROR(
    _xlfn.XLOOKUP(G1836, 'Wedgewood Pharm-GA-Yr2-2025'!$E$55:$L$55,
        _xlfn.XLOOKUP('Rate Load'!H1836, 'Wedgewood Pharm-GA-Yr2-2025'!$D$56:$D$71,
            'Wedgewood Pharm-GA-Yr2-2025'!$E$56:$L$71, 0, 0),
        0, 0),
    _xlfn.XLOOKUP(G1836, 'Wedgewood Pharm-GA-Yr2-2025'!$E$55:$L$55,
        _xlfn.XLOOKUP('Rate Load'!L1836, 'Wedgewood Pharm-GA-Yr2-2025'!$D$56:$D$71,
            'Wedgewood Pharm-GA-Yr2-2025'!$E$56:$L$71, 0, 0),
        0, 0)
)</f>
        <v>3.2399999999999998</v>
      </c>
      <c r="K1836" t="s">
        <v>46</v>
      </c>
      <c r="L1836" t="s">
        <v>13</v>
      </c>
      <c r="M1836">
        <v>2</v>
      </c>
      <c r="N1836" t="str">
        <f t="shared" si="28"/>
        <v>INSERT INTO TNL_RATING.dbo.usps_rate_master VALUES ('USPS', '2/13/2025', '2/13/2026', 12659, 'US', 'USPS Ground Advantage', 1, 4, 'O', 3.24, 'Wedgewood_USPS_2025', 'NonCubic','2');</v>
      </c>
    </row>
    <row r="1837" spans="1:14" x14ac:dyDescent="0.3">
      <c r="A1837" t="s">
        <v>11</v>
      </c>
      <c r="B1837" s="1" t="s">
        <v>43</v>
      </c>
      <c r="C1837" s="1" t="s">
        <v>44</v>
      </c>
      <c r="D1837">
        <v>12659</v>
      </c>
      <c r="E1837" t="s">
        <v>12</v>
      </c>
      <c r="F1837" t="s">
        <v>51</v>
      </c>
      <c r="G1837">
        <v>1</v>
      </c>
      <c r="H1837">
        <v>5</v>
      </c>
      <c r="I1837" t="s">
        <v>52</v>
      </c>
      <c r="J1837" cm="1">
        <f t="array" ref="J1837">IFERROR(
    _xlfn.XLOOKUP(G1837, 'Wedgewood Pharm-GA-Yr2-2025'!$E$55:$L$55,
        _xlfn.XLOOKUP('Rate Load'!H1837, 'Wedgewood Pharm-GA-Yr2-2025'!$D$56:$D$71,
            'Wedgewood Pharm-GA-Yr2-2025'!$E$56:$L$71, 0, 0),
        0, 0),
    _xlfn.XLOOKUP(G1837, 'Wedgewood Pharm-GA-Yr2-2025'!$E$55:$L$55,
        _xlfn.XLOOKUP('Rate Load'!L1837, 'Wedgewood Pharm-GA-Yr2-2025'!$D$56:$D$71,
            'Wedgewood Pharm-GA-Yr2-2025'!$E$56:$L$71, 0, 0),
        0, 0)
)</f>
        <v>4.0999999999999996</v>
      </c>
      <c r="K1837" t="s">
        <v>46</v>
      </c>
      <c r="L1837" t="s">
        <v>13</v>
      </c>
      <c r="M1837">
        <v>2</v>
      </c>
      <c r="N1837" t="str">
        <f t="shared" si="28"/>
        <v>INSERT INTO TNL_RATING.dbo.usps_rate_master VALUES ('USPS', '2/13/2025', '2/13/2026', 12659, 'US', 'USPS Ground Advantage', 1, 5, 'O', 4.1, 'Wedgewood_USPS_2025', 'NonCubic','2');</v>
      </c>
    </row>
    <row r="1838" spans="1:14" x14ac:dyDescent="0.3">
      <c r="A1838" t="s">
        <v>11</v>
      </c>
      <c r="B1838" s="1" t="s">
        <v>43</v>
      </c>
      <c r="C1838" s="1" t="s">
        <v>44</v>
      </c>
      <c r="D1838">
        <v>12659</v>
      </c>
      <c r="E1838" t="s">
        <v>12</v>
      </c>
      <c r="F1838" t="s">
        <v>51</v>
      </c>
      <c r="G1838">
        <v>1</v>
      </c>
      <c r="H1838">
        <v>6</v>
      </c>
      <c r="I1838" t="s">
        <v>52</v>
      </c>
      <c r="J1838" cm="1">
        <f t="array" ref="J1838">IFERROR(
    _xlfn.XLOOKUP(G1838, 'Wedgewood Pharm-GA-Yr2-2025'!$E$55:$L$55,
        _xlfn.XLOOKUP('Rate Load'!H1838, 'Wedgewood Pharm-GA-Yr2-2025'!$D$56:$D$71,
            'Wedgewood Pharm-GA-Yr2-2025'!$E$56:$L$71, 0, 0),
        0, 0),
    _xlfn.XLOOKUP(G1838, 'Wedgewood Pharm-GA-Yr2-2025'!$E$55:$L$55,
        _xlfn.XLOOKUP('Rate Load'!L1838, 'Wedgewood Pharm-GA-Yr2-2025'!$D$56:$D$71,
            'Wedgewood Pharm-GA-Yr2-2025'!$E$56:$L$71, 0, 0),
        0, 0)
)</f>
        <v>4.0999999999999996</v>
      </c>
      <c r="K1838" t="s">
        <v>46</v>
      </c>
      <c r="L1838" t="s">
        <v>13</v>
      </c>
      <c r="M1838">
        <v>2</v>
      </c>
      <c r="N1838" t="str">
        <f t="shared" si="28"/>
        <v>INSERT INTO TNL_RATING.dbo.usps_rate_master VALUES ('USPS', '2/13/2025', '2/13/2026', 12659, 'US', 'USPS Ground Advantage', 1, 6, 'O', 4.1, 'Wedgewood_USPS_2025', 'NonCubic','2');</v>
      </c>
    </row>
    <row r="1839" spans="1:14" x14ac:dyDescent="0.3">
      <c r="A1839" t="s">
        <v>11</v>
      </c>
      <c r="B1839" s="1" t="s">
        <v>43</v>
      </c>
      <c r="C1839" s="1" t="s">
        <v>44</v>
      </c>
      <c r="D1839">
        <v>12659</v>
      </c>
      <c r="E1839" t="s">
        <v>12</v>
      </c>
      <c r="F1839" t="s">
        <v>51</v>
      </c>
      <c r="G1839">
        <v>1</v>
      </c>
      <c r="H1839">
        <v>7</v>
      </c>
      <c r="I1839" t="s">
        <v>52</v>
      </c>
      <c r="J1839" cm="1">
        <f t="array" ref="J1839">IFERROR(
    _xlfn.XLOOKUP(G1839, 'Wedgewood Pharm-GA-Yr2-2025'!$E$55:$L$55,
        _xlfn.XLOOKUP('Rate Load'!H1839, 'Wedgewood Pharm-GA-Yr2-2025'!$D$56:$D$71,
            'Wedgewood Pharm-GA-Yr2-2025'!$E$56:$L$71, 0, 0),
        0, 0),
    _xlfn.XLOOKUP(G1839, 'Wedgewood Pharm-GA-Yr2-2025'!$E$55:$L$55,
        _xlfn.XLOOKUP('Rate Load'!L1839, 'Wedgewood Pharm-GA-Yr2-2025'!$D$56:$D$71,
            'Wedgewood Pharm-GA-Yr2-2025'!$E$56:$L$71, 0, 0),
        0, 0)
)</f>
        <v>4.0999999999999996</v>
      </c>
      <c r="K1839" t="s">
        <v>46</v>
      </c>
      <c r="L1839" t="s">
        <v>13</v>
      </c>
      <c r="M1839">
        <v>2</v>
      </c>
      <c r="N1839" t="str">
        <f t="shared" si="28"/>
        <v>INSERT INTO TNL_RATING.dbo.usps_rate_master VALUES ('USPS', '2/13/2025', '2/13/2026', 12659, 'US', 'USPS Ground Advantage', 1, 7, 'O', 4.1, 'Wedgewood_USPS_2025', 'NonCubic','2');</v>
      </c>
    </row>
    <row r="1840" spans="1:14" x14ac:dyDescent="0.3">
      <c r="A1840" t="s">
        <v>11</v>
      </c>
      <c r="B1840" s="1" t="s">
        <v>43</v>
      </c>
      <c r="C1840" s="1" t="s">
        <v>44</v>
      </c>
      <c r="D1840">
        <v>12659</v>
      </c>
      <c r="E1840" t="s">
        <v>12</v>
      </c>
      <c r="F1840" t="s">
        <v>51</v>
      </c>
      <c r="G1840">
        <v>1</v>
      </c>
      <c r="H1840">
        <v>8</v>
      </c>
      <c r="I1840" t="s">
        <v>52</v>
      </c>
      <c r="J1840" cm="1">
        <f t="array" ref="J1840">IFERROR(
    _xlfn.XLOOKUP(G1840, 'Wedgewood Pharm-GA-Yr2-2025'!$E$55:$L$55,
        _xlfn.XLOOKUP('Rate Load'!H1840, 'Wedgewood Pharm-GA-Yr2-2025'!$D$56:$D$71,
            'Wedgewood Pharm-GA-Yr2-2025'!$E$56:$L$71, 0, 0),
        0, 0),
    _xlfn.XLOOKUP(G1840, 'Wedgewood Pharm-GA-Yr2-2025'!$E$55:$L$55,
        _xlfn.XLOOKUP('Rate Load'!L1840, 'Wedgewood Pharm-GA-Yr2-2025'!$D$56:$D$71,
            'Wedgewood Pharm-GA-Yr2-2025'!$E$56:$L$71, 0, 0),
        0, 0)
)</f>
        <v>4.0999999999999996</v>
      </c>
      <c r="K1840" t="s">
        <v>46</v>
      </c>
      <c r="L1840" t="s">
        <v>13</v>
      </c>
      <c r="M1840">
        <v>2</v>
      </c>
      <c r="N1840" t="str">
        <f t="shared" si="28"/>
        <v>INSERT INTO TNL_RATING.dbo.usps_rate_master VALUES ('USPS', '2/13/2025', '2/13/2026', 12659, 'US', 'USPS Ground Advantage', 1, 8, 'O', 4.1, 'Wedgewood_USPS_2025', 'NonCubic','2');</v>
      </c>
    </row>
    <row r="1841" spans="1:14" x14ac:dyDescent="0.3">
      <c r="A1841" t="s">
        <v>11</v>
      </c>
      <c r="B1841" s="1" t="s">
        <v>43</v>
      </c>
      <c r="C1841" s="1" t="s">
        <v>44</v>
      </c>
      <c r="D1841">
        <v>12659</v>
      </c>
      <c r="E1841" t="s">
        <v>12</v>
      </c>
      <c r="F1841" t="s">
        <v>51</v>
      </c>
      <c r="G1841">
        <v>1</v>
      </c>
      <c r="H1841">
        <v>9</v>
      </c>
      <c r="I1841" t="s">
        <v>52</v>
      </c>
      <c r="J1841" cm="1">
        <f t="array" ref="J1841">IFERROR(
    _xlfn.XLOOKUP(G1841, 'Wedgewood Pharm-GA-Yr2-2025'!$E$55:$L$55,
        _xlfn.XLOOKUP('Rate Load'!H1841, 'Wedgewood Pharm-GA-Yr2-2025'!$D$56:$D$71,
            'Wedgewood Pharm-GA-Yr2-2025'!$E$56:$L$71, 0, 0),
        0, 0),
    _xlfn.XLOOKUP(G1841, 'Wedgewood Pharm-GA-Yr2-2025'!$E$55:$L$55,
        _xlfn.XLOOKUP('Rate Load'!L1841, 'Wedgewood Pharm-GA-Yr2-2025'!$D$56:$D$71,
            'Wedgewood Pharm-GA-Yr2-2025'!$E$56:$L$71, 0, 0),
        0, 0)
)</f>
        <v>4.62</v>
      </c>
      <c r="K1841" t="s">
        <v>46</v>
      </c>
      <c r="L1841" t="s">
        <v>13</v>
      </c>
      <c r="M1841">
        <v>2</v>
      </c>
      <c r="N1841" t="str">
        <f t="shared" si="28"/>
        <v>INSERT INTO TNL_RATING.dbo.usps_rate_master VALUES ('USPS', '2/13/2025', '2/13/2026', 12659, 'US', 'USPS Ground Advantage', 1, 9, 'O', 4.62, 'Wedgewood_USPS_2025', 'NonCubic','2');</v>
      </c>
    </row>
    <row r="1842" spans="1:14" x14ac:dyDescent="0.3">
      <c r="A1842" t="s">
        <v>11</v>
      </c>
      <c r="B1842" s="1" t="s">
        <v>43</v>
      </c>
      <c r="C1842" s="1" t="s">
        <v>44</v>
      </c>
      <c r="D1842">
        <v>12659</v>
      </c>
      <c r="E1842" t="s">
        <v>12</v>
      </c>
      <c r="F1842" t="s">
        <v>51</v>
      </c>
      <c r="G1842">
        <v>1</v>
      </c>
      <c r="H1842">
        <v>10</v>
      </c>
      <c r="I1842" t="s">
        <v>52</v>
      </c>
      <c r="J1842" cm="1">
        <f t="array" ref="J1842">IFERROR(
    _xlfn.XLOOKUP(G1842, 'Wedgewood Pharm-GA-Yr2-2025'!$E$55:$L$55,
        _xlfn.XLOOKUP('Rate Load'!H1842, 'Wedgewood Pharm-GA-Yr2-2025'!$D$56:$D$71,
            'Wedgewood Pharm-GA-Yr2-2025'!$E$56:$L$71, 0, 0),
        0, 0),
    _xlfn.XLOOKUP(G1842, 'Wedgewood Pharm-GA-Yr2-2025'!$E$55:$L$55,
        _xlfn.XLOOKUP('Rate Load'!L1842, 'Wedgewood Pharm-GA-Yr2-2025'!$D$56:$D$71,
            'Wedgewood Pharm-GA-Yr2-2025'!$E$56:$L$71, 0, 0),
        0, 0)
)</f>
        <v>4.62</v>
      </c>
      <c r="K1842" t="s">
        <v>46</v>
      </c>
      <c r="L1842" t="s">
        <v>13</v>
      </c>
      <c r="M1842">
        <v>2</v>
      </c>
      <c r="N1842" t="str">
        <f t="shared" si="28"/>
        <v>INSERT INTO TNL_RATING.dbo.usps_rate_master VALUES ('USPS', '2/13/2025', '2/13/2026', 12659, 'US', 'USPS Ground Advantage', 1, 10, 'O', 4.62, 'Wedgewood_USPS_2025', 'NonCubic','2');</v>
      </c>
    </row>
    <row r="1843" spans="1:14" x14ac:dyDescent="0.3">
      <c r="A1843" t="s">
        <v>11</v>
      </c>
      <c r="B1843" s="1" t="s">
        <v>43</v>
      </c>
      <c r="C1843" s="1" t="s">
        <v>44</v>
      </c>
      <c r="D1843">
        <v>12659</v>
      </c>
      <c r="E1843" t="s">
        <v>12</v>
      </c>
      <c r="F1843" t="s">
        <v>51</v>
      </c>
      <c r="G1843">
        <v>1</v>
      </c>
      <c r="H1843">
        <v>11</v>
      </c>
      <c r="I1843" t="s">
        <v>52</v>
      </c>
      <c r="J1843" cm="1">
        <f t="array" ref="J1843">IFERROR(
    _xlfn.XLOOKUP(G1843, 'Wedgewood Pharm-GA-Yr2-2025'!$E$55:$L$55,
        _xlfn.XLOOKUP('Rate Load'!H1843, 'Wedgewood Pharm-GA-Yr2-2025'!$D$56:$D$71,
            'Wedgewood Pharm-GA-Yr2-2025'!$E$56:$L$71, 0, 0),
        0, 0),
    _xlfn.XLOOKUP(G1843, 'Wedgewood Pharm-GA-Yr2-2025'!$E$55:$L$55,
        _xlfn.XLOOKUP('Rate Load'!L1843, 'Wedgewood Pharm-GA-Yr2-2025'!$D$56:$D$71,
            'Wedgewood Pharm-GA-Yr2-2025'!$E$56:$L$71, 0, 0),
        0, 0)
)</f>
        <v>4.62</v>
      </c>
      <c r="K1843" t="s">
        <v>46</v>
      </c>
      <c r="L1843" t="s">
        <v>13</v>
      </c>
      <c r="M1843">
        <v>2</v>
      </c>
      <c r="N1843" t="str">
        <f t="shared" si="28"/>
        <v>INSERT INTO TNL_RATING.dbo.usps_rate_master VALUES ('USPS', '2/13/2025', '2/13/2026', 12659, 'US', 'USPS Ground Advantage', 1, 11, 'O', 4.62, 'Wedgewood_USPS_2025', 'NonCubic','2');</v>
      </c>
    </row>
    <row r="1844" spans="1:14" x14ac:dyDescent="0.3">
      <c r="A1844" t="s">
        <v>11</v>
      </c>
      <c r="B1844" s="1" t="s">
        <v>43</v>
      </c>
      <c r="C1844" s="1" t="s">
        <v>44</v>
      </c>
      <c r="D1844">
        <v>12659</v>
      </c>
      <c r="E1844" t="s">
        <v>12</v>
      </c>
      <c r="F1844" t="s">
        <v>51</v>
      </c>
      <c r="G1844">
        <v>1</v>
      </c>
      <c r="H1844">
        <v>12</v>
      </c>
      <c r="I1844" t="s">
        <v>52</v>
      </c>
      <c r="J1844" cm="1">
        <f t="array" ref="J1844">IFERROR(
    _xlfn.XLOOKUP(G1844, 'Wedgewood Pharm-GA-Yr2-2025'!$E$55:$L$55,
        _xlfn.XLOOKUP('Rate Load'!H1844, 'Wedgewood Pharm-GA-Yr2-2025'!$D$56:$D$71,
            'Wedgewood Pharm-GA-Yr2-2025'!$E$56:$L$71, 0, 0),
        0, 0),
    _xlfn.XLOOKUP(G1844, 'Wedgewood Pharm-GA-Yr2-2025'!$E$55:$L$55,
        _xlfn.XLOOKUP('Rate Load'!L1844, 'Wedgewood Pharm-GA-Yr2-2025'!$D$56:$D$71,
            'Wedgewood Pharm-GA-Yr2-2025'!$E$56:$L$71, 0, 0),
        0, 0)
)</f>
        <v>4.62</v>
      </c>
      <c r="K1844" t="s">
        <v>46</v>
      </c>
      <c r="L1844" t="s">
        <v>13</v>
      </c>
      <c r="M1844">
        <v>2</v>
      </c>
      <c r="N1844" t="str">
        <f t="shared" si="28"/>
        <v>INSERT INTO TNL_RATING.dbo.usps_rate_master VALUES ('USPS', '2/13/2025', '2/13/2026', 12659, 'US', 'USPS Ground Advantage', 1, 12, 'O', 4.62, 'Wedgewood_USPS_2025', 'NonCubic','2');</v>
      </c>
    </row>
    <row r="1845" spans="1:14" x14ac:dyDescent="0.3">
      <c r="A1845" t="s">
        <v>11</v>
      </c>
      <c r="B1845" s="1" t="s">
        <v>43</v>
      </c>
      <c r="C1845" s="1" t="s">
        <v>44</v>
      </c>
      <c r="D1845">
        <v>12659</v>
      </c>
      <c r="E1845" t="s">
        <v>12</v>
      </c>
      <c r="F1845" t="s">
        <v>51</v>
      </c>
      <c r="G1845">
        <v>1</v>
      </c>
      <c r="H1845">
        <v>13</v>
      </c>
      <c r="I1845" t="s">
        <v>52</v>
      </c>
      <c r="J1845" cm="1">
        <f t="array" ref="J1845">IFERROR(
    _xlfn.XLOOKUP(G1845, 'Wedgewood Pharm-GA-Yr2-2025'!$E$55:$L$55,
        _xlfn.XLOOKUP('Rate Load'!H1845, 'Wedgewood Pharm-GA-Yr2-2025'!$D$56:$D$71,
            'Wedgewood Pharm-GA-Yr2-2025'!$E$56:$L$71, 0, 0),
        0, 0),
    _xlfn.XLOOKUP(G1845, 'Wedgewood Pharm-GA-Yr2-2025'!$E$55:$L$55,
        _xlfn.XLOOKUP('Rate Load'!L1845, 'Wedgewood Pharm-GA-Yr2-2025'!$D$56:$D$71,
            'Wedgewood Pharm-GA-Yr2-2025'!$E$56:$L$71, 0, 0),
        0, 0)
)</f>
        <v>5.1499999999999995</v>
      </c>
      <c r="K1845" t="s">
        <v>46</v>
      </c>
      <c r="L1845" t="s">
        <v>13</v>
      </c>
      <c r="M1845">
        <v>2</v>
      </c>
      <c r="N1845" t="str">
        <f t="shared" si="28"/>
        <v>INSERT INTO TNL_RATING.dbo.usps_rate_master VALUES ('USPS', '2/13/2025', '2/13/2026', 12659, 'US', 'USPS Ground Advantage', 1, 13, 'O', 5.15, 'Wedgewood_USPS_2025', 'NonCubic','2');</v>
      </c>
    </row>
    <row r="1846" spans="1:14" x14ac:dyDescent="0.3">
      <c r="A1846" t="s">
        <v>11</v>
      </c>
      <c r="B1846" s="1" t="s">
        <v>43</v>
      </c>
      <c r="C1846" s="1" t="s">
        <v>44</v>
      </c>
      <c r="D1846">
        <v>12659</v>
      </c>
      <c r="E1846" t="s">
        <v>12</v>
      </c>
      <c r="F1846" t="s">
        <v>51</v>
      </c>
      <c r="G1846">
        <v>1</v>
      </c>
      <c r="H1846">
        <v>14</v>
      </c>
      <c r="I1846" t="s">
        <v>52</v>
      </c>
      <c r="J1846" cm="1">
        <f t="array" ref="J1846">IFERROR(
    _xlfn.XLOOKUP(G1846, 'Wedgewood Pharm-GA-Yr2-2025'!$E$55:$L$55,
        _xlfn.XLOOKUP('Rate Load'!H1846, 'Wedgewood Pharm-GA-Yr2-2025'!$D$56:$D$71,
            'Wedgewood Pharm-GA-Yr2-2025'!$E$56:$L$71, 0, 0),
        0, 0),
    _xlfn.XLOOKUP(G1846, 'Wedgewood Pharm-GA-Yr2-2025'!$E$55:$L$55,
        _xlfn.XLOOKUP('Rate Load'!L1846, 'Wedgewood Pharm-GA-Yr2-2025'!$D$56:$D$71,
            'Wedgewood Pharm-GA-Yr2-2025'!$E$56:$L$71, 0, 0),
        0, 0)
)</f>
        <v>5.1499999999999995</v>
      </c>
      <c r="K1846" t="s">
        <v>46</v>
      </c>
      <c r="L1846" t="s">
        <v>13</v>
      </c>
      <c r="M1846">
        <v>2</v>
      </c>
      <c r="N1846" t="str">
        <f t="shared" si="28"/>
        <v>INSERT INTO TNL_RATING.dbo.usps_rate_master VALUES ('USPS', '2/13/2025', '2/13/2026', 12659, 'US', 'USPS Ground Advantage', 1, 14, 'O', 5.15, 'Wedgewood_USPS_2025', 'NonCubic','2');</v>
      </c>
    </row>
    <row r="1847" spans="1:14" x14ac:dyDescent="0.3">
      <c r="A1847" t="s">
        <v>11</v>
      </c>
      <c r="B1847" s="1" t="s">
        <v>43</v>
      </c>
      <c r="C1847" s="1" t="s">
        <v>44</v>
      </c>
      <c r="D1847">
        <v>12659</v>
      </c>
      <c r="E1847" t="s">
        <v>12</v>
      </c>
      <c r="F1847" t="s">
        <v>51</v>
      </c>
      <c r="G1847">
        <v>1</v>
      </c>
      <c r="H1847">
        <v>15</v>
      </c>
      <c r="I1847" t="s">
        <v>52</v>
      </c>
      <c r="J1847" cm="1">
        <f t="array" ref="J1847">IFERROR(
    _xlfn.XLOOKUP(G1847, 'Wedgewood Pharm-GA-Yr2-2025'!$E$55:$L$55,
        _xlfn.XLOOKUP('Rate Load'!H1847, 'Wedgewood Pharm-GA-Yr2-2025'!$D$56:$D$71,
            'Wedgewood Pharm-GA-Yr2-2025'!$E$56:$L$71, 0, 0),
        0, 0),
    _xlfn.XLOOKUP(G1847, 'Wedgewood Pharm-GA-Yr2-2025'!$E$55:$L$55,
        _xlfn.XLOOKUP('Rate Load'!L1847, 'Wedgewood Pharm-GA-Yr2-2025'!$D$56:$D$71,
            'Wedgewood Pharm-GA-Yr2-2025'!$E$56:$L$71, 0, 0),
        0, 0)
)</f>
        <v>5.1499999999999995</v>
      </c>
      <c r="K1847" t="s">
        <v>46</v>
      </c>
      <c r="L1847" t="s">
        <v>13</v>
      </c>
      <c r="M1847">
        <v>2</v>
      </c>
      <c r="N1847" t="str">
        <f t="shared" si="28"/>
        <v>INSERT INTO TNL_RATING.dbo.usps_rate_master VALUES ('USPS', '2/13/2025', '2/13/2026', 12659, 'US', 'USPS Ground Advantage', 1, 15, 'O', 5.15, 'Wedgewood_USPS_2025', 'NonCubic','2');</v>
      </c>
    </row>
    <row r="1848" spans="1:14" x14ac:dyDescent="0.3">
      <c r="A1848" t="s">
        <v>11</v>
      </c>
      <c r="B1848" s="1" t="s">
        <v>43</v>
      </c>
      <c r="C1848" s="1" t="s">
        <v>44</v>
      </c>
      <c r="D1848">
        <v>12659</v>
      </c>
      <c r="E1848" t="s">
        <v>12</v>
      </c>
      <c r="F1848" t="s">
        <v>51</v>
      </c>
      <c r="G1848">
        <v>1</v>
      </c>
      <c r="H1848">
        <v>15.999000000000001</v>
      </c>
      <c r="I1848" t="s">
        <v>52</v>
      </c>
      <c r="J1848" cm="1">
        <f t="array" ref="J1848">IFERROR(
    _xlfn.XLOOKUP(G1848, 'Wedgewood Pharm-GA-Yr2-2025'!$E$55:$L$55,
        _xlfn.XLOOKUP('Rate Load'!H1848, 'Wedgewood Pharm-GA-Yr2-2025'!$D$56:$D$71,
            'Wedgewood Pharm-GA-Yr2-2025'!$E$56:$L$71, 0, 0),
        0, 0),
    _xlfn.XLOOKUP(G1848, 'Wedgewood Pharm-GA-Yr2-2025'!$E$55:$L$55,
        _xlfn.XLOOKUP('Rate Load'!L1848, 'Wedgewood Pharm-GA-Yr2-2025'!$D$56:$D$71,
            'Wedgewood Pharm-GA-Yr2-2025'!$E$56:$L$71, 0, 0),
        0, 0)
)</f>
        <v>5.1499999999999995</v>
      </c>
      <c r="K1848" t="s">
        <v>46</v>
      </c>
      <c r="L1848" t="s">
        <v>13</v>
      </c>
      <c r="M1848">
        <v>2</v>
      </c>
      <c r="N1848" t="str">
        <f t="shared" si="28"/>
        <v>INSERT INTO TNL_RATING.dbo.usps_rate_master VALUES ('USPS', '2/13/2025', '2/13/2026', 12659, 'US', 'USPS Ground Advantage', 1, 15.999, 'O', 5.15, 'Wedgewood_USPS_2025', 'NonCubic','2');</v>
      </c>
    </row>
    <row r="1849" spans="1:14" x14ac:dyDescent="0.3">
      <c r="A1849" t="s">
        <v>11</v>
      </c>
      <c r="B1849" s="1" t="s">
        <v>43</v>
      </c>
      <c r="C1849" s="1" t="s">
        <v>44</v>
      </c>
      <c r="D1849">
        <v>12659</v>
      </c>
      <c r="E1849" t="s">
        <v>12</v>
      </c>
      <c r="F1849" t="s">
        <v>51</v>
      </c>
      <c r="G1849">
        <v>2</v>
      </c>
      <c r="H1849">
        <v>1</v>
      </c>
      <c r="I1849" t="s">
        <v>52</v>
      </c>
      <c r="J1849" cm="1">
        <f t="array" ref="J1849">IFERROR(
    _xlfn.XLOOKUP(G1849, 'Wedgewood Pharm-GA-Yr2-2025'!$E$55:$L$55,
        _xlfn.XLOOKUP('Rate Load'!H1849, 'Wedgewood Pharm-GA-Yr2-2025'!$D$56:$D$71,
            'Wedgewood Pharm-GA-Yr2-2025'!$E$56:$L$71, 0, 0),
        0, 0),
    _xlfn.XLOOKUP(G1849, 'Wedgewood Pharm-GA-Yr2-2025'!$E$55:$L$55,
        _xlfn.XLOOKUP('Rate Load'!L1849, 'Wedgewood Pharm-GA-Yr2-2025'!$D$56:$D$71,
            'Wedgewood Pharm-GA-Yr2-2025'!$E$56:$L$71, 0, 0),
        0, 0)
)</f>
        <v>3.2899999999999996</v>
      </c>
      <c r="K1849" t="s">
        <v>46</v>
      </c>
      <c r="L1849" t="s">
        <v>13</v>
      </c>
      <c r="M1849">
        <v>2</v>
      </c>
      <c r="N1849" t="str">
        <f t="shared" si="28"/>
        <v>INSERT INTO TNL_RATING.dbo.usps_rate_master VALUES ('USPS', '2/13/2025', '2/13/2026', 12659, 'US', 'USPS Ground Advantage', 2, 1, 'O', 3.29, 'Wedgewood_USPS_2025', 'NonCubic','2');</v>
      </c>
    </row>
    <row r="1850" spans="1:14" x14ac:dyDescent="0.3">
      <c r="A1850" t="s">
        <v>11</v>
      </c>
      <c r="B1850" s="1" t="s">
        <v>43</v>
      </c>
      <c r="C1850" s="1" t="s">
        <v>44</v>
      </c>
      <c r="D1850">
        <v>12659</v>
      </c>
      <c r="E1850" t="s">
        <v>12</v>
      </c>
      <c r="F1850" t="s">
        <v>51</v>
      </c>
      <c r="G1850">
        <v>2</v>
      </c>
      <c r="H1850">
        <v>2</v>
      </c>
      <c r="I1850" t="s">
        <v>52</v>
      </c>
      <c r="J1850" cm="1">
        <f t="array" ref="J1850">IFERROR(
    _xlfn.XLOOKUP(G1850, 'Wedgewood Pharm-GA-Yr2-2025'!$E$55:$L$55,
        _xlfn.XLOOKUP('Rate Load'!H1850, 'Wedgewood Pharm-GA-Yr2-2025'!$D$56:$D$71,
            'Wedgewood Pharm-GA-Yr2-2025'!$E$56:$L$71, 0, 0),
        0, 0),
    _xlfn.XLOOKUP(G1850, 'Wedgewood Pharm-GA-Yr2-2025'!$E$55:$L$55,
        _xlfn.XLOOKUP('Rate Load'!L1850, 'Wedgewood Pharm-GA-Yr2-2025'!$D$56:$D$71,
            'Wedgewood Pharm-GA-Yr2-2025'!$E$56:$L$71, 0, 0),
        0, 0)
)</f>
        <v>3.2899999999999996</v>
      </c>
      <c r="K1850" t="s">
        <v>46</v>
      </c>
      <c r="L1850" t="s">
        <v>13</v>
      </c>
      <c r="M1850">
        <v>2</v>
      </c>
      <c r="N1850" t="str">
        <f t="shared" si="28"/>
        <v>INSERT INTO TNL_RATING.dbo.usps_rate_master VALUES ('USPS', '2/13/2025', '2/13/2026', 12659, 'US', 'USPS Ground Advantage', 2, 2, 'O', 3.29, 'Wedgewood_USPS_2025', 'NonCubic','2');</v>
      </c>
    </row>
    <row r="1851" spans="1:14" x14ac:dyDescent="0.3">
      <c r="A1851" t="s">
        <v>11</v>
      </c>
      <c r="B1851" s="1" t="s">
        <v>43</v>
      </c>
      <c r="C1851" s="1" t="s">
        <v>44</v>
      </c>
      <c r="D1851">
        <v>12659</v>
      </c>
      <c r="E1851" t="s">
        <v>12</v>
      </c>
      <c r="F1851" t="s">
        <v>51</v>
      </c>
      <c r="G1851">
        <v>2</v>
      </c>
      <c r="H1851">
        <v>3</v>
      </c>
      <c r="I1851" t="s">
        <v>52</v>
      </c>
      <c r="J1851" cm="1">
        <f t="array" ref="J1851">IFERROR(
    _xlfn.XLOOKUP(G1851, 'Wedgewood Pharm-GA-Yr2-2025'!$E$55:$L$55,
        _xlfn.XLOOKUP('Rate Load'!H1851, 'Wedgewood Pharm-GA-Yr2-2025'!$D$56:$D$71,
            'Wedgewood Pharm-GA-Yr2-2025'!$E$56:$L$71, 0, 0),
        0, 0),
    _xlfn.XLOOKUP(G1851, 'Wedgewood Pharm-GA-Yr2-2025'!$E$55:$L$55,
        _xlfn.XLOOKUP('Rate Load'!L1851, 'Wedgewood Pharm-GA-Yr2-2025'!$D$56:$D$71,
            'Wedgewood Pharm-GA-Yr2-2025'!$E$56:$L$71, 0, 0),
        0, 0)
)</f>
        <v>3.2899999999999996</v>
      </c>
      <c r="K1851" t="s">
        <v>46</v>
      </c>
      <c r="L1851" t="s">
        <v>13</v>
      </c>
      <c r="M1851">
        <v>2</v>
      </c>
      <c r="N1851" t="str">
        <f t="shared" si="28"/>
        <v>INSERT INTO TNL_RATING.dbo.usps_rate_master VALUES ('USPS', '2/13/2025', '2/13/2026', 12659, 'US', 'USPS Ground Advantage', 2, 3, 'O', 3.29, 'Wedgewood_USPS_2025', 'NonCubic','2');</v>
      </c>
    </row>
    <row r="1852" spans="1:14" x14ac:dyDescent="0.3">
      <c r="A1852" t="s">
        <v>11</v>
      </c>
      <c r="B1852" s="1" t="s">
        <v>43</v>
      </c>
      <c r="C1852" s="1" t="s">
        <v>44</v>
      </c>
      <c r="D1852">
        <v>12659</v>
      </c>
      <c r="E1852" t="s">
        <v>12</v>
      </c>
      <c r="F1852" t="s">
        <v>51</v>
      </c>
      <c r="G1852">
        <v>2</v>
      </c>
      <c r="H1852">
        <v>4</v>
      </c>
      <c r="I1852" t="s">
        <v>52</v>
      </c>
      <c r="J1852" cm="1">
        <f t="array" ref="J1852">IFERROR(
    _xlfn.XLOOKUP(G1852, 'Wedgewood Pharm-GA-Yr2-2025'!$E$55:$L$55,
        _xlfn.XLOOKUP('Rate Load'!H1852, 'Wedgewood Pharm-GA-Yr2-2025'!$D$56:$D$71,
            'Wedgewood Pharm-GA-Yr2-2025'!$E$56:$L$71, 0, 0),
        0, 0),
    _xlfn.XLOOKUP(G1852, 'Wedgewood Pharm-GA-Yr2-2025'!$E$55:$L$55,
        _xlfn.XLOOKUP('Rate Load'!L1852, 'Wedgewood Pharm-GA-Yr2-2025'!$D$56:$D$71,
            'Wedgewood Pharm-GA-Yr2-2025'!$E$56:$L$71, 0, 0),
        0, 0)
)</f>
        <v>3.2899999999999996</v>
      </c>
      <c r="K1852" t="s">
        <v>46</v>
      </c>
      <c r="L1852" t="s">
        <v>13</v>
      </c>
      <c r="M1852">
        <v>2</v>
      </c>
      <c r="N1852" t="str">
        <f t="shared" si="28"/>
        <v>INSERT INTO TNL_RATING.dbo.usps_rate_master VALUES ('USPS', '2/13/2025', '2/13/2026', 12659, 'US', 'USPS Ground Advantage', 2, 4, 'O', 3.29, 'Wedgewood_USPS_2025', 'NonCubic','2');</v>
      </c>
    </row>
    <row r="1853" spans="1:14" x14ac:dyDescent="0.3">
      <c r="A1853" t="s">
        <v>11</v>
      </c>
      <c r="B1853" s="1" t="s">
        <v>43</v>
      </c>
      <c r="C1853" s="1" t="s">
        <v>44</v>
      </c>
      <c r="D1853">
        <v>12659</v>
      </c>
      <c r="E1853" t="s">
        <v>12</v>
      </c>
      <c r="F1853" t="s">
        <v>51</v>
      </c>
      <c r="G1853">
        <v>2</v>
      </c>
      <c r="H1853">
        <v>5</v>
      </c>
      <c r="I1853" t="s">
        <v>52</v>
      </c>
      <c r="J1853" cm="1">
        <f t="array" ref="J1853">IFERROR(
    _xlfn.XLOOKUP(G1853, 'Wedgewood Pharm-GA-Yr2-2025'!$E$55:$L$55,
        _xlfn.XLOOKUP('Rate Load'!H1853, 'Wedgewood Pharm-GA-Yr2-2025'!$D$56:$D$71,
            'Wedgewood Pharm-GA-Yr2-2025'!$E$56:$L$71, 0, 0),
        0, 0),
    _xlfn.XLOOKUP(G1853, 'Wedgewood Pharm-GA-Yr2-2025'!$E$55:$L$55,
        _xlfn.XLOOKUP('Rate Load'!L1853, 'Wedgewood Pharm-GA-Yr2-2025'!$D$56:$D$71,
            'Wedgewood Pharm-GA-Yr2-2025'!$E$56:$L$71, 0, 0),
        0, 0)
)</f>
        <v>4.18</v>
      </c>
      <c r="K1853" t="s">
        <v>46</v>
      </c>
      <c r="L1853" t="s">
        <v>13</v>
      </c>
      <c r="M1853">
        <v>2</v>
      </c>
      <c r="N1853" t="str">
        <f t="shared" si="28"/>
        <v>INSERT INTO TNL_RATING.dbo.usps_rate_master VALUES ('USPS', '2/13/2025', '2/13/2026', 12659, 'US', 'USPS Ground Advantage', 2, 5, 'O', 4.18, 'Wedgewood_USPS_2025', 'NonCubic','2');</v>
      </c>
    </row>
    <row r="1854" spans="1:14" x14ac:dyDescent="0.3">
      <c r="A1854" t="s">
        <v>11</v>
      </c>
      <c r="B1854" s="1" t="s">
        <v>43</v>
      </c>
      <c r="C1854" s="1" t="s">
        <v>44</v>
      </c>
      <c r="D1854">
        <v>12659</v>
      </c>
      <c r="E1854" t="s">
        <v>12</v>
      </c>
      <c r="F1854" t="s">
        <v>51</v>
      </c>
      <c r="G1854">
        <v>2</v>
      </c>
      <c r="H1854">
        <v>6</v>
      </c>
      <c r="I1854" t="s">
        <v>52</v>
      </c>
      <c r="J1854" cm="1">
        <f t="array" ref="J1854">IFERROR(
    _xlfn.XLOOKUP(G1854, 'Wedgewood Pharm-GA-Yr2-2025'!$E$55:$L$55,
        _xlfn.XLOOKUP('Rate Load'!H1854, 'Wedgewood Pharm-GA-Yr2-2025'!$D$56:$D$71,
            'Wedgewood Pharm-GA-Yr2-2025'!$E$56:$L$71, 0, 0),
        0, 0),
    _xlfn.XLOOKUP(G1854, 'Wedgewood Pharm-GA-Yr2-2025'!$E$55:$L$55,
        _xlfn.XLOOKUP('Rate Load'!L1854, 'Wedgewood Pharm-GA-Yr2-2025'!$D$56:$D$71,
            'Wedgewood Pharm-GA-Yr2-2025'!$E$56:$L$71, 0, 0),
        0, 0)
)</f>
        <v>4.18</v>
      </c>
      <c r="K1854" t="s">
        <v>46</v>
      </c>
      <c r="L1854" t="s">
        <v>13</v>
      </c>
      <c r="M1854">
        <v>2</v>
      </c>
      <c r="N1854" t="str">
        <f t="shared" si="28"/>
        <v>INSERT INTO TNL_RATING.dbo.usps_rate_master VALUES ('USPS', '2/13/2025', '2/13/2026', 12659, 'US', 'USPS Ground Advantage', 2, 6, 'O', 4.18, 'Wedgewood_USPS_2025', 'NonCubic','2');</v>
      </c>
    </row>
    <row r="1855" spans="1:14" x14ac:dyDescent="0.3">
      <c r="A1855" t="s">
        <v>11</v>
      </c>
      <c r="B1855" s="1" t="s">
        <v>43</v>
      </c>
      <c r="C1855" s="1" t="s">
        <v>44</v>
      </c>
      <c r="D1855">
        <v>12659</v>
      </c>
      <c r="E1855" t="s">
        <v>12</v>
      </c>
      <c r="F1855" t="s">
        <v>51</v>
      </c>
      <c r="G1855">
        <v>2</v>
      </c>
      <c r="H1855">
        <v>7</v>
      </c>
      <c r="I1855" t="s">
        <v>52</v>
      </c>
      <c r="J1855" cm="1">
        <f t="array" ref="J1855">IFERROR(
    _xlfn.XLOOKUP(G1855, 'Wedgewood Pharm-GA-Yr2-2025'!$E$55:$L$55,
        _xlfn.XLOOKUP('Rate Load'!H1855, 'Wedgewood Pharm-GA-Yr2-2025'!$D$56:$D$71,
            'Wedgewood Pharm-GA-Yr2-2025'!$E$56:$L$71, 0, 0),
        0, 0),
    _xlfn.XLOOKUP(G1855, 'Wedgewood Pharm-GA-Yr2-2025'!$E$55:$L$55,
        _xlfn.XLOOKUP('Rate Load'!L1855, 'Wedgewood Pharm-GA-Yr2-2025'!$D$56:$D$71,
            'Wedgewood Pharm-GA-Yr2-2025'!$E$56:$L$71, 0, 0),
        0, 0)
)</f>
        <v>4.18</v>
      </c>
      <c r="K1855" t="s">
        <v>46</v>
      </c>
      <c r="L1855" t="s">
        <v>13</v>
      </c>
      <c r="M1855">
        <v>2</v>
      </c>
      <c r="N1855" t="str">
        <f t="shared" si="28"/>
        <v>INSERT INTO TNL_RATING.dbo.usps_rate_master VALUES ('USPS', '2/13/2025', '2/13/2026', 12659, 'US', 'USPS Ground Advantage', 2, 7, 'O', 4.18, 'Wedgewood_USPS_2025', 'NonCubic','2');</v>
      </c>
    </row>
    <row r="1856" spans="1:14" x14ac:dyDescent="0.3">
      <c r="A1856" t="s">
        <v>11</v>
      </c>
      <c r="B1856" s="1" t="s">
        <v>43</v>
      </c>
      <c r="C1856" s="1" t="s">
        <v>44</v>
      </c>
      <c r="D1856">
        <v>12659</v>
      </c>
      <c r="E1856" t="s">
        <v>12</v>
      </c>
      <c r="F1856" t="s">
        <v>51</v>
      </c>
      <c r="G1856">
        <v>2</v>
      </c>
      <c r="H1856">
        <v>8</v>
      </c>
      <c r="I1856" t="s">
        <v>52</v>
      </c>
      <c r="J1856" cm="1">
        <f t="array" ref="J1856">IFERROR(
    _xlfn.XLOOKUP(G1856, 'Wedgewood Pharm-GA-Yr2-2025'!$E$55:$L$55,
        _xlfn.XLOOKUP('Rate Load'!H1856, 'Wedgewood Pharm-GA-Yr2-2025'!$D$56:$D$71,
            'Wedgewood Pharm-GA-Yr2-2025'!$E$56:$L$71, 0, 0),
        0, 0),
    _xlfn.XLOOKUP(G1856, 'Wedgewood Pharm-GA-Yr2-2025'!$E$55:$L$55,
        _xlfn.XLOOKUP('Rate Load'!L1856, 'Wedgewood Pharm-GA-Yr2-2025'!$D$56:$D$71,
            'Wedgewood Pharm-GA-Yr2-2025'!$E$56:$L$71, 0, 0),
        0, 0)
)</f>
        <v>4.18</v>
      </c>
      <c r="K1856" t="s">
        <v>46</v>
      </c>
      <c r="L1856" t="s">
        <v>13</v>
      </c>
      <c r="M1856">
        <v>2</v>
      </c>
      <c r="N1856" t="str">
        <f t="shared" si="28"/>
        <v>INSERT INTO TNL_RATING.dbo.usps_rate_master VALUES ('USPS', '2/13/2025', '2/13/2026', 12659, 'US', 'USPS Ground Advantage', 2, 8, 'O', 4.18, 'Wedgewood_USPS_2025', 'NonCubic','2');</v>
      </c>
    </row>
    <row r="1857" spans="1:14" x14ac:dyDescent="0.3">
      <c r="A1857" t="s">
        <v>11</v>
      </c>
      <c r="B1857" s="1" t="s">
        <v>43</v>
      </c>
      <c r="C1857" s="1" t="s">
        <v>44</v>
      </c>
      <c r="D1857">
        <v>12659</v>
      </c>
      <c r="E1857" t="s">
        <v>12</v>
      </c>
      <c r="F1857" t="s">
        <v>51</v>
      </c>
      <c r="G1857">
        <v>2</v>
      </c>
      <c r="H1857">
        <v>9</v>
      </c>
      <c r="I1857" t="s">
        <v>52</v>
      </c>
      <c r="J1857" cm="1">
        <f t="array" ref="J1857">IFERROR(
    _xlfn.XLOOKUP(G1857, 'Wedgewood Pharm-GA-Yr2-2025'!$E$55:$L$55,
        _xlfn.XLOOKUP('Rate Load'!H1857, 'Wedgewood Pharm-GA-Yr2-2025'!$D$56:$D$71,
            'Wedgewood Pharm-GA-Yr2-2025'!$E$56:$L$71, 0, 0),
        0, 0),
    _xlfn.XLOOKUP(G1857, 'Wedgewood Pharm-GA-Yr2-2025'!$E$55:$L$55,
        _xlfn.XLOOKUP('Rate Load'!L1857, 'Wedgewood Pharm-GA-Yr2-2025'!$D$56:$D$71,
            'Wedgewood Pharm-GA-Yr2-2025'!$E$56:$L$71, 0, 0),
        0, 0)
)</f>
        <v>4.6899999999999995</v>
      </c>
      <c r="K1857" t="s">
        <v>46</v>
      </c>
      <c r="L1857" t="s">
        <v>13</v>
      </c>
      <c r="M1857">
        <v>2</v>
      </c>
      <c r="N1857" t="str">
        <f t="shared" si="28"/>
        <v>INSERT INTO TNL_RATING.dbo.usps_rate_master VALUES ('USPS', '2/13/2025', '2/13/2026', 12659, 'US', 'USPS Ground Advantage', 2, 9, 'O', 4.69, 'Wedgewood_USPS_2025', 'NonCubic','2');</v>
      </c>
    </row>
    <row r="1858" spans="1:14" x14ac:dyDescent="0.3">
      <c r="A1858" t="s">
        <v>11</v>
      </c>
      <c r="B1858" s="1" t="s">
        <v>43</v>
      </c>
      <c r="C1858" s="1" t="s">
        <v>44</v>
      </c>
      <c r="D1858">
        <v>12659</v>
      </c>
      <c r="E1858" t="s">
        <v>12</v>
      </c>
      <c r="F1858" t="s">
        <v>51</v>
      </c>
      <c r="G1858">
        <v>2</v>
      </c>
      <c r="H1858">
        <v>10</v>
      </c>
      <c r="I1858" t="s">
        <v>52</v>
      </c>
      <c r="J1858" cm="1">
        <f t="array" ref="J1858">IFERROR(
    _xlfn.XLOOKUP(G1858, 'Wedgewood Pharm-GA-Yr2-2025'!$E$55:$L$55,
        _xlfn.XLOOKUP('Rate Load'!H1858, 'Wedgewood Pharm-GA-Yr2-2025'!$D$56:$D$71,
            'Wedgewood Pharm-GA-Yr2-2025'!$E$56:$L$71, 0, 0),
        0, 0),
    _xlfn.XLOOKUP(G1858, 'Wedgewood Pharm-GA-Yr2-2025'!$E$55:$L$55,
        _xlfn.XLOOKUP('Rate Load'!L1858, 'Wedgewood Pharm-GA-Yr2-2025'!$D$56:$D$71,
            'Wedgewood Pharm-GA-Yr2-2025'!$E$56:$L$71, 0, 0),
        0, 0)
)</f>
        <v>4.6899999999999995</v>
      </c>
      <c r="K1858" t="s">
        <v>46</v>
      </c>
      <c r="L1858" t="s">
        <v>13</v>
      </c>
      <c r="M1858">
        <v>2</v>
      </c>
      <c r="N1858" t="str">
        <f t="shared" si="28"/>
        <v>INSERT INTO TNL_RATING.dbo.usps_rate_master VALUES ('USPS', '2/13/2025', '2/13/2026', 12659, 'US', 'USPS Ground Advantage', 2, 10, 'O', 4.69, 'Wedgewood_USPS_2025', 'NonCubic','2');</v>
      </c>
    </row>
    <row r="1859" spans="1:14" x14ac:dyDescent="0.3">
      <c r="A1859" t="s">
        <v>11</v>
      </c>
      <c r="B1859" s="1" t="s">
        <v>43</v>
      </c>
      <c r="C1859" s="1" t="s">
        <v>44</v>
      </c>
      <c r="D1859">
        <v>12659</v>
      </c>
      <c r="E1859" t="s">
        <v>12</v>
      </c>
      <c r="F1859" t="s">
        <v>51</v>
      </c>
      <c r="G1859">
        <v>2</v>
      </c>
      <c r="H1859">
        <v>11</v>
      </c>
      <c r="I1859" t="s">
        <v>52</v>
      </c>
      <c r="J1859" cm="1">
        <f t="array" ref="J1859">IFERROR(
    _xlfn.XLOOKUP(G1859, 'Wedgewood Pharm-GA-Yr2-2025'!$E$55:$L$55,
        _xlfn.XLOOKUP('Rate Load'!H1859, 'Wedgewood Pharm-GA-Yr2-2025'!$D$56:$D$71,
            'Wedgewood Pharm-GA-Yr2-2025'!$E$56:$L$71, 0, 0),
        0, 0),
    _xlfn.XLOOKUP(G1859, 'Wedgewood Pharm-GA-Yr2-2025'!$E$55:$L$55,
        _xlfn.XLOOKUP('Rate Load'!L1859, 'Wedgewood Pharm-GA-Yr2-2025'!$D$56:$D$71,
            'Wedgewood Pharm-GA-Yr2-2025'!$E$56:$L$71, 0, 0),
        0, 0)
)</f>
        <v>4.6899999999999995</v>
      </c>
      <c r="K1859" t="s">
        <v>46</v>
      </c>
      <c r="L1859" t="s">
        <v>13</v>
      </c>
      <c r="M1859">
        <v>2</v>
      </c>
      <c r="N1859" t="str">
        <f t="shared" ref="N1859:N1922" si="29">"INSERT INTO TNL_RATING.dbo.usps_rate_master VALUES ('" &amp; A1859 &amp; "', '" &amp; B1859 &amp; "', '" &amp; C1859 &amp; "', " &amp; D1859 &amp; ", '" &amp; E1859 &amp; "', '" &amp; F1859 &amp; "', " &amp; G1859 &amp; ", " &amp; H1859 &amp; ", '" &amp; I1859 &amp; "', " &amp; J1859 &amp; ", '" &amp; K1859 &amp; "', '" &amp; L1859 &amp; "','" &amp; M1859 &amp; "');"</f>
        <v>INSERT INTO TNL_RATING.dbo.usps_rate_master VALUES ('USPS', '2/13/2025', '2/13/2026', 12659, 'US', 'USPS Ground Advantage', 2, 11, 'O', 4.69, 'Wedgewood_USPS_2025', 'NonCubic','2');</v>
      </c>
    </row>
    <row r="1860" spans="1:14" x14ac:dyDescent="0.3">
      <c r="A1860" t="s">
        <v>11</v>
      </c>
      <c r="B1860" s="1" t="s">
        <v>43</v>
      </c>
      <c r="C1860" s="1" t="s">
        <v>44</v>
      </c>
      <c r="D1860">
        <v>12659</v>
      </c>
      <c r="E1860" t="s">
        <v>12</v>
      </c>
      <c r="F1860" t="s">
        <v>51</v>
      </c>
      <c r="G1860">
        <v>2</v>
      </c>
      <c r="H1860">
        <v>12</v>
      </c>
      <c r="I1860" t="s">
        <v>52</v>
      </c>
      <c r="J1860" cm="1">
        <f t="array" ref="J1860">IFERROR(
    _xlfn.XLOOKUP(G1860, 'Wedgewood Pharm-GA-Yr2-2025'!$E$55:$L$55,
        _xlfn.XLOOKUP('Rate Load'!H1860, 'Wedgewood Pharm-GA-Yr2-2025'!$D$56:$D$71,
            'Wedgewood Pharm-GA-Yr2-2025'!$E$56:$L$71, 0, 0),
        0, 0),
    _xlfn.XLOOKUP(G1860, 'Wedgewood Pharm-GA-Yr2-2025'!$E$55:$L$55,
        _xlfn.XLOOKUP('Rate Load'!L1860, 'Wedgewood Pharm-GA-Yr2-2025'!$D$56:$D$71,
            'Wedgewood Pharm-GA-Yr2-2025'!$E$56:$L$71, 0, 0),
        0, 0)
)</f>
        <v>4.6899999999999995</v>
      </c>
      <c r="K1860" t="s">
        <v>46</v>
      </c>
      <c r="L1860" t="s">
        <v>13</v>
      </c>
      <c r="M1860">
        <v>2</v>
      </c>
      <c r="N1860" t="str">
        <f t="shared" si="29"/>
        <v>INSERT INTO TNL_RATING.dbo.usps_rate_master VALUES ('USPS', '2/13/2025', '2/13/2026', 12659, 'US', 'USPS Ground Advantage', 2, 12, 'O', 4.69, 'Wedgewood_USPS_2025', 'NonCubic','2');</v>
      </c>
    </row>
    <row r="1861" spans="1:14" x14ac:dyDescent="0.3">
      <c r="A1861" t="s">
        <v>11</v>
      </c>
      <c r="B1861" s="1" t="s">
        <v>43</v>
      </c>
      <c r="C1861" s="1" t="s">
        <v>44</v>
      </c>
      <c r="D1861">
        <v>12659</v>
      </c>
      <c r="E1861" t="s">
        <v>12</v>
      </c>
      <c r="F1861" t="s">
        <v>51</v>
      </c>
      <c r="G1861">
        <v>2</v>
      </c>
      <c r="H1861">
        <v>13</v>
      </c>
      <c r="I1861" t="s">
        <v>52</v>
      </c>
      <c r="J1861" cm="1">
        <f t="array" ref="J1861">IFERROR(
    _xlfn.XLOOKUP(G1861, 'Wedgewood Pharm-GA-Yr2-2025'!$E$55:$L$55,
        _xlfn.XLOOKUP('Rate Load'!H1861, 'Wedgewood Pharm-GA-Yr2-2025'!$D$56:$D$71,
            'Wedgewood Pharm-GA-Yr2-2025'!$E$56:$L$71, 0, 0),
        0, 0),
    _xlfn.XLOOKUP(G1861, 'Wedgewood Pharm-GA-Yr2-2025'!$E$55:$L$55,
        _xlfn.XLOOKUP('Rate Load'!L1861, 'Wedgewood Pharm-GA-Yr2-2025'!$D$56:$D$71,
            'Wedgewood Pharm-GA-Yr2-2025'!$E$56:$L$71, 0, 0),
        0, 0)
)</f>
        <v>5.2299999999999995</v>
      </c>
      <c r="K1861" t="s">
        <v>46</v>
      </c>
      <c r="L1861" t="s">
        <v>13</v>
      </c>
      <c r="M1861">
        <v>2</v>
      </c>
      <c r="N1861" t="str">
        <f t="shared" si="29"/>
        <v>INSERT INTO TNL_RATING.dbo.usps_rate_master VALUES ('USPS', '2/13/2025', '2/13/2026', 12659, 'US', 'USPS Ground Advantage', 2, 13, 'O', 5.23, 'Wedgewood_USPS_2025', 'NonCubic','2');</v>
      </c>
    </row>
    <row r="1862" spans="1:14" x14ac:dyDescent="0.3">
      <c r="A1862" t="s">
        <v>11</v>
      </c>
      <c r="B1862" s="1" t="s">
        <v>43</v>
      </c>
      <c r="C1862" s="1" t="s">
        <v>44</v>
      </c>
      <c r="D1862">
        <v>12659</v>
      </c>
      <c r="E1862" t="s">
        <v>12</v>
      </c>
      <c r="F1862" t="s">
        <v>51</v>
      </c>
      <c r="G1862">
        <v>2</v>
      </c>
      <c r="H1862">
        <v>14</v>
      </c>
      <c r="I1862" t="s">
        <v>52</v>
      </c>
      <c r="J1862" cm="1">
        <f t="array" ref="J1862">IFERROR(
    _xlfn.XLOOKUP(G1862, 'Wedgewood Pharm-GA-Yr2-2025'!$E$55:$L$55,
        _xlfn.XLOOKUP('Rate Load'!H1862, 'Wedgewood Pharm-GA-Yr2-2025'!$D$56:$D$71,
            'Wedgewood Pharm-GA-Yr2-2025'!$E$56:$L$71, 0, 0),
        0, 0),
    _xlfn.XLOOKUP(G1862, 'Wedgewood Pharm-GA-Yr2-2025'!$E$55:$L$55,
        _xlfn.XLOOKUP('Rate Load'!L1862, 'Wedgewood Pharm-GA-Yr2-2025'!$D$56:$D$71,
            'Wedgewood Pharm-GA-Yr2-2025'!$E$56:$L$71, 0, 0),
        0, 0)
)</f>
        <v>5.2299999999999995</v>
      </c>
      <c r="K1862" t="s">
        <v>46</v>
      </c>
      <c r="L1862" t="s">
        <v>13</v>
      </c>
      <c r="M1862">
        <v>2</v>
      </c>
      <c r="N1862" t="str">
        <f t="shared" si="29"/>
        <v>INSERT INTO TNL_RATING.dbo.usps_rate_master VALUES ('USPS', '2/13/2025', '2/13/2026', 12659, 'US', 'USPS Ground Advantage', 2, 14, 'O', 5.23, 'Wedgewood_USPS_2025', 'NonCubic','2');</v>
      </c>
    </row>
    <row r="1863" spans="1:14" x14ac:dyDescent="0.3">
      <c r="A1863" t="s">
        <v>11</v>
      </c>
      <c r="B1863" s="1" t="s">
        <v>43</v>
      </c>
      <c r="C1863" s="1" t="s">
        <v>44</v>
      </c>
      <c r="D1863">
        <v>12659</v>
      </c>
      <c r="E1863" t="s">
        <v>12</v>
      </c>
      <c r="F1863" t="s">
        <v>51</v>
      </c>
      <c r="G1863">
        <v>2</v>
      </c>
      <c r="H1863">
        <v>15</v>
      </c>
      <c r="I1863" t="s">
        <v>52</v>
      </c>
      <c r="J1863" cm="1">
        <f t="array" ref="J1863">IFERROR(
    _xlfn.XLOOKUP(G1863, 'Wedgewood Pharm-GA-Yr2-2025'!$E$55:$L$55,
        _xlfn.XLOOKUP('Rate Load'!H1863, 'Wedgewood Pharm-GA-Yr2-2025'!$D$56:$D$71,
            'Wedgewood Pharm-GA-Yr2-2025'!$E$56:$L$71, 0, 0),
        0, 0),
    _xlfn.XLOOKUP(G1863, 'Wedgewood Pharm-GA-Yr2-2025'!$E$55:$L$55,
        _xlfn.XLOOKUP('Rate Load'!L1863, 'Wedgewood Pharm-GA-Yr2-2025'!$D$56:$D$71,
            'Wedgewood Pharm-GA-Yr2-2025'!$E$56:$L$71, 0, 0),
        0, 0)
)</f>
        <v>5.2299999999999995</v>
      </c>
      <c r="K1863" t="s">
        <v>46</v>
      </c>
      <c r="L1863" t="s">
        <v>13</v>
      </c>
      <c r="M1863">
        <v>2</v>
      </c>
      <c r="N1863" t="str">
        <f t="shared" si="29"/>
        <v>INSERT INTO TNL_RATING.dbo.usps_rate_master VALUES ('USPS', '2/13/2025', '2/13/2026', 12659, 'US', 'USPS Ground Advantage', 2, 15, 'O', 5.23, 'Wedgewood_USPS_2025', 'NonCubic','2');</v>
      </c>
    </row>
    <row r="1864" spans="1:14" x14ac:dyDescent="0.3">
      <c r="A1864" t="s">
        <v>11</v>
      </c>
      <c r="B1864" s="1" t="s">
        <v>43</v>
      </c>
      <c r="C1864" s="1" t="s">
        <v>44</v>
      </c>
      <c r="D1864">
        <v>12659</v>
      </c>
      <c r="E1864" t="s">
        <v>12</v>
      </c>
      <c r="F1864" t="s">
        <v>51</v>
      </c>
      <c r="G1864">
        <v>2</v>
      </c>
      <c r="H1864">
        <v>15.999000000000001</v>
      </c>
      <c r="I1864" t="s">
        <v>52</v>
      </c>
      <c r="J1864" cm="1">
        <f t="array" ref="J1864">IFERROR(
    _xlfn.XLOOKUP(G1864, 'Wedgewood Pharm-GA-Yr2-2025'!$E$55:$L$55,
        _xlfn.XLOOKUP('Rate Load'!H1864, 'Wedgewood Pharm-GA-Yr2-2025'!$D$56:$D$71,
            'Wedgewood Pharm-GA-Yr2-2025'!$E$56:$L$71, 0, 0),
        0, 0),
    _xlfn.XLOOKUP(G1864, 'Wedgewood Pharm-GA-Yr2-2025'!$E$55:$L$55,
        _xlfn.XLOOKUP('Rate Load'!L1864, 'Wedgewood Pharm-GA-Yr2-2025'!$D$56:$D$71,
            'Wedgewood Pharm-GA-Yr2-2025'!$E$56:$L$71, 0, 0),
        0, 0)
)</f>
        <v>5.2299999999999995</v>
      </c>
      <c r="K1864" t="s">
        <v>46</v>
      </c>
      <c r="L1864" t="s">
        <v>13</v>
      </c>
      <c r="M1864">
        <v>2</v>
      </c>
      <c r="N1864" t="str">
        <f t="shared" si="29"/>
        <v>INSERT INTO TNL_RATING.dbo.usps_rate_master VALUES ('USPS', '2/13/2025', '2/13/2026', 12659, 'US', 'USPS Ground Advantage', 2, 15.999, 'O', 5.23, 'Wedgewood_USPS_2025', 'NonCubic','2');</v>
      </c>
    </row>
    <row r="1865" spans="1:14" x14ac:dyDescent="0.3">
      <c r="A1865" t="s">
        <v>11</v>
      </c>
      <c r="B1865" s="1" t="s">
        <v>43</v>
      </c>
      <c r="C1865" s="1" t="s">
        <v>44</v>
      </c>
      <c r="D1865">
        <v>12659</v>
      </c>
      <c r="E1865" t="s">
        <v>12</v>
      </c>
      <c r="F1865" t="s">
        <v>51</v>
      </c>
      <c r="G1865">
        <v>3</v>
      </c>
      <c r="H1865">
        <v>1</v>
      </c>
      <c r="I1865" t="s">
        <v>52</v>
      </c>
      <c r="J1865" cm="1">
        <f t="array" ref="J1865">IFERROR(
    _xlfn.XLOOKUP(G1865, 'Wedgewood Pharm-GA-Yr2-2025'!$E$55:$L$55,
        _xlfn.XLOOKUP('Rate Load'!H1865, 'Wedgewood Pharm-GA-Yr2-2025'!$D$56:$D$71,
            'Wedgewood Pharm-GA-Yr2-2025'!$E$56:$L$71, 0, 0),
        0, 0),
    _xlfn.XLOOKUP(G1865, 'Wedgewood Pharm-GA-Yr2-2025'!$E$55:$L$55,
        _xlfn.XLOOKUP('Rate Load'!L1865, 'Wedgewood Pharm-GA-Yr2-2025'!$D$56:$D$71,
            'Wedgewood Pharm-GA-Yr2-2025'!$E$56:$L$71, 0, 0),
        0, 0)
)</f>
        <v>3.3099999999999996</v>
      </c>
      <c r="K1865" t="s">
        <v>46</v>
      </c>
      <c r="L1865" t="s">
        <v>13</v>
      </c>
      <c r="M1865">
        <v>2</v>
      </c>
      <c r="N1865" t="str">
        <f t="shared" si="29"/>
        <v>INSERT INTO TNL_RATING.dbo.usps_rate_master VALUES ('USPS', '2/13/2025', '2/13/2026', 12659, 'US', 'USPS Ground Advantage', 3, 1, 'O', 3.31, 'Wedgewood_USPS_2025', 'NonCubic','2');</v>
      </c>
    </row>
    <row r="1866" spans="1:14" x14ac:dyDescent="0.3">
      <c r="A1866" t="s">
        <v>11</v>
      </c>
      <c r="B1866" s="1" t="s">
        <v>43</v>
      </c>
      <c r="C1866" s="1" t="s">
        <v>44</v>
      </c>
      <c r="D1866">
        <v>12659</v>
      </c>
      <c r="E1866" t="s">
        <v>12</v>
      </c>
      <c r="F1866" t="s">
        <v>51</v>
      </c>
      <c r="G1866">
        <v>3</v>
      </c>
      <c r="H1866">
        <v>2</v>
      </c>
      <c r="I1866" t="s">
        <v>52</v>
      </c>
      <c r="J1866" cm="1">
        <f t="array" ref="J1866">IFERROR(
    _xlfn.XLOOKUP(G1866, 'Wedgewood Pharm-GA-Yr2-2025'!$E$55:$L$55,
        _xlfn.XLOOKUP('Rate Load'!H1866, 'Wedgewood Pharm-GA-Yr2-2025'!$D$56:$D$71,
            'Wedgewood Pharm-GA-Yr2-2025'!$E$56:$L$71, 0, 0),
        0, 0),
    _xlfn.XLOOKUP(G1866, 'Wedgewood Pharm-GA-Yr2-2025'!$E$55:$L$55,
        _xlfn.XLOOKUP('Rate Load'!L1866, 'Wedgewood Pharm-GA-Yr2-2025'!$D$56:$D$71,
            'Wedgewood Pharm-GA-Yr2-2025'!$E$56:$L$71, 0, 0),
        0, 0)
)</f>
        <v>3.3099999999999996</v>
      </c>
      <c r="K1866" t="s">
        <v>46</v>
      </c>
      <c r="L1866" t="s">
        <v>13</v>
      </c>
      <c r="M1866">
        <v>2</v>
      </c>
      <c r="N1866" t="str">
        <f t="shared" si="29"/>
        <v>INSERT INTO TNL_RATING.dbo.usps_rate_master VALUES ('USPS', '2/13/2025', '2/13/2026', 12659, 'US', 'USPS Ground Advantage', 3, 2, 'O', 3.31, 'Wedgewood_USPS_2025', 'NonCubic','2');</v>
      </c>
    </row>
    <row r="1867" spans="1:14" x14ac:dyDescent="0.3">
      <c r="A1867" t="s">
        <v>11</v>
      </c>
      <c r="B1867" s="1" t="s">
        <v>43</v>
      </c>
      <c r="C1867" s="1" t="s">
        <v>44</v>
      </c>
      <c r="D1867">
        <v>12659</v>
      </c>
      <c r="E1867" t="s">
        <v>12</v>
      </c>
      <c r="F1867" t="s">
        <v>51</v>
      </c>
      <c r="G1867">
        <v>3</v>
      </c>
      <c r="H1867">
        <v>3</v>
      </c>
      <c r="I1867" t="s">
        <v>52</v>
      </c>
      <c r="J1867" cm="1">
        <f t="array" ref="J1867">IFERROR(
    _xlfn.XLOOKUP(G1867, 'Wedgewood Pharm-GA-Yr2-2025'!$E$55:$L$55,
        _xlfn.XLOOKUP('Rate Load'!H1867, 'Wedgewood Pharm-GA-Yr2-2025'!$D$56:$D$71,
            'Wedgewood Pharm-GA-Yr2-2025'!$E$56:$L$71, 0, 0),
        0, 0),
    _xlfn.XLOOKUP(G1867, 'Wedgewood Pharm-GA-Yr2-2025'!$E$55:$L$55,
        _xlfn.XLOOKUP('Rate Load'!L1867, 'Wedgewood Pharm-GA-Yr2-2025'!$D$56:$D$71,
            'Wedgewood Pharm-GA-Yr2-2025'!$E$56:$L$71, 0, 0),
        0, 0)
)</f>
        <v>3.3099999999999996</v>
      </c>
      <c r="K1867" t="s">
        <v>46</v>
      </c>
      <c r="L1867" t="s">
        <v>13</v>
      </c>
      <c r="M1867">
        <v>2</v>
      </c>
      <c r="N1867" t="str">
        <f t="shared" si="29"/>
        <v>INSERT INTO TNL_RATING.dbo.usps_rate_master VALUES ('USPS', '2/13/2025', '2/13/2026', 12659, 'US', 'USPS Ground Advantage', 3, 3, 'O', 3.31, 'Wedgewood_USPS_2025', 'NonCubic','2');</v>
      </c>
    </row>
    <row r="1868" spans="1:14" x14ac:dyDescent="0.3">
      <c r="A1868" t="s">
        <v>11</v>
      </c>
      <c r="B1868" s="1" t="s">
        <v>43</v>
      </c>
      <c r="C1868" s="1" t="s">
        <v>44</v>
      </c>
      <c r="D1868">
        <v>12659</v>
      </c>
      <c r="E1868" t="s">
        <v>12</v>
      </c>
      <c r="F1868" t="s">
        <v>51</v>
      </c>
      <c r="G1868">
        <v>3</v>
      </c>
      <c r="H1868">
        <v>4</v>
      </c>
      <c r="I1868" t="s">
        <v>52</v>
      </c>
      <c r="J1868" cm="1">
        <f t="array" ref="J1868">IFERROR(
    _xlfn.XLOOKUP(G1868, 'Wedgewood Pharm-GA-Yr2-2025'!$E$55:$L$55,
        _xlfn.XLOOKUP('Rate Load'!H1868, 'Wedgewood Pharm-GA-Yr2-2025'!$D$56:$D$71,
            'Wedgewood Pharm-GA-Yr2-2025'!$E$56:$L$71, 0, 0),
        0, 0),
    _xlfn.XLOOKUP(G1868, 'Wedgewood Pharm-GA-Yr2-2025'!$E$55:$L$55,
        _xlfn.XLOOKUP('Rate Load'!L1868, 'Wedgewood Pharm-GA-Yr2-2025'!$D$56:$D$71,
            'Wedgewood Pharm-GA-Yr2-2025'!$E$56:$L$71, 0, 0),
        0, 0)
)</f>
        <v>3.3099999999999996</v>
      </c>
      <c r="K1868" t="s">
        <v>46</v>
      </c>
      <c r="L1868" t="s">
        <v>13</v>
      </c>
      <c r="M1868">
        <v>2</v>
      </c>
      <c r="N1868" t="str">
        <f t="shared" si="29"/>
        <v>INSERT INTO TNL_RATING.dbo.usps_rate_master VALUES ('USPS', '2/13/2025', '2/13/2026', 12659, 'US', 'USPS Ground Advantage', 3, 4, 'O', 3.31, 'Wedgewood_USPS_2025', 'NonCubic','2');</v>
      </c>
    </row>
    <row r="1869" spans="1:14" x14ac:dyDescent="0.3">
      <c r="A1869" t="s">
        <v>11</v>
      </c>
      <c r="B1869" s="1" t="s">
        <v>43</v>
      </c>
      <c r="C1869" s="1" t="s">
        <v>44</v>
      </c>
      <c r="D1869">
        <v>12659</v>
      </c>
      <c r="E1869" t="s">
        <v>12</v>
      </c>
      <c r="F1869" t="s">
        <v>51</v>
      </c>
      <c r="G1869">
        <v>3</v>
      </c>
      <c r="H1869">
        <v>5</v>
      </c>
      <c r="I1869" t="s">
        <v>52</v>
      </c>
      <c r="J1869" cm="1">
        <f t="array" ref="J1869">IFERROR(
    _xlfn.XLOOKUP(G1869, 'Wedgewood Pharm-GA-Yr2-2025'!$E$55:$L$55,
        _xlfn.XLOOKUP('Rate Load'!H1869, 'Wedgewood Pharm-GA-Yr2-2025'!$D$56:$D$71,
            'Wedgewood Pharm-GA-Yr2-2025'!$E$56:$L$71, 0, 0),
        0, 0),
    _xlfn.XLOOKUP(G1869, 'Wedgewood Pharm-GA-Yr2-2025'!$E$55:$L$55,
        _xlfn.XLOOKUP('Rate Load'!L1869, 'Wedgewood Pharm-GA-Yr2-2025'!$D$56:$D$71,
            'Wedgewood Pharm-GA-Yr2-2025'!$E$56:$L$71, 0, 0),
        0, 0)
)</f>
        <v>4.22</v>
      </c>
      <c r="K1869" t="s">
        <v>46</v>
      </c>
      <c r="L1869" t="s">
        <v>13</v>
      </c>
      <c r="M1869">
        <v>2</v>
      </c>
      <c r="N1869" t="str">
        <f t="shared" si="29"/>
        <v>INSERT INTO TNL_RATING.dbo.usps_rate_master VALUES ('USPS', '2/13/2025', '2/13/2026', 12659, 'US', 'USPS Ground Advantage', 3, 5, 'O', 4.22, 'Wedgewood_USPS_2025', 'NonCubic','2');</v>
      </c>
    </row>
    <row r="1870" spans="1:14" x14ac:dyDescent="0.3">
      <c r="A1870" t="s">
        <v>11</v>
      </c>
      <c r="B1870" s="1" t="s">
        <v>43</v>
      </c>
      <c r="C1870" s="1" t="s">
        <v>44</v>
      </c>
      <c r="D1870">
        <v>12659</v>
      </c>
      <c r="E1870" t="s">
        <v>12</v>
      </c>
      <c r="F1870" t="s">
        <v>51</v>
      </c>
      <c r="G1870">
        <v>3</v>
      </c>
      <c r="H1870">
        <v>6</v>
      </c>
      <c r="I1870" t="s">
        <v>52</v>
      </c>
      <c r="J1870" cm="1">
        <f t="array" ref="J1870">IFERROR(
    _xlfn.XLOOKUP(G1870, 'Wedgewood Pharm-GA-Yr2-2025'!$E$55:$L$55,
        _xlfn.XLOOKUP('Rate Load'!H1870, 'Wedgewood Pharm-GA-Yr2-2025'!$D$56:$D$71,
            'Wedgewood Pharm-GA-Yr2-2025'!$E$56:$L$71, 0, 0),
        0, 0),
    _xlfn.XLOOKUP(G1870, 'Wedgewood Pharm-GA-Yr2-2025'!$E$55:$L$55,
        _xlfn.XLOOKUP('Rate Load'!L1870, 'Wedgewood Pharm-GA-Yr2-2025'!$D$56:$D$71,
            'Wedgewood Pharm-GA-Yr2-2025'!$E$56:$L$71, 0, 0),
        0, 0)
)</f>
        <v>4.22</v>
      </c>
      <c r="K1870" t="s">
        <v>46</v>
      </c>
      <c r="L1870" t="s">
        <v>13</v>
      </c>
      <c r="M1870">
        <v>2</v>
      </c>
      <c r="N1870" t="str">
        <f t="shared" si="29"/>
        <v>INSERT INTO TNL_RATING.dbo.usps_rate_master VALUES ('USPS', '2/13/2025', '2/13/2026', 12659, 'US', 'USPS Ground Advantage', 3, 6, 'O', 4.22, 'Wedgewood_USPS_2025', 'NonCubic','2');</v>
      </c>
    </row>
    <row r="1871" spans="1:14" x14ac:dyDescent="0.3">
      <c r="A1871" t="s">
        <v>11</v>
      </c>
      <c r="B1871" s="1" t="s">
        <v>43</v>
      </c>
      <c r="C1871" s="1" t="s">
        <v>44</v>
      </c>
      <c r="D1871">
        <v>12659</v>
      </c>
      <c r="E1871" t="s">
        <v>12</v>
      </c>
      <c r="F1871" t="s">
        <v>51</v>
      </c>
      <c r="G1871">
        <v>3</v>
      </c>
      <c r="H1871">
        <v>7</v>
      </c>
      <c r="I1871" t="s">
        <v>52</v>
      </c>
      <c r="J1871" cm="1">
        <f t="array" ref="J1871">IFERROR(
    _xlfn.XLOOKUP(G1871, 'Wedgewood Pharm-GA-Yr2-2025'!$E$55:$L$55,
        _xlfn.XLOOKUP('Rate Load'!H1871, 'Wedgewood Pharm-GA-Yr2-2025'!$D$56:$D$71,
            'Wedgewood Pharm-GA-Yr2-2025'!$E$56:$L$71, 0, 0),
        0, 0),
    _xlfn.XLOOKUP(G1871, 'Wedgewood Pharm-GA-Yr2-2025'!$E$55:$L$55,
        _xlfn.XLOOKUP('Rate Load'!L1871, 'Wedgewood Pharm-GA-Yr2-2025'!$D$56:$D$71,
            'Wedgewood Pharm-GA-Yr2-2025'!$E$56:$L$71, 0, 0),
        0, 0)
)</f>
        <v>4.22</v>
      </c>
      <c r="K1871" t="s">
        <v>46</v>
      </c>
      <c r="L1871" t="s">
        <v>13</v>
      </c>
      <c r="M1871">
        <v>2</v>
      </c>
      <c r="N1871" t="str">
        <f t="shared" si="29"/>
        <v>INSERT INTO TNL_RATING.dbo.usps_rate_master VALUES ('USPS', '2/13/2025', '2/13/2026', 12659, 'US', 'USPS Ground Advantage', 3, 7, 'O', 4.22, 'Wedgewood_USPS_2025', 'NonCubic','2');</v>
      </c>
    </row>
    <row r="1872" spans="1:14" x14ac:dyDescent="0.3">
      <c r="A1872" t="s">
        <v>11</v>
      </c>
      <c r="B1872" s="1" t="s">
        <v>43</v>
      </c>
      <c r="C1872" s="1" t="s">
        <v>44</v>
      </c>
      <c r="D1872">
        <v>12659</v>
      </c>
      <c r="E1872" t="s">
        <v>12</v>
      </c>
      <c r="F1872" t="s">
        <v>51</v>
      </c>
      <c r="G1872">
        <v>3</v>
      </c>
      <c r="H1872">
        <v>8</v>
      </c>
      <c r="I1872" t="s">
        <v>52</v>
      </c>
      <c r="J1872" cm="1">
        <f t="array" ref="J1872">IFERROR(
    _xlfn.XLOOKUP(G1872, 'Wedgewood Pharm-GA-Yr2-2025'!$E$55:$L$55,
        _xlfn.XLOOKUP('Rate Load'!H1872, 'Wedgewood Pharm-GA-Yr2-2025'!$D$56:$D$71,
            'Wedgewood Pharm-GA-Yr2-2025'!$E$56:$L$71, 0, 0),
        0, 0),
    _xlfn.XLOOKUP(G1872, 'Wedgewood Pharm-GA-Yr2-2025'!$E$55:$L$55,
        _xlfn.XLOOKUP('Rate Load'!L1872, 'Wedgewood Pharm-GA-Yr2-2025'!$D$56:$D$71,
            'Wedgewood Pharm-GA-Yr2-2025'!$E$56:$L$71, 0, 0),
        0, 0)
)</f>
        <v>4.22</v>
      </c>
      <c r="K1872" t="s">
        <v>46</v>
      </c>
      <c r="L1872" t="s">
        <v>13</v>
      </c>
      <c r="M1872">
        <v>2</v>
      </c>
      <c r="N1872" t="str">
        <f t="shared" si="29"/>
        <v>INSERT INTO TNL_RATING.dbo.usps_rate_master VALUES ('USPS', '2/13/2025', '2/13/2026', 12659, 'US', 'USPS Ground Advantage', 3, 8, 'O', 4.22, 'Wedgewood_USPS_2025', 'NonCubic','2');</v>
      </c>
    </row>
    <row r="1873" spans="1:14" x14ac:dyDescent="0.3">
      <c r="A1873" t="s">
        <v>11</v>
      </c>
      <c r="B1873" s="1" t="s">
        <v>43</v>
      </c>
      <c r="C1873" s="1" t="s">
        <v>44</v>
      </c>
      <c r="D1873">
        <v>12659</v>
      </c>
      <c r="E1873" t="s">
        <v>12</v>
      </c>
      <c r="F1873" t="s">
        <v>51</v>
      </c>
      <c r="G1873">
        <v>3</v>
      </c>
      <c r="H1873">
        <v>9</v>
      </c>
      <c r="I1873" t="s">
        <v>52</v>
      </c>
      <c r="J1873" cm="1">
        <f t="array" ref="J1873">IFERROR(
    _xlfn.XLOOKUP(G1873, 'Wedgewood Pharm-GA-Yr2-2025'!$E$55:$L$55,
        _xlfn.XLOOKUP('Rate Load'!H1873, 'Wedgewood Pharm-GA-Yr2-2025'!$D$56:$D$71,
            'Wedgewood Pharm-GA-Yr2-2025'!$E$56:$L$71, 0, 0),
        0, 0),
    _xlfn.XLOOKUP(G1873, 'Wedgewood Pharm-GA-Yr2-2025'!$E$55:$L$55,
        _xlfn.XLOOKUP('Rate Load'!L1873, 'Wedgewood Pharm-GA-Yr2-2025'!$D$56:$D$71,
            'Wedgewood Pharm-GA-Yr2-2025'!$E$56:$L$71, 0, 0),
        0, 0)
)</f>
        <v>4.74</v>
      </c>
      <c r="K1873" t="s">
        <v>46</v>
      </c>
      <c r="L1873" t="s">
        <v>13</v>
      </c>
      <c r="M1873">
        <v>2</v>
      </c>
      <c r="N1873" t="str">
        <f t="shared" si="29"/>
        <v>INSERT INTO TNL_RATING.dbo.usps_rate_master VALUES ('USPS', '2/13/2025', '2/13/2026', 12659, 'US', 'USPS Ground Advantage', 3, 9, 'O', 4.74, 'Wedgewood_USPS_2025', 'NonCubic','2');</v>
      </c>
    </row>
    <row r="1874" spans="1:14" x14ac:dyDescent="0.3">
      <c r="A1874" t="s">
        <v>11</v>
      </c>
      <c r="B1874" s="1" t="s">
        <v>43</v>
      </c>
      <c r="C1874" s="1" t="s">
        <v>44</v>
      </c>
      <c r="D1874">
        <v>12659</v>
      </c>
      <c r="E1874" t="s">
        <v>12</v>
      </c>
      <c r="F1874" t="s">
        <v>51</v>
      </c>
      <c r="G1874">
        <v>3</v>
      </c>
      <c r="H1874">
        <v>10</v>
      </c>
      <c r="I1874" t="s">
        <v>52</v>
      </c>
      <c r="J1874" cm="1">
        <f t="array" ref="J1874">IFERROR(
    _xlfn.XLOOKUP(G1874, 'Wedgewood Pharm-GA-Yr2-2025'!$E$55:$L$55,
        _xlfn.XLOOKUP('Rate Load'!H1874, 'Wedgewood Pharm-GA-Yr2-2025'!$D$56:$D$71,
            'Wedgewood Pharm-GA-Yr2-2025'!$E$56:$L$71, 0, 0),
        0, 0),
    _xlfn.XLOOKUP(G1874, 'Wedgewood Pharm-GA-Yr2-2025'!$E$55:$L$55,
        _xlfn.XLOOKUP('Rate Load'!L1874, 'Wedgewood Pharm-GA-Yr2-2025'!$D$56:$D$71,
            'Wedgewood Pharm-GA-Yr2-2025'!$E$56:$L$71, 0, 0),
        0, 0)
)</f>
        <v>4.74</v>
      </c>
      <c r="K1874" t="s">
        <v>46</v>
      </c>
      <c r="L1874" t="s">
        <v>13</v>
      </c>
      <c r="M1874">
        <v>2</v>
      </c>
      <c r="N1874" t="str">
        <f t="shared" si="29"/>
        <v>INSERT INTO TNL_RATING.dbo.usps_rate_master VALUES ('USPS', '2/13/2025', '2/13/2026', 12659, 'US', 'USPS Ground Advantage', 3, 10, 'O', 4.74, 'Wedgewood_USPS_2025', 'NonCubic','2');</v>
      </c>
    </row>
    <row r="1875" spans="1:14" x14ac:dyDescent="0.3">
      <c r="A1875" t="s">
        <v>11</v>
      </c>
      <c r="B1875" s="1" t="s">
        <v>43</v>
      </c>
      <c r="C1875" s="1" t="s">
        <v>44</v>
      </c>
      <c r="D1875">
        <v>12659</v>
      </c>
      <c r="E1875" t="s">
        <v>12</v>
      </c>
      <c r="F1875" t="s">
        <v>51</v>
      </c>
      <c r="G1875">
        <v>3</v>
      </c>
      <c r="H1875">
        <v>11</v>
      </c>
      <c r="I1875" t="s">
        <v>52</v>
      </c>
      <c r="J1875" cm="1">
        <f t="array" ref="J1875">IFERROR(
    _xlfn.XLOOKUP(G1875, 'Wedgewood Pharm-GA-Yr2-2025'!$E$55:$L$55,
        _xlfn.XLOOKUP('Rate Load'!H1875, 'Wedgewood Pharm-GA-Yr2-2025'!$D$56:$D$71,
            'Wedgewood Pharm-GA-Yr2-2025'!$E$56:$L$71, 0, 0),
        0, 0),
    _xlfn.XLOOKUP(G1875, 'Wedgewood Pharm-GA-Yr2-2025'!$E$55:$L$55,
        _xlfn.XLOOKUP('Rate Load'!L1875, 'Wedgewood Pharm-GA-Yr2-2025'!$D$56:$D$71,
            'Wedgewood Pharm-GA-Yr2-2025'!$E$56:$L$71, 0, 0),
        0, 0)
)</f>
        <v>4.74</v>
      </c>
      <c r="K1875" t="s">
        <v>46</v>
      </c>
      <c r="L1875" t="s">
        <v>13</v>
      </c>
      <c r="M1875">
        <v>2</v>
      </c>
      <c r="N1875" t="str">
        <f t="shared" si="29"/>
        <v>INSERT INTO TNL_RATING.dbo.usps_rate_master VALUES ('USPS', '2/13/2025', '2/13/2026', 12659, 'US', 'USPS Ground Advantage', 3, 11, 'O', 4.74, 'Wedgewood_USPS_2025', 'NonCubic','2');</v>
      </c>
    </row>
    <row r="1876" spans="1:14" x14ac:dyDescent="0.3">
      <c r="A1876" t="s">
        <v>11</v>
      </c>
      <c r="B1876" s="1" t="s">
        <v>43</v>
      </c>
      <c r="C1876" s="1" t="s">
        <v>44</v>
      </c>
      <c r="D1876">
        <v>12659</v>
      </c>
      <c r="E1876" t="s">
        <v>12</v>
      </c>
      <c r="F1876" t="s">
        <v>51</v>
      </c>
      <c r="G1876">
        <v>3</v>
      </c>
      <c r="H1876">
        <v>12</v>
      </c>
      <c r="I1876" t="s">
        <v>52</v>
      </c>
      <c r="J1876" cm="1">
        <f t="array" ref="J1876">IFERROR(
    _xlfn.XLOOKUP(G1876, 'Wedgewood Pharm-GA-Yr2-2025'!$E$55:$L$55,
        _xlfn.XLOOKUP('Rate Load'!H1876, 'Wedgewood Pharm-GA-Yr2-2025'!$D$56:$D$71,
            'Wedgewood Pharm-GA-Yr2-2025'!$E$56:$L$71, 0, 0),
        0, 0),
    _xlfn.XLOOKUP(G1876, 'Wedgewood Pharm-GA-Yr2-2025'!$E$55:$L$55,
        _xlfn.XLOOKUP('Rate Load'!L1876, 'Wedgewood Pharm-GA-Yr2-2025'!$D$56:$D$71,
            'Wedgewood Pharm-GA-Yr2-2025'!$E$56:$L$71, 0, 0),
        0, 0)
)</f>
        <v>4.74</v>
      </c>
      <c r="K1876" t="s">
        <v>46</v>
      </c>
      <c r="L1876" t="s">
        <v>13</v>
      </c>
      <c r="M1876">
        <v>2</v>
      </c>
      <c r="N1876" t="str">
        <f t="shared" si="29"/>
        <v>INSERT INTO TNL_RATING.dbo.usps_rate_master VALUES ('USPS', '2/13/2025', '2/13/2026', 12659, 'US', 'USPS Ground Advantage', 3, 12, 'O', 4.74, 'Wedgewood_USPS_2025', 'NonCubic','2');</v>
      </c>
    </row>
    <row r="1877" spans="1:14" x14ac:dyDescent="0.3">
      <c r="A1877" t="s">
        <v>11</v>
      </c>
      <c r="B1877" s="1" t="s">
        <v>43</v>
      </c>
      <c r="C1877" s="1" t="s">
        <v>44</v>
      </c>
      <c r="D1877">
        <v>12659</v>
      </c>
      <c r="E1877" t="s">
        <v>12</v>
      </c>
      <c r="F1877" t="s">
        <v>51</v>
      </c>
      <c r="G1877">
        <v>3</v>
      </c>
      <c r="H1877">
        <v>13</v>
      </c>
      <c r="I1877" t="s">
        <v>52</v>
      </c>
      <c r="J1877" cm="1">
        <f t="array" ref="J1877">IFERROR(
    _xlfn.XLOOKUP(G1877, 'Wedgewood Pharm-GA-Yr2-2025'!$E$55:$L$55,
        _xlfn.XLOOKUP('Rate Load'!H1877, 'Wedgewood Pharm-GA-Yr2-2025'!$D$56:$D$71,
            'Wedgewood Pharm-GA-Yr2-2025'!$E$56:$L$71, 0, 0),
        0, 0),
    _xlfn.XLOOKUP(G1877, 'Wedgewood Pharm-GA-Yr2-2025'!$E$55:$L$55,
        _xlfn.XLOOKUP('Rate Load'!L1877, 'Wedgewood Pharm-GA-Yr2-2025'!$D$56:$D$71,
            'Wedgewood Pharm-GA-Yr2-2025'!$E$56:$L$71, 0, 0),
        0, 0)
)</f>
        <v>5.29</v>
      </c>
      <c r="K1877" t="s">
        <v>46</v>
      </c>
      <c r="L1877" t="s">
        <v>13</v>
      </c>
      <c r="M1877">
        <v>2</v>
      </c>
      <c r="N1877" t="str">
        <f t="shared" si="29"/>
        <v>INSERT INTO TNL_RATING.dbo.usps_rate_master VALUES ('USPS', '2/13/2025', '2/13/2026', 12659, 'US', 'USPS Ground Advantage', 3, 13, 'O', 5.29, 'Wedgewood_USPS_2025', 'NonCubic','2');</v>
      </c>
    </row>
    <row r="1878" spans="1:14" x14ac:dyDescent="0.3">
      <c r="A1878" t="s">
        <v>11</v>
      </c>
      <c r="B1878" s="1" t="s">
        <v>43</v>
      </c>
      <c r="C1878" s="1" t="s">
        <v>44</v>
      </c>
      <c r="D1878">
        <v>12659</v>
      </c>
      <c r="E1878" t="s">
        <v>12</v>
      </c>
      <c r="F1878" t="s">
        <v>51</v>
      </c>
      <c r="G1878">
        <v>3</v>
      </c>
      <c r="H1878">
        <v>14</v>
      </c>
      <c r="I1878" t="s">
        <v>52</v>
      </c>
      <c r="J1878" cm="1">
        <f t="array" ref="J1878">IFERROR(
    _xlfn.XLOOKUP(G1878, 'Wedgewood Pharm-GA-Yr2-2025'!$E$55:$L$55,
        _xlfn.XLOOKUP('Rate Load'!H1878, 'Wedgewood Pharm-GA-Yr2-2025'!$D$56:$D$71,
            'Wedgewood Pharm-GA-Yr2-2025'!$E$56:$L$71, 0, 0),
        0, 0),
    _xlfn.XLOOKUP(G1878, 'Wedgewood Pharm-GA-Yr2-2025'!$E$55:$L$55,
        _xlfn.XLOOKUP('Rate Load'!L1878, 'Wedgewood Pharm-GA-Yr2-2025'!$D$56:$D$71,
            'Wedgewood Pharm-GA-Yr2-2025'!$E$56:$L$71, 0, 0),
        0, 0)
)</f>
        <v>5.29</v>
      </c>
      <c r="K1878" t="s">
        <v>46</v>
      </c>
      <c r="L1878" t="s">
        <v>13</v>
      </c>
      <c r="M1878">
        <v>2</v>
      </c>
      <c r="N1878" t="str">
        <f t="shared" si="29"/>
        <v>INSERT INTO TNL_RATING.dbo.usps_rate_master VALUES ('USPS', '2/13/2025', '2/13/2026', 12659, 'US', 'USPS Ground Advantage', 3, 14, 'O', 5.29, 'Wedgewood_USPS_2025', 'NonCubic','2');</v>
      </c>
    </row>
    <row r="1879" spans="1:14" x14ac:dyDescent="0.3">
      <c r="A1879" t="s">
        <v>11</v>
      </c>
      <c r="B1879" s="1" t="s">
        <v>43</v>
      </c>
      <c r="C1879" s="1" t="s">
        <v>44</v>
      </c>
      <c r="D1879">
        <v>12659</v>
      </c>
      <c r="E1879" t="s">
        <v>12</v>
      </c>
      <c r="F1879" t="s">
        <v>51</v>
      </c>
      <c r="G1879">
        <v>3</v>
      </c>
      <c r="H1879">
        <v>15</v>
      </c>
      <c r="I1879" t="s">
        <v>52</v>
      </c>
      <c r="J1879" cm="1">
        <f t="array" ref="J1879">IFERROR(
    _xlfn.XLOOKUP(G1879, 'Wedgewood Pharm-GA-Yr2-2025'!$E$55:$L$55,
        _xlfn.XLOOKUP('Rate Load'!H1879, 'Wedgewood Pharm-GA-Yr2-2025'!$D$56:$D$71,
            'Wedgewood Pharm-GA-Yr2-2025'!$E$56:$L$71, 0, 0),
        0, 0),
    _xlfn.XLOOKUP(G1879, 'Wedgewood Pharm-GA-Yr2-2025'!$E$55:$L$55,
        _xlfn.XLOOKUP('Rate Load'!L1879, 'Wedgewood Pharm-GA-Yr2-2025'!$D$56:$D$71,
            'Wedgewood Pharm-GA-Yr2-2025'!$E$56:$L$71, 0, 0),
        0, 0)
)</f>
        <v>5.29</v>
      </c>
      <c r="K1879" t="s">
        <v>46</v>
      </c>
      <c r="L1879" t="s">
        <v>13</v>
      </c>
      <c r="M1879">
        <v>2</v>
      </c>
      <c r="N1879" t="str">
        <f t="shared" si="29"/>
        <v>INSERT INTO TNL_RATING.dbo.usps_rate_master VALUES ('USPS', '2/13/2025', '2/13/2026', 12659, 'US', 'USPS Ground Advantage', 3, 15, 'O', 5.29, 'Wedgewood_USPS_2025', 'NonCubic','2');</v>
      </c>
    </row>
    <row r="1880" spans="1:14" x14ac:dyDescent="0.3">
      <c r="A1880" t="s">
        <v>11</v>
      </c>
      <c r="B1880" s="1" t="s">
        <v>43</v>
      </c>
      <c r="C1880" s="1" t="s">
        <v>44</v>
      </c>
      <c r="D1880">
        <v>12659</v>
      </c>
      <c r="E1880" t="s">
        <v>12</v>
      </c>
      <c r="F1880" t="s">
        <v>51</v>
      </c>
      <c r="G1880">
        <v>3</v>
      </c>
      <c r="H1880">
        <v>15.999000000000001</v>
      </c>
      <c r="I1880" t="s">
        <v>52</v>
      </c>
      <c r="J1880" cm="1">
        <f t="array" ref="J1880">IFERROR(
    _xlfn.XLOOKUP(G1880, 'Wedgewood Pharm-GA-Yr2-2025'!$E$55:$L$55,
        _xlfn.XLOOKUP('Rate Load'!H1880, 'Wedgewood Pharm-GA-Yr2-2025'!$D$56:$D$71,
            'Wedgewood Pharm-GA-Yr2-2025'!$E$56:$L$71, 0, 0),
        0, 0),
    _xlfn.XLOOKUP(G1880, 'Wedgewood Pharm-GA-Yr2-2025'!$E$55:$L$55,
        _xlfn.XLOOKUP('Rate Load'!L1880, 'Wedgewood Pharm-GA-Yr2-2025'!$D$56:$D$71,
            'Wedgewood Pharm-GA-Yr2-2025'!$E$56:$L$71, 0, 0),
        0, 0)
)</f>
        <v>5.29</v>
      </c>
      <c r="K1880" t="s">
        <v>46</v>
      </c>
      <c r="L1880" t="s">
        <v>13</v>
      </c>
      <c r="M1880">
        <v>2</v>
      </c>
      <c r="N1880" t="str">
        <f t="shared" si="29"/>
        <v>INSERT INTO TNL_RATING.dbo.usps_rate_master VALUES ('USPS', '2/13/2025', '2/13/2026', 12659, 'US', 'USPS Ground Advantage', 3, 15.999, 'O', 5.29, 'Wedgewood_USPS_2025', 'NonCubic','2');</v>
      </c>
    </row>
    <row r="1881" spans="1:14" x14ac:dyDescent="0.3">
      <c r="A1881" t="s">
        <v>11</v>
      </c>
      <c r="B1881" s="1" t="s">
        <v>43</v>
      </c>
      <c r="C1881" s="1" t="s">
        <v>44</v>
      </c>
      <c r="D1881">
        <v>12659</v>
      </c>
      <c r="E1881" t="s">
        <v>12</v>
      </c>
      <c r="F1881" t="s">
        <v>51</v>
      </c>
      <c r="G1881">
        <v>4</v>
      </c>
      <c r="H1881">
        <v>1</v>
      </c>
      <c r="I1881" t="s">
        <v>52</v>
      </c>
      <c r="J1881" cm="1">
        <f t="array" ref="J1881">IFERROR(
    _xlfn.XLOOKUP(G1881, 'Wedgewood Pharm-GA-Yr2-2025'!$E$55:$L$55,
        _xlfn.XLOOKUP('Rate Load'!H1881, 'Wedgewood Pharm-GA-Yr2-2025'!$D$56:$D$71,
            'Wedgewood Pharm-GA-Yr2-2025'!$E$56:$L$71, 0, 0),
        0, 0),
    _xlfn.XLOOKUP(G1881, 'Wedgewood Pharm-GA-Yr2-2025'!$E$55:$L$55,
        _xlfn.XLOOKUP('Rate Load'!L1881, 'Wedgewood Pharm-GA-Yr2-2025'!$D$56:$D$71,
            'Wedgewood Pharm-GA-Yr2-2025'!$E$56:$L$71, 0, 0),
        0, 0)
)</f>
        <v>3.4</v>
      </c>
      <c r="K1881" t="s">
        <v>46</v>
      </c>
      <c r="L1881" t="s">
        <v>13</v>
      </c>
      <c r="M1881">
        <v>2</v>
      </c>
      <c r="N1881" t="str">
        <f t="shared" si="29"/>
        <v>INSERT INTO TNL_RATING.dbo.usps_rate_master VALUES ('USPS', '2/13/2025', '2/13/2026', 12659, 'US', 'USPS Ground Advantage', 4, 1, 'O', 3.4, 'Wedgewood_USPS_2025', 'NonCubic','2');</v>
      </c>
    </row>
    <row r="1882" spans="1:14" x14ac:dyDescent="0.3">
      <c r="A1882" t="s">
        <v>11</v>
      </c>
      <c r="B1882" s="1" t="s">
        <v>43</v>
      </c>
      <c r="C1882" s="1" t="s">
        <v>44</v>
      </c>
      <c r="D1882">
        <v>12659</v>
      </c>
      <c r="E1882" t="s">
        <v>12</v>
      </c>
      <c r="F1882" t="s">
        <v>51</v>
      </c>
      <c r="G1882">
        <v>4</v>
      </c>
      <c r="H1882">
        <v>2</v>
      </c>
      <c r="I1882" t="s">
        <v>52</v>
      </c>
      <c r="J1882" cm="1">
        <f t="array" ref="J1882">IFERROR(
    _xlfn.XLOOKUP(G1882, 'Wedgewood Pharm-GA-Yr2-2025'!$E$55:$L$55,
        _xlfn.XLOOKUP('Rate Load'!H1882, 'Wedgewood Pharm-GA-Yr2-2025'!$D$56:$D$71,
            'Wedgewood Pharm-GA-Yr2-2025'!$E$56:$L$71, 0, 0),
        0, 0),
    _xlfn.XLOOKUP(G1882, 'Wedgewood Pharm-GA-Yr2-2025'!$E$55:$L$55,
        _xlfn.XLOOKUP('Rate Load'!L1882, 'Wedgewood Pharm-GA-Yr2-2025'!$D$56:$D$71,
            'Wedgewood Pharm-GA-Yr2-2025'!$E$56:$L$71, 0, 0),
        0, 0)
)</f>
        <v>3.4</v>
      </c>
      <c r="K1882" t="s">
        <v>46</v>
      </c>
      <c r="L1882" t="s">
        <v>13</v>
      </c>
      <c r="M1882">
        <v>2</v>
      </c>
      <c r="N1882" t="str">
        <f t="shared" si="29"/>
        <v>INSERT INTO TNL_RATING.dbo.usps_rate_master VALUES ('USPS', '2/13/2025', '2/13/2026', 12659, 'US', 'USPS Ground Advantage', 4, 2, 'O', 3.4, 'Wedgewood_USPS_2025', 'NonCubic','2');</v>
      </c>
    </row>
    <row r="1883" spans="1:14" x14ac:dyDescent="0.3">
      <c r="A1883" t="s">
        <v>11</v>
      </c>
      <c r="B1883" s="1" t="s">
        <v>43</v>
      </c>
      <c r="C1883" s="1" t="s">
        <v>44</v>
      </c>
      <c r="D1883">
        <v>12659</v>
      </c>
      <c r="E1883" t="s">
        <v>12</v>
      </c>
      <c r="F1883" t="s">
        <v>51</v>
      </c>
      <c r="G1883">
        <v>4</v>
      </c>
      <c r="H1883">
        <v>3</v>
      </c>
      <c r="I1883" t="s">
        <v>52</v>
      </c>
      <c r="J1883" cm="1">
        <f t="array" ref="J1883">IFERROR(
    _xlfn.XLOOKUP(G1883, 'Wedgewood Pharm-GA-Yr2-2025'!$E$55:$L$55,
        _xlfn.XLOOKUP('Rate Load'!H1883, 'Wedgewood Pharm-GA-Yr2-2025'!$D$56:$D$71,
            'Wedgewood Pharm-GA-Yr2-2025'!$E$56:$L$71, 0, 0),
        0, 0),
    _xlfn.XLOOKUP(G1883, 'Wedgewood Pharm-GA-Yr2-2025'!$E$55:$L$55,
        _xlfn.XLOOKUP('Rate Load'!L1883, 'Wedgewood Pharm-GA-Yr2-2025'!$D$56:$D$71,
            'Wedgewood Pharm-GA-Yr2-2025'!$E$56:$L$71, 0, 0),
        0, 0)
)</f>
        <v>3.4</v>
      </c>
      <c r="K1883" t="s">
        <v>46</v>
      </c>
      <c r="L1883" t="s">
        <v>13</v>
      </c>
      <c r="M1883">
        <v>2</v>
      </c>
      <c r="N1883" t="str">
        <f t="shared" si="29"/>
        <v>INSERT INTO TNL_RATING.dbo.usps_rate_master VALUES ('USPS', '2/13/2025', '2/13/2026', 12659, 'US', 'USPS Ground Advantage', 4, 3, 'O', 3.4, 'Wedgewood_USPS_2025', 'NonCubic','2');</v>
      </c>
    </row>
    <row r="1884" spans="1:14" x14ac:dyDescent="0.3">
      <c r="A1884" t="s">
        <v>11</v>
      </c>
      <c r="B1884" s="1" t="s">
        <v>43</v>
      </c>
      <c r="C1884" s="1" t="s">
        <v>44</v>
      </c>
      <c r="D1884">
        <v>12659</v>
      </c>
      <c r="E1884" t="s">
        <v>12</v>
      </c>
      <c r="F1884" t="s">
        <v>51</v>
      </c>
      <c r="G1884">
        <v>4</v>
      </c>
      <c r="H1884">
        <v>4</v>
      </c>
      <c r="I1884" t="s">
        <v>52</v>
      </c>
      <c r="J1884" cm="1">
        <f t="array" ref="J1884">IFERROR(
    _xlfn.XLOOKUP(G1884, 'Wedgewood Pharm-GA-Yr2-2025'!$E$55:$L$55,
        _xlfn.XLOOKUP('Rate Load'!H1884, 'Wedgewood Pharm-GA-Yr2-2025'!$D$56:$D$71,
            'Wedgewood Pharm-GA-Yr2-2025'!$E$56:$L$71, 0, 0),
        0, 0),
    _xlfn.XLOOKUP(G1884, 'Wedgewood Pharm-GA-Yr2-2025'!$E$55:$L$55,
        _xlfn.XLOOKUP('Rate Load'!L1884, 'Wedgewood Pharm-GA-Yr2-2025'!$D$56:$D$71,
            'Wedgewood Pharm-GA-Yr2-2025'!$E$56:$L$71, 0, 0),
        0, 0)
)</f>
        <v>3.4</v>
      </c>
      <c r="K1884" t="s">
        <v>46</v>
      </c>
      <c r="L1884" t="s">
        <v>13</v>
      </c>
      <c r="M1884">
        <v>2</v>
      </c>
      <c r="N1884" t="str">
        <f t="shared" si="29"/>
        <v>INSERT INTO TNL_RATING.dbo.usps_rate_master VALUES ('USPS', '2/13/2025', '2/13/2026', 12659, 'US', 'USPS Ground Advantage', 4, 4, 'O', 3.4, 'Wedgewood_USPS_2025', 'NonCubic','2');</v>
      </c>
    </row>
    <row r="1885" spans="1:14" x14ac:dyDescent="0.3">
      <c r="A1885" t="s">
        <v>11</v>
      </c>
      <c r="B1885" s="1" t="s">
        <v>43</v>
      </c>
      <c r="C1885" s="1" t="s">
        <v>44</v>
      </c>
      <c r="D1885">
        <v>12659</v>
      </c>
      <c r="E1885" t="s">
        <v>12</v>
      </c>
      <c r="F1885" t="s">
        <v>51</v>
      </c>
      <c r="G1885">
        <v>4</v>
      </c>
      <c r="H1885">
        <v>5</v>
      </c>
      <c r="I1885" t="s">
        <v>52</v>
      </c>
      <c r="J1885" cm="1">
        <f t="array" ref="J1885">IFERROR(
    _xlfn.XLOOKUP(G1885, 'Wedgewood Pharm-GA-Yr2-2025'!$E$55:$L$55,
        _xlfn.XLOOKUP('Rate Load'!H1885, 'Wedgewood Pharm-GA-Yr2-2025'!$D$56:$D$71,
            'Wedgewood Pharm-GA-Yr2-2025'!$E$56:$L$71, 0, 0),
        0, 0),
    _xlfn.XLOOKUP(G1885, 'Wedgewood Pharm-GA-Yr2-2025'!$E$55:$L$55,
        _xlfn.XLOOKUP('Rate Load'!L1885, 'Wedgewood Pharm-GA-Yr2-2025'!$D$56:$D$71,
            'Wedgewood Pharm-GA-Yr2-2025'!$E$56:$L$71, 0, 0),
        0, 0)
)</f>
        <v>4.2799999999999994</v>
      </c>
      <c r="K1885" t="s">
        <v>46</v>
      </c>
      <c r="L1885" t="s">
        <v>13</v>
      </c>
      <c r="M1885">
        <v>2</v>
      </c>
      <c r="N1885" t="str">
        <f t="shared" si="29"/>
        <v>INSERT INTO TNL_RATING.dbo.usps_rate_master VALUES ('USPS', '2/13/2025', '2/13/2026', 12659, 'US', 'USPS Ground Advantage', 4, 5, 'O', 4.28, 'Wedgewood_USPS_2025', 'NonCubic','2');</v>
      </c>
    </row>
    <row r="1886" spans="1:14" x14ac:dyDescent="0.3">
      <c r="A1886" t="s">
        <v>11</v>
      </c>
      <c r="B1886" s="1" t="s">
        <v>43</v>
      </c>
      <c r="C1886" s="1" t="s">
        <v>44</v>
      </c>
      <c r="D1886">
        <v>12659</v>
      </c>
      <c r="E1886" t="s">
        <v>12</v>
      </c>
      <c r="F1886" t="s">
        <v>51</v>
      </c>
      <c r="G1886">
        <v>4</v>
      </c>
      <c r="H1886">
        <v>6</v>
      </c>
      <c r="I1886" t="s">
        <v>52</v>
      </c>
      <c r="J1886" cm="1">
        <f t="array" ref="J1886">IFERROR(
    _xlfn.XLOOKUP(G1886, 'Wedgewood Pharm-GA-Yr2-2025'!$E$55:$L$55,
        _xlfn.XLOOKUP('Rate Load'!H1886, 'Wedgewood Pharm-GA-Yr2-2025'!$D$56:$D$71,
            'Wedgewood Pharm-GA-Yr2-2025'!$E$56:$L$71, 0, 0),
        0, 0),
    _xlfn.XLOOKUP(G1886, 'Wedgewood Pharm-GA-Yr2-2025'!$E$55:$L$55,
        _xlfn.XLOOKUP('Rate Load'!L1886, 'Wedgewood Pharm-GA-Yr2-2025'!$D$56:$D$71,
            'Wedgewood Pharm-GA-Yr2-2025'!$E$56:$L$71, 0, 0),
        0, 0)
)</f>
        <v>4.2799999999999994</v>
      </c>
      <c r="K1886" t="s">
        <v>46</v>
      </c>
      <c r="L1886" t="s">
        <v>13</v>
      </c>
      <c r="M1886">
        <v>2</v>
      </c>
      <c r="N1886" t="str">
        <f t="shared" si="29"/>
        <v>INSERT INTO TNL_RATING.dbo.usps_rate_master VALUES ('USPS', '2/13/2025', '2/13/2026', 12659, 'US', 'USPS Ground Advantage', 4, 6, 'O', 4.28, 'Wedgewood_USPS_2025', 'NonCubic','2');</v>
      </c>
    </row>
    <row r="1887" spans="1:14" x14ac:dyDescent="0.3">
      <c r="A1887" t="s">
        <v>11</v>
      </c>
      <c r="B1887" s="1" t="s">
        <v>43</v>
      </c>
      <c r="C1887" s="1" t="s">
        <v>44</v>
      </c>
      <c r="D1887">
        <v>12659</v>
      </c>
      <c r="E1887" t="s">
        <v>12</v>
      </c>
      <c r="F1887" t="s">
        <v>51</v>
      </c>
      <c r="G1887">
        <v>4</v>
      </c>
      <c r="H1887">
        <v>7</v>
      </c>
      <c r="I1887" t="s">
        <v>52</v>
      </c>
      <c r="J1887" cm="1">
        <f t="array" ref="J1887">IFERROR(
    _xlfn.XLOOKUP(G1887, 'Wedgewood Pharm-GA-Yr2-2025'!$E$55:$L$55,
        _xlfn.XLOOKUP('Rate Load'!H1887, 'Wedgewood Pharm-GA-Yr2-2025'!$D$56:$D$71,
            'Wedgewood Pharm-GA-Yr2-2025'!$E$56:$L$71, 0, 0),
        0, 0),
    _xlfn.XLOOKUP(G1887, 'Wedgewood Pharm-GA-Yr2-2025'!$E$55:$L$55,
        _xlfn.XLOOKUP('Rate Load'!L1887, 'Wedgewood Pharm-GA-Yr2-2025'!$D$56:$D$71,
            'Wedgewood Pharm-GA-Yr2-2025'!$E$56:$L$71, 0, 0),
        0, 0)
)</f>
        <v>4.2799999999999994</v>
      </c>
      <c r="K1887" t="s">
        <v>46</v>
      </c>
      <c r="L1887" t="s">
        <v>13</v>
      </c>
      <c r="M1887">
        <v>2</v>
      </c>
      <c r="N1887" t="str">
        <f t="shared" si="29"/>
        <v>INSERT INTO TNL_RATING.dbo.usps_rate_master VALUES ('USPS', '2/13/2025', '2/13/2026', 12659, 'US', 'USPS Ground Advantage', 4, 7, 'O', 4.28, 'Wedgewood_USPS_2025', 'NonCubic','2');</v>
      </c>
    </row>
    <row r="1888" spans="1:14" x14ac:dyDescent="0.3">
      <c r="A1888" t="s">
        <v>11</v>
      </c>
      <c r="B1888" s="1" t="s">
        <v>43</v>
      </c>
      <c r="C1888" s="1" t="s">
        <v>44</v>
      </c>
      <c r="D1888">
        <v>12659</v>
      </c>
      <c r="E1888" t="s">
        <v>12</v>
      </c>
      <c r="F1888" t="s">
        <v>51</v>
      </c>
      <c r="G1888">
        <v>4</v>
      </c>
      <c r="H1888">
        <v>8</v>
      </c>
      <c r="I1888" t="s">
        <v>52</v>
      </c>
      <c r="J1888" cm="1">
        <f t="array" ref="J1888">IFERROR(
    _xlfn.XLOOKUP(G1888, 'Wedgewood Pharm-GA-Yr2-2025'!$E$55:$L$55,
        _xlfn.XLOOKUP('Rate Load'!H1888, 'Wedgewood Pharm-GA-Yr2-2025'!$D$56:$D$71,
            'Wedgewood Pharm-GA-Yr2-2025'!$E$56:$L$71, 0, 0),
        0, 0),
    _xlfn.XLOOKUP(G1888, 'Wedgewood Pharm-GA-Yr2-2025'!$E$55:$L$55,
        _xlfn.XLOOKUP('Rate Load'!L1888, 'Wedgewood Pharm-GA-Yr2-2025'!$D$56:$D$71,
            'Wedgewood Pharm-GA-Yr2-2025'!$E$56:$L$71, 0, 0),
        0, 0)
)</f>
        <v>4.2799999999999994</v>
      </c>
      <c r="K1888" t="s">
        <v>46</v>
      </c>
      <c r="L1888" t="s">
        <v>13</v>
      </c>
      <c r="M1888">
        <v>2</v>
      </c>
      <c r="N1888" t="str">
        <f t="shared" si="29"/>
        <v>INSERT INTO TNL_RATING.dbo.usps_rate_master VALUES ('USPS', '2/13/2025', '2/13/2026', 12659, 'US', 'USPS Ground Advantage', 4, 8, 'O', 4.28, 'Wedgewood_USPS_2025', 'NonCubic','2');</v>
      </c>
    </row>
    <row r="1889" spans="1:14" x14ac:dyDescent="0.3">
      <c r="A1889" t="s">
        <v>11</v>
      </c>
      <c r="B1889" s="1" t="s">
        <v>43</v>
      </c>
      <c r="C1889" s="1" t="s">
        <v>44</v>
      </c>
      <c r="D1889">
        <v>12659</v>
      </c>
      <c r="E1889" t="s">
        <v>12</v>
      </c>
      <c r="F1889" t="s">
        <v>51</v>
      </c>
      <c r="G1889">
        <v>4</v>
      </c>
      <c r="H1889">
        <v>9</v>
      </c>
      <c r="I1889" t="s">
        <v>52</v>
      </c>
      <c r="J1889" cm="1">
        <f t="array" ref="J1889">IFERROR(
    _xlfn.XLOOKUP(G1889, 'Wedgewood Pharm-GA-Yr2-2025'!$E$55:$L$55,
        _xlfn.XLOOKUP('Rate Load'!H1889, 'Wedgewood Pharm-GA-Yr2-2025'!$D$56:$D$71,
            'Wedgewood Pharm-GA-Yr2-2025'!$E$56:$L$71, 0, 0),
        0, 0),
    _xlfn.XLOOKUP(G1889, 'Wedgewood Pharm-GA-Yr2-2025'!$E$55:$L$55,
        _xlfn.XLOOKUP('Rate Load'!L1889, 'Wedgewood Pharm-GA-Yr2-2025'!$D$56:$D$71,
            'Wedgewood Pharm-GA-Yr2-2025'!$E$56:$L$71, 0, 0),
        0, 0)
)</f>
        <v>4.8</v>
      </c>
      <c r="K1889" t="s">
        <v>46</v>
      </c>
      <c r="L1889" t="s">
        <v>13</v>
      </c>
      <c r="M1889">
        <v>2</v>
      </c>
      <c r="N1889" t="str">
        <f t="shared" si="29"/>
        <v>INSERT INTO TNL_RATING.dbo.usps_rate_master VALUES ('USPS', '2/13/2025', '2/13/2026', 12659, 'US', 'USPS Ground Advantage', 4, 9, 'O', 4.8, 'Wedgewood_USPS_2025', 'NonCubic','2');</v>
      </c>
    </row>
    <row r="1890" spans="1:14" x14ac:dyDescent="0.3">
      <c r="A1890" t="s">
        <v>11</v>
      </c>
      <c r="B1890" s="1" t="s">
        <v>43</v>
      </c>
      <c r="C1890" s="1" t="s">
        <v>44</v>
      </c>
      <c r="D1890">
        <v>12659</v>
      </c>
      <c r="E1890" t="s">
        <v>12</v>
      </c>
      <c r="F1890" t="s">
        <v>51</v>
      </c>
      <c r="G1890">
        <v>4</v>
      </c>
      <c r="H1890">
        <v>10</v>
      </c>
      <c r="I1890" t="s">
        <v>52</v>
      </c>
      <c r="J1890" cm="1">
        <f t="array" ref="J1890">IFERROR(
    _xlfn.XLOOKUP(G1890, 'Wedgewood Pharm-GA-Yr2-2025'!$E$55:$L$55,
        _xlfn.XLOOKUP('Rate Load'!H1890, 'Wedgewood Pharm-GA-Yr2-2025'!$D$56:$D$71,
            'Wedgewood Pharm-GA-Yr2-2025'!$E$56:$L$71, 0, 0),
        0, 0),
    _xlfn.XLOOKUP(G1890, 'Wedgewood Pharm-GA-Yr2-2025'!$E$55:$L$55,
        _xlfn.XLOOKUP('Rate Load'!L1890, 'Wedgewood Pharm-GA-Yr2-2025'!$D$56:$D$71,
            'Wedgewood Pharm-GA-Yr2-2025'!$E$56:$L$71, 0, 0),
        0, 0)
)</f>
        <v>4.8</v>
      </c>
      <c r="K1890" t="s">
        <v>46</v>
      </c>
      <c r="L1890" t="s">
        <v>13</v>
      </c>
      <c r="M1890">
        <v>2</v>
      </c>
      <c r="N1890" t="str">
        <f t="shared" si="29"/>
        <v>INSERT INTO TNL_RATING.dbo.usps_rate_master VALUES ('USPS', '2/13/2025', '2/13/2026', 12659, 'US', 'USPS Ground Advantage', 4, 10, 'O', 4.8, 'Wedgewood_USPS_2025', 'NonCubic','2');</v>
      </c>
    </row>
    <row r="1891" spans="1:14" x14ac:dyDescent="0.3">
      <c r="A1891" t="s">
        <v>11</v>
      </c>
      <c r="B1891" s="1" t="s">
        <v>43</v>
      </c>
      <c r="C1891" s="1" t="s">
        <v>44</v>
      </c>
      <c r="D1891">
        <v>12659</v>
      </c>
      <c r="E1891" t="s">
        <v>12</v>
      </c>
      <c r="F1891" t="s">
        <v>51</v>
      </c>
      <c r="G1891">
        <v>4</v>
      </c>
      <c r="H1891">
        <v>11</v>
      </c>
      <c r="I1891" t="s">
        <v>52</v>
      </c>
      <c r="J1891" cm="1">
        <f t="array" ref="J1891">IFERROR(
    _xlfn.XLOOKUP(G1891, 'Wedgewood Pharm-GA-Yr2-2025'!$E$55:$L$55,
        _xlfn.XLOOKUP('Rate Load'!H1891, 'Wedgewood Pharm-GA-Yr2-2025'!$D$56:$D$71,
            'Wedgewood Pharm-GA-Yr2-2025'!$E$56:$L$71, 0, 0),
        0, 0),
    _xlfn.XLOOKUP(G1891, 'Wedgewood Pharm-GA-Yr2-2025'!$E$55:$L$55,
        _xlfn.XLOOKUP('Rate Load'!L1891, 'Wedgewood Pharm-GA-Yr2-2025'!$D$56:$D$71,
            'Wedgewood Pharm-GA-Yr2-2025'!$E$56:$L$71, 0, 0),
        0, 0)
)</f>
        <v>4.8</v>
      </c>
      <c r="K1891" t="s">
        <v>46</v>
      </c>
      <c r="L1891" t="s">
        <v>13</v>
      </c>
      <c r="M1891">
        <v>2</v>
      </c>
      <c r="N1891" t="str">
        <f t="shared" si="29"/>
        <v>INSERT INTO TNL_RATING.dbo.usps_rate_master VALUES ('USPS', '2/13/2025', '2/13/2026', 12659, 'US', 'USPS Ground Advantage', 4, 11, 'O', 4.8, 'Wedgewood_USPS_2025', 'NonCubic','2');</v>
      </c>
    </row>
    <row r="1892" spans="1:14" x14ac:dyDescent="0.3">
      <c r="A1892" t="s">
        <v>11</v>
      </c>
      <c r="B1892" s="1" t="s">
        <v>43</v>
      </c>
      <c r="C1892" s="1" t="s">
        <v>44</v>
      </c>
      <c r="D1892">
        <v>12659</v>
      </c>
      <c r="E1892" t="s">
        <v>12</v>
      </c>
      <c r="F1892" t="s">
        <v>51</v>
      </c>
      <c r="G1892">
        <v>4</v>
      </c>
      <c r="H1892">
        <v>12</v>
      </c>
      <c r="I1892" t="s">
        <v>52</v>
      </c>
      <c r="J1892" cm="1">
        <f t="array" ref="J1892">IFERROR(
    _xlfn.XLOOKUP(G1892, 'Wedgewood Pharm-GA-Yr2-2025'!$E$55:$L$55,
        _xlfn.XLOOKUP('Rate Load'!H1892, 'Wedgewood Pharm-GA-Yr2-2025'!$D$56:$D$71,
            'Wedgewood Pharm-GA-Yr2-2025'!$E$56:$L$71, 0, 0),
        0, 0),
    _xlfn.XLOOKUP(G1892, 'Wedgewood Pharm-GA-Yr2-2025'!$E$55:$L$55,
        _xlfn.XLOOKUP('Rate Load'!L1892, 'Wedgewood Pharm-GA-Yr2-2025'!$D$56:$D$71,
            'Wedgewood Pharm-GA-Yr2-2025'!$E$56:$L$71, 0, 0),
        0, 0)
)</f>
        <v>4.8</v>
      </c>
      <c r="K1892" t="s">
        <v>46</v>
      </c>
      <c r="L1892" t="s">
        <v>13</v>
      </c>
      <c r="M1892">
        <v>2</v>
      </c>
      <c r="N1892" t="str">
        <f t="shared" si="29"/>
        <v>INSERT INTO TNL_RATING.dbo.usps_rate_master VALUES ('USPS', '2/13/2025', '2/13/2026', 12659, 'US', 'USPS Ground Advantage', 4, 12, 'O', 4.8, 'Wedgewood_USPS_2025', 'NonCubic','2');</v>
      </c>
    </row>
    <row r="1893" spans="1:14" x14ac:dyDescent="0.3">
      <c r="A1893" t="s">
        <v>11</v>
      </c>
      <c r="B1893" s="1" t="s">
        <v>43</v>
      </c>
      <c r="C1893" s="1" t="s">
        <v>44</v>
      </c>
      <c r="D1893">
        <v>12659</v>
      </c>
      <c r="E1893" t="s">
        <v>12</v>
      </c>
      <c r="F1893" t="s">
        <v>51</v>
      </c>
      <c r="G1893">
        <v>4</v>
      </c>
      <c r="H1893">
        <v>13</v>
      </c>
      <c r="I1893" t="s">
        <v>52</v>
      </c>
      <c r="J1893" cm="1">
        <f t="array" ref="J1893">IFERROR(
    _xlfn.XLOOKUP(G1893, 'Wedgewood Pharm-GA-Yr2-2025'!$E$55:$L$55,
        _xlfn.XLOOKUP('Rate Load'!H1893, 'Wedgewood Pharm-GA-Yr2-2025'!$D$56:$D$71,
            'Wedgewood Pharm-GA-Yr2-2025'!$E$56:$L$71, 0, 0),
        0, 0),
    _xlfn.XLOOKUP(G1893, 'Wedgewood Pharm-GA-Yr2-2025'!$E$55:$L$55,
        _xlfn.XLOOKUP('Rate Load'!L1893, 'Wedgewood Pharm-GA-Yr2-2025'!$D$56:$D$71,
            'Wedgewood Pharm-GA-Yr2-2025'!$E$56:$L$71, 0, 0),
        0, 0)
)</f>
        <v>5.35</v>
      </c>
      <c r="K1893" t="s">
        <v>46</v>
      </c>
      <c r="L1893" t="s">
        <v>13</v>
      </c>
      <c r="M1893">
        <v>2</v>
      </c>
      <c r="N1893" t="str">
        <f t="shared" si="29"/>
        <v>INSERT INTO TNL_RATING.dbo.usps_rate_master VALUES ('USPS', '2/13/2025', '2/13/2026', 12659, 'US', 'USPS Ground Advantage', 4, 13, 'O', 5.35, 'Wedgewood_USPS_2025', 'NonCubic','2');</v>
      </c>
    </row>
    <row r="1894" spans="1:14" x14ac:dyDescent="0.3">
      <c r="A1894" t="s">
        <v>11</v>
      </c>
      <c r="B1894" s="1" t="s">
        <v>43</v>
      </c>
      <c r="C1894" s="1" t="s">
        <v>44</v>
      </c>
      <c r="D1894">
        <v>12659</v>
      </c>
      <c r="E1894" t="s">
        <v>12</v>
      </c>
      <c r="F1894" t="s">
        <v>51</v>
      </c>
      <c r="G1894">
        <v>4</v>
      </c>
      <c r="H1894">
        <v>14</v>
      </c>
      <c r="I1894" t="s">
        <v>52</v>
      </c>
      <c r="J1894" cm="1">
        <f t="array" ref="J1894">IFERROR(
    _xlfn.XLOOKUP(G1894, 'Wedgewood Pharm-GA-Yr2-2025'!$E$55:$L$55,
        _xlfn.XLOOKUP('Rate Load'!H1894, 'Wedgewood Pharm-GA-Yr2-2025'!$D$56:$D$71,
            'Wedgewood Pharm-GA-Yr2-2025'!$E$56:$L$71, 0, 0),
        0, 0),
    _xlfn.XLOOKUP(G1894, 'Wedgewood Pharm-GA-Yr2-2025'!$E$55:$L$55,
        _xlfn.XLOOKUP('Rate Load'!L1894, 'Wedgewood Pharm-GA-Yr2-2025'!$D$56:$D$71,
            'Wedgewood Pharm-GA-Yr2-2025'!$E$56:$L$71, 0, 0),
        0, 0)
)</f>
        <v>5.35</v>
      </c>
      <c r="K1894" t="s">
        <v>46</v>
      </c>
      <c r="L1894" t="s">
        <v>13</v>
      </c>
      <c r="M1894">
        <v>2</v>
      </c>
      <c r="N1894" t="str">
        <f t="shared" si="29"/>
        <v>INSERT INTO TNL_RATING.dbo.usps_rate_master VALUES ('USPS', '2/13/2025', '2/13/2026', 12659, 'US', 'USPS Ground Advantage', 4, 14, 'O', 5.35, 'Wedgewood_USPS_2025', 'NonCubic','2');</v>
      </c>
    </row>
    <row r="1895" spans="1:14" x14ac:dyDescent="0.3">
      <c r="A1895" t="s">
        <v>11</v>
      </c>
      <c r="B1895" s="1" t="s">
        <v>43</v>
      </c>
      <c r="C1895" s="1" t="s">
        <v>44</v>
      </c>
      <c r="D1895">
        <v>12659</v>
      </c>
      <c r="E1895" t="s">
        <v>12</v>
      </c>
      <c r="F1895" t="s">
        <v>51</v>
      </c>
      <c r="G1895">
        <v>4</v>
      </c>
      <c r="H1895">
        <v>15</v>
      </c>
      <c r="I1895" t="s">
        <v>52</v>
      </c>
      <c r="J1895" cm="1">
        <f t="array" ref="J1895">IFERROR(
    _xlfn.XLOOKUP(G1895, 'Wedgewood Pharm-GA-Yr2-2025'!$E$55:$L$55,
        _xlfn.XLOOKUP('Rate Load'!H1895, 'Wedgewood Pharm-GA-Yr2-2025'!$D$56:$D$71,
            'Wedgewood Pharm-GA-Yr2-2025'!$E$56:$L$71, 0, 0),
        0, 0),
    _xlfn.XLOOKUP(G1895, 'Wedgewood Pharm-GA-Yr2-2025'!$E$55:$L$55,
        _xlfn.XLOOKUP('Rate Load'!L1895, 'Wedgewood Pharm-GA-Yr2-2025'!$D$56:$D$71,
            'Wedgewood Pharm-GA-Yr2-2025'!$E$56:$L$71, 0, 0),
        0, 0)
)</f>
        <v>5.35</v>
      </c>
      <c r="K1895" t="s">
        <v>46</v>
      </c>
      <c r="L1895" t="s">
        <v>13</v>
      </c>
      <c r="M1895">
        <v>2</v>
      </c>
      <c r="N1895" t="str">
        <f t="shared" si="29"/>
        <v>INSERT INTO TNL_RATING.dbo.usps_rate_master VALUES ('USPS', '2/13/2025', '2/13/2026', 12659, 'US', 'USPS Ground Advantage', 4, 15, 'O', 5.35, 'Wedgewood_USPS_2025', 'NonCubic','2');</v>
      </c>
    </row>
    <row r="1896" spans="1:14" x14ac:dyDescent="0.3">
      <c r="A1896" t="s">
        <v>11</v>
      </c>
      <c r="B1896" s="1" t="s">
        <v>43</v>
      </c>
      <c r="C1896" s="1" t="s">
        <v>44</v>
      </c>
      <c r="D1896">
        <v>12659</v>
      </c>
      <c r="E1896" t="s">
        <v>12</v>
      </c>
      <c r="F1896" t="s">
        <v>51</v>
      </c>
      <c r="G1896">
        <v>4</v>
      </c>
      <c r="H1896">
        <v>15.999000000000001</v>
      </c>
      <c r="I1896" t="s">
        <v>52</v>
      </c>
      <c r="J1896" cm="1">
        <f t="array" ref="J1896">IFERROR(
    _xlfn.XLOOKUP(G1896, 'Wedgewood Pharm-GA-Yr2-2025'!$E$55:$L$55,
        _xlfn.XLOOKUP('Rate Load'!H1896, 'Wedgewood Pharm-GA-Yr2-2025'!$D$56:$D$71,
            'Wedgewood Pharm-GA-Yr2-2025'!$E$56:$L$71, 0, 0),
        0, 0),
    _xlfn.XLOOKUP(G1896, 'Wedgewood Pharm-GA-Yr2-2025'!$E$55:$L$55,
        _xlfn.XLOOKUP('Rate Load'!L1896, 'Wedgewood Pharm-GA-Yr2-2025'!$D$56:$D$71,
            'Wedgewood Pharm-GA-Yr2-2025'!$E$56:$L$71, 0, 0),
        0, 0)
)</f>
        <v>5.35</v>
      </c>
      <c r="K1896" t="s">
        <v>46</v>
      </c>
      <c r="L1896" t="s">
        <v>13</v>
      </c>
      <c r="M1896">
        <v>2</v>
      </c>
      <c r="N1896" t="str">
        <f t="shared" si="29"/>
        <v>INSERT INTO TNL_RATING.dbo.usps_rate_master VALUES ('USPS', '2/13/2025', '2/13/2026', 12659, 'US', 'USPS Ground Advantage', 4, 15.999, 'O', 5.35, 'Wedgewood_USPS_2025', 'NonCubic','2');</v>
      </c>
    </row>
    <row r="1897" spans="1:14" x14ac:dyDescent="0.3">
      <c r="A1897" t="s">
        <v>11</v>
      </c>
      <c r="B1897" s="1" t="s">
        <v>43</v>
      </c>
      <c r="C1897" s="1" t="s">
        <v>44</v>
      </c>
      <c r="D1897">
        <v>12659</v>
      </c>
      <c r="E1897" t="s">
        <v>12</v>
      </c>
      <c r="F1897" t="s">
        <v>51</v>
      </c>
      <c r="G1897">
        <v>5</v>
      </c>
      <c r="H1897">
        <v>1</v>
      </c>
      <c r="I1897" t="s">
        <v>52</v>
      </c>
      <c r="J1897" cm="1">
        <f t="array" ref="J1897">IFERROR(
    _xlfn.XLOOKUP(G1897, 'Wedgewood Pharm-GA-Yr2-2025'!$E$55:$L$55,
        _xlfn.XLOOKUP('Rate Load'!H1897, 'Wedgewood Pharm-GA-Yr2-2025'!$D$56:$D$71,
            'Wedgewood Pharm-GA-Yr2-2025'!$E$56:$L$71, 0, 0),
        0, 0),
    _xlfn.XLOOKUP(G1897, 'Wedgewood Pharm-GA-Yr2-2025'!$E$55:$L$55,
        _xlfn.XLOOKUP('Rate Load'!L1897, 'Wedgewood Pharm-GA-Yr2-2025'!$D$56:$D$71,
            'Wedgewood Pharm-GA-Yr2-2025'!$E$56:$L$71, 0, 0),
        0, 0)
)</f>
        <v>3.4699999999999998</v>
      </c>
      <c r="K1897" t="s">
        <v>46</v>
      </c>
      <c r="L1897" t="s">
        <v>13</v>
      </c>
      <c r="M1897">
        <v>2</v>
      </c>
      <c r="N1897" t="str">
        <f t="shared" si="29"/>
        <v>INSERT INTO TNL_RATING.dbo.usps_rate_master VALUES ('USPS', '2/13/2025', '2/13/2026', 12659, 'US', 'USPS Ground Advantage', 5, 1, 'O', 3.47, 'Wedgewood_USPS_2025', 'NonCubic','2');</v>
      </c>
    </row>
    <row r="1898" spans="1:14" x14ac:dyDescent="0.3">
      <c r="A1898" t="s">
        <v>11</v>
      </c>
      <c r="B1898" s="1" t="s">
        <v>43</v>
      </c>
      <c r="C1898" s="1" t="s">
        <v>44</v>
      </c>
      <c r="D1898">
        <v>12659</v>
      </c>
      <c r="E1898" t="s">
        <v>12</v>
      </c>
      <c r="F1898" t="s">
        <v>51</v>
      </c>
      <c r="G1898">
        <v>5</v>
      </c>
      <c r="H1898">
        <v>2</v>
      </c>
      <c r="I1898" t="s">
        <v>52</v>
      </c>
      <c r="J1898" cm="1">
        <f t="array" ref="J1898">IFERROR(
    _xlfn.XLOOKUP(G1898, 'Wedgewood Pharm-GA-Yr2-2025'!$E$55:$L$55,
        _xlfn.XLOOKUP('Rate Load'!H1898, 'Wedgewood Pharm-GA-Yr2-2025'!$D$56:$D$71,
            'Wedgewood Pharm-GA-Yr2-2025'!$E$56:$L$71, 0, 0),
        0, 0),
    _xlfn.XLOOKUP(G1898, 'Wedgewood Pharm-GA-Yr2-2025'!$E$55:$L$55,
        _xlfn.XLOOKUP('Rate Load'!L1898, 'Wedgewood Pharm-GA-Yr2-2025'!$D$56:$D$71,
            'Wedgewood Pharm-GA-Yr2-2025'!$E$56:$L$71, 0, 0),
        0, 0)
)</f>
        <v>3.4699999999999998</v>
      </c>
      <c r="K1898" t="s">
        <v>46</v>
      </c>
      <c r="L1898" t="s">
        <v>13</v>
      </c>
      <c r="M1898">
        <v>2</v>
      </c>
      <c r="N1898" t="str">
        <f t="shared" si="29"/>
        <v>INSERT INTO TNL_RATING.dbo.usps_rate_master VALUES ('USPS', '2/13/2025', '2/13/2026', 12659, 'US', 'USPS Ground Advantage', 5, 2, 'O', 3.47, 'Wedgewood_USPS_2025', 'NonCubic','2');</v>
      </c>
    </row>
    <row r="1899" spans="1:14" x14ac:dyDescent="0.3">
      <c r="A1899" t="s">
        <v>11</v>
      </c>
      <c r="B1899" s="1" t="s">
        <v>43</v>
      </c>
      <c r="C1899" s="1" t="s">
        <v>44</v>
      </c>
      <c r="D1899">
        <v>12659</v>
      </c>
      <c r="E1899" t="s">
        <v>12</v>
      </c>
      <c r="F1899" t="s">
        <v>51</v>
      </c>
      <c r="G1899">
        <v>5</v>
      </c>
      <c r="H1899">
        <v>3</v>
      </c>
      <c r="I1899" t="s">
        <v>52</v>
      </c>
      <c r="J1899" cm="1">
        <f t="array" ref="J1899">IFERROR(
    _xlfn.XLOOKUP(G1899, 'Wedgewood Pharm-GA-Yr2-2025'!$E$55:$L$55,
        _xlfn.XLOOKUP('Rate Load'!H1899, 'Wedgewood Pharm-GA-Yr2-2025'!$D$56:$D$71,
            'Wedgewood Pharm-GA-Yr2-2025'!$E$56:$L$71, 0, 0),
        0, 0),
    _xlfn.XLOOKUP(G1899, 'Wedgewood Pharm-GA-Yr2-2025'!$E$55:$L$55,
        _xlfn.XLOOKUP('Rate Load'!L1899, 'Wedgewood Pharm-GA-Yr2-2025'!$D$56:$D$71,
            'Wedgewood Pharm-GA-Yr2-2025'!$E$56:$L$71, 0, 0),
        0, 0)
)</f>
        <v>3.4699999999999998</v>
      </c>
      <c r="K1899" t="s">
        <v>46</v>
      </c>
      <c r="L1899" t="s">
        <v>13</v>
      </c>
      <c r="M1899">
        <v>2</v>
      </c>
      <c r="N1899" t="str">
        <f t="shared" si="29"/>
        <v>INSERT INTO TNL_RATING.dbo.usps_rate_master VALUES ('USPS', '2/13/2025', '2/13/2026', 12659, 'US', 'USPS Ground Advantage', 5, 3, 'O', 3.47, 'Wedgewood_USPS_2025', 'NonCubic','2');</v>
      </c>
    </row>
    <row r="1900" spans="1:14" x14ac:dyDescent="0.3">
      <c r="A1900" t="s">
        <v>11</v>
      </c>
      <c r="B1900" s="1" t="s">
        <v>43</v>
      </c>
      <c r="C1900" s="1" t="s">
        <v>44</v>
      </c>
      <c r="D1900">
        <v>12659</v>
      </c>
      <c r="E1900" t="s">
        <v>12</v>
      </c>
      <c r="F1900" t="s">
        <v>51</v>
      </c>
      <c r="G1900">
        <v>5</v>
      </c>
      <c r="H1900">
        <v>4</v>
      </c>
      <c r="I1900" t="s">
        <v>52</v>
      </c>
      <c r="J1900" cm="1">
        <f t="array" ref="J1900">IFERROR(
    _xlfn.XLOOKUP(G1900, 'Wedgewood Pharm-GA-Yr2-2025'!$E$55:$L$55,
        _xlfn.XLOOKUP('Rate Load'!H1900, 'Wedgewood Pharm-GA-Yr2-2025'!$D$56:$D$71,
            'Wedgewood Pharm-GA-Yr2-2025'!$E$56:$L$71, 0, 0),
        0, 0),
    _xlfn.XLOOKUP(G1900, 'Wedgewood Pharm-GA-Yr2-2025'!$E$55:$L$55,
        _xlfn.XLOOKUP('Rate Load'!L1900, 'Wedgewood Pharm-GA-Yr2-2025'!$D$56:$D$71,
            'Wedgewood Pharm-GA-Yr2-2025'!$E$56:$L$71, 0, 0),
        0, 0)
)</f>
        <v>3.4699999999999998</v>
      </c>
      <c r="K1900" t="s">
        <v>46</v>
      </c>
      <c r="L1900" t="s">
        <v>13</v>
      </c>
      <c r="M1900">
        <v>2</v>
      </c>
      <c r="N1900" t="str">
        <f t="shared" si="29"/>
        <v>INSERT INTO TNL_RATING.dbo.usps_rate_master VALUES ('USPS', '2/13/2025', '2/13/2026', 12659, 'US', 'USPS Ground Advantage', 5, 4, 'O', 3.47, 'Wedgewood_USPS_2025', 'NonCubic','2');</v>
      </c>
    </row>
    <row r="1901" spans="1:14" x14ac:dyDescent="0.3">
      <c r="A1901" t="s">
        <v>11</v>
      </c>
      <c r="B1901" s="1" t="s">
        <v>43</v>
      </c>
      <c r="C1901" s="1" t="s">
        <v>44</v>
      </c>
      <c r="D1901">
        <v>12659</v>
      </c>
      <c r="E1901" t="s">
        <v>12</v>
      </c>
      <c r="F1901" t="s">
        <v>51</v>
      </c>
      <c r="G1901">
        <v>5</v>
      </c>
      <c r="H1901">
        <v>5</v>
      </c>
      <c r="I1901" t="s">
        <v>52</v>
      </c>
      <c r="J1901" cm="1">
        <f t="array" ref="J1901">IFERROR(
    _xlfn.XLOOKUP(G1901, 'Wedgewood Pharm-GA-Yr2-2025'!$E$55:$L$55,
        _xlfn.XLOOKUP('Rate Load'!H1901, 'Wedgewood Pharm-GA-Yr2-2025'!$D$56:$D$71,
            'Wedgewood Pharm-GA-Yr2-2025'!$E$56:$L$71, 0, 0),
        0, 0),
    _xlfn.XLOOKUP(G1901, 'Wedgewood Pharm-GA-Yr2-2025'!$E$55:$L$55,
        _xlfn.XLOOKUP('Rate Load'!L1901, 'Wedgewood Pharm-GA-Yr2-2025'!$D$56:$D$71,
            'Wedgewood Pharm-GA-Yr2-2025'!$E$56:$L$71, 0, 0),
        0, 0)
)</f>
        <v>4.33</v>
      </c>
      <c r="K1901" t="s">
        <v>46</v>
      </c>
      <c r="L1901" t="s">
        <v>13</v>
      </c>
      <c r="M1901">
        <v>2</v>
      </c>
      <c r="N1901" t="str">
        <f t="shared" si="29"/>
        <v>INSERT INTO TNL_RATING.dbo.usps_rate_master VALUES ('USPS', '2/13/2025', '2/13/2026', 12659, 'US', 'USPS Ground Advantage', 5, 5, 'O', 4.33, 'Wedgewood_USPS_2025', 'NonCubic','2');</v>
      </c>
    </row>
    <row r="1902" spans="1:14" x14ac:dyDescent="0.3">
      <c r="A1902" t="s">
        <v>11</v>
      </c>
      <c r="B1902" s="1" t="s">
        <v>43</v>
      </c>
      <c r="C1902" s="1" t="s">
        <v>44</v>
      </c>
      <c r="D1902">
        <v>12659</v>
      </c>
      <c r="E1902" t="s">
        <v>12</v>
      </c>
      <c r="F1902" t="s">
        <v>51</v>
      </c>
      <c r="G1902">
        <v>5</v>
      </c>
      <c r="H1902">
        <v>6</v>
      </c>
      <c r="I1902" t="s">
        <v>52</v>
      </c>
      <c r="J1902" cm="1">
        <f t="array" ref="J1902">IFERROR(
    _xlfn.XLOOKUP(G1902, 'Wedgewood Pharm-GA-Yr2-2025'!$E$55:$L$55,
        _xlfn.XLOOKUP('Rate Load'!H1902, 'Wedgewood Pharm-GA-Yr2-2025'!$D$56:$D$71,
            'Wedgewood Pharm-GA-Yr2-2025'!$E$56:$L$71, 0, 0),
        0, 0),
    _xlfn.XLOOKUP(G1902, 'Wedgewood Pharm-GA-Yr2-2025'!$E$55:$L$55,
        _xlfn.XLOOKUP('Rate Load'!L1902, 'Wedgewood Pharm-GA-Yr2-2025'!$D$56:$D$71,
            'Wedgewood Pharm-GA-Yr2-2025'!$E$56:$L$71, 0, 0),
        0, 0)
)</f>
        <v>4.33</v>
      </c>
      <c r="K1902" t="s">
        <v>46</v>
      </c>
      <c r="L1902" t="s">
        <v>13</v>
      </c>
      <c r="M1902">
        <v>2</v>
      </c>
      <c r="N1902" t="str">
        <f t="shared" si="29"/>
        <v>INSERT INTO TNL_RATING.dbo.usps_rate_master VALUES ('USPS', '2/13/2025', '2/13/2026', 12659, 'US', 'USPS Ground Advantage', 5, 6, 'O', 4.33, 'Wedgewood_USPS_2025', 'NonCubic','2');</v>
      </c>
    </row>
    <row r="1903" spans="1:14" x14ac:dyDescent="0.3">
      <c r="A1903" t="s">
        <v>11</v>
      </c>
      <c r="B1903" s="1" t="s">
        <v>43</v>
      </c>
      <c r="C1903" s="1" t="s">
        <v>44</v>
      </c>
      <c r="D1903">
        <v>12659</v>
      </c>
      <c r="E1903" t="s">
        <v>12</v>
      </c>
      <c r="F1903" t="s">
        <v>51</v>
      </c>
      <c r="G1903">
        <v>5</v>
      </c>
      <c r="H1903">
        <v>7</v>
      </c>
      <c r="I1903" t="s">
        <v>52</v>
      </c>
      <c r="J1903" cm="1">
        <f t="array" ref="J1903">IFERROR(
    _xlfn.XLOOKUP(G1903, 'Wedgewood Pharm-GA-Yr2-2025'!$E$55:$L$55,
        _xlfn.XLOOKUP('Rate Load'!H1903, 'Wedgewood Pharm-GA-Yr2-2025'!$D$56:$D$71,
            'Wedgewood Pharm-GA-Yr2-2025'!$E$56:$L$71, 0, 0),
        0, 0),
    _xlfn.XLOOKUP(G1903, 'Wedgewood Pharm-GA-Yr2-2025'!$E$55:$L$55,
        _xlfn.XLOOKUP('Rate Load'!L1903, 'Wedgewood Pharm-GA-Yr2-2025'!$D$56:$D$71,
            'Wedgewood Pharm-GA-Yr2-2025'!$E$56:$L$71, 0, 0),
        0, 0)
)</f>
        <v>4.33</v>
      </c>
      <c r="K1903" t="s">
        <v>46</v>
      </c>
      <c r="L1903" t="s">
        <v>13</v>
      </c>
      <c r="M1903">
        <v>2</v>
      </c>
      <c r="N1903" t="str">
        <f t="shared" si="29"/>
        <v>INSERT INTO TNL_RATING.dbo.usps_rate_master VALUES ('USPS', '2/13/2025', '2/13/2026', 12659, 'US', 'USPS Ground Advantage', 5, 7, 'O', 4.33, 'Wedgewood_USPS_2025', 'NonCubic','2');</v>
      </c>
    </row>
    <row r="1904" spans="1:14" x14ac:dyDescent="0.3">
      <c r="A1904" t="s">
        <v>11</v>
      </c>
      <c r="B1904" s="1" t="s">
        <v>43</v>
      </c>
      <c r="C1904" s="1" t="s">
        <v>44</v>
      </c>
      <c r="D1904">
        <v>12659</v>
      </c>
      <c r="E1904" t="s">
        <v>12</v>
      </c>
      <c r="F1904" t="s">
        <v>51</v>
      </c>
      <c r="G1904">
        <v>5</v>
      </c>
      <c r="H1904">
        <v>8</v>
      </c>
      <c r="I1904" t="s">
        <v>52</v>
      </c>
      <c r="J1904" cm="1">
        <f t="array" ref="J1904">IFERROR(
    _xlfn.XLOOKUP(G1904, 'Wedgewood Pharm-GA-Yr2-2025'!$E$55:$L$55,
        _xlfn.XLOOKUP('Rate Load'!H1904, 'Wedgewood Pharm-GA-Yr2-2025'!$D$56:$D$71,
            'Wedgewood Pharm-GA-Yr2-2025'!$E$56:$L$71, 0, 0),
        0, 0),
    _xlfn.XLOOKUP(G1904, 'Wedgewood Pharm-GA-Yr2-2025'!$E$55:$L$55,
        _xlfn.XLOOKUP('Rate Load'!L1904, 'Wedgewood Pharm-GA-Yr2-2025'!$D$56:$D$71,
            'Wedgewood Pharm-GA-Yr2-2025'!$E$56:$L$71, 0, 0),
        0, 0)
)</f>
        <v>4.33</v>
      </c>
      <c r="K1904" t="s">
        <v>46</v>
      </c>
      <c r="L1904" t="s">
        <v>13</v>
      </c>
      <c r="M1904">
        <v>2</v>
      </c>
      <c r="N1904" t="str">
        <f t="shared" si="29"/>
        <v>INSERT INTO TNL_RATING.dbo.usps_rate_master VALUES ('USPS', '2/13/2025', '2/13/2026', 12659, 'US', 'USPS Ground Advantage', 5, 8, 'O', 4.33, 'Wedgewood_USPS_2025', 'NonCubic','2');</v>
      </c>
    </row>
    <row r="1905" spans="1:14" x14ac:dyDescent="0.3">
      <c r="A1905" t="s">
        <v>11</v>
      </c>
      <c r="B1905" s="1" t="s">
        <v>43</v>
      </c>
      <c r="C1905" s="1" t="s">
        <v>44</v>
      </c>
      <c r="D1905">
        <v>12659</v>
      </c>
      <c r="E1905" t="s">
        <v>12</v>
      </c>
      <c r="F1905" t="s">
        <v>51</v>
      </c>
      <c r="G1905">
        <v>5</v>
      </c>
      <c r="H1905">
        <v>9</v>
      </c>
      <c r="I1905" t="s">
        <v>52</v>
      </c>
      <c r="J1905" cm="1">
        <f t="array" ref="J1905">IFERROR(
    _xlfn.XLOOKUP(G1905, 'Wedgewood Pharm-GA-Yr2-2025'!$E$55:$L$55,
        _xlfn.XLOOKUP('Rate Load'!H1905, 'Wedgewood Pharm-GA-Yr2-2025'!$D$56:$D$71,
            'Wedgewood Pharm-GA-Yr2-2025'!$E$56:$L$71, 0, 0),
        0, 0),
    _xlfn.XLOOKUP(G1905, 'Wedgewood Pharm-GA-Yr2-2025'!$E$55:$L$55,
        _xlfn.XLOOKUP('Rate Load'!L1905, 'Wedgewood Pharm-GA-Yr2-2025'!$D$56:$D$71,
            'Wedgewood Pharm-GA-Yr2-2025'!$E$56:$L$71, 0, 0),
        0, 0)
)</f>
        <v>4.88</v>
      </c>
      <c r="K1905" t="s">
        <v>46</v>
      </c>
      <c r="L1905" t="s">
        <v>13</v>
      </c>
      <c r="M1905">
        <v>2</v>
      </c>
      <c r="N1905" t="str">
        <f t="shared" si="29"/>
        <v>INSERT INTO TNL_RATING.dbo.usps_rate_master VALUES ('USPS', '2/13/2025', '2/13/2026', 12659, 'US', 'USPS Ground Advantage', 5, 9, 'O', 4.88, 'Wedgewood_USPS_2025', 'NonCubic','2');</v>
      </c>
    </row>
    <row r="1906" spans="1:14" x14ac:dyDescent="0.3">
      <c r="A1906" t="s">
        <v>11</v>
      </c>
      <c r="B1906" s="1" t="s">
        <v>43</v>
      </c>
      <c r="C1906" s="1" t="s">
        <v>44</v>
      </c>
      <c r="D1906">
        <v>12659</v>
      </c>
      <c r="E1906" t="s">
        <v>12</v>
      </c>
      <c r="F1906" t="s">
        <v>51</v>
      </c>
      <c r="G1906">
        <v>5</v>
      </c>
      <c r="H1906">
        <v>10</v>
      </c>
      <c r="I1906" t="s">
        <v>52</v>
      </c>
      <c r="J1906" cm="1">
        <f t="array" ref="J1906">IFERROR(
    _xlfn.XLOOKUP(G1906, 'Wedgewood Pharm-GA-Yr2-2025'!$E$55:$L$55,
        _xlfn.XLOOKUP('Rate Load'!H1906, 'Wedgewood Pharm-GA-Yr2-2025'!$D$56:$D$71,
            'Wedgewood Pharm-GA-Yr2-2025'!$E$56:$L$71, 0, 0),
        0, 0),
    _xlfn.XLOOKUP(G1906, 'Wedgewood Pharm-GA-Yr2-2025'!$E$55:$L$55,
        _xlfn.XLOOKUP('Rate Load'!L1906, 'Wedgewood Pharm-GA-Yr2-2025'!$D$56:$D$71,
            'Wedgewood Pharm-GA-Yr2-2025'!$E$56:$L$71, 0, 0),
        0, 0)
)</f>
        <v>4.88</v>
      </c>
      <c r="K1906" t="s">
        <v>46</v>
      </c>
      <c r="L1906" t="s">
        <v>13</v>
      </c>
      <c r="M1906">
        <v>2</v>
      </c>
      <c r="N1906" t="str">
        <f t="shared" si="29"/>
        <v>INSERT INTO TNL_RATING.dbo.usps_rate_master VALUES ('USPS', '2/13/2025', '2/13/2026', 12659, 'US', 'USPS Ground Advantage', 5, 10, 'O', 4.88, 'Wedgewood_USPS_2025', 'NonCubic','2');</v>
      </c>
    </row>
    <row r="1907" spans="1:14" x14ac:dyDescent="0.3">
      <c r="A1907" t="s">
        <v>11</v>
      </c>
      <c r="B1907" s="1" t="s">
        <v>43</v>
      </c>
      <c r="C1907" s="1" t="s">
        <v>44</v>
      </c>
      <c r="D1907">
        <v>12659</v>
      </c>
      <c r="E1907" t="s">
        <v>12</v>
      </c>
      <c r="F1907" t="s">
        <v>51</v>
      </c>
      <c r="G1907">
        <v>5</v>
      </c>
      <c r="H1907">
        <v>11</v>
      </c>
      <c r="I1907" t="s">
        <v>52</v>
      </c>
      <c r="J1907" cm="1">
        <f t="array" ref="J1907">IFERROR(
    _xlfn.XLOOKUP(G1907, 'Wedgewood Pharm-GA-Yr2-2025'!$E$55:$L$55,
        _xlfn.XLOOKUP('Rate Load'!H1907, 'Wedgewood Pharm-GA-Yr2-2025'!$D$56:$D$71,
            'Wedgewood Pharm-GA-Yr2-2025'!$E$56:$L$71, 0, 0),
        0, 0),
    _xlfn.XLOOKUP(G1907, 'Wedgewood Pharm-GA-Yr2-2025'!$E$55:$L$55,
        _xlfn.XLOOKUP('Rate Load'!L1907, 'Wedgewood Pharm-GA-Yr2-2025'!$D$56:$D$71,
            'Wedgewood Pharm-GA-Yr2-2025'!$E$56:$L$71, 0, 0),
        0, 0)
)</f>
        <v>4.88</v>
      </c>
      <c r="K1907" t="s">
        <v>46</v>
      </c>
      <c r="L1907" t="s">
        <v>13</v>
      </c>
      <c r="M1907">
        <v>2</v>
      </c>
      <c r="N1907" t="str">
        <f t="shared" si="29"/>
        <v>INSERT INTO TNL_RATING.dbo.usps_rate_master VALUES ('USPS', '2/13/2025', '2/13/2026', 12659, 'US', 'USPS Ground Advantage', 5, 11, 'O', 4.88, 'Wedgewood_USPS_2025', 'NonCubic','2');</v>
      </c>
    </row>
    <row r="1908" spans="1:14" x14ac:dyDescent="0.3">
      <c r="A1908" t="s">
        <v>11</v>
      </c>
      <c r="B1908" s="1" t="s">
        <v>43</v>
      </c>
      <c r="C1908" s="1" t="s">
        <v>44</v>
      </c>
      <c r="D1908">
        <v>12659</v>
      </c>
      <c r="E1908" t="s">
        <v>12</v>
      </c>
      <c r="F1908" t="s">
        <v>51</v>
      </c>
      <c r="G1908">
        <v>5</v>
      </c>
      <c r="H1908">
        <v>12</v>
      </c>
      <c r="I1908" t="s">
        <v>52</v>
      </c>
      <c r="J1908" cm="1">
        <f t="array" ref="J1908">IFERROR(
    _xlfn.XLOOKUP(G1908, 'Wedgewood Pharm-GA-Yr2-2025'!$E$55:$L$55,
        _xlfn.XLOOKUP('Rate Load'!H1908, 'Wedgewood Pharm-GA-Yr2-2025'!$D$56:$D$71,
            'Wedgewood Pharm-GA-Yr2-2025'!$E$56:$L$71, 0, 0),
        0, 0),
    _xlfn.XLOOKUP(G1908, 'Wedgewood Pharm-GA-Yr2-2025'!$E$55:$L$55,
        _xlfn.XLOOKUP('Rate Load'!L1908, 'Wedgewood Pharm-GA-Yr2-2025'!$D$56:$D$71,
            'Wedgewood Pharm-GA-Yr2-2025'!$E$56:$L$71, 0, 0),
        0, 0)
)</f>
        <v>4.88</v>
      </c>
      <c r="K1908" t="s">
        <v>46</v>
      </c>
      <c r="L1908" t="s">
        <v>13</v>
      </c>
      <c r="M1908">
        <v>2</v>
      </c>
      <c r="N1908" t="str">
        <f t="shared" si="29"/>
        <v>INSERT INTO TNL_RATING.dbo.usps_rate_master VALUES ('USPS', '2/13/2025', '2/13/2026', 12659, 'US', 'USPS Ground Advantage', 5, 12, 'O', 4.88, 'Wedgewood_USPS_2025', 'NonCubic','2');</v>
      </c>
    </row>
    <row r="1909" spans="1:14" x14ac:dyDescent="0.3">
      <c r="A1909" t="s">
        <v>11</v>
      </c>
      <c r="B1909" s="1" t="s">
        <v>43</v>
      </c>
      <c r="C1909" s="1" t="s">
        <v>44</v>
      </c>
      <c r="D1909">
        <v>12659</v>
      </c>
      <c r="E1909" t="s">
        <v>12</v>
      </c>
      <c r="F1909" t="s">
        <v>51</v>
      </c>
      <c r="G1909">
        <v>5</v>
      </c>
      <c r="H1909">
        <v>13</v>
      </c>
      <c r="I1909" t="s">
        <v>52</v>
      </c>
      <c r="J1909" cm="1">
        <f t="array" ref="J1909">IFERROR(
    _xlfn.XLOOKUP(G1909, 'Wedgewood Pharm-GA-Yr2-2025'!$E$55:$L$55,
        _xlfn.XLOOKUP('Rate Load'!H1909, 'Wedgewood Pharm-GA-Yr2-2025'!$D$56:$D$71,
            'Wedgewood Pharm-GA-Yr2-2025'!$E$56:$L$71, 0, 0),
        0, 0),
    _xlfn.XLOOKUP(G1909, 'Wedgewood Pharm-GA-Yr2-2025'!$E$55:$L$55,
        _xlfn.XLOOKUP('Rate Load'!L1909, 'Wedgewood Pharm-GA-Yr2-2025'!$D$56:$D$71,
            'Wedgewood Pharm-GA-Yr2-2025'!$E$56:$L$71, 0, 0),
        0, 0)
)</f>
        <v>5.47</v>
      </c>
      <c r="K1909" t="s">
        <v>46</v>
      </c>
      <c r="L1909" t="s">
        <v>13</v>
      </c>
      <c r="M1909">
        <v>2</v>
      </c>
      <c r="N1909" t="str">
        <f t="shared" si="29"/>
        <v>INSERT INTO TNL_RATING.dbo.usps_rate_master VALUES ('USPS', '2/13/2025', '2/13/2026', 12659, 'US', 'USPS Ground Advantage', 5, 13, 'O', 5.47, 'Wedgewood_USPS_2025', 'NonCubic','2');</v>
      </c>
    </row>
    <row r="1910" spans="1:14" x14ac:dyDescent="0.3">
      <c r="A1910" t="s">
        <v>11</v>
      </c>
      <c r="B1910" s="1" t="s">
        <v>43</v>
      </c>
      <c r="C1910" s="1" t="s">
        <v>44</v>
      </c>
      <c r="D1910">
        <v>12659</v>
      </c>
      <c r="E1910" t="s">
        <v>12</v>
      </c>
      <c r="F1910" t="s">
        <v>51</v>
      </c>
      <c r="G1910">
        <v>5</v>
      </c>
      <c r="H1910">
        <v>14</v>
      </c>
      <c r="I1910" t="s">
        <v>52</v>
      </c>
      <c r="J1910" cm="1">
        <f t="array" ref="J1910">IFERROR(
    _xlfn.XLOOKUP(G1910, 'Wedgewood Pharm-GA-Yr2-2025'!$E$55:$L$55,
        _xlfn.XLOOKUP('Rate Load'!H1910, 'Wedgewood Pharm-GA-Yr2-2025'!$D$56:$D$71,
            'Wedgewood Pharm-GA-Yr2-2025'!$E$56:$L$71, 0, 0),
        0, 0),
    _xlfn.XLOOKUP(G1910, 'Wedgewood Pharm-GA-Yr2-2025'!$E$55:$L$55,
        _xlfn.XLOOKUP('Rate Load'!L1910, 'Wedgewood Pharm-GA-Yr2-2025'!$D$56:$D$71,
            'Wedgewood Pharm-GA-Yr2-2025'!$E$56:$L$71, 0, 0),
        0, 0)
)</f>
        <v>5.47</v>
      </c>
      <c r="K1910" t="s">
        <v>46</v>
      </c>
      <c r="L1910" t="s">
        <v>13</v>
      </c>
      <c r="M1910">
        <v>2</v>
      </c>
      <c r="N1910" t="str">
        <f t="shared" si="29"/>
        <v>INSERT INTO TNL_RATING.dbo.usps_rate_master VALUES ('USPS', '2/13/2025', '2/13/2026', 12659, 'US', 'USPS Ground Advantage', 5, 14, 'O', 5.47, 'Wedgewood_USPS_2025', 'NonCubic','2');</v>
      </c>
    </row>
    <row r="1911" spans="1:14" x14ac:dyDescent="0.3">
      <c r="A1911" t="s">
        <v>11</v>
      </c>
      <c r="B1911" s="1" t="s">
        <v>43</v>
      </c>
      <c r="C1911" s="1" t="s">
        <v>44</v>
      </c>
      <c r="D1911">
        <v>12659</v>
      </c>
      <c r="E1911" t="s">
        <v>12</v>
      </c>
      <c r="F1911" t="s">
        <v>51</v>
      </c>
      <c r="G1911">
        <v>5</v>
      </c>
      <c r="H1911">
        <v>15</v>
      </c>
      <c r="I1911" t="s">
        <v>52</v>
      </c>
      <c r="J1911" cm="1">
        <f t="array" ref="J1911">IFERROR(
    _xlfn.XLOOKUP(G1911, 'Wedgewood Pharm-GA-Yr2-2025'!$E$55:$L$55,
        _xlfn.XLOOKUP('Rate Load'!H1911, 'Wedgewood Pharm-GA-Yr2-2025'!$D$56:$D$71,
            'Wedgewood Pharm-GA-Yr2-2025'!$E$56:$L$71, 0, 0),
        0, 0),
    _xlfn.XLOOKUP(G1911, 'Wedgewood Pharm-GA-Yr2-2025'!$E$55:$L$55,
        _xlfn.XLOOKUP('Rate Load'!L1911, 'Wedgewood Pharm-GA-Yr2-2025'!$D$56:$D$71,
            'Wedgewood Pharm-GA-Yr2-2025'!$E$56:$L$71, 0, 0),
        0, 0)
)</f>
        <v>5.47</v>
      </c>
      <c r="K1911" t="s">
        <v>46</v>
      </c>
      <c r="L1911" t="s">
        <v>13</v>
      </c>
      <c r="M1911">
        <v>2</v>
      </c>
      <c r="N1911" t="str">
        <f t="shared" si="29"/>
        <v>INSERT INTO TNL_RATING.dbo.usps_rate_master VALUES ('USPS', '2/13/2025', '2/13/2026', 12659, 'US', 'USPS Ground Advantage', 5, 15, 'O', 5.47, 'Wedgewood_USPS_2025', 'NonCubic','2');</v>
      </c>
    </row>
    <row r="1912" spans="1:14" x14ac:dyDescent="0.3">
      <c r="A1912" t="s">
        <v>11</v>
      </c>
      <c r="B1912" s="1" t="s">
        <v>43</v>
      </c>
      <c r="C1912" s="1" t="s">
        <v>44</v>
      </c>
      <c r="D1912">
        <v>12659</v>
      </c>
      <c r="E1912" t="s">
        <v>12</v>
      </c>
      <c r="F1912" t="s">
        <v>51</v>
      </c>
      <c r="G1912">
        <v>5</v>
      </c>
      <c r="H1912">
        <v>15.999000000000001</v>
      </c>
      <c r="I1912" t="s">
        <v>52</v>
      </c>
      <c r="J1912" cm="1">
        <f t="array" ref="J1912">IFERROR(
    _xlfn.XLOOKUP(G1912, 'Wedgewood Pharm-GA-Yr2-2025'!$E$55:$L$55,
        _xlfn.XLOOKUP('Rate Load'!H1912, 'Wedgewood Pharm-GA-Yr2-2025'!$D$56:$D$71,
            'Wedgewood Pharm-GA-Yr2-2025'!$E$56:$L$71, 0, 0),
        0, 0),
    _xlfn.XLOOKUP(G1912, 'Wedgewood Pharm-GA-Yr2-2025'!$E$55:$L$55,
        _xlfn.XLOOKUP('Rate Load'!L1912, 'Wedgewood Pharm-GA-Yr2-2025'!$D$56:$D$71,
            'Wedgewood Pharm-GA-Yr2-2025'!$E$56:$L$71, 0, 0),
        0, 0)
)</f>
        <v>5.47</v>
      </c>
      <c r="K1912" t="s">
        <v>46</v>
      </c>
      <c r="L1912" t="s">
        <v>13</v>
      </c>
      <c r="M1912">
        <v>2</v>
      </c>
      <c r="N1912" t="str">
        <f t="shared" si="29"/>
        <v>INSERT INTO TNL_RATING.dbo.usps_rate_master VALUES ('USPS', '2/13/2025', '2/13/2026', 12659, 'US', 'USPS Ground Advantage', 5, 15.999, 'O', 5.47, 'Wedgewood_USPS_2025', 'NonCubic','2');</v>
      </c>
    </row>
    <row r="1913" spans="1:14" x14ac:dyDescent="0.3">
      <c r="A1913" t="s">
        <v>11</v>
      </c>
      <c r="B1913" s="1" t="s">
        <v>43</v>
      </c>
      <c r="C1913" s="1" t="s">
        <v>44</v>
      </c>
      <c r="D1913">
        <v>12659</v>
      </c>
      <c r="E1913" t="s">
        <v>12</v>
      </c>
      <c r="F1913" t="s">
        <v>51</v>
      </c>
      <c r="G1913">
        <v>6</v>
      </c>
      <c r="H1913">
        <v>1</v>
      </c>
      <c r="I1913" t="s">
        <v>52</v>
      </c>
      <c r="J1913" cm="1">
        <f t="array" ref="J1913">IFERROR(
    _xlfn.XLOOKUP(G1913, 'Wedgewood Pharm-GA-Yr2-2025'!$E$55:$L$55,
        _xlfn.XLOOKUP('Rate Load'!H1913, 'Wedgewood Pharm-GA-Yr2-2025'!$D$56:$D$71,
            'Wedgewood Pharm-GA-Yr2-2025'!$E$56:$L$71, 0, 0),
        0, 0),
    _xlfn.XLOOKUP(G1913, 'Wedgewood Pharm-GA-Yr2-2025'!$E$55:$L$55,
        _xlfn.XLOOKUP('Rate Load'!L1913, 'Wedgewood Pharm-GA-Yr2-2025'!$D$56:$D$71,
            'Wedgewood Pharm-GA-Yr2-2025'!$E$56:$L$71, 0, 0),
        0, 0)
)</f>
        <v>3.57</v>
      </c>
      <c r="K1913" t="s">
        <v>46</v>
      </c>
      <c r="L1913" t="s">
        <v>13</v>
      </c>
      <c r="M1913">
        <v>2</v>
      </c>
      <c r="N1913" t="str">
        <f t="shared" si="29"/>
        <v>INSERT INTO TNL_RATING.dbo.usps_rate_master VALUES ('USPS', '2/13/2025', '2/13/2026', 12659, 'US', 'USPS Ground Advantage', 6, 1, 'O', 3.57, 'Wedgewood_USPS_2025', 'NonCubic','2');</v>
      </c>
    </row>
    <row r="1914" spans="1:14" x14ac:dyDescent="0.3">
      <c r="A1914" t="s">
        <v>11</v>
      </c>
      <c r="B1914" s="1" t="s">
        <v>43</v>
      </c>
      <c r="C1914" s="1" t="s">
        <v>44</v>
      </c>
      <c r="D1914">
        <v>12659</v>
      </c>
      <c r="E1914" t="s">
        <v>12</v>
      </c>
      <c r="F1914" t="s">
        <v>51</v>
      </c>
      <c r="G1914">
        <v>6</v>
      </c>
      <c r="H1914">
        <v>2</v>
      </c>
      <c r="I1914" t="s">
        <v>52</v>
      </c>
      <c r="J1914" cm="1">
        <f t="array" ref="J1914">IFERROR(
    _xlfn.XLOOKUP(G1914, 'Wedgewood Pharm-GA-Yr2-2025'!$E$55:$L$55,
        _xlfn.XLOOKUP('Rate Load'!H1914, 'Wedgewood Pharm-GA-Yr2-2025'!$D$56:$D$71,
            'Wedgewood Pharm-GA-Yr2-2025'!$E$56:$L$71, 0, 0),
        0, 0),
    _xlfn.XLOOKUP(G1914, 'Wedgewood Pharm-GA-Yr2-2025'!$E$55:$L$55,
        _xlfn.XLOOKUP('Rate Load'!L1914, 'Wedgewood Pharm-GA-Yr2-2025'!$D$56:$D$71,
            'Wedgewood Pharm-GA-Yr2-2025'!$E$56:$L$71, 0, 0),
        0, 0)
)</f>
        <v>3.57</v>
      </c>
      <c r="K1914" t="s">
        <v>46</v>
      </c>
      <c r="L1914" t="s">
        <v>13</v>
      </c>
      <c r="M1914">
        <v>2</v>
      </c>
      <c r="N1914" t="str">
        <f t="shared" si="29"/>
        <v>INSERT INTO TNL_RATING.dbo.usps_rate_master VALUES ('USPS', '2/13/2025', '2/13/2026', 12659, 'US', 'USPS Ground Advantage', 6, 2, 'O', 3.57, 'Wedgewood_USPS_2025', 'NonCubic','2');</v>
      </c>
    </row>
    <row r="1915" spans="1:14" x14ac:dyDescent="0.3">
      <c r="A1915" t="s">
        <v>11</v>
      </c>
      <c r="B1915" s="1" t="s">
        <v>43</v>
      </c>
      <c r="C1915" s="1" t="s">
        <v>44</v>
      </c>
      <c r="D1915">
        <v>12659</v>
      </c>
      <c r="E1915" t="s">
        <v>12</v>
      </c>
      <c r="F1915" t="s">
        <v>51</v>
      </c>
      <c r="G1915">
        <v>6</v>
      </c>
      <c r="H1915">
        <v>3</v>
      </c>
      <c r="I1915" t="s">
        <v>52</v>
      </c>
      <c r="J1915" cm="1">
        <f t="array" ref="J1915">IFERROR(
    _xlfn.XLOOKUP(G1915, 'Wedgewood Pharm-GA-Yr2-2025'!$E$55:$L$55,
        _xlfn.XLOOKUP('Rate Load'!H1915, 'Wedgewood Pharm-GA-Yr2-2025'!$D$56:$D$71,
            'Wedgewood Pharm-GA-Yr2-2025'!$E$56:$L$71, 0, 0),
        0, 0),
    _xlfn.XLOOKUP(G1915, 'Wedgewood Pharm-GA-Yr2-2025'!$E$55:$L$55,
        _xlfn.XLOOKUP('Rate Load'!L1915, 'Wedgewood Pharm-GA-Yr2-2025'!$D$56:$D$71,
            'Wedgewood Pharm-GA-Yr2-2025'!$E$56:$L$71, 0, 0),
        0, 0)
)</f>
        <v>3.57</v>
      </c>
      <c r="K1915" t="s">
        <v>46</v>
      </c>
      <c r="L1915" t="s">
        <v>13</v>
      </c>
      <c r="M1915">
        <v>2</v>
      </c>
      <c r="N1915" t="str">
        <f t="shared" si="29"/>
        <v>INSERT INTO TNL_RATING.dbo.usps_rate_master VALUES ('USPS', '2/13/2025', '2/13/2026', 12659, 'US', 'USPS Ground Advantage', 6, 3, 'O', 3.57, 'Wedgewood_USPS_2025', 'NonCubic','2');</v>
      </c>
    </row>
    <row r="1916" spans="1:14" x14ac:dyDescent="0.3">
      <c r="A1916" t="s">
        <v>11</v>
      </c>
      <c r="B1916" s="1" t="s">
        <v>43</v>
      </c>
      <c r="C1916" s="1" t="s">
        <v>44</v>
      </c>
      <c r="D1916">
        <v>12659</v>
      </c>
      <c r="E1916" t="s">
        <v>12</v>
      </c>
      <c r="F1916" t="s">
        <v>51</v>
      </c>
      <c r="G1916">
        <v>6</v>
      </c>
      <c r="H1916">
        <v>4</v>
      </c>
      <c r="I1916" t="s">
        <v>52</v>
      </c>
      <c r="J1916" cm="1">
        <f t="array" ref="J1916">IFERROR(
    _xlfn.XLOOKUP(G1916, 'Wedgewood Pharm-GA-Yr2-2025'!$E$55:$L$55,
        _xlfn.XLOOKUP('Rate Load'!H1916, 'Wedgewood Pharm-GA-Yr2-2025'!$D$56:$D$71,
            'Wedgewood Pharm-GA-Yr2-2025'!$E$56:$L$71, 0, 0),
        0, 0),
    _xlfn.XLOOKUP(G1916, 'Wedgewood Pharm-GA-Yr2-2025'!$E$55:$L$55,
        _xlfn.XLOOKUP('Rate Load'!L1916, 'Wedgewood Pharm-GA-Yr2-2025'!$D$56:$D$71,
            'Wedgewood Pharm-GA-Yr2-2025'!$E$56:$L$71, 0, 0),
        0, 0)
)</f>
        <v>3.57</v>
      </c>
      <c r="K1916" t="s">
        <v>46</v>
      </c>
      <c r="L1916" t="s">
        <v>13</v>
      </c>
      <c r="M1916">
        <v>2</v>
      </c>
      <c r="N1916" t="str">
        <f t="shared" si="29"/>
        <v>INSERT INTO TNL_RATING.dbo.usps_rate_master VALUES ('USPS', '2/13/2025', '2/13/2026', 12659, 'US', 'USPS Ground Advantage', 6, 4, 'O', 3.57, 'Wedgewood_USPS_2025', 'NonCubic','2');</v>
      </c>
    </row>
    <row r="1917" spans="1:14" x14ac:dyDescent="0.3">
      <c r="A1917" t="s">
        <v>11</v>
      </c>
      <c r="B1917" s="1" t="s">
        <v>43</v>
      </c>
      <c r="C1917" s="1" t="s">
        <v>44</v>
      </c>
      <c r="D1917">
        <v>12659</v>
      </c>
      <c r="E1917" t="s">
        <v>12</v>
      </c>
      <c r="F1917" t="s">
        <v>51</v>
      </c>
      <c r="G1917">
        <v>6</v>
      </c>
      <c r="H1917">
        <v>5</v>
      </c>
      <c r="I1917" t="s">
        <v>52</v>
      </c>
      <c r="J1917" cm="1">
        <f t="array" ref="J1917">IFERROR(
    _xlfn.XLOOKUP(G1917, 'Wedgewood Pharm-GA-Yr2-2025'!$E$55:$L$55,
        _xlfn.XLOOKUP('Rate Load'!H1917, 'Wedgewood Pharm-GA-Yr2-2025'!$D$56:$D$71,
            'Wedgewood Pharm-GA-Yr2-2025'!$E$56:$L$71, 0, 0),
        0, 0),
    _xlfn.XLOOKUP(G1917, 'Wedgewood Pharm-GA-Yr2-2025'!$E$55:$L$55,
        _xlfn.XLOOKUP('Rate Load'!L1917, 'Wedgewood Pharm-GA-Yr2-2025'!$D$56:$D$71,
            'Wedgewood Pharm-GA-Yr2-2025'!$E$56:$L$71, 0, 0),
        0, 0)
)</f>
        <v>4.37</v>
      </c>
      <c r="K1917" t="s">
        <v>46</v>
      </c>
      <c r="L1917" t="s">
        <v>13</v>
      </c>
      <c r="M1917">
        <v>2</v>
      </c>
      <c r="N1917" t="str">
        <f t="shared" si="29"/>
        <v>INSERT INTO TNL_RATING.dbo.usps_rate_master VALUES ('USPS', '2/13/2025', '2/13/2026', 12659, 'US', 'USPS Ground Advantage', 6, 5, 'O', 4.37, 'Wedgewood_USPS_2025', 'NonCubic','2');</v>
      </c>
    </row>
    <row r="1918" spans="1:14" x14ac:dyDescent="0.3">
      <c r="A1918" t="s">
        <v>11</v>
      </c>
      <c r="B1918" s="1" t="s">
        <v>43</v>
      </c>
      <c r="C1918" s="1" t="s">
        <v>44</v>
      </c>
      <c r="D1918">
        <v>12659</v>
      </c>
      <c r="E1918" t="s">
        <v>12</v>
      </c>
      <c r="F1918" t="s">
        <v>51</v>
      </c>
      <c r="G1918">
        <v>6</v>
      </c>
      <c r="H1918">
        <v>6</v>
      </c>
      <c r="I1918" t="s">
        <v>52</v>
      </c>
      <c r="J1918" cm="1">
        <f t="array" ref="J1918">IFERROR(
    _xlfn.XLOOKUP(G1918, 'Wedgewood Pharm-GA-Yr2-2025'!$E$55:$L$55,
        _xlfn.XLOOKUP('Rate Load'!H1918, 'Wedgewood Pharm-GA-Yr2-2025'!$D$56:$D$71,
            'Wedgewood Pharm-GA-Yr2-2025'!$E$56:$L$71, 0, 0),
        0, 0),
    _xlfn.XLOOKUP(G1918, 'Wedgewood Pharm-GA-Yr2-2025'!$E$55:$L$55,
        _xlfn.XLOOKUP('Rate Load'!L1918, 'Wedgewood Pharm-GA-Yr2-2025'!$D$56:$D$71,
            'Wedgewood Pharm-GA-Yr2-2025'!$E$56:$L$71, 0, 0),
        0, 0)
)</f>
        <v>4.37</v>
      </c>
      <c r="K1918" t="s">
        <v>46</v>
      </c>
      <c r="L1918" t="s">
        <v>13</v>
      </c>
      <c r="M1918">
        <v>2</v>
      </c>
      <c r="N1918" t="str">
        <f t="shared" si="29"/>
        <v>INSERT INTO TNL_RATING.dbo.usps_rate_master VALUES ('USPS', '2/13/2025', '2/13/2026', 12659, 'US', 'USPS Ground Advantage', 6, 6, 'O', 4.37, 'Wedgewood_USPS_2025', 'NonCubic','2');</v>
      </c>
    </row>
    <row r="1919" spans="1:14" x14ac:dyDescent="0.3">
      <c r="A1919" t="s">
        <v>11</v>
      </c>
      <c r="B1919" s="1" t="s">
        <v>43</v>
      </c>
      <c r="C1919" s="1" t="s">
        <v>44</v>
      </c>
      <c r="D1919">
        <v>12659</v>
      </c>
      <c r="E1919" t="s">
        <v>12</v>
      </c>
      <c r="F1919" t="s">
        <v>51</v>
      </c>
      <c r="G1919">
        <v>6</v>
      </c>
      <c r="H1919">
        <v>7</v>
      </c>
      <c r="I1919" t="s">
        <v>52</v>
      </c>
      <c r="J1919" cm="1">
        <f t="array" ref="J1919">IFERROR(
    _xlfn.XLOOKUP(G1919, 'Wedgewood Pharm-GA-Yr2-2025'!$E$55:$L$55,
        _xlfn.XLOOKUP('Rate Load'!H1919, 'Wedgewood Pharm-GA-Yr2-2025'!$D$56:$D$71,
            'Wedgewood Pharm-GA-Yr2-2025'!$E$56:$L$71, 0, 0),
        0, 0),
    _xlfn.XLOOKUP(G1919, 'Wedgewood Pharm-GA-Yr2-2025'!$E$55:$L$55,
        _xlfn.XLOOKUP('Rate Load'!L1919, 'Wedgewood Pharm-GA-Yr2-2025'!$D$56:$D$71,
            'Wedgewood Pharm-GA-Yr2-2025'!$E$56:$L$71, 0, 0),
        0, 0)
)</f>
        <v>4.37</v>
      </c>
      <c r="K1919" t="s">
        <v>46</v>
      </c>
      <c r="L1919" t="s">
        <v>13</v>
      </c>
      <c r="M1919">
        <v>2</v>
      </c>
      <c r="N1919" t="str">
        <f t="shared" si="29"/>
        <v>INSERT INTO TNL_RATING.dbo.usps_rate_master VALUES ('USPS', '2/13/2025', '2/13/2026', 12659, 'US', 'USPS Ground Advantage', 6, 7, 'O', 4.37, 'Wedgewood_USPS_2025', 'NonCubic','2');</v>
      </c>
    </row>
    <row r="1920" spans="1:14" x14ac:dyDescent="0.3">
      <c r="A1920" t="s">
        <v>11</v>
      </c>
      <c r="B1920" s="1" t="s">
        <v>43</v>
      </c>
      <c r="C1920" s="1" t="s">
        <v>44</v>
      </c>
      <c r="D1920">
        <v>12659</v>
      </c>
      <c r="E1920" t="s">
        <v>12</v>
      </c>
      <c r="F1920" t="s">
        <v>51</v>
      </c>
      <c r="G1920">
        <v>6</v>
      </c>
      <c r="H1920">
        <v>8</v>
      </c>
      <c r="I1920" t="s">
        <v>52</v>
      </c>
      <c r="J1920" cm="1">
        <f t="array" ref="J1920">IFERROR(
    _xlfn.XLOOKUP(G1920, 'Wedgewood Pharm-GA-Yr2-2025'!$E$55:$L$55,
        _xlfn.XLOOKUP('Rate Load'!H1920, 'Wedgewood Pharm-GA-Yr2-2025'!$D$56:$D$71,
            'Wedgewood Pharm-GA-Yr2-2025'!$E$56:$L$71, 0, 0),
        0, 0),
    _xlfn.XLOOKUP(G1920, 'Wedgewood Pharm-GA-Yr2-2025'!$E$55:$L$55,
        _xlfn.XLOOKUP('Rate Load'!L1920, 'Wedgewood Pharm-GA-Yr2-2025'!$D$56:$D$71,
            'Wedgewood Pharm-GA-Yr2-2025'!$E$56:$L$71, 0, 0),
        0, 0)
)</f>
        <v>4.37</v>
      </c>
      <c r="K1920" t="s">
        <v>46</v>
      </c>
      <c r="L1920" t="s">
        <v>13</v>
      </c>
      <c r="M1920">
        <v>2</v>
      </c>
      <c r="N1920" t="str">
        <f t="shared" si="29"/>
        <v>INSERT INTO TNL_RATING.dbo.usps_rate_master VALUES ('USPS', '2/13/2025', '2/13/2026', 12659, 'US', 'USPS Ground Advantage', 6, 8, 'O', 4.37, 'Wedgewood_USPS_2025', 'NonCubic','2');</v>
      </c>
    </row>
    <row r="1921" spans="1:14" x14ac:dyDescent="0.3">
      <c r="A1921" t="s">
        <v>11</v>
      </c>
      <c r="B1921" s="1" t="s">
        <v>43</v>
      </c>
      <c r="C1921" s="1" t="s">
        <v>44</v>
      </c>
      <c r="D1921">
        <v>12659</v>
      </c>
      <c r="E1921" t="s">
        <v>12</v>
      </c>
      <c r="F1921" t="s">
        <v>51</v>
      </c>
      <c r="G1921">
        <v>6</v>
      </c>
      <c r="H1921">
        <v>9</v>
      </c>
      <c r="I1921" t="s">
        <v>52</v>
      </c>
      <c r="J1921" cm="1">
        <f t="array" ref="J1921">IFERROR(
    _xlfn.XLOOKUP(G1921, 'Wedgewood Pharm-GA-Yr2-2025'!$E$55:$L$55,
        _xlfn.XLOOKUP('Rate Load'!H1921, 'Wedgewood Pharm-GA-Yr2-2025'!$D$56:$D$71,
            'Wedgewood Pharm-GA-Yr2-2025'!$E$56:$L$71, 0, 0),
        0, 0),
    _xlfn.XLOOKUP(G1921, 'Wedgewood Pharm-GA-Yr2-2025'!$E$55:$L$55,
        _xlfn.XLOOKUP('Rate Load'!L1921, 'Wedgewood Pharm-GA-Yr2-2025'!$D$56:$D$71,
            'Wedgewood Pharm-GA-Yr2-2025'!$E$56:$L$71, 0, 0),
        0, 0)
)</f>
        <v>5.04</v>
      </c>
      <c r="K1921" t="s">
        <v>46</v>
      </c>
      <c r="L1921" t="s">
        <v>13</v>
      </c>
      <c r="M1921">
        <v>2</v>
      </c>
      <c r="N1921" t="str">
        <f t="shared" si="29"/>
        <v>INSERT INTO TNL_RATING.dbo.usps_rate_master VALUES ('USPS', '2/13/2025', '2/13/2026', 12659, 'US', 'USPS Ground Advantage', 6, 9, 'O', 5.04, 'Wedgewood_USPS_2025', 'NonCubic','2');</v>
      </c>
    </row>
    <row r="1922" spans="1:14" x14ac:dyDescent="0.3">
      <c r="A1922" t="s">
        <v>11</v>
      </c>
      <c r="B1922" s="1" t="s">
        <v>43</v>
      </c>
      <c r="C1922" s="1" t="s">
        <v>44</v>
      </c>
      <c r="D1922">
        <v>12659</v>
      </c>
      <c r="E1922" t="s">
        <v>12</v>
      </c>
      <c r="F1922" t="s">
        <v>51</v>
      </c>
      <c r="G1922">
        <v>6</v>
      </c>
      <c r="H1922">
        <v>10</v>
      </c>
      <c r="I1922" t="s">
        <v>52</v>
      </c>
      <c r="J1922" cm="1">
        <f t="array" ref="J1922">IFERROR(
    _xlfn.XLOOKUP(G1922, 'Wedgewood Pharm-GA-Yr2-2025'!$E$55:$L$55,
        _xlfn.XLOOKUP('Rate Load'!H1922, 'Wedgewood Pharm-GA-Yr2-2025'!$D$56:$D$71,
            'Wedgewood Pharm-GA-Yr2-2025'!$E$56:$L$71, 0, 0),
        0, 0),
    _xlfn.XLOOKUP(G1922, 'Wedgewood Pharm-GA-Yr2-2025'!$E$55:$L$55,
        _xlfn.XLOOKUP('Rate Load'!L1922, 'Wedgewood Pharm-GA-Yr2-2025'!$D$56:$D$71,
            'Wedgewood Pharm-GA-Yr2-2025'!$E$56:$L$71, 0, 0),
        0, 0)
)</f>
        <v>5.04</v>
      </c>
      <c r="K1922" t="s">
        <v>46</v>
      </c>
      <c r="L1922" t="s">
        <v>13</v>
      </c>
      <c r="M1922">
        <v>2</v>
      </c>
      <c r="N1922" t="str">
        <f t="shared" si="29"/>
        <v>INSERT INTO TNL_RATING.dbo.usps_rate_master VALUES ('USPS', '2/13/2025', '2/13/2026', 12659, 'US', 'USPS Ground Advantage', 6, 10, 'O', 5.04, 'Wedgewood_USPS_2025', 'NonCubic','2');</v>
      </c>
    </row>
    <row r="1923" spans="1:14" x14ac:dyDescent="0.3">
      <c r="A1923" t="s">
        <v>11</v>
      </c>
      <c r="B1923" s="1" t="s">
        <v>43</v>
      </c>
      <c r="C1923" s="1" t="s">
        <v>44</v>
      </c>
      <c r="D1923">
        <v>12659</v>
      </c>
      <c r="E1923" t="s">
        <v>12</v>
      </c>
      <c r="F1923" t="s">
        <v>51</v>
      </c>
      <c r="G1923">
        <v>6</v>
      </c>
      <c r="H1923">
        <v>11</v>
      </c>
      <c r="I1923" t="s">
        <v>52</v>
      </c>
      <c r="J1923" cm="1">
        <f t="array" ref="J1923">IFERROR(
    _xlfn.XLOOKUP(G1923, 'Wedgewood Pharm-GA-Yr2-2025'!$E$55:$L$55,
        _xlfn.XLOOKUP('Rate Load'!H1923, 'Wedgewood Pharm-GA-Yr2-2025'!$D$56:$D$71,
            'Wedgewood Pharm-GA-Yr2-2025'!$E$56:$L$71, 0, 0),
        0, 0),
    _xlfn.XLOOKUP(G1923, 'Wedgewood Pharm-GA-Yr2-2025'!$E$55:$L$55,
        _xlfn.XLOOKUP('Rate Load'!L1923, 'Wedgewood Pharm-GA-Yr2-2025'!$D$56:$D$71,
            'Wedgewood Pharm-GA-Yr2-2025'!$E$56:$L$71, 0, 0),
        0, 0)
)</f>
        <v>5.04</v>
      </c>
      <c r="K1923" t="s">
        <v>46</v>
      </c>
      <c r="L1923" t="s">
        <v>13</v>
      </c>
      <c r="M1923">
        <v>2</v>
      </c>
      <c r="N1923" t="str">
        <f t="shared" ref="N1923:N1986" si="30">"INSERT INTO TNL_RATING.dbo.usps_rate_master VALUES ('" &amp; A1923 &amp; "', '" &amp; B1923 &amp; "', '" &amp; C1923 &amp; "', " &amp; D1923 &amp; ", '" &amp; E1923 &amp; "', '" &amp; F1923 &amp; "', " &amp; G1923 &amp; ", " &amp; H1923 &amp; ", '" &amp; I1923 &amp; "', " &amp; J1923 &amp; ", '" &amp; K1923 &amp; "', '" &amp; L1923 &amp; "','" &amp; M1923 &amp; "');"</f>
        <v>INSERT INTO TNL_RATING.dbo.usps_rate_master VALUES ('USPS', '2/13/2025', '2/13/2026', 12659, 'US', 'USPS Ground Advantage', 6, 11, 'O', 5.04, 'Wedgewood_USPS_2025', 'NonCubic','2');</v>
      </c>
    </row>
    <row r="1924" spans="1:14" x14ac:dyDescent="0.3">
      <c r="A1924" t="s">
        <v>11</v>
      </c>
      <c r="B1924" s="1" t="s">
        <v>43</v>
      </c>
      <c r="C1924" s="1" t="s">
        <v>44</v>
      </c>
      <c r="D1924">
        <v>12659</v>
      </c>
      <c r="E1924" t="s">
        <v>12</v>
      </c>
      <c r="F1924" t="s">
        <v>51</v>
      </c>
      <c r="G1924">
        <v>6</v>
      </c>
      <c r="H1924">
        <v>12</v>
      </c>
      <c r="I1924" t="s">
        <v>52</v>
      </c>
      <c r="J1924" cm="1">
        <f t="array" ref="J1924">IFERROR(
    _xlfn.XLOOKUP(G1924, 'Wedgewood Pharm-GA-Yr2-2025'!$E$55:$L$55,
        _xlfn.XLOOKUP('Rate Load'!H1924, 'Wedgewood Pharm-GA-Yr2-2025'!$D$56:$D$71,
            'Wedgewood Pharm-GA-Yr2-2025'!$E$56:$L$71, 0, 0),
        0, 0),
    _xlfn.XLOOKUP(G1924, 'Wedgewood Pharm-GA-Yr2-2025'!$E$55:$L$55,
        _xlfn.XLOOKUP('Rate Load'!L1924, 'Wedgewood Pharm-GA-Yr2-2025'!$D$56:$D$71,
            'Wedgewood Pharm-GA-Yr2-2025'!$E$56:$L$71, 0, 0),
        0, 0)
)</f>
        <v>5.04</v>
      </c>
      <c r="K1924" t="s">
        <v>46</v>
      </c>
      <c r="L1924" t="s">
        <v>13</v>
      </c>
      <c r="M1924">
        <v>2</v>
      </c>
      <c r="N1924" t="str">
        <f t="shared" si="30"/>
        <v>INSERT INTO TNL_RATING.dbo.usps_rate_master VALUES ('USPS', '2/13/2025', '2/13/2026', 12659, 'US', 'USPS Ground Advantage', 6, 12, 'O', 5.04, 'Wedgewood_USPS_2025', 'NonCubic','2');</v>
      </c>
    </row>
    <row r="1925" spans="1:14" x14ac:dyDescent="0.3">
      <c r="A1925" t="s">
        <v>11</v>
      </c>
      <c r="B1925" s="1" t="s">
        <v>43</v>
      </c>
      <c r="C1925" s="1" t="s">
        <v>44</v>
      </c>
      <c r="D1925">
        <v>12659</v>
      </c>
      <c r="E1925" t="s">
        <v>12</v>
      </c>
      <c r="F1925" t="s">
        <v>51</v>
      </c>
      <c r="G1925">
        <v>6</v>
      </c>
      <c r="H1925">
        <v>13</v>
      </c>
      <c r="I1925" t="s">
        <v>52</v>
      </c>
      <c r="J1925" cm="1">
        <f t="array" ref="J1925">IFERROR(
    _xlfn.XLOOKUP(G1925, 'Wedgewood Pharm-GA-Yr2-2025'!$E$55:$L$55,
        _xlfn.XLOOKUP('Rate Load'!H1925, 'Wedgewood Pharm-GA-Yr2-2025'!$D$56:$D$71,
            'Wedgewood Pharm-GA-Yr2-2025'!$E$56:$L$71, 0, 0),
        0, 0),
    _xlfn.XLOOKUP(G1925, 'Wedgewood Pharm-GA-Yr2-2025'!$E$55:$L$55,
        _xlfn.XLOOKUP('Rate Load'!L1925, 'Wedgewood Pharm-GA-Yr2-2025'!$D$56:$D$71,
            'Wedgewood Pharm-GA-Yr2-2025'!$E$56:$L$71, 0, 0),
        0, 0)
)</f>
        <v>5.67</v>
      </c>
      <c r="K1925" t="s">
        <v>46</v>
      </c>
      <c r="L1925" t="s">
        <v>13</v>
      </c>
      <c r="M1925">
        <v>2</v>
      </c>
      <c r="N1925" t="str">
        <f t="shared" si="30"/>
        <v>INSERT INTO TNL_RATING.dbo.usps_rate_master VALUES ('USPS', '2/13/2025', '2/13/2026', 12659, 'US', 'USPS Ground Advantage', 6, 13, 'O', 5.67, 'Wedgewood_USPS_2025', 'NonCubic','2');</v>
      </c>
    </row>
    <row r="1926" spans="1:14" x14ac:dyDescent="0.3">
      <c r="A1926" t="s">
        <v>11</v>
      </c>
      <c r="B1926" s="1" t="s">
        <v>43</v>
      </c>
      <c r="C1926" s="1" t="s">
        <v>44</v>
      </c>
      <c r="D1926">
        <v>12659</v>
      </c>
      <c r="E1926" t="s">
        <v>12</v>
      </c>
      <c r="F1926" t="s">
        <v>51</v>
      </c>
      <c r="G1926">
        <v>6</v>
      </c>
      <c r="H1926">
        <v>14</v>
      </c>
      <c r="I1926" t="s">
        <v>52</v>
      </c>
      <c r="J1926" cm="1">
        <f t="array" ref="J1926">IFERROR(
    _xlfn.XLOOKUP(G1926, 'Wedgewood Pharm-GA-Yr2-2025'!$E$55:$L$55,
        _xlfn.XLOOKUP('Rate Load'!H1926, 'Wedgewood Pharm-GA-Yr2-2025'!$D$56:$D$71,
            'Wedgewood Pharm-GA-Yr2-2025'!$E$56:$L$71, 0, 0),
        0, 0),
    _xlfn.XLOOKUP(G1926, 'Wedgewood Pharm-GA-Yr2-2025'!$E$55:$L$55,
        _xlfn.XLOOKUP('Rate Load'!L1926, 'Wedgewood Pharm-GA-Yr2-2025'!$D$56:$D$71,
            'Wedgewood Pharm-GA-Yr2-2025'!$E$56:$L$71, 0, 0),
        0, 0)
)</f>
        <v>5.67</v>
      </c>
      <c r="K1926" t="s">
        <v>46</v>
      </c>
      <c r="L1926" t="s">
        <v>13</v>
      </c>
      <c r="M1926">
        <v>2</v>
      </c>
      <c r="N1926" t="str">
        <f t="shared" si="30"/>
        <v>INSERT INTO TNL_RATING.dbo.usps_rate_master VALUES ('USPS', '2/13/2025', '2/13/2026', 12659, 'US', 'USPS Ground Advantage', 6, 14, 'O', 5.67, 'Wedgewood_USPS_2025', 'NonCubic','2');</v>
      </c>
    </row>
    <row r="1927" spans="1:14" x14ac:dyDescent="0.3">
      <c r="A1927" t="s">
        <v>11</v>
      </c>
      <c r="B1927" s="1" t="s">
        <v>43</v>
      </c>
      <c r="C1927" s="1" t="s">
        <v>44</v>
      </c>
      <c r="D1927">
        <v>12659</v>
      </c>
      <c r="E1927" t="s">
        <v>12</v>
      </c>
      <c r="F1927" t="s">
        <v>51</v>
      </c>
      <c r="G1927">
        <v>6</v>
      </c>
      <c r="H1927">
        <v>15</v>
      </c>
      <c r="I1927" t="s">
        <v>52</v>
      </c>
      <c r="J1927" cm="1">
        <f t="array" ref="J1927">IFERROR(
    _xlfn.XLOOKUP(G1927, 'Wedgewood Pharm-GA-Yr2-2025'!$E$55:$L$55,
        _xlfn.XLOOKUP('Rate Load'!H1927, 'Wedgewood Pharm-GA-Yr2-2025'!$D$56:$D$71,
            'Wedgewood Pharm-GA-Yr2-2025'!$E$56:$L$71, 0, 0),
        0, 0),
    _xlfn.XLOOKUP(G1927, 'Wedgewood Pharm-GA-Yr2-2025'!$E$55:$L$55,
        _xlfn.XLOOKUP('Rate Load'!L1927, 'Wedgewood Pharm-GA-Yr2-2025'!$D$56:$D$71,
            'Wedgewood Pharm-GA-Yr2-2025'!$E$56:$L$71, 0, 0),
        0, 0)
)</f>
        <v>5.67</v>
      </c>
      <c r="K1927" t="s">
        <v>46</v>
      </c>
      <c r="L1927" t="s">
        <v>13</v>
      </c>
      <c r="M1927">
        <v>2</v>
      </c>
      <c r="N1927" t="str">
        <f t="shared" si="30"/>
        <v>INSERT INTO TNL_RATING.dbo.usps_rate_master VALUES ('USPS', '2/13/2025', '2/13/2026', 12659, 'US', 'USPS Ground Advantage', 6, 15, 'O', 5.67, 'Wedgewood_USPS_2025', 'NonCubic','2');</v>
      </c>
    </row>
    <row r="1928" spans="1:14" x14ac:dyDescent="0.3">
      <c r="A1928" t="s">
        <v>11</v>
      </c>
      <c r="B1928" s="1" t="s">
        <v>43</v>
      </c>
      <c r="C1928" s="1" t="s">
        <v>44</v>
      </c>
      <c r="D1928">
        <v>12659</v>
      </c>
      <c r="E1928" t="s">
        <v>12</v>
      </c>
      <c r="F1928" t="s">
        <v>51</v>
      </c>
      <c r="G1928">
        <v>6</v>
      </c>
      <c r="H1928">
        <v>15.999000000000001</v>
      </c>
      <c r="I1928" t="s">
        <v>52</v>
      </c>
      <c r="J1928" cm="1">
        <f t="array" ref="J1928">IFERROR(
    _xlfn.XLOOKUP(G1928, 'Wedgewood Pharm-GA-Yr2-2025'!$E$55:$L$55,
        _xlfn.XLOOKUP('Rate Load'!H1928, 'Wedgewood Pharm-GA-Yr2-2025'!$D$56:$D$71,
            'Wedgewood Pharm-GA-Yr2-2025'!$E$56:$L$71, 0, 0),
        0, 0),
    _xlfn.XLOOKUP(G1928, 'Wedgewood Pharm-GA-Yr2-2025'!$E$55:$L$55,
        _xlfn.XLOOKUP('Rate Load'!L1928, 'Wedgewood Pharm-GA-Yr2-2025'!$D$56:$D$71,
            'Wedgewood Pharm-GA-Yr2-2025'!$E$56:$L$71, 0, 0),
        0, 0)
)</f>
        <v>5.67</v>
      </c>
      <c r="K1928" t="s">
        <v>46</v>
      </c>
      <c r="L1928" t="s">
        <v>13</v>
      </c>
      <c r="M1928">
        <v>2</v>
      </c>
      <c r="N1928" t="str">
        <f t="shared" si="30"/>
        <v>INSERT INTO TNL_RATING.dbo.usps_rate_master VALUES ('USPS', '2/13/2025', '2/13/2026', 12659, 'US', 'USPS Ground Advantage', 6, 15.999, 'O', 5.67, 'Wedgewood_USPS_2025', 'NonCubic','2');</v>
      </c>
    </row>
    <row r="1929" spans="1:14" x14ac:dyDescent="0.3">
      <c r="A1929" t="s">
        <v>11</v>
      </c>
      <c r="B1929" s="1" t="s">
        <v>43</v>
      </c>
      <c r="C1929" s="1" t="s">
        <v>44</v>
      </c>
      <c r="D1929">
        <v>12659</v>
      </c>
      <c r="E1929" t="s">
        <v>12</v>
      </c>
      <c r="F1929" t="s">
        <v>51</v>
      </c>
      <c r="G1929">
        <v>7</v>
      </c>
      <c r="H1929">
        <v>1</v>
      </c>
      <c r="I1929" t="s">
        <v>52</v>
      </c>
      <c r="J1929" cm="1">
        <f t="array" ref="J1929">IFERROR(
    _xlfn.XLOOKUP(G1929, 'Wedgewood Pharm-GA-Yr2-2025'!$E$55:$L$55,
        _xlfn.XLOOKUP('Rate Load'!H1929, 'Wedgewood Pharm-GA-Yr2-2025'!$D$56:$D$71,
            'Wedgewood Pharm-GA-Yr2-2025'!$E$56:$L$71, 0, 0),
        0, 0),
    _xlfn.XLOOKUP(G1929, 'Wedgewood Pharm-GA-Yr2-2025'!$E$55:$L$55,
        _xlfn.XLOOKUP('Rate Load'!L1929, 'Wedgewood Pharm-GA-Yr2-2025'!$D$56:$D$71,
            'Wedgewood Pharm-GA-Yr2-2025'!$E$56:$L$71, 0, 0),
        0, 0)
)</f>
        <v>3.6399999999999997</v>
      </c>
      <c r="K1929" t="s">
        <v>46</v>
      </c>
      <c r="L1929" t="s">
        <v>13</v>
      </c>
      <c r="M1929">
        <v>2</v>
      </c>
      <c r="N1929" t="str">
        <f t="shared" si="30"/>
        <v>INSERT INTO TNL_RATING.dbo.usps_rate_master VALUES ('USPS', '2/13/2025', '2/13/2026', 12659, 'US', 'USPS Ground Advantage', 7, 1, 'O', 3.64, 'Wedgewood_USPS_2025', 'NonCubic','2');</v>
      </c>
    </row>
    <row r="1930" spans="1:14" x14ac:dyDescent="0.3">
      <c r="A1930" t="s">
        <v>11</v>
      </c>
      <c r="B1930" s="1" t="s">
        <v>43</v>
      </c>
      <c r="C1930" s="1" t="s">
        <v>44</v>
      </c>
      <c r="D1930">
        <v>12659</v>
      </c>
      <c r="E1930" t="s">
        <v>12</v>
      </c>
      <c r="F1930" t="s">
        <v>51</v>
      </c>
      <c r="G1930">
        <v>7</v>
      </c>
      <c r="H1930">
        <v>2</v>
      </c>
      <c r="I1930" t="s">
        <v>52</v>
      </c>
      <c r="J1930" cm="1">
        <f t="array" ref="J1930">IFERROR(
    _xlfn.XLOOKUP(G1930, 'Wedgewood Pharm-GA-Yr2-2025'!$E$55:$L$55,
        _xlfn.XLOOKUP('Rate Load'!H1930, 'Wedgewood Pharm-GA-Yr2-2025'!$D$56:$D$71,
            'Wedgewood Pharm-GA-Yr2-2025'!$E$56:$L$71, 0, 0),
        0, 0),
    _xlfn.XLOOKUP(G1930, 'Wedgewood Pharm-GA-Yr2-2025'!$E$55:$L$55,
        _xlfn.XLOOKUP('Rate Load'!L1930, 'Wedgewood Pharm-GA-Yr2-2025'!$D$56:$D$71,
            'Wedgewood Pharm-GA-Yr2-2025'!$E$56:$L$71, 0, 0),
        0, 0)
)</f>
        <v>3.6399999999999997</v>
      </c>
      <c r="K1930" t="s">
        <v>46</v>
      </c>
      <c r="L1930" t="s">
        <v>13</v>
      </c>
      <c r="M1930">
        <v>2</v>
      </c>
      <c r="N1930" t="str">
        <f t="shared" si="30"/>
        <v>INSERT INTO TNL_RATING.dbo.usps_rate_master VALUES ('USPS', '2/13/2025', '2/13/2026', 12659, 'US', 'USPS Ground Advantage', 7, 2, 'O', 3.64, 'Wedgewood_USPS_2025', 'NonCubic','2');</v>
      </c>
    </row>
    <row r="1931" spans="1:14" x14ac:dyDescent="0.3">
      <c r="A1931" t="s">
        <v>11</v>
      </c>
      <c r="B1931" s="1" t="s">
        <v>43</v>
      </c>
      <c r="C1931" s="1" t="s">
        <v>44</v>
      </c>
      <c r="D1931">
        <v>12659</v>
      </c>
      <c r="E1931" t="s">
        <v>12</v>
      </c>
      <c r="F1931" t="s">
        <v>51</v>
      </c>
      <c r="G1931">
        <v>7</v>
      </c>
      <c r="H1931">
        <v>3</v>
      </c>
      <c r="I1931" t="s">
        <v>52</v>
      </c>
      <c r="J1931" cm="1">
        <f t="array" ref="J1931">IFERROR(
    _xlfn.XLOOKUP(G1931, 'Wedgewood Pharm-GA-Yr2-2025'!$E$55:$L$55,
        _xlfn.XLOOKUP('Rate Load'!H1931, 'Wedgewood Pharm-GA-Yr2-2025'!$D$56:$D$71,
            'Wedgewood Pharm-GA-Yr2-2025'!$E$56:$L$71, 0, 0),
        0, 0),
    _xlfn.XLOOKUP(G1931, 'Wedgewood Pharm-GA-Yr2-2025'!$E$55:$L$55,
        _xlfn.XLOOKUP('Rate Load'!L1931, 'Wedgewood Pharm-GA-Yr2-2025'!$D$56:$D$71,
            'Wedgewood Pharm-GA-Yr2-2025'!$E$56:$L$71, 0, 0),
        0, 0)
)</f>
        <v>3.6399999999999997</v>
      </c>
      <c r="K1931" t="s">
        <v>46</v>
      </c>
      <c r="L1931" t="s">
        <v>13</v>
      </c>
      <c r="M1931">
        <v>2</v>
      </c>
      <c r="N1931" t="str">
        <f t="shared" si="30"/>
        <v>INSERT INTO TNL_RATING.dbo.usps_rate_master VALUES ('USPS', '2/13/2025', '2/13/2026', 12659, 'US', 'USPS Ground Advantage', 7, 3, 'O', 3.64, 'Wedgewood_USPS_2025', 'NonCubic','2');</v>
      </c>
    </row>
    <row r="1932" spans="1:14" x14ac:dyDescent="0.3">
      <c r="A1932" t="s">
        <v>11</v>
      </c>
      <c r="B1932" s="1" t="s">
        <v>43</v>
      </c>
      <c r="C1932" s="1" t="s">
        <v>44</v>
      </c>
      <c r="D1932">
        <v>12659</v>
      </c>
      <c r="E1932" t="s">
        <v>12</v>
      </c>
      <c r="F1932" t="s">
        <v>51</v>
      </c>
      <c r="G1932">
        <v>7</v>
      </c>
      <c r="H1932">
        <v>4</v>
      </c>
      <c r="I1932" t="s">
        <v>52</v>
      </c>
      <c r="J1932" cm="1">
        <f t="array" ref="J1932">IFERROR(
    _xlfn.XLOOKUP(G1932, 'Wedgewood Pharm-GA-Yr2-2025'!$E$55:$L$55,
        _xlfn.XLOOKUP('Rate Load'!H1932, 'Wedgewood Pharm-GA-Yr2-2025'!$D$56:$D$71,
            'Wedgewood Pharm-GA-Yr2-2025'!$E$56:$L$71, 0, 0),
        0, 0),
    _xlfn.XLOOKUP(G1932, 'Wedgewood Pharm-GA-Yr2-2025'!$E$55:$L$55,
        _xlfn.XLOOKUP('Rate Load'!L1932, 'Wedgewood Pharm-GA-Yr2-2025'!$D$56:$D$71,
            'Wedgewood Pharm-GA-Yr2-2025'!$E$56:$L$71, 0, 0),
        0, 0)
)</f>
        <v>3.6399999999999997</v>
      </c>
      <c r="K1932" t="s">
        <v>46</v>
      </c>
      <c r="L1932" t="s">
        <v>13</v>
      </c>
      <c r="M1932">
        <v>2</v>
      </c>
      <c r="N1932" t="str">
        <f t="shared" si="30"/>
        <v>INSERT INTO TNL_RATING.dbo.usps_rate_master VALUES ('USPS', '2/13/2025', '2/13/2026', 12659, 'US', 'USPS Ground Advantage', 7, 4, 'O', 3.64, 'Wedgewood_USPS_2025', 'NonCubic','2');</v>
      </c>
    </row>
    <row r="1933" spans="1:14" x14ac:dyDescent="0.3">
      <c r="A1933" t="s">
        <v>11</v>
      </c>
      <c r="B1933" s="1" t="s">
        <v>43</v>
      </c>
      <c r="C1933" s="1" t="s">
        <v>44</v>
      </c>
      <c r="D1933">
        <v>12659</v>
      </c>
      <c r="E1933" t="s">
        <v>12</v>
      </c>
      <c r="F1933" t="s">
        <v>51</v>
      </c>
      <c r="G1933">
        <v>7</v>
      </c>
      <c r="H1933">
        <v>5</v>
      </c>
      <c r="I1933" t="s">
        <v>52</v>
      </c>
      <c r="J1933" cm="1">
        <f t="array" ref="J1933">IFERROR(
    _xlfn.XLOOKUP(G1933, 'Wedgewood Pharm-GA-Yr2-2025'!$E$55:$L$55,
        _xlfn.XLOOKUP('Rate Load'!H1933, 'Wedgewood Pharm-GA-Yr2-2025'!$D$56:$D$71,
            'Wedgewood Pharm-GA-Yr2-2025'!$E$56:$L$71, 0, 0),
        0, 0),
    _xlfn.XLOOKUP(G1933, 'Wedgewood Pharm-GA-Yr2-2025'!$E$55:$L$55,
        _xlfn.XLOOKUP('Rate Load'!L1933, 'Wedgewood Pharm-GA-Yr2-2025'!$D$56:$D$71,
            'Wedgewood Pharm-GA-Yr2-2025'!$E$56:$L$71, 0, 0),
        0, 0)
)</f>
        <v>4.4399999999999995</v>
      </c>
      <c r="K1933" t="s">
        <v>46</v>
      </c>
      <c r="L1933" t="s">
        <v>13</v>
      </c>
      <c r="M1933">
        <v>2</v>
      </c>
      <c r="N1933" t="str">
        <f t="shared" si="30"/>
        <v>INSERT INTO TNL_RATING.dbo.usps_rate_master VALUES ('USPS', '2/13/2025', '2/13/2026', 12659, 'US', 'USPS Ground Advantage', 7, 5, 'O', 4.44, 'Wedgewood_USPS_2025', 'NonCubic','2');</v>
      </c>
    </row>
    <row r="1934" spans="1:14" x14ac:dyDescent="0.3">
      <c r="A1934" t="s">
        <v>11</v>
      </c>
      <c r="B1934" s="1" t="s">
        <v>43</v>
      </c>
      <c r="C1934" s="1" t="s">
        <v>44</v>
      </c>
      <c r="D1934">
        <v>12659</v>
      </c>
      <c r="E1934" t="s">
        <v>12</v>
      </c>
      <c r="F1934" t="s">
        <v>51</v>
      </c>
      <c r="G1934">
        <v>7</v>
      </c>
      <c r="H1934">
        <v>6</v>
      </c>
      <c r="I1934" t="s">
        <v>52</v>
      </c>
      <c r="J1934" cm="1">
        <f t="array" ref="J1934">IFERROR(
    _xlfn.XLOOKUP(G1934, 'Wedgewood Pharm-GA-Yr2-2025'!$E$55:$L$55,
        _xlfn.XLOOKUP('Rate Load'!H1934, 'Wedgewood Pharm-GA-Yr2-2025'!$D$56:$D$71,
            'Wedgewood Pharm-GA-Yr2-2025'!$E$56:$L$71, 0, 0),
        0, 0),
    _xlfn.XLOOKUP(G1934, 'Wedgewood Pharm-GA-Yr2-2025'!$E$55:$L$55,
        _xlfn.XLOOKUP('Rate Load'!L1934, 'Wedgewood Pharm-GA-Yr2-2025'!$D$56:$D$71,
            'Wedgewood Pharm-GA-Yr2-2025'!$E$56:$L$71, 0, 0),
        0, 0)
)</f>
        <v>4.4399999999999995</v>
      </c>
      <c r="K1934" t="s">
        <v>46</v>
      </c>
      <c r="L1934" t="s">
        <v>13</v>
      </c>
      <c r="M1934">
        <v>2</v>
      </c>
      <c r="N1934" t="str">
        <f t="shared" si="30"/>
        <v>INSERT INTO TNL_RATING.dbo.usps_rate_master VALUES ('USPS', '2/13/2025', '2/13/2026', 12659, 'US', 'USPS Ground Advantage', 7, 6, 'O', 4.44, 'Wedgewood_USPS_2025', 'NonCubic','2');</v>
      </c>
    </row>
    <row r="1935" spans="1:14" x14ac:dyDescent="0.3">
      <c r="A1935" t="s">
        <v>11</v>
      </c>
      <c r="B1935" s="1" t="s">
        <v>43</v>
      </c>
      <c r="C1935" s="1" t="s">
        <v>44</v>
      </c>
      <c r="D1935">
        <v>12659</v>
      </c>
      <c r="E1935" t="s">
        <v>12</v>
      </c>
      <c r="F1935" t="s">
        <v>51</v>
      </c>
      <c r="G1935">
        <v>7</v>
      </c>
      <c r="H1935">
        <v>7</v>
      </c>
      <c r="I1935" t="s">
        <v>52</v>
      </c>
      <c r="J1935" cm="1">
        <f t="array" ref="J1935">IFERROR(
    _xlfn.XLOOKUP(G1935, 'Wedgewood Pharm-GA-Yr2-2025'!$E$55:$L$55,
        _xlfn.XLOOKUP('Rate Load'!H1935, 'Wedgewood Pharm-GA-Yr2-2025'!$D$56:$D$71,
            'Wedgewood Pharm-GA-Yr2-2025'!$E$56:$L$71, 0, 0),
        0, 0),
    _xlfn.XLOOKUP(G1935, 'Wedgewood Pharm-GA-Yr2-2025'!$E$55:$L$55,
        _xlfn.XLOOKUP('Rate Load'!L1935, 'Wedgewood Pharm-GA-Yr2-2025'!$D$56:$D$71,
            'Wedgewood Pharm-GA-Yr2-2025'!$E$56:$L$71, 0, 0),
        0, 0)
)</f>
        <v>4.4399999999999995</v>
      </c>
      <c r="K1935" t="s">
        <v>46</v>
      </c>
      <c r="L1935" t="s">
        <v>13</v>
      </c>
      <c r="M1935">
        <v>2</v>
      </c>
      <c r="N1935" t="str">
        <f t="shared" si="30"/>
        <v>INSERT INTO TNL_RATING.dbo.usps_rate_master VALUES ('USPS', '2/13/2025', '2/13/2026', 12659, 'US', 'USPS Ground Advantage', 7, 7, 'O', 4.44, 'Wedgewood_USPS_2025', 'NonCubic','2');</v>
      </c>
    </row>
    <row r="1936" spans="1:14" x14ac:dyDescent="0.3">
      <c r="A1936" t="s">
        <v>11</v>
      </c>
      <c r="B1936" s="1" t="s">
        <v>43</v>
      </c>
      <c r="C1936" s="1" t="s">
        <v>44</v>
      </c>
      <c r="D1936">
        <v>12659</v>
      </c>
      <c r="E1936" t="s">
        <v>12</v>
      </c>
      <c r="F1936" t="s">
        <v>51</v>
      </c>
      <c r="G1936">
        <v>7</v>
      </c>
      <c r="H1936">
        <v>8</v>
      </c>
      <c r="I1936" t="s">
        <v>52</v>
      </c>
      <c r="J1936" cm="1">
        <f t="array" ref="J1936">IFERROR(
    _xlfn.XLOOKUP(G1936, 'Wedgewood Pharm-GA-Yr2-2025'!$E$55:$L$55,
        _xlfn.XLOOKUP('Rate Load'!H1936, 'Wedgewood Pharm-GA-Yr2-2025'!$D$56:$D$71,
            'Wedgewood Pharm-GA-Yr2-2025'!$E$56:$L$71, 0, 0),
        0, 0),
    _xlfn.XLOOKUP(G1936, 'Wedgewood Pharm-GA-Yr2-2025'!$E$55:$L$55,
        _xlfn.XLOOKUP('Rate Load'!L1936, 'Wedgewood Pharm-GA-Yr2-2025'!$D$56:$D$71,
            'Wedgewood Pharm-GA-Yr2-2025'!$E$56:$L$71, 0, 0),
        0, 0)
)</f>
        <v>4.4399999999999995</v>
      </c>
      <c r="K1936" t="s">
        <v>46</v>
      </c>
      <c r="L1936" t="s">
        <v>13</v>
      </c>
      <c r="M1936">
        <v>2</v>
      </c>
      <c r="N1936" t="str">
        <f t="shared" si="30"/>
        <v>INSERT INTO TNL_RATING.dbo.usps_rate_master VALUES ('USPS', '2/13/2025', '2/13/2026', 12659, 'US', 'USPS Ground Advantage', 7, 8, 'O', 4.44, 'Wedgewood_USPS_2025', 'NonCubic','2');</v>
      </c>
    </row>
    <row r="1937" spans="1:14" x14ac:dyDescent="0.3">
      <c r="A1937" t="s">
        <v>11</v>
      </c>
      <c r="B1937" s="1" t="s">
        <v>43</v>
      </c>
      <c r="C1937" s="1" t="s">
        <v>44</v>
      </c>
      <c r="D1937">
        <v>12659</v>
      </c>
      <c r="E1937" t="s">
        <v>12</v>
      </c>
      <c r="F1937" t="s">
        <v>51</v>
      </c>
      <c r="G1937">
        <v>7</v>
      </c>
      <c r="H1937">
        <v>9</v>
      </c>
      <c r="I1937" t="s">
        <v>52</v>
      </c>
      <c r="J1937" cm="1">
        <f t="array" ref="J1937">IFERROR(
    _xlfn.XLOOKUP(G1937, 'Wedgewood Pharm-GA-Yr2-2025'!$E$55:$L$55,
        _xlfn.XLOOKUP('Rate Load'!H1937, 'Wedgewood Pharm-GA-Yr2-2025'!$D$56:$D$71,
            'Wedgewood Pharm-GA-Yr2-2025'!$E$56:$L$71, 0, 0),
        0, 0),
    _xlfn.XLOOKUP(G1937, 'Wedgewood Pharm-GA-Yr2-2025'!$E$55:$L$55,
        _xlfn.XLOOKUP('Rate Load'!L1937, 'Wedgewood Pharm-GA-Yr2-2025'!$D$56:$D$71,
            'Wedgewood Pharm-GA-Yr2-2025'!$E$56:$L$71, 0, 0),
        0, 0)
)</f>
        <v>5.16</v>
      </c>
      <c r="K1937" t="s">
        <v>46</v>
      </c>
      <c r="L1937" t="s">
        <v>13</v>
      </c>
      <c r="M1937">
        <v>2</v>
      </c>
      <c r="N1937" t="str">
        <f t="shared" si="30"/>
        <v>INSERT INTO TNL_RATING.dbo.usps_rate_master VALUES ('USPS', '2/13/2025', '2/13/2026', 12659, 'US', 'USPS Ground Advantage', 7, 9, 'O', 5.16, 'Wedgewood_USPS_2025', 'NonCubic','2');</v>
      </c>
    </row>
    <row r="1938" spans="1:14" x14ac:dyDescent="0.3">
      <c r="A1938" t="s">
        <v>11</v>
      </c>
      <c r="B1938" s="1" t="s">
        <v>43</v>
      </c>
      <c r="C1938" s="1" t="s">
        <v>44</v>
      </c>
      <c r="D1938">
        <v>12659</v>
      </c>
      <c r="E1938" t="s">
        <v>12</v>
      </c>
      <c r="F1938" t="s">
        <v>51</v>
      </c>
      <c r="G1938">
        <v>7</v>
      </c>
      <c r="H1938">
        <v>10</v>
      </c>
      <c r="I1938" t="s">
        <v>52</v>
      </c>
      <c r="J1938" cm="1">
        <f t="array" ref="J1938">IFERROR(
    _xlfn.XLOOKUP(G1938, 'Wedgewood Pharm-GA-Yr2-2025'!$E$55:$L$55,
        _xlfn.XLOOKUP('Rate Load'!H1938, 'Wedgewood Pharm-GA-Yr2-2025'!$D$56:$D$71,
            'Wedgewood Pharm-GA-Yr2-2025'!$E$56:$L$71, 0, 0),
        0, 0),
    _xlfn.XLOOKUP(G1938, 'Wedgewood Pharm-GA-Yr2-2025'!$E$55:$L$55,
        _xlfn.XLOOKUP('Rate Load'!L1938, 'Wedgewood Pharm-GA-Yr2-2025'!$D$56:$D$71,
            'Wedgewood Pharm-GA-Yr2-2025'!$E$56:$L$71, 0, 0),
        0, 0)
)</f>
        <v>5.16</v>
      </c>
      <c r="K1938" t="s">
        <v>46</v>
      </c>
      <c r="L1938" t="s">
        <v>13</v>
      </c>
      <c r="M1938">
        <v>2</v>
      </c>
      <c r="N1938" t="str">
        <f t="shared" si="30"/>
        <v>INSERT INTO TNL_RATING.dbo.usps_rate_master VALUES ('USPS', '2/13/2025', '2/13/2026', 12659, 'US', 'USPS Ground Advantage', 7, 10, 'O', 5.16, 'Wedgewood_USPS_2025', 'NonCubic','2');</v>
      </c>
    </row>
    <row r="1939" spans="1:14" x14ac:dyDescent="0.3">
      <c r="A1939" t="s">
        <v>11</v>
      </c>
      <c r="B1939" s="1" t="s">
        <v>43</v>
      </c>
      <c r="C1939" s="1" t="s">
        <v>44</v>
      </c>
      <c r="D1939">
        <v>12659</v>
      </c>
      <c r="E1939" t="s">
        <v>12</v>
      </c>
      <c r="F1939" t="s">
        <v>51</v>
      </c>
      <c r="G1939">
        <v>7</v>
      </c>
      <c r="H1939">
        <v>11</v>
      </c>
      <c r="I1939" t="s">
        <v>52</v>
      </c>
      <c r="J1939" cm="1">
        <f t="array" ref="J1939">IFERROR(
    _xlfn.XLOOKUP(G1939, 'Wedgewood Pharm-GA-Yr2-2025'!$E$55:$L$55,
        _xlfn.XLOOKUP('Rate Load'!H1939, 'Wedgewood Pharm-GA-Yr2-2025'!$D$56:$D$71,
            'Wedgewood Pharm-GA-Yr2-2025'!$E$56:$L$71, 0, 0),
        0, 0),
    _xlfn.XLOOKUP(G1939, 'Wedgewood Pharm-GA-Yr2-2025'!$E$55:$L$55,
        _xlfn.XLOOKUP('Rate Load'!L1939, 'Wedgewood Pharm-GA-Yr2-2025'!$D$56:$D$71,
            'Wedgewood Pharm-GA-Yr2-2025'!$E$56:$L$71, 0, 0),
        0, 0)
)</f>
        <v>5.16</v>
      </c>
      <c r="K1939" t="s">
        <v>46</v>
      </c>
      <c r="L1939" t="s">
        <v>13</v>
      </c>
      <c r="M1939">
        <v>2</v>
      </c>
      <c r="N1939" t="str">
        <f t="shared" si="30"/>
        <v>INSERT INTO TNL_RATING.dbo.usps_rate_master VALUES ('USPS', '2/13/2025', '2/13/2026', 12659, 'US', 'USPS Ground Advantage', 7, 11, 'O', 5.16, 'Wedgewood_USPS_2025', 'NonCubic','2');</v>
      </c>
    </row>
    <row r="1940" spans="1:14" x14ac:dyDescent="0.3">
      <c r="A1940" t="s">
        <v>11</v>
      </c>
      <c r="B1940" s="1" t="s">
        <v>43</v>
      </c>
      <c r="C1940" s="1" t="s">
        <v>44</v>
      </c>
      <c r="D1940">
        <v>12659</v>
      </c>
      <c r="E1940" t="s">
        <v>12</v>
      </c>
      <c r="F1940" t="s">
        <v>51</v>
      </c>
      <c r="G1940">
        <v>7</v>
      </c>
      <c r="H1940">
        <v>12</v>
      </c>
      <c r="I1940" t="s">
        <v>52</v>
      </c>
      <c r="J1940" cm="1">
        <f t="array" ref="J1940">IFERROR(
    _xlfn.XLOOKUP(G1940, 'Wedgewood Pharm-GA-Yr2-2025'!$E$55:$L$55,
        _xlfn.XLOOKUP('Rate Load'!H1940, 'Wedgewood Pharm-GA-Yr2-2025'!$D$56:$D$71,
            'Wedgewood Pharm-GA-Yr2-2025'!$E$56:$L$71, 0, 0),
        0, 0),
    _xlfn.XLOOKUP(G1940, 'Wedgewood Pharm-GA-Yr2-2025'!$E$55:$L$55,
        _xlfn.XLOOKUP('Rate Load'!L1940, 'Wedgewood Pharm-GA-Yr2-2025'!$D$56:$D$71,
            'Wedgewood Pharm-GA-Yr2-2025'!$E$56:$L$71, 0, 0),
        0, 0)
)</f>
        <v>5.16</v>
      </c>
      <c r="K1940" t="s">
        <v>46</v>
      </c>
      <c r="L1940" t="s">
        <v>13</v>
      </c>
      <c r="M1940">
        <v>2</v>
      </c>
      <c r="N1940" t="str">
        <f t="shared" si="30"/>
        <v>INSERT INTO TNL_RATING.dbo.usps_rate_master VALUES ('USPS', '2/13/2025', '2/13/2026', 12659, 'US', 'USPS Ground Advantage', 7, 12, 'O', 5.16, 'Wedgewood_USPS_2025', 'NonCubic','2');</v>
      </c>
    </row>
    <row r="1941" spans="1:14" x14ac:dyDescent="0.3">
      <c r="A1941" t="s">
        <v>11</v>
      </c>
      <c r="B1941" s="1" t="s">
        <v>43</v>
      </c>
      <c r="C1941" s="1" t="s">
        <v>44</v>
      </c>
      <c r="D1941">
        <v>12659</v>
      </c>
      <c r="E1941" t="s">
        <v>12</v>
      </c>
      <c r="F1941" t="s">
        <v>51</v>
      </c>
      <c r="G1941">
        <v>7</v>
      </c>
      <c r="H1941">
        <v>13</v>
      </c>
      <c r="I1941" t="s">
        <v>52</v>
      </c>
      <c r="J1941" cm="1">
        <f t="array" ref="J1941">IFERROR(
    _xlfn.XLOOKUP(G1941, 'Wedgewood Pharm-GA-Yr2-2025'!$E$55:$L$55,
        _xlfn.XLOOKUP('Rate Load'!H1941, 'Wedgewood Pharm-GA-Yr2-2025'!$D$56:$D$71,
            'Wedgewood Pharm-GA-Yr2-2025'!$E$56:$L$71, 0, 0),
        0, 0),
    _xlfn.XLOOKUP(G1941, 'Wedgewood Pharm-GA-Yr2-2025'!$E$55:$L$55,
        _xlfn.XLOOKUP('Rate Load'!L1941, 'Wedgewood Pharm-GA-Yr2-2025'!$D$56:$D$71,
            'Wedgewood Pharm-GA-Yr2-2025'!$E$56:$L$71, 0, 0),
        0, 0)
)</f>
        <v>5.8</v>
      </c>
      <c r="K1941" t="s">
        <v>46</v>
      </c>
      <c r="L1941" t="s">
        <v>13</v>
      </c>
      <c r="M1941">
        <v>2</v>
      </c>
      <c r="N1941" t="str">
        <f t="shared" si="30"/>
        <v>INSERT INTO TNL_RATING.dbo.usps_rate_master VALUES ('USPS', '2/13/2025', '2/13/2026', 12659, 'US', 'USPS Ground Advantage', 7, 13, 'O', 5.8, 'Wedgewood_USPS_2025', 'NonCubic','2');</v>
      </c>
    </row>
    <row r="1942" spans="1:14" x14ac:dyDescent="0.3">
      <c r="A1942" t="s">
        <v>11</v>
      </c>
      <c r="B1942" s="1" t="s">
        <v>43</v>
      </c>
      <c r="C1942" s="1" t="s">
        <v>44</v>
      </c>
      <c r="D1942">
        <v>12659</v>
      </c>
      <c r="E1942" t="s">
        <v>12</v>
      </c>
      <c r="F1942" t="s">
        <v>51</v>
      </c>
      <c r="G1942">
        <v>7</v>
      </c>
      <c r="H1942">
        <v>14</v>
      </c>
      <c r="I1942" t="s">
        <v>52</v>
      </c>
      <c r="J1942" cm="1">
        <f t="array" ref="J1942">IFERROR(
    _xlfn.XLOOKUP(G1942, 'Wedgewood Pharm-GA-Yr2-2025'!$E$55:$L$55,
        _xlfn.XLOOKUP('Rate Load'!H1942, 'Wedgewood Pharm-GA-Yr2-2025'!$D$56:$D$71,
            'Wedgewood Pharm-GA-Yr2-2025'!$E$56:$L$71, 0, 0),
        0, 0),
    _xlfn.XLOOKUP(G1942, 'Wedgewood Pharm-GA-Yr2-2025'!$E$55:$L$55,
        _xlfn.XLOOKUP('Rate Load'!L1942, 'Wedgewood Pharm-GA-Yr2-2025'!$D$56:$D$71,
            'Wedgewood Pharm-GA-Yr2-2025'!$E$56:$L$71, 0, 0),
        0, 0)
)</f>
        <v>5.8</v>
      </c>
      <c r="K1942" t="s">
        <v>46</v>
      </c>
      <c r="L1942" t="s">
        <v>13</v>
      </c>
      <c r="M1942">
        <v>2</v>
      </c>
      <c r="N1942" t="str">
        <f t="shared" si="30"/>
        <v>INSERT INTO TNL_RATING.dbo.usps_rate_master VALUES ('USPS', '2/13/2025', '2/13/2026', 12659, 'US', 'USPS Ground Advantage', 7, 14, 'O', 5.8, 'Wedgewood_USPS_2025', 'NonCubic','2');</v>
      </c>
    </row>
    <row r="1943" spans="1:14" x14ac:dyDescent="0.3">
      <c r="A1943" t="s">
        <v>11</v>
      </c>
      <c r="B1943" s="1" t="s">
        <v>43</v>
      </c>
      <c r="C1943" s="1" t="s">
        <v>44</v>
      </c>
      <c r="D1943">
        <v>12659</v>
      </c>
      <c r="E1943" t="s">
        <v>12</v>
      </c>
      <c r="F1943" t="s">
        <v>51</v>
      </c>
      <c r="G1943">
        <v>7</v>
      </c>
      <c r="H1943">
        <v>15</v>
      </c>
      <c r="I1943" t="s">
        <v>52</v>
      </c>
      <c r="J1943" cm="1">
        <f t="array" ref="J1943">IFERROR(
    _xlfn.XLOOKUP(G1943, 'Wedgewood Pharm-GA-Yr2-2025'!$E$55:$L$55,
        _xlfn.XLOOKUP('Rate Load'!H1943, 'Wedgewood Pharm-GA-Yr2-2025'!$D$56:$D$71,
            'Wedgewood Pharm-GA-Yr2-2025'!$E$56:$L$71, 0, 0),
        0, 0),
    _xlfn.XLOOKUP(G1943, 'Wedgewood Pharm-GA-Yr2-2025'!$E$55:$L$55,
        _xlfn.XLOOKUP('Rate Load'!L1943, 'Wedgewood Pharm-GA-Yr2-2025'!$D$56:$D$71,
            'Wedgewood Pharm-GA-Yr2-2025'!$E$56:$L$71, 0, 0),
        0, 0)
)</f>
        <v>5.8</v>
      </c>
      <c r="K1943" t="s">
        <v>46</v>
      </c>
      <c r="L1943" t="s">
        <v>13</v>
      </c>
      <c r="M1943">
        <v>2</v>
      </c>
      <c r="N1943" t="str">
        <f t="shared" si="30"/>
        <v>INSERT INTO TNL_RATING.dbo.usps_rate_master VALUES ('USPS', '2/13/2025', '2/13/2026', 12659, 'US', 'USPS Ground Advantage', 7, 15, 'O', 5.8, 'Wedgewood_USPS_2025', 'NonCubic','2');</v>
      </c>
    </row>
    <row r="1944" spans="1:14" x14ac:dyDescent="0.3">
      <c r="A1944" t="s">
        <v>11</v>
      </c>
      <c r="B1944" s="1" t="s">
        <v>43</v>
      </c>
      <c r="C1944" s="1" t="s">
        <v>44</v>
      </c>
      <c r="D1944">
        <v>12659</v>
      </c>
      <c r="E1944" t="s">
        <v>12</v>
      </c>
      <c r="F1944" t="s">
        <v>51</v>
      </c>
      <c r="G1944">
        <v>7</v>
      </c>
      <c r="H1944">
        <v>15.999000000000001</v>
      </c>
      <c r="I1944" t="s">
        <v>52</v>
      </c>
      <c r="J1944" cm="1">
        <f t="array" ref="J1944">IFERROR(
    _xlfn.XLOOKUP(G1944, 'Wedgewood Pharm-GA-Yr2-2025'!$E$55:$L$55,
        _xlfn.XLOOKUP('Rate Load'!H1944, 'Wedgewood Pharm-GA-Yr2-2025'!$D$56:$D$71,
            'Wedgewood Pharm-GA-Yr2-2025'!$E$56:$L$71, 0, 0),
        0, 0),
    _xlfn.XLOOKUP(G1944, 'Wedgewood Pharm-GA-Yr2-2025'!$E$55:$L$55,
        _xlfn.XLOOKUP('Rate Load'!L1944, 'Wedgewood Pharm-GA-Yr2-2025'!$D$56:$D$71,
            'Wedgewood Pharm-GA-Yr2-2025'!$E$56:$L$71, 0, 0),
        0, 0)
)</f>
        <v>5.8</v>
      </c>
      <c r="K1944" t="s">
        <v>46</v>
      </c>
      <c r="L1944" t="s">
        <v>13</v>
      </c>
      <c r="M1944">
        <v>2</v>
      </c>
      <c r="N1944" t="str">
        <f t="shared" si="30"/>
        <v>INSERT INTO TNL_RATING.dbo.usps_rate_master VALUES ('USPS', '2/13/2025', '2/13/2026', 12659, 'US', 'USPS Ground Advantage', 7, 15.999, 'O', 5.8, 'Wedgewood_USPS_2025', 'NonCubic','2');</v>
      </c>
    </row>
    <row r="1945" spans="1:14" x14ac:dyDescent="0.3">
      <c r="A1945" t="s">
        <v>11</v>
      </c>
      <c r="B1945" s="1" t="s">
        <v>43</v>
      </c>
      <c r="C1945" s="1" t="s">
        <v>44</v>
      </c>
      <c r="D1945">
        <v>12659</v>
      </c>
      <c r="E1945" t="s">
        <v>12</v>
      </c>
      <c r="F1945" t="s">
        <v>51</v>
      </c>
      <c r="G1945">
        <v>8</v>
      </c>
      <c r="H1945">
        <v>1</v>
      </c>
      <c r="I1945" t="s">
        <v>52</v>
      </c>
      <c r="J1945" cm="1">
        <f t="array" ref="J1945">IFERROR(
    _xlfn.XLOOKUP(G1945, 'Wedgewood Pharm-GA-Yr2-2025'!$E$55:$L$55,
        _xlfn.XLOOKUP('Rate Load'!H1945, 'Wedgewood Pharm-GA-Yr2-2025'!$D$56:$D$71,
            'Wedgewood Pharm-GA-Yr2-2025'!$E$56:$L$71, 0, 0),
        0, 0),
    _xlfn.XLOOKUP(G1945, 'Wedgewood Pharm-GA-Yr2-2025'!$E$55:$L$55,
        _xlfn.XLOOKUP('Rate Load'!L1945, 'Wedgewood Pharm-GA-Yr2-2025'!$D$56:$D$71,
            'Wedgewood Pharm-GA-Yr2-2025'!$E$56:$L$71, 0, 0),
        0, 0)
)</f>
        <v>3.8</v>
      </c>
      <c r="K1945" t="s">
        <v>46</v>
      </c>
      <c r="L1945" t="s">
        <v>13</v>
      </c>
      <c r="M1945">
        <v>2</v>
      </c>
      <c r="N1945" t="str">
        <f t="shared" si="30"/>
        <v>INSERT INTO TNL_RATING.dbo.usps_rate_master VALUES ('USPS', '2/13/2025', '2/13/2026', 12659, 'US', 'USPS Ground Advantage', 8, 1, 'O', 3.8, 'Wedgewood_USPS_2025', 'NonCubic','2');</v>
      </c>
    </row>
    <row r="1946" spans="1:14" x14ac:dyDescent="0.3">
      <c r="A1946" t="s">
        <v>11</v>
      </c>
      <c r="B1946" s="1" t="s">
        <v>43</v>
      </c>
      <c r="C1946" s="1" t="s">
        <v>44</v>
      </c>
      <c r="D1946">
        <v>12659</v>
      </c>
      <c r="E1946" t="s">
        <v>12</v>
      </c>
      <c r="F1946" t="s">
        <v>51</v>
      </c>
      <c r="G1946">
        <v>8</v>
      </c>
      <c r="H1946">
        <v>2</v>
      </c>
      <c r="I1946" t="s">
        <v>52</v>
      </c>
      <c r="J1946" cm="1">
        <f t="array" ref="J1946">IFERROR(
    _xlfn.XLOOKUP(G1946, 'Wedgewood Pharm-GA-Yr2-2025'!$E$55:$L$55,
        _xlfn.XLOOKUP('Rate Load'!H1946, 'Wedgewood Pharm-GA-Yr2-2025'!$D$56:$D$71,
            'Wedgewood Pharm-GA-Yr2-2025'!$E$56:$L$71, 0, 0),
        0, 0),
    _xlfn.XLOOKUP(G1946, 'Wedgewood Pharm-GA-Yr2-2025'!$E$55:$L$55,
        _xlfn.XLOOKUP('Rate Load'!L1946, 'Wedgewood Pharm-GA-Yr2-2025'!$D$56:$D$71,
            'Wedgewood Pharm-GA-Yr2-2025'!$E$56:$L$71, 0, 0),
        0, 0)
)</f>
        <v>3.8</v>
      </c>
      <c r="K1946" t="s">
        <v>46</v>
      </c>
      <c r="L1946" t="s">
        <v>13</v>
      </c>
      <c r="M1946">
        <v>2</v>
      </c>
      <c r="N1946" t="str">
        <f t="shared" si="30"/>
        <v>INSERT INTO TNL_RATING.dbo.usps_rate_master VALUES ('USPS', '2/13/2025', '2/13/2026', 12659, 'US', 'USPS Ground Advantage', 8, 2, 'O', 3.8, 'Wedgewood_USPS_2025', 'NonCubic','2');</v>
      </c>
    </row>
    <row r="1947" spans="1:14" x14ac:dyDescent="0.3">
      <c r="A1947" t="s">
        <v>11</v>
      </c>
      <c r="B1947" s="1" t="s">
        <v>43</v>
      </c>
      <c r="C1947" s="1" t="s">
        <v>44</v>
      </c>
      <c r="D1947">
        <v>12659</v>
      </c>
      <c r="E1947" t="s">
        <v>12</v>
      </c>
      <c r="F1947" t="s">
        <v>51</v>
      </c>
      <c r="G1947">
        <v>8</v>
      </c>
      <c r="H1947">
        <v>3</v>
      </c>
      <c r="I1947" t="s">
        <v>52</v>
      </c>
      <c r="J1947" cm="1">
        <f t="array" ref="J1947">IFERROR(
    _xlfn.XLOOKUP(G1947, 'Wedgewood Pharm-GA-Yr2-2025'!$E$55:$L$55,
        _xlfn.XLOOKUP('Rate Load'!H1947, 'Wedgewood Pharm-GA-Yr2-2025'!$D$56:$D$71,
            'Wedgewood Pharm-GA-Yr2-2025'!$E$56:$L$71, 0, 0),
        0, 0),
    _xlfn.XLOOKUP(G1947, 'Wedgewood Pharm-GA-Yr2-2025'!$E$55:$L$55,
        _xlfn.XLOOKUP('Rate Load'!L1947, 'Wedgewood Pharm-GA-Yr2-2025'!$D$56:$D$71,
            'Wedgewood Pharm-GA-Yr2-2025'!$E$56:$L$71, 0, 0),
        0, 0)
)</f>
        <v>3.8</v>
      </c>
      <c r="K1947" t="s">
        <v>46</v>
      </c>
      <c r="L1947" t="s">
        <v>13</v>
      </c>
      <c r="M1947">
        <v>2</v>
      </c>
      <c r="N1947" t="str">
        <f t="shared" si="30"/>
        <v>INSERT INTO TNL_RATING.dbo.usps_rate_master VALUES ('USPS', '2/13/2025', '2/13/2026', 12659, 'US', 'USPS Ground Advantage', 8, 3, 'O', 3.8, 'Wedgewood_USPS_2025', 'NonCubic','2');</v>
      </c>
    </row>
    <row r="1948" spans="1:14" x14ac:dyDescent="0.3">
      <c r="A1948" t="s">
        <v>11</v>
      </c>
      <c r="B1948" s="1" t="s">
        <v>43</v>
      </c>
      <c r="C1948" s="1" t="s">
        <v>44</v>
      </c>
      <c r="D1948">
        <v>12659</v>
      </c>
      <c r="E1948" t="s">
        <v>12</v>
      </c>
      <c r="F1948" t="s">
        <v>51</v>
      </c>
      <c r="G1948">
        <v>8</v>
      </c>
      <c r="H1948">
        <v>4</v>
      </c>
      <c r="I1948" t="s">
        <v>52</v>
      </c>
      <c r="J1948" cm="1">
        <f t="array" ref="J1948">IFERROR(
    _xlfn.XLOOKUP(G1948, 'Wedgewood Pharm-GA-Yr2-2025'!$E$55:$L$55,
        _xlfn.XLOOKUP('Rate Load'!H1948, 'Wedgewood Pharm-GA-Yr2-2025'!$D$56:$D$71,
            'Wedgewood Pharm-GA-Yr2-2025'!$E$56:$L$71, 0, 0),
        0, 0),
    _xlfn.XLOOKUP(G1948, 'Wedgewood Pharm-GA-Yr2-2025'!$E$55:$L$55,
        _xlfn.XLOOKUP('Rate Load'!L1948, 'Wedgewood Pharm-GA-Yr2-2025'!$D$56:$D$71,
            'Wedgewood Pharm-GA-Yr2-2025'!$E$56:$L$71, 0, 0),
        0, 0)
)</f>
        <v>3.8</v>
      </c>
      <c r="K1948" t="s">
        <v>46</v>
      </c>
      <c r="L1948" t="s">
        <v>13</v>
      </c>
      <c r="M1948">
        <v>2</v>
      </c>
      <c r="N1948" t="str">
        <f t="shared" si="30"/>
        <v>INSERT INTO TNL_RATING.dbo.usps_rate_master VALUES ('USPS', '2/13/2025', '2/13/2026', 12659, 'US', 'USPS Ground Advantage', 8, 4, 'O', 3.8, 'Wedgewood_USPS_2025', 'NonCubic','2');</v>
      </c>
    </row>
    <row r="1949" spans="1:14" x14ac:dyDescent="0.3">
      <c r="A1949" t="s">
        <v>11</v>
      </c>
      <c r="B1949" s="1" t="s">
        <v>43</v>
      </c>
      <c r="C1949" s="1" t="s">
        <v>44</v>
      </c>
      <c r="D1949">
        <v>12659</v>
      </c>
      <c r="E1949" t="s">
        <v>12</v>
      </c>
      <c r="F1949" t="s">
        <v>51</v>
      </c>
      <c r="G1949">
        <v>8</v>
      </c>
      <c r="H1949">
        <v>5</v>
      </c>
      <c r="I1949" t="s">
        <v>52</v>
      </c>
      <c r="J1949" cm="1">
        <f t="array" ref="J1949">IFERROR(
    _xlfn.XLOOKUP(G1949, 'Wedgewood Pharm-GA-Yr2-2025'!$E$55:$L$55,
        _xlfn.XLOOKUP('Rate Load'!H1949, 'Wedgewood Pharm-GA-Yr2-2025'!$D$56:$D$71,
            'Wedgewood Pharm-GA-Yr2-2025'!$E$56:$L$71, 0, 0),
        0, 0),
    _xlfn.XLOOKUP(G1949, 'Wedgewood Pharm-GA-Yr2-2025'!$E$55:$L$55,
        _xlfn.XLOOKUP('Rate Load'!L1949, 'Wedgewood Pharm-GA-Yr2-2025'!$D$56:$D$71,
            'Wedgewood Pharm-GA-Yr2-2025'!$E$56:$L$71, 0, 0),
        0, 0)
)</f>
        <v>4.58</v>
      </c>
      <c r="K1949" t="s">
        <v>46</v>
      </c>
      <c r="L1949" t="s">
        <v>13</v>
      </c>
      <c r="M1949">
        <v>2</v>
      </c>
      <c r="N1949" t="str">
        <f t="shared" si="30"/>
        <v>INSERT INTO TNL_RATING.dbo.usps_rate_master VALUES ('USPS', '2/13/2025', '2/13/2026', 12659, 'US', 'USPS Ground Advantage', 8, 5, 'O', 4.58, 'Wedgewood_USPS_2025', 'NonCubic','2');</v>
      </c>
    </row>
    <row r="1950" spans="1:14" x14ac:dyDescent="0.3">
      <c r="A1950" t="s">
        <v>11</v>
      </c>
      <c r="B1950" s="1" t="s">
        <v>43</v>
      </c>
      <c r="C1950" s="1" t="s">
        <v>44</v>
      </c>
      <c r="D1950">
        <v>12659</v>
      </c>
      <c r="E1950" t="s">
        <v>12</v>
      </c>
      <c r="F1950" t="s">
        <v>51</v>
      </c>
      <c r="G1950">
        <v>8</v>
      </c>
      <c r="H1950">
        <v>6</v>
      </c>
      <c r="I1950" t="s">
        <v>52</v>
      </c>
      <c r="J1950" cm="1">
        <f t="array" ref="J1950">IFERROR(
    _xlfn.XLOOKUP(G1950, 'Wedgewood Pharm-GA-Yr2-2025'!$E$55:$L$55,
        _xlfn.XLOOKUP('Rate Load'!H1950, 'Wedgewood Pharm-GA-Yr2-2025'!$D$56:$D$71,
            'Wedgewood Pharm-GA-Yr2-2025'!$E$56:$L$71, 0, 0),
        0, 0),
    _xlfn.XLOOKUP(G1950, 'Wedgewood Pharm-GA-Yr2-2025'!$E$55:$L$55,
        _xlfn.XLOOKUP('Rate Load'!L1950, 'Wedgewood Pharm-GA-Yr2-2025'!$D$56:$D$71,
            'Wedgewood Pharm-GA-Yr2-2025'!$E$56:$L$71, 0, 0),
        0, 0)
)</f>
        <v>4.58</v>
      </c>
      <c r="K1950" t="s">
        <v>46</v>
      </c>
      <c r="L1950" t="s">
        <v>13</v>
      </c>
      <c r="M1950">
        <v>2</v>
      </c>
      <c r="N1950" t="str">
        <f t="shared" si="30"/>
        <v>INSERT INTO TNL_RATING.dbo.usps_rate_master VALUES ('USPS', '2/13/2025', '2/13/2026', 12659, 'US', 'USPS Ground Advantage', 8, 6, 'O', 4.58, 'Wedgewood_USPS_2025', 'NonCubic','2');</v>
      </c>
    </row>
    <row r="1951" spans="1:14" x14ac:dyDescent="0.3">
      <c r="A1951" t="s">
        <v>11</v>
      </c>
      <c r="B1951" s="1" t="s">
        <v>43</v>
      </c>
      <c r="C1951" s="1" t="s">
        <v>44</v>
      </c>
      <c r="D1951">
        <v>12659</v>
      </c>
      <c r="E1951" t="s">
        <v>12</v>
      </c>
      <c r="F1951" t="s">
        <v>51</v>
      </c>
      <c r="G1951">
        <v>8</v>
      </c>
      <c r="H1951">
        <v>7</v>
      </c>
      <c r="I1951" t="s">
        <v>52</v>
      </c>
      <c r="J1951" cm="1">
        <f t="array" ref="J1951">IFERROR(
    _xlfn.XLOOKUP(G1951, 'Wedgewood Pharm-GA-Yr2-2025'!$E$55:$L$55,
        _xlfn.XLOOKUP('Rate Load'!H1951, 'Wedgewood Pharm-GA-Yr2-2025'!$D$56:$D$71,
            'Wedgewood Pharm-GA-Yr2-2025'!$E$56:$L$71, 0, 0),
        0, 0),
    _xlfn.XLOOKUP(G1951, 'Wedgewood Pharm-GA-Yr2-2025'!$E$55:$L$55,
        _xlfn.XLOOKUP('Rate Load'!L1951, 'Wedgewood Pharm-GA-Yr2-2025'!$D$56:$D$71,
            'Wedgewood Pharm-GA-Yr2-2025'!$E$56:$L$71, 0, 0),
        0, 0)
)</f>
        <v>4.58</v>
      </c>
      <c r="K1951" t="s">
        <v>46</v>
      </c>
      <c r="L1951" t="s">
        <v>13</v>
      </c>
      <c r="M1951">
        <v>2</v>
      </c>
      <c r="N1951" t="str">
        <f t="shared" si="30"/>
        <v>INSERT INTO TNL_RATING.dbo.usps_rate_master VALUES ('USPS', '2/13/2025', '2/13/2026', 12659, 'US', 'USPS Ground Advantage', 8, 7, 'O', 4.58, 'Wedgewood_USPS_2025', 'NonCubic','2');</v>
      </c>
    </row>
    <row r="1952" spans="1:14" x14ac:dyDescent="0.3">
      <c r="A1952" t="s">
        <v>11</v>
      </c>
      <c r="B1952" s="1" t="s">
        <v>43</v>
      </c>
      <c r="C1952" s="1" t="s">
        <v>44</v>
      </c>
      <c r="D1952">
        <v>12659</v>
      </c>
      <c r="E1952" t="s">
        <v>12</v>
      </c>
      <c r="F1952" t="s">
        <v>51</v>
      </c>
      <c r="G1952">
        <v>8</v>
      </c>
      <c r="H1952">
        <v>8</v>
      </c>
      <c r="I1952" t="s">
        <v>52</v>
      </c>
      <c r="J1952" cm="1">
        <f t="array" ref="J1952">IFERROR(
    _xlfn.XLOOKUP(G1952, 'Wedgewood Pharm-GA-Yr2-2025'!$E$55:$L$55,
        _xlfn.XLOOKUP('Rate Load'!H1952, 'Wedgewood Pharm-GA-Yr2-2025'!$D$56:$D$71,
            'Wedgewood Pharm-GA-Yr2-2025'!$E$56:$L$71, 0, 0),
        0, 0),
    _xlfn.XLOOKUP(G1952, 'Wedgewood Pharm-GA-Yr2-2025'!$E$55:$L$55,
        _xlfn.XLOOKUP('Rate Load'!L1952, 'Wedgewood Pharm-GA-Yr2-2025'!$D$56:$D$71,
            'Wedgewood Pharm-GA-Yr2-2025'!$E$56:$L$71, 0, 0),
        0, 0)
)</f>
        <v>4.58</v>
      </c>
      <c r="K1952" t="s">
        <v>46</v>
      </c>
      <c r="L1952" t="s">
        <v>13</v>
      </c>
      <c r="M1952">
        <v>2</v>
      </c>
      <c r="N1952" t="str">
        <f t="shared" si="30"/>
        <v>INSERT INTO TNL_RATING.dbo.usps_rate_master VALUES ('USPS', '2/13/2025', '2/13/2026', 12659, 'US', 'USPS Ground Advantage', 8, 8, 'O', 4.58, 'Wedgewood_USPS_2025', 'NonCubic','2');</v>
      </c>
    </row>
    <row r="1953" spans="1:14" x14ac:dyDescent="0.3">
      <c r="A1953" t="s">
        <v>11</v>
      </c>
      <c r="B1953" s="1" t="s">
        <v>43</v>
      </c>
      <c r="C1953" s="1" t="s">
        <v>44</v>
      </c>
      <c r="D1953">
        <v>12659</v>
      </c>
      <c r="E1953" t="s">
        <v>12</v>
      </c>
      <c r="F1953" t="s">
        <v>51</v>
      </c>
      <c r="G1953">
        <v>8</v>
      </c>
      <c r="H1953">
        <v>9</v>
      </c>
      <c r="I1953" t="s">
        <v>52</v>
      </c>
      <c r="J1953" cm="1">
        <f t="array" ref="J1953">IFERROR(
    _xlfn.XLOOKUP(G1953, 'Wedgewood Pharm-GA-Yr2-2025'!$E$55:$L$55,
        _xlfn.XLOOKUP('Rate Load'!H1953, 'Wedgewood Pharm-GA-Yr2-2025'!$D$56:$D$71,
            'Wedgewood Pharm-GA-Yr2-2025'!$E$56:$L$71, 0, 0),
        0, 0),
    _xlfn.XLOOKUP(G1953, 'Wedgewood Pharm-GA-Yr2-2025'!$E$55:$L$55,
        _xlfn.XLOOKUP('Rate Load'!L1953, 'Wedgewood Pharm-GA-Yr2-2025'!$D$56:$D$71,
            'Wedgewood Pharm-GA-Yr2-2025'!$E$56:$L$71, 0, 0),
        0, 0)
)</f>
        <v>5.3199999999999994</v>
      </c>
      <c r="K1953" t="s">
        <v>46</v>
      </c>
      <c r="L1953" t="s">
        <v>13</v>
      </c>
      <c r="M1953">
        <v>2</v>
      </c>
      <c r="N1953" t="str">
        <f t="shared" si="30"/>
        <v>INSERT INTO TNL_RATING.dbo.usps_rate_master VALUES ('USPS', '2/13/2025', '2/13/2026', 12659, 'US', 'USPS Ground Advantage', 8, 9, 'O', 5.32, 'Wedgewood_USPS_2025', 'NonCubic','2');</v>
      </c>
    </row>
    <row r="1954" spans="1:14" x14ac:dyDescent="0.3">
      <c r="A1954" t="s">
        <v>11</v>
      </c>
      <c r="B1954" s="1" t="s">
        <v>43</v>
      </c>
      <c r="C1954" s="1" t="s">
        <v>44</v>
      </c>
      <c r="D1954">
        <v>12659</v>
      </c>
      <c r="E1954" t="s">
        <v>12</v>
      </c>
      <c r="F1954" t="s">
        <v>51</v>
      </c>
      <c r="G1954">
        <v>8</v>
      </c>
      <c r="H1954">
        <v>10</v>
      </c>
      <c r="I1954" t="s">
        <v>52</v>
      </c>
      <c r="J1954" cm="1">
        <f t="array" ref="J1954">IFERROR(
    _xlfn.XLOOKUP(G1954, 'Wedgewood Pharm-GA-Yr2-2025'!$E$55:$L$55,
        _xlfn.XLOOKUP('Rate Load'!H1954, 'Wedgewood Pharm-GA-Yr2-2025'!$D$56:$D$71,
            'Wedgewood Pharm-GA-Yr2-2025'!$E$56:$L$71, 0, 0),
        0, 0),
    _xlfn.XLOOKUP(G1954, 'Wedgewood Pharm-GA-Yr2-2025'!$E$55:$L$55,
        _xlfn.XLOOKUP('Rate Load'!L1954, 'Wedgewood Pharm-GA-Yr2-2025'!$D$56:$D$71,
            'Wedgewood Pharm-GA-Yr2-2025'!$E$56:$L$71, 0, 0),
        0, 0)
)</f>
        <v>5.3199999999999994</v>
      </c>
      <c r="K1954" t="s">
        <v>46</v>
      </c>
      <c r="L1954" t="s">
        <v>13</v>
      </c>
      <c r="M1954">
        <v>2</v>
      </c>
      <c r="N1954" t="str">
        <f t="shared" si="30"/>
        <v>INSERT INTO TNL_RATING.dbo.usps_rate_master VALUES ('USPS', '2/13/2025', '2/13/2026', 12659, 'US', 'USPS Ground Advantage', 8, 10, 'O', 5.32, 'Wedgewood_USPS_2025', 'NonCubic','2');</v>
      </c>
    </row>
    <row r="1955" spans="1:14" x14ac:dyDescent="0.3">
      <c r="A1955" t="s">
        <v>11</v>
      </c>
      <c r="B1955" s="1" t="s">
        <v>43</v>
      </c>
      <c r="C1955" s="1" t="s">
        <v>44</v>
      </c>
      <c r="D1955">
        <v>12659</v>
      </c>
      <c r="E1955" t="s">
        <v>12</v>
      </c>
      <c r="F1955" t="s">
        <v>51</v>
      </c>
      <c r="G1955">
        <v>8</v>
      </c>
      <c r="H1955">
        <v>11</v>
      </c>
      <c r="I1955" t="s">
        <v>52</v>
      </c>
      <c r="J1955" cm="1">
        <f t="array" ref="J1955">IFERROR(
    _xlfn.XLOOKUP(G1955, 'Wedgewood Pharm-GA-Yr2-2025'!$E$55:$L$55,
        _xlfn.XLOOKUP('Rate Load'!H1955, 'Wedgewood Pharm-GA-Yr2-2025'!$D$56:$D$71,
            'Wedgewood Pharm-GA-Yr2-2025'!$E$56:$L$71, 0, 0),
        0, 0),
    _xlfn.XLOOKUP(G1955, 'Wedgewood Pharm-GA-Yr2-2025'!$E$55:$L$55,
        _xlfn.XLOOKUP('Rate Load'!L1955, 'Wedgewood Pharm-GA-Yr2-2025'!$D$56:$D$71,
            'Wedgewood Pharm-GA-Yr2-2025'!$E$56:$L$71, 0, 0),
        0, 0)
)</f>
        <v>5.3199999999999994</v>
      </c>
      <c r="K1955" t="s">
        <v>46</v>
      </c>
      <c r="L1955" t="s">
        <v>13</v>
      </c>
      <c r="M1955">
        <v>2</v>
      </c>
      <c r="N1955" t="str">
        <f t="shared" si="30"/>
        <v>INSERT INTO TNL_RATING.dbo.usps_rate_master VALUES ('USPS', '2/13/2025', '2/13/2026', 12659, 'US', 'USPS Ground Advantage', 8, 11, 'O', 5.32, 'Wedgewood_USPS_2025', 'NonCubic','2');</v>
      </c>
    </row>
    <row r="1956" spans="1:14" x14ac:dyDescent="0.3">
      <c r="A1956" t="s">
        <v>11</v>
      </c>
      <c r="B1956" s="1" t="s">
        <v>43</v>
      </c>
      <c r="C1956" s="1" t="s">
        <v>44</v>
      </c>
      <c r="D1956">
        <v>12659</v>
      </c>
      <c r="E1956" t="s">
        <v>12</v>
      </c>
      <c r="F1956" t="s">
        <v>51</v>
      </c>
      <c r="G1956">
        <v>8</v>
      </c>
      <c r="H1956">
        <v>12</v>
      </c>
      <c r="I1956" t="s">
        <v>52</v>
      </c>
      <c r="J1956" cm="1">
        <f t="array" ref="J1956">IFERROR(
    _xlfn.XLOOKUP(G1956, 'Wedgewood Pharm-GA-Yr2-2025'!$E$55:$L$55,
        _xlfn.XLOOKUP('Rate Load'!H1956, 'Wedgewood Pharm-GA-Yr2-2025'!$D$56:$D$71,
            'Wedgewood Pharm-GA-Yr2-2025'!$E$56:$L$71, 0, 0),
        0, 0),
    _xlfn.XLOOKUP(G1956, 'Wedgewood Pharm-GA-Yr2-2025'!$E$55:$L$55,
        _xlfn.XLOOKUP('Rate Load'!L1956, 'Wedgewood Pharm-GA-Yr2-2025'!$D$56:$D$71,
            'Wedgewood Pharm-GA-Yr2-2025'!$E$56:$L$71, 0, 0),
        0, 0)
)</f>
        <v>5.3199999999999994</v>
      </c>
      <c r="K1956" t="s">
        <v>46</v>
      </c>
      <c r="L1956" t="s">
        <v>13</v>
      </c>
      <c r="M1956">
        <v>2</v>
      </c>
      <c r="N1956" t="str">
        <f t="shared" si="30"/>
        <v>INSERT INTO TNL_RATING.dbo.usps_rate_master VALUES ('USPS', '2/13/2025', '2/13/2026', 12659, 'US', 'USPS Ground Advantage', 8, 12, 'O', 5.32, 'Wedgewood_USPS_2025', 'NonCubic','2');</v>
      </c>
    </row>
    <row r="1957" spans="1:14" x14ac:dyDescent="0.3">
      <c r="A1957" t="s">
        <v>11</v>
      </c>
      <c r="B1957" s="1" t="s">
        <v>43</v>
      </c>
      <c r="C1957" s="1" t="s">
        <v>44</v>
      </c>
      <c r="D1957">
        <v>12659</v>
      </c>
      <c r="E1957" t="s">
        <v>12</v>
      </c>
      <c r="F1957" t="s">
        <v>51</v>
      </c>
      <c r="G1957">
        <v>8</v>
      </c>
      <c r="H1957">
        <v>13</v>
      </c>
      <c r="I1957" t="s">
        <v>52</v>
      </c>
      <c r="J1957" cm="1">
        <f t="array" ref="J1957">IFERROR(
    _xlfn.XLOOKUP(G1957, 'Wedgewood Pharm-GA-Yr2-2025'!$E$55:$L$55,
        _xlfn.XLOOKUP('Rate Load'!H1957, 'Wedgewood Pharm-GA-Yr2-2025'!$D$56:$D$71,
            'Wedgewood Pharm-GA-Yr2-2025'!$E$56:$L$71, 0, 0),
        0, 0),
    _xlfn.XLOOKUP(G1957, 'Wedgewood Pharm-GA-Yr2-2025'!$E$55:$L$55,
        _xlfn.XLOOKUP('Rate Load'!L1957, 'Wedgewood Pharm-GA-Yr2-2025'!$D$56:$D$71,
            'Wedgewood Pharm-GA-Yr2-2025'!$E$56:$L$71, 0, 0),
        0, 0)
)</f>
        <v>5.97</v>
      </c>
      <c r="K1957" t="s">
        <v>46</v>
      </c>
      <c r="L1957" t="s">
        <v>13</v>
      </c>
      <c r="M1957">
        <v>2</v>
      </c>
      <c r="N1957" t="str">
        <f t="shared" si="30"/>
        <v>INSERT INTO TNL_RATING.dbo.usps_rate_master VALUES ('USPS', '2/13/2025', '2/13/2026', 12659, 'US', 'USPS Ground Advantage', 8, 13, 'O', 5.97, 'Wedgewood_USPS_2025', 'NonCubic','2');</v>
      </c>
    </row>
    <row r="1958" spans="1:14" x14ac:dyDescent="0.3">
      <c r="A1958" t="s">
        <v>11</v>
      </c>
      <c r="B1958" s="1" t="s">
        <v>43</v>
      </c>
      <c r="C1958" s="1" t="s">
        <v>44</v>
      </c>
      <c r="D1958">
        <v>12659</v>
      </c>
      <c r="E1958" t="s">
        <v>12</v>
      </c>
      <c r="F1958" t="s">
        <v>51</v>
      </c>
      <c r="G1958">
        <v>8</v>
      </c>
      <c r="H1958">
        <v>14</v>
      </c>
      <c r="I1958" t="s">
        <v>52</v>
      </c>
      <c r="J1958" cm="1">
        <f t="array" ref="J1958">IFERROR(
    _xlfn.XLOOKUP(G1958, 'Wedgewood Pharm-GA-Yr2-2025'!$E$55:$L$55,
        _xlfn.XLOOKUP('Rate Load'!H1958, 'Wedgewood Pharm-GA-Yr2-2025'!$D$56:$D$71,
            'Wedgewood Pharm-GA-Yr2-2025'!$E$56:$L$71, 0, 0),
        0, 0),
    _xlfn.XLOOKUP(G1958, 'Wedgewood Pharm-GA-Yr2-2025'!$E$55:$L$55,
        _xlfn.XLOOKUP('Rate Load'!L1958, 'Wedgewood Pharm-GA-Yr2-2025'!$D$56:$D$71,
            'Wedgewood Pharm-GA-Yr2-2025'!$E$56:$L$71, 0, 0),
        0, 0)
)</f>
        <v>5.97</v>
      </c>
      <c r="K1958" t="s">
        <v>46</v>
      </c>
      <c r="L1958" t="s">
        <v>13</v>
      </c>
      <c r="M1958">
        <v>2</v>
      </c>
      <c r="N1958" t="str">
        <f t="shared" si="30"/>
        <v>INSERT INTO TNL_RATING.dbo.usps_rate_master VALUES ('USPS', '2/13/2025', '2/13/2026', 12659, 'US', 'USPS Ground Advantage', 8, 14, 'O', 5.97, 'Wedgewood_USPS_2025', 'NonCubic','2');</v>
      </c>
    </row>
    <row r="1959" spans="1:14" x14ac:dyDescent="0.3">
      <c r="A1959" t="s">
        <v>11</v>
      </c>
      <c r="B1959" s="1" t="s">
        <v>43</v>
      </c>
      <c r="C1959" s="1" t="s">
        <v>44</v>
      </c>
      <c r="D1959">
        <v>12659</v>
      </c>
      <c r="E1959" t="s">
        <v>12</v>
      </c>
      <c r="F1959" t="s">
        <v>51</v>
      </c>
      <c r="G1959">
        <v>8</v>
      </c>
      <c r="H1959">
        <v>15</v>
      </c>
      <c r="I1959" t="s">
        <v>52</v>
      </c>
      <c r="J1959" cm="1">
        <f t="array" ref="J1959">IFERROR(
    _xlfn.XLOOKUP(G1959, 'Wedgewood Pharm-GA-Yr2-2025'!$E$55:$L$55,
        _xlfn.XLOOKUP('Rate Load'!H1959, 'Wedgewood Pharm-GA-Yr2-2025'!$D$56:$D$71,
            'Wedgewood Pharm-GA-Yr2-2025'!$E$56:$L$71, 0, 0),
        0, 0),
    _xlfn.XLOOKUP(G1959, 'Wedgewood Pharm-GA-Yr2-2025'!$E$55:$L$55,
        _xlfn.XLOOKUP('Rate Load'!L1959, 'Wedgewood Pharm-GA-Yr2-2025'!$D$56:$D$71,
            'Wedgewood Pharm-GA-Yr2-2025'!$E$56:$L$71, 0, 0),
        0, 0)
)</f>
        <v>5.97</v>
      </c>
      <c r="K1959" t="s">
        <v>46</v>
      </c>
      <c r="L1959" t="s">
        <v>13</v>
      </c>
      <c r="M1959">
        <v>2</v>
      </c>
      <c r="N1959" t="str">
        <f t="shared" si="30"/>
        <v>INSERT INTO TNL_RATING.dbo.usps_rate_master VALUES ('USPS', '2/13/2025', '2/13/2026', 12659, 'US', 'USPS Ground Advantage', 8, 15, 'O', 5.97, 'Wedgewood_USPS_2025', 'NonCubic','2');</v>
      </c>
    </row>
    <row r="1960" spans="1:14" x14ac:dyDescent="0.3">
      <c r="A1960" t="s">
        <v>11</v>
      </c>
      <c r="B1960" s="1" t="s">
        <v>43</v>
      </c>
      <c r="C1960" s="1" t="s">
        <v>44</v>
      </c>
      <c r="D1960">
        <v>12659</v>
      </c>
      <c r="E1960" t="s">
        <v>12</v>
      </c>
      <c r="F1960" t="s">
        <v>51</v>
      </c>
      <c r="G1960">
        <v>1</v>
      </c>
      <c r="H1960">
        <v>1</v>
      </c>
      <c r="I1960" t="s">
        <v>52</v>
      </c>
      <c r="J1960" cm="1">
        <f t="array" ref="J1960">IFERROR(
    _xlfn.XLOOKUP(G1960, 'Wedgewood Pharm-GA-Yr2-2025'!$E$106:$L$106,
        _xlfn.XLOOKUP('Rate Load'!H1960, 'Wedgewood Pharm-GA-Yr2-2025'!$D$107:$D$122,
            'Wedgewood Pharm-GA-Yr2-2025'!$E$107:$L$122, 0, 0),
        0, 0),
    _xlfn.XLOOKUP(G1960, 'Wedgewood Pharm-GA-Yr2-2025'!$E$106:$L$106,
        _xlfn.XLOOKUP('Rate Load'!L1960, 'Wedgewood Pharm-GA-Yr2-2025'!$D$107:$D$122,
            'Wedgewood Pharm-GA-Yr2-2025'!$E$107:$L$122, 0, 0),
        0, 0)
)</f>
        <v>3.19</v>
      </c>
      <c r="K1960" t="s">
        <v>46</v>
      </c>
      <c r="L1960" t="s">
        <v>13</v>
      </c>
      <c r="M1960">
        <v>3</v>
      </c>
      <c r="N1960" t="str">
        <f t="shared" si="30"/>
        <v>INSERT INTO TNL_RATING.dbo.usps_rate_master VALUES ('USPS', '2/13/2025', '2/13/2026', 12659, 'US', 'USPS Ground Advantage', 1, 1, 'O', 3.19, 'Wedgewood_USPS_2025', 'NonCubic','3');</v>
      </c>
    </row>
    <row r="1961" spans="1:14" x14ac:dyDescent="0.3">
      <c r="A1961" t="s">
        <v>11</v>
      </c>
      <c r="B1961" s="1" t="s">
        <v>43</v>
      </c>
      <c r="C1961" s="1" t="s">
        <v>44</v>
      </c>
      <c r="D1961">
        <v>12659</v>
      </c>
      <c r="E1961" t="s">
        <v>12</v>
      </c>
      <c r="F1961" t="s">
        <v>51</v>
      </c>
      <c r="G1961">
        <v>1</v>
      </c>
      <c r="H1961">
        <v>2</v>
      </c>
      <c r="I1961" t="s">
        <v>52</v>
      </c>
      <c r="J1961" cm="1">
        <f t="array" ref="J1961">IFERROR(
    _xlfn.XLOOKUP(G1961, 'Wedgewood Pharm-GA-Yr2-2025'!$E$106:$L$106,
        _xlfn.XLOOKUP('Rate Load'!H1961, 'Wedgewood Pharm-GA-Yr2-2025'!$D$107:$D$122,
            'Wedgewood Pharm-GA-Yr2-2025'!$E$107:$L$122, 0, 0),
        0, 0),
    _xlfn.XLOOKUP(G1961, 'Wedgewood Pharm-GA-Yr2-2025'!$E$106:$L$106,
        _xlfn.XLOOKUP('Rate Load'!L1961, 'Wedgewood Pharm-GA-Yr2-2025'!$D$107:$D$122,
            'Wedgewood Pharm-GA-Yr2-2025'!$E$107:$L$122, 0, 0),
        0, 0)
)</f>
        <v>3.19</v>
      </c>
      <c r="K1961" t="s">
        <v>46</v>
      </c>
      <c r="L1961" t="s">
        <v>13</v>
      </c>
      <c r="M1961">
        <v>3</v>
      </c>
      <c r="N1961" t="str">
        <f t="shared" si="30"/>
        <v>INSERT INTO TNL_RATING.dbo.usps_rate_master VALUES ('USPS', '2/13/2025', '2/13/2026', 12659, 'US', 'USPS Ground Advantage', 1, 2, 'O', 3.19, 'Wedgewood_USPS_2025', 'NonCubic','3');</v>
      </c>
    </row>
    <row r="1962" spans="1:14" x14ac:dyDescent="0.3">
      <c r="A1962" t="s">
        <v>11</v>
      </c>
      <c r="B1962" s="1" t="s">
        <v>43</v>
      </c>
      <c r="C1962" s="1" t="s">
        <v>44</v>
      </c>
      <c r="D1962">
        <v>12659</v>
      </c>
      <c r="E1962" t="s">
        <v>12</v>
      </c>
      <c r="F1962" t="s">
        <v>51</v>
      </c>
      <c r="G1962">
        <v>1</v>
      </c>
      <c r="H1962">
        <v>3</v>
      </c>
      <c r="I1962" t="s">
        <v>52</v>
      </c>
      <c r="J1962" cm="1">
        <f t="array" ref="J1962">IFERROR(
    _xlfn.XLOOKUP(G1962, 'Wedgewood Pharm-GA-Yr2-2025'!$E$106:$L$106,
        _xlfn.XLOOKUP('Rate Load'!H1962, 'Wedgewood Pharm-GA-Yr2-2025'!$D$107:$D$122,
            'Wedgewood Pharm-GA-Yr2-2025'!$E$107:$L$122, 0, 0),
        0, 0),
    _xlfn.XLOOKUP(G1962, 'Wedgewood Pharm-GA-Yr2-2025'!$E$106:$L$106,
        _xlfn.XLOOKUP('Rate Load'!L1962, 'Wedgewood Pharm-GA-Yr2-2025'!$D$107:$D$122,
            'Wedgewood Pharm-GA-Yr2-2025'!$E$107:$L$122, 0, 0),
        0, 0)
)</f>
        <v>3.19</v>
      </c>
      <c r="K1962" t="s">
        <v>46</v>
      </c>
      <c r="L1962" t="s">
        <v>13</v>
      </c>
      <c r="M1962">
        <v>3</v>
      </c>
      <c r="N1962" t="str">
        <f t="shared" si="30"/>
        <v>INSERT INTO TNL_RATING.dbo.usps_rate_master VALUES ('USPS', '2/13/2025', '2/13/2026', 12659, 'US', 'USPS Ground Advantage', 1, 3, 'O', 3.19, 'Wedgewood_USPS_2025', 'NonCubic','3');</v>
      </c>
    </row>
    <row r="1963" spans="1:14" x14ac:dyDescent="0.3">
      <c r="A1963" t="s">
        <v>11</v>
      </c>
      <c r="B1963" s="1" t="s">
        <v>43</v>
      </c>
      <c r="C1963" s="1" t="s">
        <v>44</v>
      </c>
      <c r="D1963">
        <v>12659</v>
      </c>
      <c r="E1963" t="s">
        <v>12</v>
      </c>
      <c r="F1963" t="s">
        <v>51</v>
      </c>
      <c r="G1963">
        <v>1</v>
      </c>
      <c r="H1963">
        <v>4</v>
      </c>
      <c r="I1963" t="s">
        <v>52</v>
      </c>
      <c r="J1963" cm="1">
        <f t="array" ref="J1963">IFERROR(
    _xlfn.XLOOKUP(G1963, 'Wedgewood Pharm-GA-Yr2-2025'!$E$106:$L$106,
        _xlfn.XLOOKUP('Rate Load'!H1963, 'Wedgewood Pharm-GA-Yr2-2025'!$D$107:$D$122,
            'Wedgewood Pharm-GA-Yr2-2025'!$E$107:$L$122, 0, 0),
        0, 0),
    _xlfn.XLOOKUP(G1963, 'Wedgewood Pharm-GA-Yr2-2025'!$E$106:$L$106,
        _xlfn.XLOOKUP('Rate Load'!L1963, 'Wedgewood Pharm-GA-Yr2-2025'!$D$107:$D$122,
            'Wedgewood Pharm-GA-Yr2-2025'!$E$107:$L$122, 0, 0),
        0, 0)
)</f>
        <v>3.19</v>
      </c>
      <c r="K1963" t="s">
        <v>46</v>
      </c>
      <c r="L1963" t="s">
        <v>13</v>
      </c>
      <c r="M1963">
        <v>3</v>
      </c>
      <c r="N1963" t="str">
        <f t="shared" si="30"/>
        <v>INSERT INTO TNL_RATING.dbo.usps_rate_master VALUES ('USPS', '2/13/2025', '2/13/2026', 12659, 'US', 'USPS Ground Advantage', 1, 4, 'O', 3.19, 'Wedgewood_USPS_2025', 'NonCubic','3');</v>
      </c>
    </row>
    <row r="1964" spans="1:14" x14ac:dyDescent="0.3">
      <c r="A1964" t="s">
        <v>11</v>
      </c>
      <c r="B1964" s="1" t="s">
        <v>43</v>
      </c>
      <c r="C1964" s="1" t="s">
        <v>44</v>
      </c>
      <c r="D1964">
        <v>12659</v>
      </c>
      <c r="E1964" t="s">
        <v>12</v>
      </c>
      <c r="F1964" t="s">
        <v>51</v>
      </c>
      <c r="G1964">
        <v>1</v>
      </c>
      <c r="H1964">
        <v>5</v>
      </c>
      <c r="I1964" t="s">
        <v>52</v>
      </c>
      <c r="J1964" cm="1">
        <f t="array" ref="J1964">IFERROR(
    _xlfn.XLOOKUP(G1964, 'Wedgewood Pharm-GA-Yr2-2025'!$E$106:$L$106,
        _xlfn.XLOOKUP('Rate Load'!H1964, 'Wedgewood Pharm-GA-Yr2-2025'!$D$107:$D$122,
            'Wedgewood Pharm-GA-Yr2-2025'!$E$107:$L$122, 0, 0),
        0, 0),
    _xlfn.XLOOKUP(G1964, 'Wedgewood Pharm-GA-Yr2-2025'!$E$106:$L$106,
        _xlfn.XLOOKUP('Rate Load'!L1964, 'Wedgewood Pharm-GA-Yr2-2025'!$D$107:$D$122,
            'Wedgewood Pharm-GA-Yr2-2025'!$E$107:$L$122, 0, 0),
        0, 0)
)</f>
        <v>4.08</v>
      </c>
      <c r="K1964" t="s">
        <v>46</v>
      </c>
      <c r="L1964" t="s">
        <v>13</v>
      </c>
      <c r="M1964">
        <v>3</v>
      </c>
      <c r="N1964" t="str">
        <f t="shared" si="30"/>
        <v>INSERT INTO TNL_RATING.dbo.usps_rate_master VALUES ('USPS', '2/13/2025', '2/13/2026', 12659, 'US', 'USPS Ground Advantage', 1, 5, 'O', 4.08, 'Wedgewood_USPS_2025', 'NonCubic','3');</v>
      </c>
    </row>
    <row r="1965" spans="1:14" x14ac:dyDescent="0.3">
      <c r="A1965" t="s">
        <v>11</v>
      </c>
      <c r="B1965" s="1" t="s">
        <v>43</v>
      </c>
      <c r="C1965" s="1" t="s">
        <v>44</v>
      </c>
      <c r="D1965">
        <v>12659</v>
      </c>
      <c r="E1965" t="s">
        <v>12</v>
      </c>
      <c r="F1965" t="s">
        <v>51</v>
      </c>
      <c r="G1965">
        <v>1</v>
      </c>
      <c r="H1965">
        <v>6</v>
      </c>
      <c r="I1965" t="s">
        <v>52</v>
      </c>
      <c r="J1965" cm="1">
        <f t="array" ref="J1965">IFERROR(
    _xlfn.XLOOKUP(G1965, 'Wedgewood Pharm-GA-Yr2-2025'!$E$106:$L$106,
        _xlfn.XLOOKUP('Rate Load'!H1965, 'Wedgewood Pharm-GA-Yr2-2025'!$D$107:$D$122,
            'Wedgewood Pharm-GA-Yr2-2025'!$E$107:$L$122, 0, 0),
        0, 0),
    _xlfn.XLOOKUP(G1965, 'Wedgewood Pharm-GA-Yr2-2025'!$E$106:$L$106,
        _xlfn.XLOOKUP('Rate Load'!L1965, 'Wedgewood Pharm-GA-Yr2-2025'!$D$107:$D$122,
            'Wedgewood Pharm-GA-Yr2-2025'!$E$107:$L$122, 0, 0),
        0, 0)
)</f>
        <v>4.08</v>
      </c>
      <c r="K1965" t="s">
        <v>46</v>
      </c>
      <c r="L1965" t="s">
        <v>13</v>
      </c>
      <c r="M1965">
        <v>3</v>
      </c>
      <c r="N1965" t="str">
        <f t="shared" si="30"/>
        <v>INSERT INTO TNL_RATING.dbo.usps_rate_master VALUES ('USPS', '2/13/2025', '2/13/2026', 12659, 'US', 'USPS Ground Advantage', 1, 6, 'O', 4.08, 'Wedgewood_USPS_2025', 'NonCubic','3');</v>
      </c>
    </row>
    <row r="1966" spans="1:14" x14ac:dyDescent="0.3">
      <c r="A1966" t="s">
        <v>11</v>
      </c>
      <c r="B1966" s="1" t="s">
        <v>43</v>
      </c>
      <c r="C1966" s="1" t="s">
        <v>44</v>
      </c>
      <c r="D1966">
        <v>12659</v>
      </c>
      <c r="E1966" t="s">
        <v>12</v>
      </c>
      <c r="F1966" t="s">
        <v>51</v>
      </c>
      <c r="G1966">
        <v>1</v>
      </c>
      <c r="H1966">
        <v>7</v>
      </c>
      <c r="I1966" t="s">
        <v>52</v>
      </c>
      <c r="J1966" cm="1">
        <f t="array" ref="J1966">IFERROR(
    _xlfn.XLOOKUP(G1966, 'Wedgewood Pharm-GA-Yr2-2025'!$E$106:$L$106,
        _xlfn.XLOOKUP('Rate Load'!H1966, 'Wedgewood Pharm-GA-Yr2-2025'!$D$107:$D$122,
            'Wedgewood Pharm-GA-Yr2-2025'!$E$107:$L$122, 0, 0),
        0, 0),
    _xlfn.XLOOKUP(G1966, 'Wedgewood Pharm-GA-Yr2-2025'!$E$106:$L$106,
        _xlfn.XLOOKUP('Rate Load'!L1966, 'Wedgewood Pharm-GA-Yr2-2025'!$D$107:$D$122,
            'Wedgewood Pharm-GA-Yr2-2025'!$E$107:$L$122, 0, 0),
        0, 0)
)</f>
        <v>4.08</v>
      </c>
      <c r="K1966" t="s">
        <v>46</v>
      </c>
      <c r="L1966" t="s">
        <v>13</v>
      </c>
      <c r="M1966">
        <v>3</v>
      </c>
      <c r="N1966" t="str">
        <f t="shared" si="30"/>
        <v>INSERT INTO TNL_RATING.dbo.usps_rate_master VALUES ('USPS', '2/13/2025', '2/13/2026', 12659, 'US', 'USPS Ground Advantage', 1, 7, 'O', 4.08, 'Wedgewood_USPS_2025', 'NonCubic','3');</v>
      </c>
    </row>
    <row r="1967" spans="1:14" x14ac:dyDescent="0.3">
      <c r="A1967" t="s">
        <v>11</v>
      </c>
      <c r="B1967" s="1" t="s">
        <v>43</v>
      </c>
      <c r="C1967" s="1" t="s">
        <v>44</v>
      </c>
      <c r="D1967">
        <v>12659</v>
      </c>
      <c r="E1967" t="s">
        <v>12</v>
      </c>
      <c r="F1967" t="s">
        <v>51</v>
      </c>
      <c r="G1967">
        <v>1</v>
      </c>
      <c r="H1967">
        <v>8</v>
      </c>
      <c r="I1967" t="s">
        <v>52</v>
      </c>
      <c r="J1967" cm="1">
        <f t="array" ref="J1967">IFERROR(
    _xlfn.XLOOKUP(G1967, 'Wedgewood Pharm-GA-Yr2-2025'!$E$106:$L$106,
        _xlfn.XLOOKUP('Rate Load'!H1967, 'Wedgewood Pharm-GA-Yr2-2025'!$D$107:$D$122,
            'Wedgewood Pharm-GA-Yr2-2025'!$E$107:$L$122, 0, 0),
        0, 0),
    _xlfn.XLOOKUP(G1967, 'Wedgewood Pharm-GA-Yr2-2025'!$E$106:$L$106,
        _xlfn.XLOOKUP('Rate Load'!L1967, 'Wedgewood Pharm-GA-Yr2-2025'!$D$107:$D$122,
            'Wedgewood Pharm-GA-Yr2-2025'!$E$107:$L$122, 0, 0),
        0, 0)
)</f>
        <v>4.08</v>
      </c>
      <c r="K1967" t="s">
        <v>46</v>
      </c>
      <c r="L1967" t="s">
        <v>13</v>
      </c>
      <c r="M1967">
        <v>3</v>
      </c>
      <c r="N1967" t="str">
        <f t="shared" si="30"/>
        <v>INSERT INTO TNL_RATING.dbo.usps_rate_master VALUES ('USPS', '2/13/2025', '2/13/2026', 12659, 'US', 'USPS Ground Advantage', 1, 8, 'O', 4.08, 'Wedgewood_USPS_2025', 'NonCubic','3');</v>
      </c>
    </row>
    <row r="1968" spans="1:14" x14ac:dyDescent="0.3">
      <c r="A1968" t="s">
        <v>11</v>
      </c>
      <c r="B1968" s="1" t="s">
        <v>43</v>
      </c>
      <c r="C1968" s="1" t="s">
        <v>44</v>
      </c>
      <c r="D1968">
        <v>12659</v>
      </c>
      <c r="E1968" t="s">
        <v>12</v>
      </c>
      <c r="F1968" t="s">
        <v>51</v>
      </c>
      <c r="G1968">
        <v>1</v>
      </c>
      <c r="H1968">
        <v>9</v>
      </c>
      <c r="I1968" t="s">
        <v>52</v>
      </c>
      <c r="J1968" cm="1">
        <f t="array" ref="J1968">IFERROR(
    _xlfn.XLOOKUP(G1968, 'Wedgewood Pharm-GA-Yr2-2025'!$E$106:$L$106,
        _xlfn.XLOOKUP('Rate Load'!H1968, 'Wedgewood Pharm-GA-Yr2-2025'!$D$107:$D$122,
            'Wedgewood Pharm-GA-Yr2-2025'!$E$107:$L$122, 0, 0),
        0, 0),
    _xlfn.XLOOKUP(G1968, 'Wedgewood Pharm-GA-Yr2-2025'!$E$106:$L$106,
        _xlfn.XLOOKUP('Rate Load'!L1968, 'Wedgewood Pharm-GA-Yr2-2025'!$D$107:$D$122,
            'Wedgewood Pharm-GA-Yr2-2025'!$E$107:$L$122, 0, 0),
        0, 0)
)</f>
        <v>4.59</v>
      </c>
      <c r="K1968" t="s">
        <v>46</v>
      </c>
      <c r="L1968" t="s">
        <v>13</v>
      </c>
      <c r="M1968">
        <v>3</v>
      </c>
      <c r="N1968" t="str">
        <f t="shared" si="30"/>
        <v>INSERT INTO TNL_RATING.dbo.usps_rate_master VALUES ('USPS', '2/13/2025', '2/13/2026', 12659, 'US', 'USPS Ground Advantage', 1, 9, 'O', 4.59, 'Wedgewood_USPS_2025', 'NonCubic','3');</v>
      </c>
    </row>
    <row r="1969" spans="1:14" x14ac:dyDescent="0.3">
      <c r="A1969" t="s">
        <v>11</v>
      </c>
      <c r="B1969" s="1" t="s">
        <v>43</v>
      </c>
      <c r="C1969" s="1" t="s">
        <v>44</v>
      </c>
      <c r="D1969">
        <v>12659</v>
      </c>
      <c r="E1969" t="s">
        <v>12</v>
      </c>
      <c r="F1969" t="s">
        <v>51</v>
      </c>
      <c r="G1969">
        <v>1</v>
      </c>
      <c r="H1969">
        <v>10</v>
      </c>
      <c r="I1969" t="s">
        <v>52</v>
      </c>
      <c r="J1969" cm="1">
        <f t="array" ref="J1969">IFERROR(
    _xlfn.XLOOKUP(G1969, 'Wedgewood Pharm-GA-Yr2-2025'!$E$106:$L$106,
        _xlfn.XLOOKUP('Rate Load'!H1969, 'Wedgewood Pharm-GA-Yr2-2025'!$D$107:$D$122,
            'Wedgewood Pharm-GA-Yr2-2025'!$E$107:$L$122, 0, 0),
        0, 0),
    _xlfn.XLOOKUP(G1969, 'Wedgewood Pharm-GA-Yr2-2025'!$E$106:$L$106,
        _xlfn.XLOOKUP('Rate Load'!L1969, 'Wedgewood Pharm-GA-Yr2-2025'!$D$107:$D$122,
            'Wedgewood Pharm-GA-Yr2-2025'!$E$107:$L$122, 0, 0),
        0, 0)
)</f>
        <v>4.59</v>
      </c>
      <c r="K1969" t="s">
        <v>46</v>
      </c>
      <c r="L1969" t="s">
        <v>13</v>
      </c>
      <c r="M1969">
        <v>3</v>
      </c>
      <c r="N1969" t="str">
        <f t="shared" si="30"/>
        <v>INSERT INTO TNL_RATING.dbo.usps_rate_master VALUES ('USPS', '2/13/2025', '2/13/2026', 12659, 'US', 'USPS Ground Advantage', 1, 10, 'O', 4.59, 'Wedgewood_USPS_2025', 'NonCubic','3');</v>
      </c>
    </row>
    <row r="1970" spans="1:14" x14ac:dyDescent="0.3">
      <c r="A1970" t="s">
        <v>11</v>
      </c>
      <c r="B1970" s="1" t="s">
        <v>43</v>
      </c>
      <c r="C1970" s="1" t="s">
        <v>44</v>
      </c>
      <c r="D1970">
        <v>12659</v>
      </c>
      <c r="E1970" t="s">
        <v>12</v>
      </c>
      <c r="F1970" t="s">
        <v>51</v>
      </c>
      <c r="G1970">
        <v>1</v>
      </c>
      <c r="H1970">
        <v>11</v>
      </c>
      <c r="I1970" t="s">
        <v>52</v>
      </c>
      <c r="J1970" cm="1">
        <f t="array" ref="J1970">IFERROR(
    _xlfn.XLOOKUP(G1970, 'Wedgewood Pharm-GA-Yr2-2025'!$E$106:$L$106,
        _xlfn.XLOOKUP('Rate Load'!H1970, 'Wedgewood Pharm-GA-Yr2-2025'!$D$107:$D$122,
            'Wedgewood Pharm-GA-Yr2-2025'!$E$107:$L$122, 0, 0),
        0, 0),
    _xlfn.XLOOKUP(G1970, 'Wedgewood Pharm-GA-Yr2-2025'!$E$106:$L$106,
        _xlfn.XLOOKUP('Rate Load'!L1970, 'Wedgewood Pharm-GA-Yr2-2025'!$D$107:$D$122,
            'Wedgewood Pharm-GA-Yr2-2025'!$E$107:$L$122, 0, 0),
        0, 0)
)</f>
        <v>4.59</v>
      </c>
      <c r="K1970" t="s">
        <v>46</v>
      </c>
      <c r="L1970" t="s">
        <v>13</v>
      </c>
      <c r="M1970">
        <v>3</v>
      </c>
      <c r="N1970" t="str">
        <f t="shared" si="30"/>
        <v>INSERT INTO TNL_RATING.dbo.usps_rate_master VALUES ('USPS', '2/13/2025', '2/13/2026', 12659, 'US', 'USPS Ground Advantage', 1, 11, 'O', 4.59, 'Wedgewood_USPS_2025', 'NonCubic','3');</v>
      </c>
    </row>
    <row r="1971" spans="1:14" x14ac:dyDescent="0.3">
      <c r="A1971" t="s">
        <v>11</v>
      </c>
      <c r="B1971" s="1" t="s">
        <v>43</v>
      </c>
      <c r="C1971" s="1" t="s">
        <v>44</v>
      </c>
      <c r="D1971">
        <v>12659</v>
      </c>
      <c r="E1971" t="s">
        <v>12</v>
      </c>
      <c r="F1971" t="s">
        <v>51</v>
      </c>
      <c r="G1971">
        <v>1</v>
      </c>
      <c r="H1971">
        <v>12</v>
      </c>
      <c r="I1971" t="s">
        <v>52</v>
      </c>
      <c r="J1971" cm="1">
        <f t="array" ref="J1971">IFERROR(
    _xlfn.XLOOKUP(G1971, 'Wedgewood Pharm-GA-Yr2-2025'!$E$106:$L$106,
        _xlfn.XLOOKUP('Rate Load'!H1971, 'Wedgewood Pharm-GA-Yr2-2025'!$D$107:$D$122,
            'Wedgewood Pharm-GA-Yr2-2025'!$E$107:$L$122, 0, 0),
        0, 0),
    _xlfn.XLOOKUP(G1971, 'Wedgewood Pharm-GA-Yr2-2025'!$E$106:$L$106,
        _xlfn.XLOOKUP('Rate Load'!L1971, 'Wedgewood Pharm-GA-Yr2-2025'!$D$107:$D$122,
            'Wedgewood Pharm-GA-Yr2-2025'!$E$107:$L$122, 0, 0),
        0, 0)
)</f>
        <v>4.59</v>
      </c>
      <c r="K1971" t="s">
        <v>46</v>
      </c>
      <c r="L1971" t="s">
        <v>13</v>
      </c>
      <c r="M1971">
        <v>3</v>
      </c>
      <c r="N1971" t="str">
        <f t="shared" si="30"/>
        <v>INSERT INTO TNL_RATING.dbo.usps_rate_master VALUES ('USPS', '2/13/2025', '2/13/2026', 12659, 'US', 'USPS Ground Advantage', 1, 12, 'O', 4.59, 'Wedgewood_USPS_2025', 'NonCubic','3');</v>
      </c>
    </row>
    <row r="1972" spans="1:14" x14ac:dyDescent="0.3">
      <c r="A1972" t="s">
        <v>11</v>
      </c>
      <c r="B1972" s="1" t="s">
        <v>43</v>
      </c>
      <c r="C1972" s="1" t="s">
        <v>44</v>
      </c>
      <c r="D1972">
        <v>12659</v>
      </c>
      <c r="E1972" t="s">
        <v>12</v>
      </c>
      <c r="F1972" t="s">
        <v>51</v>
      </c>
      <c r="G1972">
        <v>1</v>
      </c>
      <c r="H1972">
        <v>13</v>
      </c>
      <c r="I1972" t="s">
        <v>52</v>
      </c>
      <c r="J1972" cm="1">
        <f t="array" ref="J1972">IFERROR(
    _xlfn.XLOOKUP(G1972, 'Wedgewood Pharm-GA-Yr2-2025'!$E$106:$L$106,
        _xlfn.XLOOKUP('Rate Load'!H1972, 'Wedgewood Pharm-GA-Yr2-2025'!$D$107:$D$122,
            'Wedgewood Pharm-GA-Yr2-2025'!$E$107:$L$122, 0, 0),
        0, 0),
    _xlfn.XLOOKUP(G1972, 'Wedgewood Pharm-GA-Yr2-2025'!$E$106:$L$106,
        _xlfn.XLOOKUP('Rate Load'!L1972, 'Wedgewood Pharm-GA-Yr2-2025'!$D$107:$D$122,
            'Wedgewood Pharm-GA-Yr2-2025'!$E$107:$L$122, 0, 0),
        0, 0)
)</f>
        <v>5.12</v>
      </c>
      <c r="K1972" t="s">
        <v>46</v>
      </c>
      <c r="L1972" t="s">
        <v>13</v>
      </c>
      <c r="M1972">
        <v>3</v>
      </c>
      <c r="N1972" t="str">
        <f t="shared" si="30"/>
        <v>INSERT INTO TNL_RATING.dbo.usps_rate_master VALUES ('USPS', '2/13/2025', '2/13/2026', 12659, 'US', 'USPS Ground Advantage', 1, 13, 'O', 5.12, 'Wedgewood_USPS_2025', 'NonCubic','3');</v>
      </c>
    </row>
    <row r="1973" spans="1:14" x14ac:dyDescent="0.3">
      <c r="A1973" t="s">
        <v>11</v>
      </c>
      <c r="B1973" s="1" t="s">
        <v>43</v>
      </c>
      <c r="C1973" s="1" t="s">
        <v>44</v>
      </c>
      <c r="D1973">
        <v>12659</v>
      </c>
      <c r="E1973" t="s">
        <v>12</v>
      </c>
      <c r="F1973" t="s">
        <v>51</v>
      </c>
      <c r="G1973">
        <v>1</v>
      </c>
      <c r="H1973">
        <v>14</v>
      </c>
      <c r="I1973" t="s">
        <v>52</v>
      </c>
      <c r="J1973" cm="1">
        <f t="array" ref="J1973">IFERROR(
    _xlfn.XLOOKUP(G1973, 'Wedgewood Pharm-GA-Yr2-2025'!$E$106:$L$106,
        _xlfn.XLOOKUP('Rate Load'!H1973, 'Wedgewood Pharm-GA-Yr2-2025'!$D$107:$D$122,
            'Wedgewood Pharm-GA-Yr2-2025'!$E$107:$L$122, 0, 0),
        0, 0),
    _xlfn.XLOOKUP(G1973, 'Wedgewood Pharm-GA-Yr2-2025'!$E$106:$L$106,
        _xlfn.XLOOKUP('Rate Load'!L1973, 'Wedgewood Pharm-GA-Yr2-2025'!$D$107:$D$122,
            'Wedgewood Pharm-GA-Yr2-2025'!$E$107:$L$122, 0, 0),
        0, 0)
)</f>
        <v>5.12</v>
      </c>
      <c r="K1973" t="s">
        <v>46</v>
      </c>
      <c r="L1973" t="s">
        <v>13</v>
      </c>
      <c r="M1973">
        <v>3</v>
      </c>
      <c r="N1973" t="str">
        <f t="shared" si="30"/>
        <v>INSERT INTO TNL_RATING.dbo.usps_rate_master VALUES ('USPS', '2/13/2025', '2/13/2026', 12659, 'US', 'USPS Ground Advantage', 1, 14, 'O', 5.12, 'Wedgewood_USPS_2025', 'NonCubic','3');</v>
      </c>
    </row>
    <row r="1974" spans="1:14" x14ac:dyDescent="0.3">
      <c r="A1974" t="s">
        <v>11</v>
      </c>
      <c r="B1974" s="1" t="s">
        <v>43</v>
      </c>
      <c r="C1974" s="1" t="s">
        <v>44</v>
      </c>
      <c r="D1974">
        <v>12659</v>
      </c>
      <c r="E1974" t="s">
        <v>12</v>
      </c>
      <c r="F1974" t="s">
        <v>51</v>
      </c>
      <c r="G1974">
        <v>1</v>
      </c>
      <c r="H1974">
        <v>15</v>
      </c>
      <c r="I1974" t="s">
        <v>52</v>
      </c>
      <c r="J1974" cm="1">
        <f t="array" ref="J1974">IFERROR(
    _xlfn.XLOOKUP(G1974, 'Wedgewood Pharm-GA-Yr2-2025'!$E$106:$L$106,
        _xlfn.XLOOKUP('Rate Load'!H1974, 'Wedgewood Pharm-GA-Yr2-2025'!$D$107:$D$122,
            'Wedgewood Pharm-GA-Yr2-2025'!$E$107:$L$122, 0, 0),
        0, 0),
    _xlfn.XLOOKUP(G1974, 'Wedgewood Pharm-GA-Yr2-2025'!$E$106:$L$106,
        _xlfn.XLOOKUP('Rate Load'!L1974, 'Wedgewood Pharm-GA-Yr2-2025'!$D$107:$D$122,
            'Wedgewood Pharm-GA-Yr2-2025'!$E$107:$L$122, 0, 0),
        0, 0)
)</f>
        <v>5.12</v>
      </c>
      <c r="K1974" t="s">
        <v>46</v>
      </c>
      <c r="L1974" t="s">
        <v>13</v>
      </c>
      <c r="M1974">
        <v>3</v>
      </c>
      <c r="N1974" t="str">
        <f t="shared" si="30"/>
        <v>INSERT INTO TNL_RATING.dbo.usps_rate_master VALUES ('USPS', '2/13/2025', '2/13/2026', 12659, 'US', 'USPS Ground Advantage', 1, 15, 'O', 5.12, 'Wedgewood_USPS_2025', 'NonCubic','3');</v>
      </c>
    </row>
    <row r="1975" spans="1:14" x14ac:dyDescent="0.3">
      <c r="A1975" t="s">
        <v>11</v>
      </c>
      <c r="B1975" s="1" t="s">
        <v>43</v>
      </c>
      <c r="C1975" s="1" t="s">
        <v>44</v>
      </c>
      <c r="D1975">
        <v>12659</v>
      </c>
      <c r="E1975" t="s">
        <v>12</v>
      </c>
      <c r="F1975" t="s">
        <v>51</v>
      </c>
      <c r="G1975">
        <v>1</v>
      </c>
      <c r="H1975">
        <v>15.999000000000001</v>
      </c>
      <c r="I1975" t="s">
        <v>52</v>
      </c>
      <c r="J1975" cm="1">
        <f t="array" ref="J1975">IFERROR(
    _xlfn.XLOOKUP(G1975, 'Wedgewood Pharm-GA-Yr2-2025'!$E$106:$L$106,
        _xlfn.XLOOKUP('Rate Load'!H1975, 'Wedgewood Pharm-GA-Yr2-2025'!$D$107:$D$122,
            'Wedgewood Pharm-GA-Yr2-2025'!$E$107:$L$122, 0, 0),
        0, 0),
    _xlfn.XLOOKUP(G1975, 'Wedgewood Pharm-GA-Yr2-2025'!$E$106:$L$106,
        _xlfn.XLOOKUP('Rate Load'!L1975, 'Wedgewood Pharm-GA-Yr2-2025'!$D$107:$D$122,
            'Wedgewood Pharm-GA-Yr2-2025'!$E$107:$L$122, 0, 0),
        0, 0)
)</f>
        <v>5.12</v>
      </c>
      <c r="K1975" t="s">
        <v>46</v>
      </c>
      <c r="L1975" t="s">
        <v>13</v>
      </c>
      <c r="M1975">
        <v>3</v>
      </c>
      <c r="N1975" t="str">
        <f t="shared" si="30"/>
        <v>INSERT INTO TNL_RATING.dbo.usps_rate_master VALUES ('USPS', '2/13/2025', '2/13/2026', 12659, 'US', 'USPS Ground Advantage', 1, 15.999, 'O', 5.12, 'Wedgewood_USPS_2025', 'NonCubic','3');</v>
      </c>
    </row>
    <row r="1976" spans="1:14" x14ac:dyDescent="0.3">
      <c r="A1976" t="s">
        <v>11</v>
      </c>
      <c r="B1976" s="1" t="s">
        <v>43</v>
      </c>
      <c r="C1976" s="1" t="s">
        <v>44</v>
      </c>
      <c r="D1976">
        <v>12659</v>
      </c>
      <c r="E1976" t="s">
        <v>12</v>
      </c>
      <c r="F1976" t="s">
        <v>51</v>
      </c>
      <c r="G1976">
        <v>2</v>
      </c>
      <c r="H1976">
        <v>1</v>
      </c>
      <c r="I1976" t="s">
        <v>52</v>
      </c>
      <c r="J1976" cm="1">
        <f t="array" ref="J1976">IFERROR(
    _xlfn.XLOOKUP(G1976, 'Wedgewood Pharm-GA-Yr2-2025'!$E$106:$L$106,
        _xlfn.XLOOKUP('Rate Load'!H1976, 'Wedgewood Pharm-GA-Yr2-2025'!$D$107:$D$122,
            'Wedgewood Pharm-GA-Yr2-2025'!$E$107:$L$122, 0, 0),
        0, 0),
    _xlfn.XLOOKUP(G1976, 'Wedgewood Pharm-GA-Yr2-2025'!$E$106:$L$106,
        _xlfn.XLOOKUP('Rate Load'!L1976, 'Wedgewood Pharm-GA-Yr2-2025'!$D$107:$D$122,
            'Wedgewood Pharm-GA-Yr2-2025'!$E$107:$L$122, 0, 0),
        0, 0)
)</f>
        <v>3.25</v>
      </c>
      <c r="K1976" t="s">
        <v>46</v>
      </c>
      <c r="L1976" t="s">
        <v>13</v>
      </c>
      <c r="M1976">
        <v>3</v>
      </c>
      <c r="N1976" t="str">
        <f t="shared" si="30"/>
        <v>INSERT INTO TNL_RATING.dbo.usps_rate_master VALUES ('USPS', '2/13/2025', '2/13/2026', 12659, 'US', 'USPS Ground Advantage', 2, 1, 'O', 3.25, 'Wedgewood_USPS_2025', 'NonCubic','3');</v>
      </c>
    </row>
    <row r="1977" spans="1:14" x14ac:dyDescent="0.3">
      <c r="A1977" t="s">
        <v>11</v>
      </c>
      <c r="B1977" s="1" t="s">
        <v>43</v>
      </c>
      <c r="C1977" s="1" t="s">
        <v>44</v>
      </c>
      <c r="D1977">
        <v>12659</v>
      </c>
      <c r="E1977" t="s">
        <v>12</v>
      </c>
      <c r="F1977" t="s">
        <v>51</v>
      </c>
      <c r="G1977">
        <v>2</v>
      </c>
      <c r="H1977">
        <v>2</v>
      </c>
      <c r="I1977" t="s">
        <v>52</v>
      </c>
      <c r="J1977" cm="1">
        <f t="array" ref="J1977">IFERROR(
    _xlfn.XLOOKUP(G1977, 'Wedgewood Pharm-GA-Yr2-2025'!$E$106:$L$106,
        _xlfn.XLOOKUP('Rate Load'!H1977, 'Wedgewood Pharm-GA-Yr2-2025'!$D$107:$D$122,
            'Wedgewood Pharm-GA-Yr2-2025'!$E$107:$L$122, 0, 0),
        0, 0),
    _xlfn.XLOOKUP(G1977, 'Wedgewood Pharm-GA-Yr2-2025'!$E$106:$L$106,
        _xlfn.XLOOKUP('Rate Load'!L1977, 'Wedgewood Pharm-GA-Yr2-2025'!$D$107:$D$122,
            'Wedgewood Pharm-GA-Yr2-2025'!$E$107:$L$122, 0, 0),
        0, 0)
)</f>
        <v>3.25</v>
      </c>
      <c r="K1977" t="s">
        <v>46</v>
      </c>
      <c r="L1977" t="s">
        <v>13</v>
      </c>
      <c r="M1977">
        <v>3</v>
      </c>
      <c r="N1977" t="str">
        <f t="shared" si="30"/>
        <v>INSERT INTO TNL_RATING.dbo.usps_rate_master VALUES ('USPS', '2/13/2025', '2/13/2026', 12659, 'US', 'USPS Ground Advantage', 2, 2, 'O', 3.25, 'Wedgewood_USPS_2025', 'NonCubic','3');</v>
      </c>
    </row>
    <row r="1978" spans="1:14" x14ac:dyDescent="0.3">
      <c r="A1978" t="s">
        <v>11</v>
      </c>
      <c r="B1978" s="1" t="s">
        <v>43</v>
      </c>
      <c r="C1978" s="1" t="s">
        <v>44</v>
      </c>
      <c r="D1978">
        <v>12659</v>
      </c>
      <c r="E1978" t="s">
        <v>12</v>
      </c>
      <c r="F1978" t="s">
        <v>51</v>
      </c>
      <c r="G1978">
        <v>2</v>
      </c>
      <c r="H1978">
        <v>3</v>
      </c>
      <c r="I1978" t="s">
        <v>52</v>
      </c>
      <c r="J1978" cm="1">
        <f t="array" ref="J1978">IFERROR(
    _xlfn.XLOOKUP(G1978, 'Wedgewood Pharm-GA-Yr2-2025'!$E$106:$L$106,
        _xlfn.XLOOKUP('Rate Load'!H1978, 'Wedgewood Pharm-GA-Yr2-2025'!$D$107:$D$122,
            'Wedgewood Pharm-GA-Yr2-2025'!$E$107:$L$122, 0, 0),
        0, 0),
    _xlfn.XLOOKUP(G1978, 'Wedgewood Pharm-GA-Yr2-2025'!$E$106:$L$106,
        _xlfn.XLOOKUP('Rate Load'!L1978, 'Wedgewood Pharm-GA-Yr2-2025'!$D$107:$D$122,
            'Wedgewood Pharm-GA-Yr2-2025'!$E$107:$L$122, 0, 0),
        0, 0)
)</f>
        <v>3.25</v>
      </c>
      <c r="K1978" t="s">
        <v>46</v>
      </c>
      <c r="L1978" t="s">
        <v>13</v>
      </c>
      <c r="M1978">
        <v>3</v>
      </c>
      <c r="N1978" t="str">
        <f t="shared" si="30"/>
        <v>INSERT INTO TNL_RATING.dbo.usps_rate_master VALUES ('USPS', '2/13/2025', '2/13/2026', 12659, 'US', 'USPS Ground Advantage', 2, 3, 'O', 3.25, 'Wedgewood_USPS_2025', 'NonCubic','3');</v>
      </c>
    </row>
    <row r="1979" spans="1:14" x14ac:dyDescent="0.3">
      <c r="A1979" t="s">
        <v>11</v>
      </c>
      <c r="B1979" s="1" t="s">
        <v>43</v>
      </c>
      <c r="C1979" s="1" t="s">
        <v>44</v>
      </c>
      <c r="D1979">
        <v>12659</v>
      </c>
      <c r="E1979" t="s">
        <v>12</v>
      </c>
      <c r="F1979" t="s">
        <v>51</v>
      </c>
      <c r="G1979">
        <v>2</v>
      </c>
      <c r="H1979">
        <v>4</v>
      </c>
      <c r="I1979" t="s">
        <v>52</v>
      </c>
      <c r="J1979" cm="1">
        <f t="array" ref="J1979">IFERROR(
    _xlfn.XLOOKUP(G1979, 'Wedgewood Pharm-GA-Yr2-2025'!$E$106:$L$106,
        _xlfn.XLOOKUP('Rate Load'!H1979, 'Wedgewood Pharm-GA-Yr2-2025'!$D$107:$D$122,
            'Wedgewood Pharm-GA-Yr2-2025'!$E$107:$L$122, 0, 0),
        0, 0),
    _xlfn.XLOOKUP(G1979, 'Wedgewood Pharm-GA-Yr2-2025'!$E$106:$L$106,
        _xlfn.XLOOKUP('Rate Load'!L1979, 'Wedgewood Pharm-GA-Yr2-2025'!$D$107:$D$122,
            'Wedgewood Pharm-GA-Yr2-2025'!$E$107:$L$122, 0, 0),
        0, 0)
)</f>
        <v>3.25</v>
      </c>
      <c r="K1979" t="s">
        <v>46</v>
      </c>
      <c r="L1979" t="s">
        <v>13</v>
      </c>
      <c r="M1979">
        <v>3</v>
      </c>
      <c r="N1979" t="str">
        <f t="shared" si="30"/>
        <v>INSERT INTO TNL_RATING.dbo.usps_rate_master VALUES ('USPS', '2/13/2025', '2/13/2026', 12659, 'US', 'USPS Ground Advantage', 2, 4, 'O', 3.25, 'Wedgewood_USPS_2025', 'NonCubic','3');</v>
      </c>
    </row>
    <row r="1980" spans="1:14" x14ac:dyDescent="0.3">
      <c r="A1980" t="s">
        <v>11</v>
      </c>
      <c r="B1980" s="1" t="s">
        <v>43</v>
      </c>
      <c r="C1980" s="1" t="s">
        <v>44</v>
      </c>
      <c r="D1980">
        <v>12659</v>
      </c>
      <c r="E1980" t="s">
        <v>12</v>
      </c>
      <c r="F1980" t="s">
        <v>51</v>
      </c>
      <c r="G1980">
        <v>2</v>
      </c>
      <c r="H1980">
        <v>5</v>
      </c>
      <c r="I1980" t="s">
        <v>52</v>
      </c>
      <c r="J1980" cm="1">
        <f t="array" ref="J1980">IFERROR(
    _xlfn.XLOOKUP(G1980, 'Wedgewood Pharm-GA-Yr2-2025'!$E$106:$L$106,
        _xlfn.XLOOKUP('Rate Load'!H1980, 'Wedgewood Pharm-GA-Yr2-2025'!$D$107:$D$122,
            'Wedgewood Pharm-GA-Yr2-2025'!$E$107:$L$122, 0, 0),
        0, 0),
    _xlfn.XLOOKUP(G1980, 'Wedgewood Pharm-GA-Yr2-2025'!$E$106:$L$106,
        _xlfn.XLOOKUP('Rate Load'!L1980, 'Wedgewood Pharm-GA-Yr2-2025'!$D$107:$D$122,
            'Wedgewood Pharm-GA-Yr2-2025'!$E$107:$L$122, 0, 0),
        0, 0)
)</f>
        <v>4.1499999999999995</v>
      </c>
      <c r="K1980" t="s">
        <v>46</v>
      </c>
      <c r="L1980" t="s">
        <v>13</v>
      </c>
      <c r="M1980">
        <v>3</v>
      </c>
      <c r="N1980" t="str">
        <f t="shared" si="30"/>
        <v>INSERT INTO TNL_RATING.dbo.usps_rate_master VALUES ('USPS', '2/13/2025', '2/13/2026', 12659, 'US', 'USPS Ground Advantage', 2, 5, 'O', 4.15, 'Wedgewood_USPS_2025', 'NonCubic','3');</v>
      </c>
    </row>
    <row r="1981" spans="1:14" x14ac:dyDescent="0.3">
      <c r="A1981" t="s">
        <v>11</v>
      </c>
      <c r="B1981" s="1" t="s">
        <v>43</v>
      </c>
      <c r="C1981" s="1" t="s">
        <v>44</v>
      </c>
      <c r="D1981">
        <v>12659</v>
      </c>
      <c r="E1981" t="s">
        <v>12</v>
      </c>
      <c r="F1981" t="s">
        <v>51</v>
      </c>
      <c r="G1981">
        <v>2</v>
      </c>
      <c r="H1981">
        <v>6</v>
      </c>
      <c r="I1981" t="s">
        <v>52</v>
      </c>
      <c r="J1981" cm="1">
        <f t="array" ref="J1981">IFERROR(
    _xlfn.XLOOKUP(G1981, 'Wedgewood Pharm-GA-Yr2-2025'!$E$106:$L$106,
        _xlfn.XLOOKUP('Rate Load'!H1981, 'Wedgewood Pharm-GA-Yr2-2025'!$D$107:$D$122,
            'Wedgewood Pharm-GA-Yr2-2025'!$E$107:$L$122, 0, 0),
        0, 0),
    _xlfn.XLOOKUP(G1981, 'Wedgewood Pharm-GA-Yr2-2025'!$E$106:$L$106,
        _xlfn.XLOOKUP('Rate Load'!L1981, 'Wedgewood Pharm-GA-Yr2-2025'!$D$107:$D$122,
            'Wedgewood Pharm-GA-Yr2-2025'!$E$107:$L$122, 0, 0),
        0, 0)
)</f>
        <v>4.1499999999999995</v>
      </c>
      <c r="K1981" t="s">
        <v>46</v>
      </c>
      <c r="L1981" t="s">
        <v>13</v>
      </c>
      <c r="M1981">
        <v>3</v>
      </c>
      <c r="N1981" t="str">
        <f t="shared" si="30"/>
        <v>INSERT INTO TNL_RATING.dbo.usps_rate_master VALUES ('USPS', '2/13/2025', '2/13/2026', 12659, 'US', 'USPS Ground Advantage', 2, 6, 'O', 4.15, 'Wedgewood_USPS_2025', 'NonCubic','3');</v>
      </c>
    </row>
    <row r="1982" spans="1:14" x14ac:dyDescent="0.3">
      <c r="A1982" t="s">
        <v>11</v>
      </c>
      <c r="B1982" s="1" t="s">
        <v>43</v>
      </c>
      <c r="C1982" s="1" t="s">
        <v>44</v>
      </c>
      <c r="D1982">
        <v>12659</v>
      </c>
      <c r="E1982" t="s">
        <v>12</v>
      </c>
      <c r="F1982" t="s">
        <v>51</v>
      </c>
      <c r="G1982">
        <v>2</v>
      </c>
      <c r="H1982">
        <v>7</v>
      </c>
      <c r="I1982" t="s">
        <v>52</v>
      </c>
      <c r="J1982" cm="1">
        <f t="array" ref="J1982">IFERROR(
    _xlfn.XLOOKUP(G1982, 'Wedgewood Pharm-GA-Yr2-2025'!$E$106:$L$106,
        _xlfn.XLOOKUP('Rate Load'!H1982, 'Wedgewood Pharm-GA-Yr2-2025'!$D$107:$D$122,
            'Wedgewood Pharm-GA-Yr2-2025'!$E$107:$L$122, 0, 0),
        0, 0),
    _xlfn.XLOOKUP(G1982, 'Wedgewood Pharm-GA-Yr2-2025'!$E$106:$L$106,
        _xlfn.XLOOKUP('Rate Load'!L1982, 'Wedgewood Pharm-GA-Yr2-2025'!$D$107:$D$122,
            'Wedgewood Pharm-GA-Yr2-2025'!$E$107:$L$122, 0, 0),
        0, 0)
)</f>
        <v>4.1499999999999995</v>
      </c>
      <c r="K1982" t="s">
        <v>46</v>
      </c>
      <c r="L1982" t="s">
        <v>13</v>
      </c>
      <c r="M1982">
        <v>3</v>
      </c>
      <c r="N1982" t="str">
        <f t="shared" si="30"/>
        <v>INSERT INTO TNL_RATING.dbo.usps_rate_master VALUES ('USPS', '2/13/2025', '2/13/2026', 12659, 'US', 'USPS Ground Advantage', 2, 7, 'O', 4.15, 'Wedgewood_USPS_2025', 'NonCubic','3');</v>
      </c>
    </row>
    <row r="1983" spans="1:14" x14ac:dyDescent="0.3">
      <c r="A1983" t="s">
        <v>11</v>
      </c>
      <c r="B1983" s="1" t="s">
        <v>43</v>
      </c>
      <c r="C1983" s="1" t="s">
        <v>44</v>
      </c>
      <c r="D1983">
        <v>12659</v>
      </c>
      <c r="E1983" t="s">
        <v>12</v>
      </c>
      <c r="F1983" t="s">
        <v>51</v>
      </c>
      <c r="G1983">
        <v>2</v>
      </c>
      <c r="H1983">
        <v>8</v>
      </c>
      <c r="I1983" t="s">
        <v>52</v>
      </c>
      <c r="J1983" cm="1">
        <f t="array" ref="J1983">IFERROR(
    _xlfn.XLOOKUP(G1983, 'Wedgewood Pharm-GA-Yr2-2025'!$E$106:$L$106,
        _xlfn.XLOOKUP('Rate Load'!H1983, 'Wedgewood Pharm-GA-Yr2-2025'!$D$107:$D$122,
            'Wedgewood Pharm-GA-Yr2-2025'!$E$107:$L$122, 0, 0),
        0, 0),
    _xlfn.XLOOKUP(G1983, 'Wedgewood Pharm-GA-Yr2-2025'!$E$106:$L$106,
        _xlfn.XLOOKUP('Rate Load'!L1983, 'Wedgewood Pharm-GA-Yr2-2025'!$D$107:$D$122,
            'Wedgewood Pharm-GA-Yr2-2025'!$E$107:$L$122, 0, 0),
        0, 0)
)</f>
        <v>4.1499999999999995</v>
      </c>
      <c r="K1983" t="s">
        <v>46</v>
      </c>
      <c r="L1983" t="s">
        <v>13</v>
      </c>
      <c r="M1983">
        <v>3</v>
      </c>
      <c r="N1983" t="str">
        <f t="shared" si="30"/>
        <v>INSERT INTO TNL_RATING.dbo.usps_rate_master VALUES ('USPS', '2/13/2025', '2/13/2026', 12659, 'US', 'USPS Ground Advantage', 2, 8, 'O', 4.15, 'Wedgewood_USPS_2025', 'NonCubic','3');</v>
      </c>
    </row>
    <row r="1984" spans="1:14" x14ac:dyDescent="0.3">
      <c r="A1984" t="s">
        <v>11</v>
      </c>
      <c r="B1984" s="1" t="s">
        <v>43</v>
      </c>
      <c r="C1984" s="1" t="s">
        <v>44</v>
      </c>
      <c r="D1984">
        <v>12659</v>
      </c>
      <c r="E1984" t="s">
        <v>12</v>
      </c>
      <c r="F1984" t="s">
        <v>51</v>
      </c>
      <c r="G1984">
        <v>2</v>
      </c>
      <c r="H1984">
        <v>9</v>
      </c>
      <c r="I1984" t="s">
        <v>52</v>
      </c>
      <c r="J1984" cm="1">
        <f t="array" ref="J1984">IFERROR(
    _xlfn.XLOOKUP(G1984, 'Wedgewood Pharm-GA-Yr2-2025'!$E$106:$L$106,
        _xlfn.XLOOKUP('Rate Load'!H1984, 'Wedgewood Pharm-GA-Yr2-2025'!$D$107:$D$122,
            'Wedgewood Pharm-GA-Yr2-2025'!$E$107:$L$122, 0, 0),
        0, 0),
    _xlfn.XLOOKUP(G1984, 'Wedgewood Pharm-GA-Yr2-2025'!$E$106:$L$106,
        _xlfn.XLOOKUP('Rate Load'!L1984, 'Wedgewood Pharm-GA-Yr2-2025'!$D$107:$D$122,
            'Wedgewood Pharm-GA-Yr2-2025'!$E$107:$L$122, 0, 0),
        0, 0)
)</f>
        <v>4.66</v>
      </c>
      <c r="K1984" t="s">
        <v>46</v>
      </c>
      <c r="L1984" t="s">
        <v>13</v>
      </c>
      <c r="M1984">
        <v>3</v>
      </c>
      <c r="N1984" t="str">
        <f t="shared" si="30"/>
        <v>INSERT INTO TNL_RATING.dbo.usps_rate_master VALUES ('USPS', '2/13/2025', '2/13/2026', 12659, 'US', 'USPS Ground Advantage', 2, 9, 'O', 4.66, 'Wedgewood_USPS_2025', 'NonCubic','3');</v>
      </c>
    </row>
    <row r="1985" spans="1:14" x14ac:dyDescent="0.3">
      <c r="A1985" t="s">
        <v>11</v>
      </c>
      <c r="B1985" s="1" t="s">
        <v>43</v>
      </c>
      <c r="C1985" s="1" t="s">
        <v>44</v>
      </c>
      <c r="D1985">
        <v>12659</v>
      </c>
      <c r="E1985" t="s">
        <v>12</v>
      </c>
      <c r="F1985" t="s">
        <v>51</v>
      </c>
      <c r="G1985">
        <v>2</v>
      </c>
      <c r="H1985">
        <v>10</v>
      </c>
      <c r="I1985" t="s">
        <v>52</v>
      </c>
      <c r="J1985" cm="1">
        <f t="array" ref="J1985">IFERROR(
    _xlfn.XLOOKUP(G1985, 'Wedgewood Pharm-GA-Yr2-2025'!$E$106:$L$106,
        _xlfn.XLOOKUP('Rate Load'!H1985, 'Wedgewood Pharm-GA-Yr2-2025'!$D$107:$D$122,
            'Wedgewood Pharm-GA-Yr2-2025'!$E$107:$L$122, 0, 0),
        0, 0),
    _xlfn.XLOOKUP(G1985, 'Wedgewood Pharm-GA-Yr2-2025'!$E$106:$L$106,
        _xlfn.XLOOKUP('Rate Load'!L1985, 'Wedgewood Pharm-GA-Yr2-2025'!$D$107:$D$122,
            'Wedgewood Pharm-GA-Yr2-2025'!$E$107:$L$122, 0, 0),
        0, 0)
)</f>
        <v>4.66</v>
      </c>
      <c r="K1985" t="s">
        <v>46</v>
      </c>
      <c r="L1985" t="s">
        <v>13</v>
      </c>
      <c r="M1985">
        <v>3</v>
      </c>
      <c r="N1985" t="str">
        <f t="shared" si="30"/>
        <v>INSERT INTO TNL_RATING.dbo.usps_rate_master VALUES ('USPS', '2/13/2025', '2/13/2026', 12659, 'US', 'USPS Ground Advantage', 2, 10, 'O', 4.66, 'Wedgewood_USPS_2025', 'NonCubic','3');</v>
      </c>
    </row>
    <row r="1986" spans="1:14" x14ac:dyDescent="0.3">
      <c r="A1986" t="s">
        <v>11</v>
      </c>
      <c r="B1986" s="1" t="s">
        <v>43</v>
      </c>
      <c r="C1986" s="1" t="s">
        <v>44</v>
      </c>
      <c r="D1986">
        <v>12659</v>
      </c>
      <c r="E1986" t="s">
        <v>12</v>
      </c>
      <c r="F1986" t="s">
        <v>51</v>
      </c>
      <c r="G1986">
        <v>2</v>
      </c>
      <c r="H1986">
        <v>11</v>
      </c>
      <c r="I1986" t="s">
        <v>52</v>
      </c>
      <c r="J1986" cm="1">
        <f t="array" ref="J1986">IFERROR(
    _xlfn.XLOOKUP(G1986, 'Wedgewood Pharm-GA-Yr2-2025'!$E$106:$L$106,
        _xlfn.XLOOKUP('Rate Load'!H1986, 'Wedgewood Pharm-GA-Yr2-2025'!$D$107:$D$122,
            'Wedgewood Pharm-GA-Yr2-2025'!$E$107:$L$122, 0, 0),
        0, 0),
    _xlfn.XLOOKUP(G1986, 'Wedgewood Pharm-GA-Yr2-2025'!$E$106:$L$106,
        _xlfn.XLOOKUP('Rate Load'!L1986, 'Wedgewood Pharm-GA-Yr2-2025'!$D$107:$D$122,
            'Wedgewood Pharm-GA-Yr2-2025'!$E$107:$L$122, 0, 0),
        0, 0)
)</f>
        <v>4.66</v>
      </c>
      <c r="K1986" t="s">
        <v>46</v>
      </c>
      <c r="L1986" t="s">
        <v>13</v>
      </c>
      <c r="M1986">
        <v>3</v>
      </c>
      <c r="N1986" t="str">
        <f t="shared" si="30"/>
        <v>INSERT INTO TNL_RATING.dbo.usps_rate_master VALUES ('USPS', '2/13/2025', '2/13/2026', 12659, 'US', 'USPS Ground Advantage', 2, 11, 'O', 4.66, 'Wedgewood_USPS_2025', 'NonCubic','3');</v>
      </c>
    </row>
    <row r="1987" spans="1:14" x14ac:dyDescent="0.3">
      <c r="A1987" t="s">
        <v>11</v>
      </c>
      <c r="B1987" s="1" t="s">
        <v>43</v>
      </c>
      <c r="C1987" s="1" t="s">
        <v>44</v>
      </c>
      <c r="D1987">
        <v>12659</v>
      </c>
      <c r="E1987" t="s">
        <v>12</v>
      </c>
      <c r="F1987" t="s">
        <v>51</v>
      </c>
      <c r="G1987">
        <v>2</v>
      </c>
      <c r="H1987">
        <v>12</v>
      </c>
      <c r="I1987" t="s">
        <v>52</v>
      </c>
      <c r="J1987" cm="1">
        <f t="array" ref="J1987">IFERROR(
    _xlfn.XLOOKUP(G1987, 'Wedgewood Pharm-GA-Yr2-2025'!$E$106:$L$106,
        _xlfn.XLOOKUP('Rate Load'!H1987, 'Wedgewood Pharm-GA-Yr2-2025'!$D$107:$D$122,
            'Wedgewood Pharm-GA-Yr2-2025'!$E$107:$L$122, 0, 0),
        0, 0),
    _xlfn.XLOOKUP(G1987, 'Wedgewood Pharm-GA-Yr2-2025'!$E$106:$L$106,
        _xlfn.XLOOKUP('Rate Load'!L1987, 'Wedgewood Pharm-GA-Yr2-2025'!$D$107:$D$122,
            'Wedgewood Pharm-GA-Yr2-2025'!$E$107:$L$122, 0, 0),
        0, 0)
)</f>
        <v>4.66</v>
      </c>
      <c r="K1987" t="s">
        <v>46</v>
      </c>
      <c r="L1987" t="s">
        <v>13</v>
      </c>
      <c r="M1987">
        <v>3</v>
      </c>
      <c r="N1987" t="str">
        <f t="shared" ref="N1987:N2050" si="31">"INSERT INTO TNL_RATING.dbo.usps_rate_master VALUES ('" &amp; A1987 &amp; "', '" &amp; B1987 &amp; "', '" &amp; C1987 &amp; "', " &amp; D1987 &amp; ", '" &amp; E1987 &amp; "', '" &amp; F1987 &amp; "', " &amp; G1987 &amp; ", " &amp; H1987 &amp; ", '" &amp; I1987 &amp; "', " &amp; J1987 &amp; ", '" &amp; K1987 &amp; "', '" &amp; L1987 &amp; "','" &amp; M1987 &amp; "');"</f>
        <v>INSERT INTO TNL_RATING.dbo.usps_rate_master VALUES ('USPS', '2/13/2025', '2/13/2026', 12659, 'US', 'USPS Ground Advantage', 2, 12, 'O', 4.66, 'Wedgewood_USPS_2025', 'NonCubic','3');</v>
      </c>
    </row>
    <row r="1988" spans="1:14" x14ac:dyDescent="0.3">
      <c r="A1988" t="s">
        <v>11</v>
      </c>
      <c r="B1988" s="1" t="s">
        <v>43</v>
      </c>
      <c r="C1988" s="1" t="s">
        <v>44</v>
      </c>
      <c r="D1988">
        <v>12659</v>
      </c>
      <c r="E1988" t="s">
        <v>12</v>
      </c>
      <c r="F1988" t="s">
        <v>51</v>
      </c>
      <c r="G1988">
        <v>2</v>
      </c>
      <c r="H1988">
        <v>13</v>
      </c>
      <c r="I1988" t="s">
        <v>52</v>
      </c>
      <c r="J1988" cm="1">
        <f t="array" ref="J1988">IFERROR(
    _xlfn.XLOOKUP(G1988, 'Wedgewood Pharm-GA-Yr2-2025'!$E$106:$L$106,
        _xlfn.XLOOKUP('Rate Load'!H1988, 'Wedgewood Pharm-GA-Yr2-2025'!$D$107:$D$122,
            'Wedgewood Pharm-GA-Yr2-2025'!$E$107:$L$122, 0, 0),
        0, 0),
    _xlfn.XLOOKUP(G1988, 'Wedgewood Pharm-GA-Yr2-2025'!$E$106:$L$106,
        _xlfn.XLOOKUP('Rate Load'!L1988, 'Wedgewood Pharm-GA-Yr2-2025'!$D$107:$D$122,
            'Wedgewood Pharm-GA-Yr2-2025'!$E$107:$L$122, 0, 0),
        0, 0)
)</f>
        <v>5.2</v>
      </c>
      <c r="K1988" t="s">
        <v>46</v>
      </c>
      <c r="L1988" t="s">
        <v>13</v>
      </c>
      <c r="M1988">
        <v>3</v>
      </c>
      <c r="N1988" t="str">
        <f t="shared" si="31"/>
        <v>INSERT INTO TNL_RATING.dbo.usps_rate_master VALUES ('USPS', '2/13/2025', '2/13/2026', 12659, 'US', 'USPS Ground Advantage', 2, 13, 'O', 5.2, 'Wedgewood_USPS_2025', 'NonCubic','3');</v>
      </c>
    </row>
    <row r="1989" spans="1:14" x14ac:dyDescent="0.3">
      <c r="A1989" t="s">
        <v>11</v>
      </c>
      <c r="B1989" s="1" t="s">
        <v>43</v>
      </c>
      <c r="C1989" s="1" t="s">
        <v>44</v>
      </c>
      <c r="D1989">
        <v>12659</v>
      </c>
      <c r="E1989" t="s">
        <v>12</v>
      </c>
      <c r="F1989" t="s">
        <v>51</v>
      </c>
      <c r="G1989">
        <v>2</v>
      </c>
      <c r="H1989">
        <v>14</v>
      </c>
      <c r="I1989" t="s">
        <v>52</v>
      </c>
      <c r="J1989" cm="1">
        <f t="array" ref="J1989">IFERROR(
    _xlfn.XLOOKUP(G1989, 'Wedgewood Pharm-GA-Yr2-2025'!$E$106:$L$106,
        _xlfn.XLOOKUP('Rate Load'!H1989, 'Wedgewood Pharm-GA-Yr2-2025'!$D$107:$D$122,
            'Wedgewood Pharm-GA-Yr2-2025'!$E$107:$L$122, 0, 0),
        0, 0),
    _xlfn.XLOOKUP(G1989, 'Wedgewood Pharm-GA-Yr2-2025'!$E$106:$L$106,
        _xlfn.XLOOKUP('Rate Load'!L1989, 'Wedgewood Pharm-GA-Yr2-2025'!$D$107:$D$122,
            'Wedgewood Pharm-GA-Yr2-2025'!$E$107:$L$122, 0, 0),
        0, 0)
)</f>
        <v>5.2</v>
      </c>
      <c r="K1989" t="s">
        <v>46</v>
      </c>
      <c r="L1989" t="s">
        <v>13</v>
      </c>
      <c r="M1989">
        <v>3</v>
      </c>
      <c r="N1989" t="str">
        <f t="shared" si="31"/>
        <v>INSERT INTO TNL_RATING.dbo.usps_rate_master VALUES ('USPS', '2/13/2025', '2/13/2026', 12659, 'US', 'USPS Ground Advantage', 2, 14, 'O', 5.2, 'Wedgewood_USPS_2025', 'NonCubic','3');</v>
      </c>
    </row>
    <row r="1990" spans="1:14" x14ac:dyDescent="0.3">
      <c r="A1990" t="s">
        <v>11</v>
      </c>
      <c r="B1990" s="1" t="s">
        <v>43</v>
      </c>
      <c r="C1990" s="1" t="s">
        <v>44</v>
      </c>
      <c r="D1990">
        <v>12659</v>
      </c>
      <c r="E1990" t="s">
        <v>12</v>
      </c>
      <c r="F1990" t="s">
        <v>51</v>
      </c>
      <c r="G1990">
        <v>2</v>
      </c>
      <c r="H1990">
        <v>15</v>
      </c>
      <c r="I1990" t="s">
        <v>52</v>
      </c>
      <c r="J1990" cm="1">
        <f t="array" ref="J1990">IFERROR(
    _xlfn.XLOOKUP(G1990, 'Wedgewood Pharm-GA-Yr2-2025'!$E$106:$L$106,
        _xlfn.XLOOKUP('Rate Load'!H1990, 'Wedgewood Pharm-GA-Yr2-2025'!$D$107:$D$122,
            'Wedgewood Pharm-GA-Yr2-2025'!$E$107:$L$122, 0, 0),
        0, 0),
    _xlfn.XLOOKUP(G1990, 'Wedgewood Pharm-GA-Yr2-2025'!$E$106:$L$106,
        _xlfn.XLOOKUP('Rate Load'!L1990, 'Wedgewood Pharm-GA-Yr2-2025'!$D$107:$D$122,
            'Wedgewood Pharm-GA-Yr2-2025'!$E$107:$L$122, 0, 0),
        0, 0)
)</f>
        <v>5.2</v>
      </c>
      <c r="K1990" t="s">
        <v>46</v>
      </c>
      <c r="L1990" t="s">
        <v>13</v>
      </c>
      <c r="M1990">
        <v>3</v>
      </c>
      <c r="N1990" t="str">
        <f t="shared" si="31"/>
        <v>INSERT INTO TNL_RATING.dbo.usps_rate_master VALUES ('USPS', '2/13/2025', '2/13/2026', 12659, 'US', 'USPS Ground Advantage', 2, 15, 'O', 5.2, 'Wedgewood_USPS_2025', 'NonCubic','3');</v>
      </c>
    </row>
    <row r="1991" spans="1:14" x14ac:dyDescent="0.3">
      <c r="A1991" t="s">
        <v>11</v>
      </c>
      <c r="B1991" s="1" t="s">
        <v>43</v>
      </c>
      <c r="C1991" s="1" t="s">
        <v>44</v>
      </c>
      <c r="D1991">
        <v>12659</v>
      </c>
      <c r="E1991" t="s">
        <v>12</v>
      </c>
      <c r="F1991" t="s">
        <v>51</v>
      </c>
      <c r="G1991">
        <v>2</v>
      </c>
      <c r="H1991">
        <v>15.999000000000001</v>
      </c>
      <c r="I1991" t="s">
        <v>52</v>
      </c>
      <c r="J1991" cm="1">
        <f t="array" ref="J1991">IFERROR(
    _xlfn.XLOOKUP(G1991, 'Wedgewood Pharm-GA-Yr2-2025'!$E$106:$L$106,
        _xlfn.XLOOKUP('Rate Load'!H1991, 'Wedgewood Pharm-GA-Yr2-2025'!$D$107:$D$122,
            'Wedgewood Pharm-GA-Yr2-2025'!$E$107:$L$122, 0, 0),
        0, 0),
    _xlfn.XLOOKUP(G1991, 'Wedgewood Pharm-GA-Yr2-2025'!$E$106:$L$106,
        _xlfn.XLOOKUP('Rate Load'!L1991, 'Wedgewood Pharm-GA-Yr2-2025'!$D$107:$D$122,
            'Wedgewood Pharm-GA-Yr2-2025'!$E$107:$L$122, 0, 0),
        0, 0)
)</f>
        <v>5.2</v>
      </c>
      <c r="K1991" t="s">
        <v>46</v>
      </c>
      <c r="L1991" t="s">
        <v>13</v>
      </c>
      <c r="M1991">
        <v>3</v>
      </c>
      <c r="N1991" t="str">
        <f t="shared" si="31"/>
        <v>INSERT INTO TNL_RATING.dbo.usps_rate_master VALUES ('USPS', '2/13/2025', '2/13/2026', 12659, 'US', 'USPS Ground Advantage', 2, 15.999, 'O', 5.2, 'Wedgewood_USPS_2025', 'NonCubic','3');</v>
      </c>
    </row>
    <row r="1992" spans="1:14" x14ac:dyDescent="0.3">
      <c r="A1992" t="s">
        <v>11</v>
      </c>
      <c r="B1992" s="1" t="s">
        <v>43</v>
      </c>
      <c r="C1992" s="1" t="s">
        <v>44</v>
      </c>
      <c r="D1992">
        <v>12659</v>
      </c>
      <c r="E1992" t="s">
        <v>12</v>
      </c>
      <c r="F1992" t="s">
        <v>51</v>
      </c>
      <c r="G1992">
        <v>3</v>
      </c>
      <c r="H1992">
        <v>1</v>
      </c>
      <c r="I1992" t="s">
        <v>52</v>
      </c>
      <c r="J1992" cm="1">
        <f t="array" ref="J1992">IFERROR(
    _xlfn.XLOOKUP(G1992, 'Wedgewood Pharm-GA-Yr2-2025'!$E$106:$L$106,
        _xlfn.XLOOKUP('Rate Load'!H1992, 'Wedgewood Pharm-GA-Yr2-2025'!$D$107:$D$122,
            'Wedgewood Pharm-GA-Yr2-2025'!$E$107:$L$122, 0, 0),
        0, 0),
    _xlfn.XLOOKUP(G1992, 'Wedgewood Pharm-GA-Yr2-2025'!$E$106:$L$106,
        _xlfn.XLOOKUP('Rate Load'!L1992, 'Wedgewood Pharm-GA-Yr2-2025'!$D$107:$D$122,
            'Wedgewood Pharm-GA-Yr2-2025'!$E$107:$L$122, 0, 0),
        0, 0)
)</f>
        <v>3.2699999999999996</v>
      </c>
      <c r="K1992" t="s">
        <v>46</v>
      </c>
      <c r="L1992" t="s">
        <v>13</v>
      </c>
      <c r="M1992">
        <v>3</v>
      </c>
      <c r="N1992" t="str">
        <f t="shared" si="31"/>
        <v>INSERT INTO TNL_RATING.dbo.usps_rate_master VALUES ('USPS', '2/13/2025', '2/13/2026', 12659, 'US', 'USPS Ground Advantage', 3, 1, 'O', 3.27, 'Wedgewood_USPS_2025', 'NonCubic','3');</v>
      </c>
    </row>
    <row r="1993" spans="1:14" x14ac:dyDescent="0.3">
      <c r="A1993" t="s">
        <v>11</v>
      </c>
      <c r="B1993" s="1" t="s">
        <v>43</v>
      </c>
      <c r="C1993" s="1" t="s">
        <v>44</v>
      </c>
      <c r="D1993">
        <v>12659</v>
      </c>
      <c r="E1993" t="s">
        <v>12</v>
      </c>
      <c r="F1993" t="s">
        <v>51</v>
      </c>
      <c r="G1993">
        <v>3</v>
      </c>
      <c r="H1993">
        <v>2</v>
      </c>
      <c r="I1993" t="s">
        <v>52</v>
      </c>
      <c r="J1993" cm="1">
        <f t="array" ref="J1993">IFERROR(
    _xlfn.XLOOKUP(G1993, 'Wedgewood Pharm-GA-Yr2-2025'!$E$106:$L$106,
        _xlfn.XLOOKUP('Rate Load'!H1993, 'Wedgewood Pharm-GA-Yr2-2025'!$D$107:$D$122,
            'Wedgewood Pharm-GA-Yr2-2025'!$E$107:$L$122, 0, 0),
        0, 0),
    _xlfn.XLOOKUP(G1993, 'Wedgewood Pharm-GA-Yr2-2025'!$E$106:$L$106,
        _xlfn.XLOOKUP('Rate Load'!L1993, 'Wedgewood Pharm-GA-Yr2-2025'!$D$107:$D$122,
            'Wedgewood Pharm-GA-Yr2-2025'!$E$107:$L$122, 0, 0),
        0, 0)
)</f>
        <v>3.2699999999999996</v>
      </c>
      <c r="K1993" t="s">
        <v>46</v>
      </c>
      <c r="L1993" t="s">
        <v>13</v>
      </c>
      <c r="M1993">
        <v>3</v>
      </c>
      <c r="N1993" t="str">
        <f t="shared" si="31"/>
        <v>INSERT INTO TNL_RATING.dbo.usps_rate_master VALUES ('USPS', '2/13/2025', '2/13/2026', 12659, 'US', 'USPS Ground Advantage', 3, 2, 'O', 3.27, 'Wedgewood_USPS_2025', 'NonCubic','3');</v>
      </c>
    </row>
    <row r="1994" spans="1:14" x14ac:dyDescent="0.3">
      <c r="A1994" t="s">
        <v>11</v>
      </c>
      <c r="B1994" s="1" t="s">
        <v>43</v>
      </c>
      <c r="C1994" s="1" t="s">
        <v>44</v>
      </c>
      <c r="D1994">
        <v>12659</v>
      </c>
      <c r="E1994" t="s">
        <v>12</v>
      </c>
      <c r="F1994" t="s">
        <v>51</v>
      </c>
      <c r="G1994">
        <v>3</v>
      </c>
      <c r="H1994">
        <v>3</v>
      </c>
      <c r="I1994" t="s">
        <v>52</v>
      </c>
      <c r="J1994" cm="1">
        <f t="array" ref="J1994">IFERROR(
    _xlfn.XLOOKUP(G1994, 'Wedgewood Pharm-GA-Yr2-2025'!$E$106:$L$106,
        _xlfn.XLOOKUP('Rate Load'!H1994, 'Wedgewood Pharm-GA-Yr2-2025'!$D$107:$D$122,
            'Wedgewood Pharm-GA-Yr2-2025'!$E$107:$L$122, 0, 0),
        0, 0),
    _xlfn.XLOOKUP(G1994, 'Wedgewood Pharm-GA-Yr2-2025'!$E$106:$L$106,
        _xlfn.XLOOKUP('Rate Load'!L1994, 'Wedgewood Pharm-GA-Yr2-2025'!$D$107:$D$122,
            'Wedgewood Pharm-GA-Yr2-2025'!$E$107:$L$122, 0, 0),
        0, 0)
)</f>
        <v>3.2699999999999996</v>
      </c>
      <c r="K1994" t="s">
        <v>46</v>
      </c>
      <c r="L1994" t="s">
        <v>13</v>
      </c>
      <c r="M1994">
        <v>3</v>
      </c>
      <c r="N1994" t="str">
        <f t="shared" si="31"/>
        <v>INSERT INTO TNL_RATING.dbo.usps_rate_master VALUES ('USPS', '2/13/2025', '2/13/2026', 12659, 'US', 'USPS Ground Advantage', 3, 3, 'O', 3.27, 'Wedgewood_USPS_2025', 'NonCubic','3');</v>
      </c>
    </row>
    <row r="1995" spans="1:14" x14ac:dyDescent="0.3">
      <c r="A1995" t="s">
        <v>11</v>
      </c>
      <c r="B1995" s="1" t="s">
        <v>43</v>
      </c>
      <c r="C1995" s="1" t="s">
        <v>44</v>
      </c>
      <c r="D1995">
        <v>12659</v>
      </c>
      <c r="E1995" t="s">
        <v>12</v>
      </c>
      <c r="F1995" t="s">
        <v>51</v>
      </c>
      <c r="G1995">
        <v>3</v>
      </c>
      <c r="H1995">
        <v>4</v>
      </c>
      <c r="I1995" t="s">
        <v>52</v>
      </c>
      <c r="J1995" cm="1">
        <f t="array" ref="J1995">IFERROR(
    _xlfn.XLOOKUP(G1995, 'Wedgewood Pharm-GA-Yr2-2025'!$E$106:$L$106,
        _xlfn.XLOOKUP('Rate Load'!H1995, 'Wedgewood Pharm-GA-Yr2-2025'!$D$107:$D$122,
            'Wedgewood Pharm-GA-Yr2-2025'!$E$107:$L$122, 0, 0),
        0, 0),
    _xlfn.XLOOKUP(G1995, 'Wedgewood Pharm-GA-Yr2-2025'!$E$106:$L$106,
        _xlfn.XLOOKUP('Rate Load'!L1995, 'Wedgewood Pharm-GA-Yr2-2025'!$D$107:$D$122,
            'Wedgewood Pharm-GA-Yr2-2025'!$E$107:$L$122, 0, 0),
        0, 0)
)</f>
        <v>3.2699999999999996</v>
      </c>
      <c r="K1995" t="s">
        <v>46</v>
      </c>
      <c r="L1995" t="s">
        <v>13</v>
      </c>
      <c r="M1995">
        <v>3</v>
      </c>
      <c r="N1995" t="str">
        <f t="shared" si="31"/>
        <v>INSERT INTO TNL_RATING.dbo.usps_rate_master VALUES ('USPS', '2/13/2025', '2/13/2026', 12659, 'US', 'USPS Ground Advantage', 3, 4, 'O', 3.27, 'Wedgewood_USPS_2025', 'NonCubic','3');</v>
      </c>
    </row>
    <row r="1996" spans="1:14" x14ac:dyDescent="0.3">
      <c r="A1996" t="s">
        <v>11</v>
      </c>
      <c r="B1996" s="1" t="s">
        <v>43</v>
      </c>
      <c r="C1996" s="1" t="s">
        <v>44</v>
      </c>
      <c r="D1996">
        <v>12659</v>
      </c>
      <c r="E1996" t="s">
        <v>12</v>
      </c>
      <c r="F1996" t="s">
        <v>51</v>
      </c>
      <c r="G1996">
        <v>3</v>
      </c>
      <c r="H1996">
        <v>5</v>
      </c>
      <c r="I1996" t="s">
        <v>52</v>
      </c>
      <c r="J1996" cm="1">
        <f t="array" ref="J1996">IFERROR(
    _xlfn.XLOOKUP(G1996, 'Wedgewood Pharm-GA-Yr2-2025'!$E$106:$L$106,
        _xlfn.XLOOKUP('Rate Load'!H1996, 'Wedgewood Pharm-GA-Yr2-2025'!$D$107:$D$122,
            'Wedgewood Pharm-GA-Yr2-2025'!$E$107:$L$122, 0, 0),
        0, 0),
    _xlfn.XLOOKUP(G1996, 'Wedgewood Pharm-GA-Yr2-2025'!$E$106:$L$106,
        _xlfn.XLOOKUP('Rate Load'!L1996, 'Wedgewood Pharm-GA-Yr2-2025'!$D$107:$D$122,
            'Wedgewood Pharm-GA-Yr2-2025'!$E$107:$L$122, 0, 0),
        0, 0)
)</f>
        <v>4.18</v>
      </c>
      <c r="K1996" t="s">
        <v>46</v>
      </c>
      <c r="L1996" t="s">
        <v>13</v>
      </c>
      <c r="M1996">
        <v>3</v>
      </c>
      <c r="N1996" t="str">
        <f t="shared" si="31"/>
        <v>INSERT INTO TNL_RATING.dbo.usps_rate_master VALUES ('USPS', '2/13/2025', '2/13/2026', 12659, 'US', 'USPS Ground Advantage', 3, 5, 'O', 4.18, 'Wedgewood_USPS_2025', 'NonCubic','3');</v>
      </c>
    </row>
    <row r="1997" spans="1:14" x14ac:dyDescent="0.3">
      <c r="A1997" t="s">
        <v>11</v>
      </c>
      <c r="B1997" s="1" t="s">
        <v>43</v>
      </c>
      <c r="C1997" s="1" t="s">
        <v>44</v>
      </c>
      <c r="D1997">
        <v>12659</v>
      </c>
      <c r="E1997" t="s">
        <v>12</v>
      </c>
      <c r="F1997" t="s">
        <v>51</v>
      </c>
      <c r="G1997">
        <v>3</v>
      </c>
      <c r="H1997">
        <v>6</v>
      </c>
      <c r="I1997" t="s">
        <v>52</v>
      </c>
      <c r="J1997" cm="1">
        <f t="array" ref="J1997">IFERROR(
    _xlfn.XLOOKUP(G1997, 'Wedgewood Pharm-GA-Yr2-2025'!$E$106:$L$106,
        _xlfn.XLOOKUP('Rate Load'!H1997, 'Wedgewood Pharm-GA-Yr2-2025'!$D$107:$D$122,
            'Wedgewood Pharm-GA-Yr2-2025'!$E$107:$L$122, 0, 0),
        0, 0),
    _xlfn.XLOOKUP(G1997, 'Wedgewood Pharm-GA-Yr2-2025'!$E$106:$L$106,
        _xlfn.XLOOKUP('Rate Load'!L1997, 'Wedgewood Pharm-GA-Yr2-2025'!$D$107:$D$122,
            'Wedgewood Pharm-GA-Yr2-2025'!$E$107:$L$122, 0, 0),
        0, 0)
)</f>
        <v>4.18</v>
      </c>
      <c r="K1997" t="s">
        <v>46</v>
      </c>
      <c r="L1997" t="s">
        <v>13</v>
      </c>
      <c r="M1997">
        <v>3</v>
      </c>
      <c r="N1997" t="str">
        <f t="shared" si="31"/>
        <v>INSERT INTO TNL_RATING.dbo.usps_rate_master VALUES ('USPS', '2/13/2025', '2/13/2026', 12659, 'US', 'USPS Ground Advantage', 3, 6, 'O', 4.18, 'Wedgewood_USPS_2025', 'NonCubic','3');</v>
      </c>
    </row>
    <row r="1998" spans="1:14" x14ac:dyDescent="0.3">
      <c r="A1998" t="s">
        <v>11</v>
      </c>
      <c r="B1998" s="1" t="s">
        <v>43</v>
      </c>
      <c r="C1998" s="1" t="s">
        <v>44</v>
      </c>
      <c r="D1998">
        <v>12659</v>
      </c>
      <c r="E1998" t="s">
        <v>12</v>
      </c>
      <c r="F1998" t="s">
        <v>51</v>
      </c>
      <c r="G1998">
        <v>3</v>
      </c>
      <c r="H1998">
        <v>7</v>
      </c>
      <c r="I1998" t="s">
        <v>52</v>
      </c>
      <c r="J1998" cm="1">
        <f t="array" ref="J1998">IFERROR(
    _xlfn.XLOOKUP(G1998, 'Wedgewood Pharm-GA-Yr2-2025'!$E$106:$L$106,
        _xlfn.XLOOKUP('Rate Load'!H1998, 'Wedgewood Pharm-GA-Yr2-2025'!$D$107:$D$122,
            'Wedgewood Pharm-GA-Yr2-2025'!$E$107:$L$122, 0, 0),
        0, 0),
    _xlfn.XLOOKUP(G1998, 'Wedgewood Pharm-GA-Yr2-2025'!$E$106:$L$106,
        _xlfn.XLOOKUP('Rate Load'!L1998, 'Wedgewood Pharm-GA-Yr2-2025'!$D$107:$D$122,
            'Wedgewood Pharm-GA-Yr2-2025'!$E$107:$L$122, 0, 0),
        0, 0)
)</f>
        <v>4.18</v>
      </c>
      <c r="K1998" t="s">
        <v>46</v>
      </c>
      <c r="L1998" t="s">
        <v>13</v>
      </c>
      <c r="M1998">
        <v>3</v>
      </c>
      <c r="N1998" t="str">
        <f t="shared" si="31"/>
        <v>INSERT INTO TNL_RATING.dbo.usps_rate_master VALUES ('USPS', '2/13/2025', '2/13/2026', 12659, 'US', 'USPS Ground Advantage', 3, 7, 'O', 4.18, 'Wedgewood_USPS_2025', 'NonCubic','3');</v>
      </c>
    </row>
    <row r="1999" spans="1:14" x14ac:dyDescent="0.3">
      <c r="A1999" t="s">
        <v>11</v>
      </c>
      <c r="B1999" s="1" t="s">
        <v>43</v>
      </c>
      <c r="C1999" s="1" t="s">
        <v>44</v>
      </c>
      <c r="D1999">
        <v>12659</v>
      </c>
      <c r="E1999" t="s">
        <v>12</v>
      </c>
      <c r="F1999" t="s">
        <v>51</v>
      </c>
      <c r="G1999">
        <v>3</v>
      </c>
      <c r="H1999">
        <v>8</v>
      </c>
      <c r="I1999" t="s">
        <v>52</v>
      </c>
      <c r="J1999" cm="1">
        <f t="array" ref="J1999">IFERROR(
    _xlfn.XLOOKUP(G1999, 'Wedgewood Pharm-GA-Yr2-2025'!$E$106:$L$106,
        _xlfn.XLOOKUP('Rate Load'!H1999, 'Wedgewood Pharm-GA-Yr2-2025'!$D$107:$D$122,
            'Wedgewood Pharm-GA-Yr2-2025'!$E$107:$L$122, 0, 0),
        0, 0),
    _xlfn.XLOOKUP(G1999, 'Wedgewood Pharm-GA-Yr2-2025'!$E$106:$L$106,
        _xlfn.XLOOKUP('Rate Load'!L1999, 'Wedgewood Pharm-GA-Yr2-2025'!$D$107:$D$122,
            'Wedgewood Pharm-GA-Yr2-2025'!$E$107:$L$122, 0, 0),
        0, 0)
)</f>
        <v>4.18</v>
      </c>
      <c r="K1999" t="s">
        <v>46</v>
      </c>
      <c r="L1999" t="s">
        <v>13</v>
      </c>
      <c r="M1999">
        <v>3</v>
      </c>
      <c r="N1999" t="str">
        <f t="shared" si="31"/>
        <v>INSERT INTO TNL_RATING.dbo.usps_rate_master VALUES ('USPS', '2/13/2025', '2/13/2026', 12659, 'US', 'USPS Ground Advantage', 3, 8, 'O', 4.18, 'Wedgewood_USPS_2025', 'NonCubic','3');</v>
      </c>
    </row>
    <row r="2000" spans="1:14" x14ac:dyDescent="0.3">
      <c r="A2000" t="s">
        <v>11</v>
      </c>
      <c r="B2000" s="1" t="s">
        <v>43</v>
      </c>
      <c r="C2000" s="1" t="s">
        <v>44</v>
      </c>
      <c r="D2000">
        <v>12659</v>
      </c>
      <c r="E2000" t="s">
        <v>12</v>
      </c>
      <c r="F2000" t="s">
        <v>51</v>
      </c>
      <c r="G2000">
        <v>3</v>
      </c>
      <c r="H2000">
        <v>9</v>
      </c>
      <c r="I2000" t="s">
        <v>52</v>
      </c>
      <c r="J2000" cm="1">
        <f t="array" ref="J2000">IFERROR(
    _xlfn.XLOOKUP(G2000, 'Wedgewood Pharm-GA-Yr2-2025'!$E$106:$L$106,
        _xlfn.XLOOKUP('Rate Load'!H2000, 'Wedgewood Pharm-GA-Yr2-2025'!$D$107:$D$122,
            'Wedgewood Pharm-GA-Yr2-2025'!$E$107:$L$122, 0, 0),
        0, 0),
    _xlfn.XLOOKUP(G2000, 'Wedgewood Pharm-GA-Yr2-2025'!$E$106:$L$106,
        _xlfn.XLOOKUP('Rate Load'!L2000, 'Wedgewood Pharm-GA-Yr2-2025'!$D$107:$D$122,
            'Wedgewood Pharm-GA-Yr2-2025'!$E$107:$L$122, 0, 0),
        0, 0)
)</f>
        <v>4.71</v>
      </c>
      <c r="K2000" t="s">
        <v>46</v>
      </c>
      <c r="L2000" t="s">
        <v>13</v>
      </c>
      <c r="M2000">
        <v>3</v>
      </c>
      <c r="N2000" t="str">
        <f t="shared" si="31"/>
        <v>INSERT INTO TNL_RATING.dbo.usps_rate_master VALUES ('USPS', '2/13/2025', '2/13/2026', 12659, 'US', 'USPS Ground Advantage', 3, 9, 'O', 4.71, 'Wedgewood_USPS_2025', 'NonCubic','3');</v>
      </c>
    </row>
    <row r="2001" spans="1:14" x14ac:dyDescent="0.3">
      <c r="A2001" t="s">
        <v>11</v>
      </c>
      <c r="B2001" s="1" t="s">
        <v>43</v>
      </c>
      <c r="C2001" s="1" t="s">
        <v>44</v>
      </c>
      <c r="D2001">
        <v>12659</v>
      </c>
      <c r="E2001" t="s">
        <v>12</v>
      </c>
      <c r="F2001" t="s">
        <v>51</v>
      </c>
      <c r="G2001">
        <v>3</v>
      </c>
      <c r="H2001">
        <v>10</v>
      </c>
      <c r="I2001" t="s">
        <v>52</v>
      </c>
      <c r="J2001" cm="1">
        <f t="array" ref="J2001">IFERROR(
    _xlfn.XLOOKUP(G2001, 'Wedgewood Pharm-GA-Yr2-2025'!$E$106:$L$106,
        _xlfn.XLOOKUP('Rate Load'!H2001, 'Wedgewood Pharm-GA-Yr2-2025'!$D$107:$D$122,
            'Wedgewood Pharm-GA-Yr2-2025'!$E$107:$L$122, 0, 0),
        0, 0),
    _xlfn.XLOOKUP(G2001, 'Wedgewood Pharm-GA-Yr2-2025'!$E$106:$L$106,
        _xlfn.XLOOKUP('Rate Load'!L2001, 'Wedgewood Pharm-GA-Yr2-2025'!$D$107:$D$122,
            'Wedgewood Pharm-GA-Yr2-2025'!$E$107:$L$122, 0, 0),
        0, 0)
)</f>
        <v>4.71</v>
      </c>
      <c r="K2001" t="s">
        <v>46</v>
      </c>
      <c r="L2001" t="s">
        <v>13</v>
      </c>
      <c r="M2001">
        <v>3</v>
      </c>
      <c r="N2001" t="str">
        <f t="shared" si="31"/>
        <v>INSERT INTO TNL_RATING.dbo.usps_rate_master VALUES ('USPS', '2/13/2025', '2/13/2026', 12659, 'US', 'USPS Ground Advantage', 3, 10, 'O', 4.71, 'Wedgewood_USPS_2025', 'NonCubic','3');</v>
      </c>
    </row>
    <row r="2002" spans="1:14" x14ac:dyDescent="0.3">
      <c r="A2002" t="s">
        <v>11</v>
      </c>
      <c r="B2002" s="1" t="s">
        <v>43</v>
      </c>
      <c r="C2002" s="1" t="s">
        <v>44</v>
      </c>
      <c r="D2002">
        <v>12659</v>
      </c>
      <c r="E2002" t="s">
        <v>12</v>
      </c>
      <c r="F2002" t="s">
        <v>51</v>
      </c>
      <c r="G2002">
        <v>3</v>
      </c>
      <c r="H2002">
        <v>11</v>
      </c>
      <c r="I2002" t="s">
        <v>52</v>
      </c>
      <c r="J2002" cm="1">
        <f t="array" ref="J2002">IFERROR(
    _xlfn.XLOOKUP(G2002, 'Wedgewood Pharm-GA-Yr2-2025'!$E$106:$L$106,
        _xlfn.XLOOKUP('Rate Load'!H2002, 'Wedgewood Pharm-GA-Yr2-2025'!$D$107:$D$122,
            'Wedgewood Pharm-GA-Yr2-2025'!$E$107:$L$122, 0, 0),
        0, 0),
    _xlfn.XLOOKUP(G2002, 'Wedgewood Pharm-GA-Yr2-2025'!$E$106:$L$106,
        _xlfn.XLOOKUP('Rate Load'!L2002, 'Wedgewood Pharm-GA-Yr2-2025'!$D$107:$D$122,
            'Wedgewood Pharm-GA-Yr2-2025'!$E$107:$L$122, 0, 0),
        0, 0)
)</f>
        <v>4.71</v>
      </c>
      <c r="K2002" t="s">
        <v>46</v>
      </c>
      <c r="L2002" t="s">
        <v>13</v>
      </c>
      <c r="M2002">
        <v>3</v>
      </c>
      <c r="N2002" t="str">
        <f t="shared" si="31"/>
        <v>INSERT INTO TNL_RATING.dbo.usps_rate_master VALUES ('USPS', '2/13/2025', '2/13/2026', 12659, 'US', 'USPS Ground Advantage', 3, 11, 'O', 4.71, 'Wedgewood_USPS_2025', 'NonCubic','3');</v>
      </c>
    </row>
    <row r="2003" spans="1:14" x14ac:dyDescent="0.3">
      <c r="A2003" t="s">
        <v>11</v>
      </c>
      <c r="B2003" s="1" t="s">
        <v>43</v>
      </c>
      <c r="C2003" s="1" t="s">
        <v>44</v>
      </c>
      <c r="D2003">
        <v>12659</v>
      </c>
      <c r="E2003" t="s">
        <v>12</v>
      </c>
      <c r="F2003" t="s">
        <v>51</v>
      </c>
      <c r="G2003">
        <v>3</v>
      </c>
      <c r="H2003">
        <v>12</v>
      </c>
      <c r="I2003" t="s">
        <v>52</v>
      </c>
      <c r="J2003" cm="1">
        <f t="array" ref="J2003">IFERROR(
    _xlfn.XLOOKUP(G2003, 'Wedgewood Pharm-GA-Yr2-2025'!$E$106:$L$106,
        _xlfn.XLOOKUP('Rate Load'!H2003, 'Wedgewood Pharm-GA-Yr2-2025'!$D$107:$D$122,
            'Wedgewood Pharm-GA-Yr2-2025'!$E$107:$L$122, 0, 0),
        0, 0),
    _xlfn.XLOOKUP(G2003, 'Wedgewood Pharm-GA-Yr2-2025'!$E$106:$L$106,
        _xlfn.XLOOKUP('Rate Load'!L2003, 'Wedgewood Pharm-GA-Yr2-2025'!$D$107:$D$122,
            'Wedgewood Pharm-GA-Yr2-2025'!$E$107:$L$122, 0, 0),
        0, 0)
)</f>
        <v>4.71</v>
      </c>
      <c r="K2003" t="s">
        <v>46</v>
      </c>
      <c r="L2003" t="s">
        <v>13</v>
      </c>
      <c r="M2003">
        <v>3</v>
      </c>
      <c r="N2003" t="str">
        <f t="shared" si="31"/>
        <v>INSERT INTO TNL_RATING.dbo.usps_rate_master VALUES ('USPS', '2/13/2025', '2/13/2026', 12659, 'US', 'USPS Ground Advantage', 3, 12, 'O', 4.71, 'Wedgewood_USPS_2025', 'NonCubic','3');</v>
      </c>
    </row>
    <row r="2004" spans="1:14" x14ac:dyDescent="0.3">
      <c r="A2004" t="s">
        <v>11</v>
      </c>
      <c r="B2004" s="1" t="s">
        <v>43</v>
      </c>
      <c r="C2004" s="1" t="s">
        <v>44</v>
      </c>
      <c r="D2004">
        <v>12659</v>
      </c>
      <c r="E2004" t="s">
        <v>12</v>
      </c>
      <c r="F2004" t="s">
        <v>51</v>
      </c>
      <c r="G2004">
        <v>3</v>
      </c>
      <c r="H2004">
        <v>13</v>
      </c>
      <c r="I2004" t="s">
        <v>52</v>
      </c>
      <c r="J2004" cm="1">
        <f t="array" ref="J2004">IFERROR(
    _xlfn.XLOOKUP(G2004, 'Wedgewood Pharm-GA-Yr2-2025'!$E$106:$L$106,
        _xlfn.XLOOKUP('Rate Load'!H2004, 'Wedgewood Pharm-GA-Yr2-2025'!$D$107:$D$122,
            'Wedgewood Pharm-GA-Yr2-2025'!$E$107:$L$122, 0, 0),
        0, 0),
    _xlfn.XLOOKUP(G2004, 'Wedgewood Pharm-GA-Yr2-2025'!$E$106:$L$106,
        _xlfn.XLOOKUP('Rate Load'!L2004, 'Wedgewood Pharm-GA-Yr2-2025'!$D$107:$D$122,
            'Wedgewood Pharm-GA-Yr2-2025'!$E$107:$L$122, 0, 0),
        0, 0)
)</f>
        <v>5.26</v>
      </c>
      <c r="K2004" t="s">
        <v>46</v>
      </c>
      <c r="L2004" t="s">
        <v>13</v>
      </c>
      <c r="M2004">
        <v>3</v>
      </c>
      <c r="N2004" t="str">
        <f t="shared" si="31"/>
        <v>INSERT INTO TNL_RATING.dbo.usps_rate_master VALUES ('USPS', '2/13/2025', '2/13/2026', 12659, 'US', 'USPS Ground Advantage', 3, 13, 'O', 5.26, 'Wedgewood_USPS_2025', 'NonCubic','3');</v>
      </c>
    </row>
    <row r="2005" spans="1:14" x14ac:dyDescent="0.3">
      <c r="A2005" t="s">
        <v>11</v>
      </c>
      <c r="B2005" s="1" t="s">
        <v>43</v>
      </c>
      <c r="C2005" s="1" t="s">
        <v>44</v>
      </c>
      <c r="D2005">
        <v>12659</v>
      </c>
      <c r="E2005" t="s">
        <v>12</v>
      </c>
      <c r="F2005" t="s">
        <v>51</v>
      </c>
      <c r="G2005">
        <v>3</v>
      </c>
      <c r="H2005">
        <v>14</v>
      </c>
      <c r="I2005" t="s">
        <v>52</v>
      </c>
      <c r="J2005" cm="1">
        <f t="array" ref="J2005">IFERROR(
    _xlfn.XLOOKUP(G2005, 'Wedgewood Pharm-GA-Yr2-2025'!$E$106:$L$106,
        _xlfn.XLOOKUP('Rate Load'!H2005, 'Wedgewood Pharm-GA-Yr2-2025'!$D$107:$D$122,
            'Wedgewood Pharm-GA-Yr2-2025'!$E$107:$L$122, 0, 0),
        0, 0),
    _xlfn.XLOOKUP(G2005, 'Wedgewood Pharm-GA-Yr2-2025'!$E$106:$L$106,
        _xlfn.XLOOKUP('Rate Load'!L2005, 'Wedgewood Pharm-GA-Yr2-2025'!$D$107:$D$122,
            'Wedgewood Pharm-GA-Yr2-2025'!$E$107:$L$122, 0, 0),
        0, 0)
)</f>
        <v>5.26</v>
      </c>
      <c r="K2005" t="s">
        <v>46</v>
      </c>
      <c r="L2005" t="s">
        <v>13</v>
      </c>
      <c r="M2005">
        <v>3</v>
      </c>
      <c r="N2005" t="str">
        <f t="shared" si="31"/>
        <v>INSERT INTO TNL_RATING.dbo.usps_rate_master VALUES ('USPS', '2/13/2025', '2/13/2026', 12659, 'US', 'USPS Ground Advantage', 3, 14, 'O', 5.26, 'Wedgewood_USPS_2025', 'NonCubic','3');</v>
      </c>
    </row>
    <row r="2006" spans="1:14" x14ac:dyDescent="0.3">
      <c r="A2006" t="s">
        <v>11</v>
      </c>
      <c r="B2006" s="1" t="s">
        <v>43</v>
      </c>
      <c r="C2006" s="1" t="s">
        <v>44</v>
      </c>
      <c r="D2006">
        <v>12659</v>
      </c>
      <c r="E2006" t="s">
        <v>12</v>
      </c>
      <c r="F2006" t="s">
        <v>51</v>
      </c>
      <c r="G2006">
        <v>3</v>
      </c>
      <c r="H2006">
        <v>15</v>
      </c>
      <c r="I2006" t="s">
        <v>52</v>
      </c>
      <c r="J2006" cm="1">
        <f t="array" ref="J2006">IFERROR(
    _xlfn.XLOOKUP(G2006, 'Wedgewood Pharm-GA-Yr2-2025'!$E$106:$L$106,
        _xlfn.XLOOKUP('Rate Load'!H2006, 'Wedgewood Pharm-GA-Yr2-2025'!$D$107:$D$122,
            'Wedgewood Pharm-GA-Yr2-2025'!$E$107:$L$122, 0, 0),
        0, 0),
    _xlfn.XLOOKUP(G2006, 'Wedgewood Pharm-GA-Yr2-2025'!$E$106:$L$106,
        _xlfn.XLOOKUP('Rate Load'!L2006, 'Wedgewood Pharm-GA-Yr2-2025'!$D$107:$D$122,
            'Wedgewood Pharm-GA-Yr2-2025'!$E$107:$L$122, 0, 0),
        0, 0)
)</f>
        <v>5.26</v>
      </c>
      <c r="K2006" t="s">
        <v>46</v>
      </c>
      <c r="L2006" t="s">
        <v>13</v>
      </c>
      <c r="M2006">
        <v>3</v>
      </c>
      <c r="N2006" t="str">
        <f t="shared" si="31"/>
        <v>INSERT INTO TNL_RATING.dbo.usps_rate_master VALUES ('USPS', '2/13/2025', '2/13/2026', 12659, 'US', 'USPS Ground Advantage', 3, 15, 'O', 5.26, 'Wedgewood_USPS_2025', 'NonCubic','3');</v>
      </c>
    </row>
    <row r="2007" spans="1:14" x14ac:dyDescent="0.3">
      <c r="A2007" t="s">
        <v>11</v>
      </c>
      <c r="B2007" s="1" t="s">
        <v>43</v>
      </c>
      <c r="C2007" s="1" t="s">
        <v>44</v>
      </c>
      <c r="D2007">
        <v>12659</v>
      </c>
      <c r="E2007" t="s">
        <v>12</v>
      </c>
      <c r="F2007" t="s">
        <v>51</v>
      </c>
      <c r="G2007">
        <v>3</v>
      </c>
      <c r="H2007">
        <v>15.999000000000001</v>
      </c>
      <c r="I2007" t="s">
        <v>52</v>
      </c>
      <c r="J2007" cm="1">
        <f t="array" ref="J2007">IFERROR(
    _xlfn.XLOOKUP(G2007, 'Wedgewood Pharm-GA-Yr2-2025'!$E$106:$L$106,
        _xlfn.XLOOKUP('Rate Load'!H2007, 'Wedgewood Pharm-GA-Yr2-2025'!$D$107:$D$122,
            'Wedgewood Pharm-GA-Yr2-2025'!$E$107:$L$122, 0, 0),
        0, 0),
    _xlfn.XLOOKUP(G2007, 'Wedgewood Pharm-GA-Yr2-2025'!$E$106:$L$106,
        _xlfn.XLOOKUP('Rate Load'!L2007, 'Wedgewood Pharm-GA-Yr2-2025'!$D$107:$D$122,
            'Wedgewood Pharm-GA-Yr2-2025'!$E$107:$L$122, 0, 0),
        0, 0)
)</f>
        <v>5.26</v>
      </c>
      <c r="K2007" t="s">
        <v>46</v>
      </c>
      <c r="L2007" t="s">
        <v>13</v>
      </c>
      <c r="M2007">
        <v>3</v>
      </c>
      <c r="N2007" t="str">
        <f t="shared" si="31"/>
        <v>INSERT INTO TNL_RATING.dbo.usps_rate_master VALUES ('USPS', '2/13/2025', '2/13/2026', 12659, 'US', 'USPS Ground Advantage', 3, 15.999, 'O', 5.26, 'Wedgewood_USPS_2025', 'NonCubic','3');</v>
      </c>
    </row>
    <row r="2008" spans="1:14" x14ac:dyDescent="0.3">
      <c r="A2008" t="s">
        <v>11</v>
      </c>
      <c r="B2008" s="1" t="s">
        <v>43</v>
      </c>
      <c r="C2008" s="1" t="s">
        <v>44</v>
      </c>
      <c r="D2008">
        <v>12659</v>
      </c>
      <c r="E2008" t="s">
        <v>12</v>
      </c>
      <c r="F2008" t="s">
        <v>51</v>
      </c>
      <c r="G2008">
        <v>4</v>
      </c>
      <c r="H2008">
        <v>1</v>
      </c>
      <c r="I2008" t="s">
        <v>52</v>
      </c>
      <c r="J2008" cm="1">
        <f t="array" ref="J2008">IFERROR(
    _xlfn.XLOOKUP(G2008, 'Wedgewood Pharm-GA-Yr2-2025'!$E$106:$L$106,
        _xlfn.XLOOKUP('Rate Load'!H2008, 'Wedgewood Pharm-GA-Yr2-2025'!$D$107:$D$122,
            'Wedgewood Pharm-GA-Yr2-2025'!$E$107:$L$122, 0, 0),
        0, 0),
    _xlfn.XLOOKUP(G2008, 'Wedgewood Pharm-GA-Yr2-2025'!$E$106:$L$106,
        _xlfn.XLOOKUP('Rate Load'!L2008, 'Wedgewood Pharm-GA-Yr2-2025'!$D$107:$D$122,
            'Wedgewood Pharm-GA-Yr2-2025'!$E$107:$L$122, 0, 0),
        0, 0)
)</f>
        <v>3.36</v>
      </c>
      <c r="K2008" t="s">
        <v>46</v>
      </c>
      <c r="L2008" t="s">
        <v>13</v>
      </c>
      <c r="M2008">
        <v>3</v>
      </c>
      <c r="N2008" t="str">
        <f t="shared" si="31"/>
        <v>INSERT INTO TNL_RATING.dbo.usps_rate_master VALUES ('USPS', '2/13/2025', '2/13/2026', 12659, 'US', 'USPS Ground Advantage', 4, 1, 'O', 3.36, 'Wedgewood_USPS_2025', 'NonCubic','3');</v>
      </c>
    </row>
    <row r="2009" spans="1:14" x14ac:dyDescent="0.3">
      <c r="A2009" t="s">
        <v>11</v>
      </c>
      <c r="B2009" s="1" t="s">
        <v>43</v>
      </c>
      <c r="C2009" s="1" t="s">
        <v>44</v>
      </c>
      <c r="D2009">
        <v>12659</v>
      </c>
      <c r="E2009" t="s">
        <v>12</v>
      </c>
      <c r="F2009" t="s">
        <v>51</v>
      </c>
      <c r="G2009">
        <v>4</v>
      </c>
      <c r="H2009">
        <v>2</v>
      </c>
      <c r="I2009" t="s">
        <v>52</v>
      </c>
      <c r="J2009" cm="1">
        <f t="array" ref="J2009">IFERROR(
    _xlfn.XLOOKUP(G2009, 'Wedgewood Pharm-GA-Yr2-2025'!$E$106:$L$106,
        _xlfn.XLOOKUP('Rate Load'!H2009, 'Wedgewood Pharm-GA-Yr2-2025'!$D$107:$D$122,
            'Wedgewood Pharm-GA-Yr2-2025'!$E$107:$L$122, 0, 0),
        0, 0),
    _xlfn.XLOOKUP(G2009, 'Wedgewood Pharm-GA-Yr2-2025'!$E$106:$L$106,
        _xlfn.XLOOKUP('Rate Load'!L2009, 'Wedgewood Pharm-GA-Yr2-2025'!$D$107:$D$122,
            'Wedgewood Pharm-GA-Yr2-2025'!$E$107:$L$122, 0, 0),
        0, 0)
)</f>
        <v>3.36</v>
      </c>
      <c r="K2009" t="s">
        <v>46</v>
      </c>
      <c r="L2009" t="s">
        <v>13</v>
      </c>
      <c r="M2009">
        <v>3</v>
      </c>
      <c r="N2009" t="str">
        <f t="shared" si="31"/>
        <v>INSERT INTO TNL_RATING.dbo.usps_rate_master VALUES ('USPS', '2/13/2025', '2/13/2026', 12659, 'US', 'USPS Ground Advantage', 4, 2, 'O', 3.36, 'Wedgewood_USPS_2025', 'NonCubic','3');</v>
      </c>
    </row>
    <row r="2010" spans="1:14" x14ac:dyDescent="0.3">
      <c r="A2010" t="s">
        <v>11</v>
      </c>
      <c r="B2010" s="1" t="s">
        <v>43</v>
      </c>
      <c r="C2010" s="1" t="s">
        <v>44</v>
      </c>
      <c r="D2010">
        <v>12659</v>
      </c>
      <c r="E2010" t="s">
        <v>12</v>
      </c>
      <c r="F2010" t="s">
        <v>51</v>
      </c>
      <c r="G2010">
        <v>4</v>
      </c>
      <c r="H2010">
        <v>3</v>
      </c>
      <c r="I2010" t="s">
        <v>52</v>
      </c>
      <c r="J2010" cm="1">
        <f t="array" ref="J2010">IFERROR(
    _xlfn.XLOOKUP(G2010, 'Wedgewood Pharm-GA-Yr2-2025'!$E$106:$L$106,
        _xlfn.XLOOKUP('Rate Load'!H2010, 'Wedgewood Pharm-GA-Yr2-2025'!$D$107:$D$122,
            'Wedgewood Pharm-GA-Yr2-2025'!$E$107:$L$122, 0, 0),
        0, 0),
    _xlfn.XLOOKUP(G2010, 'Wedgewood Pharm-GA-Yr2-2025'!$E$106:$L$106,
        _xlfn.XLOOKUP('Rate Load'!L2010, 'Wedgewood Pharm-GA-Yr2-2025'!$D$107:$D$122,
            'Wedgewood Pharm-GA-Yr2-2025'!$E$107:$L$122, 0, 0),
        0, 0)
)</f>
        <v>3.36</v>
      </c>
      <c r="K2010" t="s">
        <v>46</v>
      </c>
      <c r="L2010" t="s">
        <v>13</v>
      </c>
      <c r="M2010">
        <v>3</v>
      </c>
      <c r="N2010" t="str">
        <f t="shared" si="31"/>
        <v>INSERT INTO TNL_RATING.dbo.usps_rate_master VALUES ('USPS', '2/13/2025', '2/13/2026', 12659, 'US', 'USPS Ground Advantage', 4, 3, 'O', 3.36, 'Wedgewood_USPS_2025', 'NonCubic','3');</v>
      </c>
    </row>
    <row r="2011" spans="1:14" x14ac:dyDescent="0.3">
      <c r="A2011" t="s">
        <v>11</v>
      </c>
      <c r="B2011" s="1" t="s">
        <v>43</v>
      </c>
      <c r="C2011" s="1" t="s">
        <v>44</v>
      </c>
      <c r="D2011">
        <v>12659</v>
      </c>
      <c r="E2011" t="s">
        <v>12</v>
      </c>
      <c r="F2011" t="s">
        <v>51</v>
      </c>
      <c r="G2011">
        <v>4</v>
      </c>
      <c r="H2011">
        <v>4</v>
      </c>
      <c r="I2011" t="s">
        <v>52</v>
      </c>
      <c r="J2011" cm="1">
        <f t="array" ref="J2011">IFERROR(
    _xlfn.XLOOKUP(G2011, 'Wedgewood Pharm-GA-Yr2-2025'!$E$106:$L$106,
        _xlfn.XLOOKUP('Rate Load'!H2011, 'Wedgewood Pharm-GA-Yr2-2025'!$D$107:$D$122,
            'Wedgewood Pharm-GA-Yr2-2025'!$E$107:$L$122, 0, 0),
        0, 0),
    _xlfn.XLOOKUP(G2011, 'Wedgewood Pharm-GA-Yr2-2025'!$E$106:$L$106,
        _xlfn.XLOOKUP('Rate Load'!L2011, 'Wedgewood Pharm-GA-Yr2-2025'!$D$107:$D$122,
            'Wedgewood Pharm-GA-Yr2-2025'!$E$107:$L$122, 0, 0),
        0, 0)
)</f>
        <v>3.36</v>
      </c>
      <c r="K2011" t="s">
        <v>46</v>
      </c>
      <c r="L2011" t="s">
        <v>13</v>
      </c>
      <c r="M2011">
        <v>3</v>
      </c>
      <c r="N2011" t="str">
        <f t="shared" si="31"/>
        <v>INSERT INTO TNL_RATING.dbo.usps_rate_master VALUES ('USPS', '2/13/2025', '2/13/2026', 12659, 'US', 'USPS Ground Advantage', 4, 4, 'O', 3.36, 'Wedgewood_USPS_2025', 'NonCubic','3');</v>
      </c>
    </row>
    <row r="2012" spans="1:14" x14ac:dyDescent="0.3">
      <c r="A2012" t="s">
        <v>11</v>
      </c>
      <c r="B2012" s="1" t="s">
        <v>43</v>
      </c>
      <c r="C2012" s="1" t="s">
        <v>44</v>
      </c>
      <c r="D2012">
        <v>12659</v>
      </c>
      <c r="E2012" t="s">
        <v>12</v>
      </c>
      <c r="F2012" t="s">
        <v>51</v>
      </c>
      <c r="G2012">
        <v>4</v>
      </c>
      <c r="H2012">
        <v>5</v>
      </c>
      <c r="I2012" t="s">
        <v>52</v>
      </c>
      <c r="J2012" cm="1">
        <f t="array" ref="J2012">IFERROR(
    _xlfn.XLOOKUP(G2012, 'Wedgewood Pharm-GA-Yr2-2025'!$E$106:$L$106,
        _xlfn.XLOOKUP('Rate Load'!H2012, 'Wedgewood Pharm-GA-Yr2-2025'!$D$107:$D$122,
            'Wedgewood Pharm-GA-Yr2-2025'!$E$107:$L$122, 0, 0),
        0, 0),
    _xlfn.XLOOKUP(G2012, 'Wedgewood Pharm-GA-Yr2-2025'!$E$106:$L$106,
        _xlfn.XLOOKUP('Rate Load'!L2012, 'Wedgewood Pharm-GA-Yr2-2025'!$D$107:$D$122,
            'Wedgewood Pharm-GA-Yr2-2025'!$E$107:$L$122, 0, 0),
        0, 0)
)</f>
        <v>4.25</v>
      </c>
      <c r="K2012" t="s">
        <v>46</v>
      </c>
      <c r="L2012" t="s">
        <v>13</v>
      </c>
      <c r="M2012">
        <v>3</v>
      </c>
      <c r="N2012" t="str">
        <f t="shared" si="31"/>
        <v>INSERT INTO TNL_RATING.dbo.usps_rate_master VALUES ('USPS', '2/13/2025', '2/13/2026', 12659, 'US', 'USPS Ground Advantage', 4, 5, 'O', 4.25, 'Wedgewood_USPS_2025', 'NonCubic','3');</v>
      </c>
    </row>
    <row r="2013" spans="1:14" x14ac:dyDescent="0.3">
      <c r="A2013" t="s">
        <v>11</v>
      </c>
      <c r="B2013" s="1" t="s">
        <v>43</v>
      </c>
      <c r="C2013" s="1" t="s">
        <v>44</v>
      </c>
      <c r="D2013">
        <v>12659</v>
      </c>
      <c r="E2013" t="s">
        <v>12</v>
      </c>
      <c r="F2013" t="s">
        <v>51</v>
      </c>
      <c r="G2013">
        <v>4</v>
      </c>
      <c r="H2013">
        <v>6</v>
      </c>
      <c r="I2013" t="s">
        <v>52</v>
      </c>
      <c r="J2013" cm="1">
        <f t="array" ref="J2013">IFERROR(
    _xlfn.XLOOKUP(G2013, 'Wedgewood Pharm-GA-Yr2-2025'!$E$106:$L$106,
        _xlfn.XLOOKUP('Rate Load'!H2013, 'Wedgewood Pharm-GA-Yr2-2025'!$D$107:$D$122,
            'Wedgewood Pharm-GA-Yr2-2025'!$E$107:$L$122, 0, 0),
        0, 0),
    _xlfn.XLOOKUP(G2013, 'Wedgewood Pharm-GA-Yr2-2025'!$E$106:$L$106,
        _xlfn.XLOOKUP('Rate Load'!L2013, 'Wedgewood Pharm-GA-Yr2-2025'!$D$107:$D$122,
            'Wedgewood Pharm-GA-Yr2-2025'!$E$107:$L$122, 0, 0),
        0, 0)
)</f>
        <v>4.25</v>
      </c>
      <c r="K2013" t="s">
        <v>46</v>
      </c>
      <c r="L2013" t="s">
        <v>13</v>
      </c>
      <c r="M2013">
        <v>3</v>
      </c>
      <c r="N2013" t="str">
        <f t="shared" si="31"/>
        <v>INSERT INTO TNL_RATING.dbo.usps_rate_master VALUES ('USPS', '2/13/2025', '2/13/2026', 12659, 'US', 'USPS Ground Advantage', 4, 6, 'O', 4.25, 'Wedgewood_USPS_2025', 'NonCubic','3');</v>
      </c>
    </row>
    <row r="2014" spans="1:14" x14ac:dyDescent="0.3">
      <c r="A2014" t="s">
        <v>11</v>
      </c>
      <c r="B2014" s="1" t="s">
        <v>43</v>
      </c>
      <c r="C2014" s="1" t="s">
        <v>44</v>
      </c>
      <c r="D2014">
        <v>12659</v>
      </c>
      <c r="E2014" t="s">
        <v>12</v>
      </c>
      <c r="F2014" t="s">
        <v>51</v>
      </c>
      <c r="G2014">
        <v>4</v>
      </c>
      <c r="H2014">
        <v>7</v>
      </c>
      <c r="I2014" t="s">
        <v>52</v>
      </c>
      <c r="J2014" cm="1">
        <f t="array" ref="J2014">IFERROR(
    _xlfn.XLOOKUP(G2014, 'Wedgewood Pharm-GA-Yr2-2025'!$E$106:$L$106,
        _xlfn.XLOOKUP('Rate Load'!H2014, 'Wedgewood Pharm-GA-Yr2-2025'!$D$107:$D$122,
            'Wedgewood Pharm-GA-Yr2-2025'!$E$107:$L$122, 0, 0),
        0, 0),
    _xlfn.XLOOKUP(G2014, 'Wedgewood Pharm-GA-Yr2-2025'!$E$106:$L$106,
        _xlfn.XLOOKUP('Rate Load'!L2014, 'Wedgewood Pharm-GA-Yr2-2025'!$D$107:$D$122,
            'Wedgewood Pharm-GA-Yr2-2025'!$E$107:$L$122, 0, 0),
        0, 0)
)</f>
        <v>4.25</v>
      </c>
      <c r="K2014" t="s">
        <v>46</v>
      </c>
      <c r="L2014" t="s">
        <v>13</v>
      </c>
      <c r="M2014">
        <v>3</v>
      </c>
      <c r="N2014" t="str">
        <f t="shared" si="31"/>
        <v>INSERT INTO TNL_RATING.dbo.usps_rate_master VALUES ('USPS', '2/13/2025', '2/13/2026', 12659, 'US', 'USPS Ground Advantage', 4, 7, 'O', 4.25, 'Wedgewood_USPS_2025', 'NonCubic','3');</v>
      </c>
    </row>
    <row r="2015" spans="1:14" x14ac:dyDescent="0.3">
      <c r="A2015" t="s">
        <v>11</v>
      </c>
      <c r="B2015" s="1" t="s">
        <v>43</v>
      </c>
      <c r="C2015" s="1" t="s">
        <v>44</v>
      </c>
      <c r="D2015">
        <v>12659</v>
      </c>
      <c r="E2015" t="s">
        <v>12</v>
      </c>
      <c r="F2015" t="s">
        <v>51</v>
      </c>
      <c r="G2015">
        <v>4</v>
      </c>
      <c r="H2015">
        <v>8</v>
      </c>
      <c r="I2015" t="s">
        <v>52</v>
      </c>
      <c r="J2015" cm="1">
        <f t="array" ref="J2015">IFERROR(
    _xlfn.XLOOKUP(G2015, 'Wedgewood Pharm-GA-Yr2-2025'!$E$106:$L$106,
        _xlfn.XLOOKUP('Rate Load'!H2015, 'Wedgewood Pharm-GA-Yr2-2025'!$D$107:$D$122,
            'Wedgewood Pharm-GA-Yr2-2025'!$E$107:$L$122, 0, 0),
        0, 0),
    _xlfn.XLOOKUP(G2015, 'Wedgewood Pharm-GA-Yr2-2025'!$E$106:$L$106,
        _xlfn.XLOOKUP('Rate Load'!L2015, 'Wedgewood Pharm-GA-Yr2-2025'!$D$107:$D$122,
            'Wedgewood Pharm-GA-Yr2-2025'!$E$107:$L$122, 0, 0),
        0, 0)
)</f>
        <v>4.25</v>
      </c>
      <c r="K2015" t="s">
        <v>46</v>
      </c>
      <c r="L2015" t="s">
        <v>13</v>
      </c>
      <c r="M2015">
        <v>3</v>
      </c>
      <c r="N2015" t="str">
        <f t="shared" si="31"/>
        <v>INSERT INTO TNL_RATING.dbo.usps_rate_master VALUES ('USPS', '2/13/2025', '2/13/2026', 12659, 'US', 'USPS Ground Advantage', 4, 8, 'O', 4.25, 'Wedgewood_USPS_2025', 'NonCubic','3');</v>
      </c>
    </row>
    <row r="2016" spans="1:14" x14ac:dyDescent="0.3">
      <c r="A2016" t="s">
        <v>11</v>
      </c>
      <c r="B2016" s="1" t="s">
        <v>43</v>
      </c>
      <c r="C2016" s="1" t="s">
        <v>44</v>
      </c>
      <c r="D2016">
        <v>12659</v>
      </c>
      <c r="E2016" t="s">
        <v>12</v>
      </c>
      <c r="F2016" t="s">
        <v>51</v>
      </c>
      <c r="G2016">
        <v>4</v>
      </c>
      <c r="H2016">
        <v>9</v>
      </c>
      <c r="I2016" t="s">
        <v>52</v>
      </c>
      <c r="J2016" cm="1">
        <f t="array" ref="J2016">IFERROR(
    _xlfn.XLOOKUP(G2016, 'Wedgewood Pharm-GA-Yr2-2025'!$E$106:$L$106,
        _xlfn.XLOOKUP('Rate Load'!H2016, 'Wedgewood Pharm-GA-Yr2-2025'!$D$107:$D$122,
            'Wedgewood Pharm-GA-Yr2-2025'!$E$107:$L$122, 0, 0),
        0, 0),
    _xlfn.XLOOKUP(G2016, 'Wedgewood Pharm-GA-Yr2-2025'!$E$106:$L$106,
        _xlfn.XLOOKUP('Rate Load'!L2016, 'Wedgewood Pharm-GA-Yr2-2025'!$D$107:$D$122,
            'Wedgewood Pharm-GA-Yr2-2025'!$E$107:$L$122, 0, 0),
        0, 0)
)</f>
        <v>4.7699999999999996</v>
      </c>
      <c r="K2016" t="s">
        <v>46</v>
      </c>
      <c r="L2016" t="s">
        <v>13</v>
      </c>
      <c r="M2016">
        <v>3</v>
      </c>
      <c r="N2016" t="str">
        <f t="shared" si="31"/>
        <v>INSERT INTO TNL_RATING.dbo.usps_rate_master VALUES ('USPS', '2/13/2025', '2/13/2026', 12659, 'US', 'USPS Ground Advantage', 4, 9, 'O', 4.77, 'Wedgewood_USPS_2025', 'NonCubic','3');</v>
      </c>
    </row>
    <row r="2017" spans="1:14" x14ac:dyDescent="0.3">
      <c r="A2017" t="s">
        <v>11</v>
      </c>
      <c r="B2017" s="1" t="s">
        <v>43</v>
      </c>
      <c r="C2017" s="1" t="s">
        <v>44</v>
      </c>
      <c r="D2017">
        <v>12659</v>
      </c>
      <c r="E2017" t="s">
        <v>12</v>
      </c>
      <c r="F2017" t="s">
        <v>51</v>
      </c>
      <c r="G2017">
        <v>4</v>
      </c>
      <c r="H2017">
        <v>10</v>
      </c>
      <c r="I2017" t="s">
        <v>52</v>
      </c>
      <c r="J2017" cm="1">
        <f t="array" ref="J2017">IFERROR(
    _xlfn.XLOOKUP(G2017, 'Wedgewood Pharm-GA-Yr2-2025'!$E$106:$L$106,
        _xlfn.XLOOKUP('Rate Load'!H2017, 'Wedgewood Pharm-GA-Yr2-2025'!$D$107:$D$122,
            'Wedgewood Pharm-GA-Yr2-2025'!$E$107:$L$122, 0, 0),
        0, 0),
    _xlfn.XLOOKUP(G2017, 'Wedgewood Pharm-GA-Yr2-2025'!$E$106:$L$106,
        _xlfn.XLOOKUP('Rate Load'!L2017, 'Wedgewood Pharm-GA-Yr2-2025'!$D$107:$D$122,
            'Wedgewood Pharm-GA-Yr2-2025'!$E$107:$L$122, 0, 0),
        0, 0)
)</f>
        <v>4.7699999999999996</v>
      </c>
      <c r="K2017" t="s">
        <v>46</v>
      </c>
      <c r="L2017" t="s">
        <v>13</v>
      </c>
      <c r="M2017">
        <v>3</v>
      </c>
      <c r="N2017" t="str">
        <f t="shared" si="31"/>
        <v>INSERT INTO TNL_RATING.dbo.usps_rate_master VALUES ('USPS', '2/13/2025', '2/13/2026', 12659, 'US', 'USPS Ground Advantage', 4, 10, 'O', 4.77, 'Wedgewood_USPS_2025', 'NonCubic','3');</v>
      </c>
    </row>
    <row r="2018" spans="1:14" x14ac:dyDescent="0.3">
      <c r="A2018" t="s">
        <v>11</v>
      </c>
      <c r="B2018" s="1" t="s">
        <v>43</v>
      </c>
      <c r="C2018" s="1" t="s">
        <v>44</v>
      </c>
      <c r="D2018">
        <v>12659</v>
      </c>
      <c r="E2018" t="s">
        <v>12</v>
      </c>
      <c r="F2018" t="s">
        <v>51</v>
      </c>
      <c r="G2018">
        <v>4</v>
      </c>
      <c r="H2018">
        <v>11</v>
      </c>
      <c r="I2018" t="s">
        <v>52</v>
      </c>
      <c r="J2018" cm="1">
        <f t="array" ref="J2018">IFERROR(
    _xlfn.XLOOKUP(G2018, 'Wedgewood Pharm-GA-Yr2-2025'!$E$106:$L$106,
        _xlfn.XLOOKUP('Rate Load'!H2018, 'Wedgewood Pharm-GA-Yr2-2025'!$D$107:$D$122,
            'Wedgewood Pharm-GA-Yr2-2025'!$E$107:$L$122, 0, 0),
        0, 0),
    _xlfn.XLOOKUP(G2018, 'Wedgewood Pharm-GA-Yr2-2025'!$E$106:$L$106,
        _xlfn.XLOOKUP('Rate Load'!L2018, 'Wedgewood Pharm-GA-Yr2-2025'!$D$107:$D$122,
            'Wedgewood Pharm-GA-Yr2-2025'!$E$107:$L$122, 0, 0),
        0, 0)
)</f>
        <v>4.7699999999999996</v>
      </c>
      <c r="K2018" t="s">
        <v>46</v>
      </c>
      <c r="L2018" t="s">
        <v>13</v>
      </c>
      <c r="M2018">
        <v>3</v>
      </c>
      <c r="N2018" t="str">
        <f t="shared" si="31"/>
        <v>INSERT INTO TNL_RATING.dbo.usps_rate_master VALUES ('USPS', '2/13/2025', '2/13/2026', 12659, 'US', 'USPS Ground Advantage', 4, 11, 'O', 4.77, 'Wedgewood_USPS_2025', 'NonCubic','3');</v>
      </c>
    </row>
    <row r="2019" spans="1:14" x14ac:dyDescent="0.3">
      <c r="A2019" t="s">
        <v>11</v>
      </c>
      <c r="B2019" s="1" t="s">
        <v>43</v>
      </c>
      <c r="C2019" s="1" t="s">
        <v>44</v>
      </c>
      <c r="D2019">
        <v>12659</v>
      </c>
      <c r="E2019" t="s">
        <v>12</v>
      </c>
      <c r="F2019" t="s">
        <v>51</v>
      </c>
      <c r="G2019">
        <v>4</v>
      </c>
      <c r="H2019">
        <v>12</v>
      </c>
      <c r="I2019" t="s">
        <v>52</v>
      </c>
      <c r="J2019" cm="1">
        <f t="array" ref="J2019">IFERROR(
    _xlfn.XLOOKUP(G2019, 'Wedgewood Pharm-GA-Yr2-2025'!$E$106:$L$106,
        _xlfn.XLOOKUP('Rate Load'!H2019, 'Wedgewood Pharm-GA-Yr2-2025'!$D$107:$D$122,
            'Wedgewood Pharm-GA-Yr2-2025'!$E$107:$L$122, 0, 0),
        0, 0),
    _xlfn.XLOOKUP(G2019, 'Wedgewood Pharm-GA-Yr2-2025'!$E$106:$L$106,
        _xlfn.XLOOKUP('Rate Load'!L2019, 'Wedgewood Pharm-GA-Yr2-2025'!$D$107:$D$122,
            'Wedgewood Pharm-GA-Yr2-2025'!$E$107:$L$122, 0, 0),
        0, 0)
)</f>
        <v>4.7699999999999996</v>
      </c>
      <c r="K2019" t="s">
        <v>46</v>
      </c>
      <c r="L2019" t="s">
        <v>13</v>
      </c>
      <c r="M2019">
        <v>3</v>
      </c>
      <c r="N2019" t="str">
        <f t="shared" si="31"/>
        <v>INSERT INTO TNL_RATING.dbo.usps_rate_master VALUES ('USPS', '2/13/2025', '2/13/2026', 12659, 'US', 'USPS Ground Advantage', 4, 12, 'O', 4.77, 'Wedgewood_USPS_2025', 'NonCubic','3');</v>
      </c>
    </row>
    <row r="2020" spans="1:14" x14ac:dyDescent="0.3">
      <c r="A2020" t="s">
        <v>11</v>
      </c>
      <c r="B2020" s="1" t="s">
        <v>43</v>
      </c>
      <c r="C2020" s="1" t="s">
        <v>44</v>
      </c>
      <c r="D2020">
        <v>12659</v>
      </c>
      <c r="E2020" t="s">
        <v>12</v>
      </c>
      <c r="F2020" t="s">
        <v>51</v>
      </c>
      <c r="G2020">
        <v>4</v>
      </c>
      <c r="H2020">
        <v>13</v>
      </c>
      <c r="I2020" t="s">
        <v>52</v>
      </c>
      <c r="J2020" cm="1">
        <f t="array" ref="J2020">IFERROR(
    _xlfn.XLOOKUP(G2020, 'Wedgewood Pharm-GA-Yr2-2025'!$E$106:$L$106,
        _xlfn.XLOOKUP('Rate Load'!H2020, 'Wedgewood Pharm-GA-Yr2-2025'!$D$107:$D$122,
            'Wedgewood Pharm-GA-Yr2-2025'!$E$107:$L$122, 0, 0),
        0, 0),
    _xlfn.XLOOKUP(G2020, 'Wedgewood Pharm-GA-Yr2-2025'!$E$106:$L$106,
        _xlfn.XLOOKUP('Rate Load'!L2020, 'Wedgewood Pharm-GA-Yr2-2025'!$D$107:$D$122,
            'Wedgewood Pharm-GA-Yr2-2025'!$E$107:$L$122, 0, 0),
        0, 0)
)</f>
        <v>5.3199999999999994</v>
      </c>
      <c r="K2020" t="s">
        <v>46</v>
      </c>
      <c r="L2020" t="s">
        <v>13</v>
      </c>
      <c r="M2020">
        <v>3</v>
      </c>
      <c r="N2020" t="str">
        <f t="shared" si="31"/>
        <v>INSERT INTO TNL_RATING.dbo.usps_rate_master VALUES ('USPS', '2/13/2025', '2/13/2026', 12659, 'US', 'USPS Ground Advantage', 4, 13, 'O', 5.32, 'Wedgewood_USPS_2025', 'NonCubic','3');</v>
      </c>
    </row>
    <row r="2021" spans="1:14" x14ac:dyDescent="0.3">
      <c r="A2021" t="s">
        <v>11</v>
      </c>
      <c r="B2021" s="1" t="s">
        <v>43</v>
      </c>
      <c r="C2021" s="1" t="s">
        <v>44</v>
      </c>
      <c r="D2021">
        <v>12659</v>
      </c>
      <c r="E2021" t="s">
        <v>12</v>
      </c>
      <c r="F2021" t="s">
        <v>51</v>
      </c>
      <c r="G2021">
        <v>4</v>
      </c>
      <c r="H2021">
        <v>14</v>
      </c>
      <c r="I2021" t="s">
        <v>52</v>
      </c>
      <c r="J2021" cm="1">
        <f t="array" ref="J2021">IFERROR(
    _xlfn.XLOOKUP(G2021, 'Wedgewood Pharm-GA-Yr2-2025'!$E$106:$L$106,
        _xlfn.XLOOKUP('Rate Load'!H2021, 'Wedgewood Pharm-GA-Yr2-2025'!$D$107:$D$122,
            'Wedgewood Pharm-GA-Yr2-2025'!$E$107:$L$122, 0, 0),
        0, 0),
    _xlfn.XLOOKUP(G2021, 'Wedgewood Pharm-GA-Yr2-2025'!$E$106:$L$106,
        _xlfn.XLOOKUP('Rate Load'!L2021, 'Wedgewood Pharm-GA-Yr2-2025'!$D$107:$D$122,
            'Wedgewood Pharm-GA-Yr2-2025'!$E$107:$L$122, 0, 0),
        0, 0)
)</f>
        <v>5.3199999999999994</v>
      </c>
      <c r="K2021" t="s">
        <v>46</v>
      </c>
      <c r="L2021" t="s">
        <v>13</v>
      </c>
      <c r="M2021">
        <v>3</v>
      </c>
      <c r="N2021" t="str">
        <f t="shared" si="31"/>
        <v>INSERT INTO TNL_RATING.dbo.usps_rate_master VALUES ('USPS', '2/13/2025', '2/13/2026', 12659, 'US', 'USPS Ground Advantage', 4, 14, 'O', 5.32, 'Wedgewood_USPS_2025', 'NonCubic','3');</v>
      </c>
    </row>
    <row r="2022" spans="1:14" x14ac:dyDescent="0.3">
      <c r="A2022" t="s">
        <v>11</v>
      </c>
      <c r="B2022" s="1" t="s">
        <v>43</v>
      </c>
      <c r="C2022" s="1" t="s">
        <v>44</v>
      </c>
      <c r="D2022">
        <v>12659</v>
      </c>
      <c r="E2022" t="s">
        <v>12</v>
      </c>
      <c r="F2022" t="s">
        <v>51</v>
      </c>
      <c r="G2022">
        <v>4</v>
      </c>
      <c r="H2022">
        <v>15</v>
      </c>
      <c r="I2022" t="s">
        <v>52</v>
      </c>
      <c r="J2022" cm="1">
        <f t="array" ref="J2022">IFERROR(
    _xlfn.XLOOKUP(G2022, 'Wedgewood Pharm-GA-Yr2-2025'!$E$106:$L$106,
        _xlfn.XLOOKUP('Rate Load'!H2022, 'Wedgewood Pharm-GA-Yr2-2025'!$D$107:$D$122,
            'Wedgewood Pharm-GA-Yr2-2025'!$E$107:$L$122, 0, 0),
        0, 0),
    _xlfn.XLOOKUP(G2022, 'Wedgewood Pharm-GA-Yr2-2025'!$E$106:$L$106,
        _xlfn.XLOOKUP('Rate Load'!L2022, 'Wedgewood Pharm-GA-Yr2-2025'!$D$107:$D$122,
            'Wedgewood Pharm-GA-Yr2-2025'!$E$107:$L$122, 0, 0),
        0, 0)
)</f>
        <v>5.3199999999999994</v>
      </c>
      <c r="K2022" t="s">
        <v>46</v>
      </c>
      <c r="L2022" t="s">
        <v>13</v>
      </c>
      <c r="M2022">
        <v>3</v>
      </c>
      <c r="N2022" t="str">
        <f t="shared" si="31"/>
        <v>INSERT INTO TNL_RATING.dbo.usps_rate_master VALUES ('USPS', '2/13/2025', '2/13/2026', 12659, 'US', 'USPS Ground Advantage', 4, 15, 'O', 5.32, 'Wedgewood_USPS_2025', 'NonCubic','3');</v>
      </c>
    </row>
    <row r="2023" spans="1:14" x14ac:dyDescent="0.3">
      <c r="A2023" t="s">
        <v>11</v>
      </c>
      <c r="B2023" s="1" t="s">
        <v>43</v>
      </c>
      <c r="C2023" s="1" t="s">
        <v>44</v>
      </c>
      <c r="D2023">
        <v>12659</v>
      </c>
      <c r="E2023" t="s">
        <v>12</v>
      </c>
      <c r="F2023" t="s">
        <v>51</v>
      </c>
      <c r="G2023">
        <v>4</v>
      </c>
      <c r="H2023">
        <v>15.999000000000001</v>
      </c>
      <c r="I2023" t="s">
        <v>52</v>
      </c>
      <c r="J2023" cm="1">
        <f t="array" ref="J2023">IFERROR(
    _xlfn.XLOOKUP(G2023, 'Wedgewood Pharm-GA-Yr2-2025'!$E$106:$L$106,
        _xlfn.XLOOKUP('Rate Load'!H2023, 'Wedgewood Pharm-GA-Yr2-2025'!$D$107:$D$122,
            'Wedgewood Pharm-GA-Yr2-2025'!$E$107:$L$122, 0, 0),
        0, 0),
    _xlfn.XLOOKUP(G2023, 'Wedgewood Pharm-GA-Yr2-2025'!$E$106:$L$106,
        _xlfn.XLOOKUP('Rate Load'!L2023, 'Wedgewood Pharm-GA-Yr2-2025'!$D$107:$D$122,
            'Wedgewood Pharm-GA-Yr2-2025'!$E$107:$L$122, 0, 0),
        0, 0)
)</f>
        <v>5.3199999999999994</v>
      </c>
      <c r="K2023" t="s">
        <v>46</v>
      </c>
      <c r="L2023" t="s">
        <v>13</v>
      </c>
      <c r="M2023">
        <v>3</v>
      </c>
      <c r="N2023" t="str">
        <f t="shared" si="31"/>
        <v>INSERT INTO TNL_RATING.dbo.usps_rate_master VALUES ('USPS', '2/13/2025', '2/13/2026', 12659, 'US', 'USPS Ground Advantage', 4, 15.999, 'O', 5.32, 'Wedgewood_USPS_2025', 'NonCubic','3');</v>
      </c>
    </row>
    <row r="2024" spans="1:14" x14ac:dyDescent="0.3">
      <c r="A2024" t="s">
        <v>11</v>
      </c>
      <c r="B2024" s="1" t="s">
        <v>43</v>
      </c>
      <c r="C2024" s="1" t="s">
        <v>44</v>
      </c>
      <c r="D2024">
        <v>12659</v>
      </c>
      <c r="E2024" t="s">
        <v>12</v>
      </c>
      <c r="F2024" t="s">
        <v>51</v>
      </c>
      <c r="G2024">
        <v>5</v>
      </c>
      <c r="H2024">
        <v>1</v>
      </c>
      <c r="I2024" t="s">
        <v>52</v>
      </c>
      <c r="J2024" cm="1">
        <f t="array" ref="J2024">IFERROR(
    _xlfn.XLOOKUP(G2024, 'Wedgewood Pharm-GA-Yr2-2025'!$E$106:$L$106,
        _xlfn.XLOOKUP('Rate Load'!H2024, 'Wedgewood Pharm-GA-Yr2-2025'!$D$107:$D$122,
            'Wedgewood Pharm-GA-Yr2-2025'!$E$107:$L$122, 0, 0),
        0, 0),
    _xlfn.XLOOKUP(G2024, 'Wedgewood Pharm-GA-Yr2-2025'!$E$106:$L$106,
        _xlfn.XLOOKUP('Rate Load'!L2024, 'Wedgewood Pharm-GA-Yr2-2025'!$D$107:$D$122,
            'Wedgewood Pharm-GA-Yr2-2025'!$E$107:$L$122, 0, 0),
        0, 0)
)</f>
        <v>3.42</v>
      </c>
      <c r="K2024" t="s">
        <v>46</v>
      </c>
      <c r="L2024" t="s">
        <v>13</v>
      </c>
      <c r="M2024">
        <v>3</v>
      </c>
      <c r="N2024" t="str">
        <f t="shared" si="31"/>
        <v>INSERT INTO TNL_RATING.dbo.usps_rate_master VALUES ('USPS', '2/13/2025', '2/13/2026', 12659, 'US', 'USPS Ground Advantage', 5, 1, 'O', 3.42, 'Wedgewood_USPS_2025', 'NonCubic','3');</v>
      </c>
    </row>
    <row r="2025" spans="1:14" x14ac:dyDescent="0.3">
      <c r="A2025" t="s">
        <v>11</v>
      </c>
      <c r="B2025" s="1" t="s">
        <v>43</v>
      </c>
      <c r="C2025" s="1" t="s">
        <v>44</v>
      </c>
      <c r="D2025">
        <v>12659</v>
      </c>
      <c r="E2025" t="s">
        <v>12</v>
      </c>
      <c r="F2025" t="s">
        <v>51</v>
      </c>
      <c r="G2025">
        <v>5</v>
      </c>
      <c r="H2025">
        <v>2</v>
      </c>
      <c r="I2025" t="s">
        <v>52</v>
      </c>
      <c r="J2025" cm="1">
        <f t="array" ref="J2025">IFERROR(
    _xlfn.XLOOKUP(G2025, 'Wedgewood Pharm-GA-Yr2-2025'!$E$106:$L$106,
        _xlfn.XLOOKUP('Rate Load'!H2025, 'Wedgewood Pharm-GA-Yr2-2025'!$D$107:$D$122,
            'Wedgewood Pharm-GA-Yr2-2025'!$E$107:$L$122, 0, 0),
        0, 0),
    _xlfn.XLOOKUP(G2025, 'Wedgewood Pharm-GA-Yr2-2025'!$E$106:$L$106,
        _xlfn.XLOOKUP('Rate Load'!L2025, 'Wedgewood Pharm-GA-Yr2-2025'!$D$107:$D$122,
            'Wedgewood Pharm-GA-Yr2-2025'!$E$107:$L$122, 0, 0),
        0, 0)
)</f>
        <v>3.42</v>
      </c>
      <c r="K2025" t="s">
        <v>46</v>
      </c>
      <c r="L2025" t="s">
        <v>13</v>
      </c>
      <c r="M2025">
        <v>3</v>
      </c>
      <c r="N2025" t="str">
        <f t="shared" si="31"/>
        <v>INSERT INTO TNL_RATING.dbo.usps_rate_master VALUES ('USPS', '2/13/2025', '2/13/2026', 12659, 'US', 'USPS Ground Advantage', 5, 2, 'O', 3.42, 'Wedgewood_USPS_2025', 'NonCubic','3');</v>
      </c>
    </row>
    <row r="2026" spans="1:14" x14ac:dyDescent="0.3">
      <c r="A2026" t="s">
        <v>11</v>
      </c>
      <c r="B2026" s="1" t="s">
        <v>43</v>
      </c>
      <c r="C2026" s="1" t="s">
        <v>44</v>
      </c>
      <c r="D2026">
        <v>12659</v>
      </c>
      <c r="E2026" t="s">
        <v>12</v>
      </c>
      <c r="F2026" t="s">
        <v>51</v>
      </c>
      <c r="G2026">
        <v>5</v>
      </c>
      <c r="H2026">
        <v>3</v>
      </c>
      <c r="I2026" t="s">
        <v>52</v>
      </c>
      <c r="J2026" cm="1">
        <f t="array" ref="J2026">IFERROR(
    _xlfn.XLOOKUP(G2026, 'Wedgewood Pharm-GA-Yr2-2025'!$E$106:$L$106,
        _xlfn.XLOOKUP('Rate Load'!H2026, 'Wedgewood Pharm-GA-Yr2-2025'!$D$107:$D$122,
            'Wedgewood Pharm-GA-Yr2-2025'!$E$107:$L$122, 0, 0),
        0, 0),
    _xlfn.XLOOKUP(G2026, 'Wedgewood Pharm-GA-Yr2-2025'!$E$106:$L$106,
        _xlfn.XLOOKUP('Rate Load'!L2026, 'Wedgewood Pharm-GA-Yr2-2025'!$D$107:$D$122,
            'Wedgewood Pharm-GA-Yr2-2025'!$E$107:$L$122, 0, 0),
        0, 0)
)</f>
        <v>3.42</v>
      </c>
      <c r="K2026" t="s">
        <v>46</v>
      </c>
      <c r="L2026" t="s">
        <v>13</v>
      </c>
      <c r="M2026">
        <v>3</v>
      </c>
      <c r="N2026" t="str">
        <f t="shared" si="31"/>
        <v>INSERT INTO TNL_RATING.dbo.usps_rate_master VALUES ('USPS', '2/13/2025', '2/13/2026', 12659, 'US', 'USPS Ground Advantage', 5, 3, 'O', 3.42, 'Wedgewood_USPS_2025', 'NonCubic','3');</v>
      </c>
    </row>
    <row r="2027" spans="1:14" x14ac:dyDescent="0.3">
      <c r="A2027" t="s">
        <v>11</v>
      </c>
      <c r="B2027" s="1" t="s">
        <v>43</v>
      </c>
      <c r="C2027" s="1" t="s">
        <v>44</v>
      </c>
      <c r="D2027">
        <v>12659</v>
      </c>
      <c r="E2027" t="s">
        <v>12</v>
      </c>
      <c r="F2027" t="s">
        <v>51</v>
      </c>
      <c r="G2027">
        <v>5</v>
      </c>
      <c r="H2027">
        <v>4</v>
      </c>
      <c r="I2027" t="s">
        <v>52</v>
      </c>
      <c r="J2027" cm="1">
        <f t="array" ref="J2027">IFERROR(
    _xlfn.XLOOKUP(G2027, 'Wedgewood Pharm-GA-Yr2-2025'!$E$106:$L$106,
        _xlfn.XLOOKUP('Rate Load'!H2027, 'Wedgewood Pharm-GA-Yr2-2025'!$D$107:$D$122,
            'Wedgewood Pharm-GA-Yr2-2025'!$E$107:$L$122, 0, 0),
        0, 0),
    _xlfn.XLOOKUP(G2027, 'Wedgewood Pharm-GA-Yr2-2025'!$E$106:$L$106,
        _xlfn.XLOOKUP('Rate Load'!L2027, 'Wedgewood Pharm-GA-Yr2-2025'!$D$107:$D$122,
            'Wedgewood Pharm-GA-Yr2-2025'!$E$107:$L$122, 0, 0),
        0, 0)
)</f>
        <v>3.42</v>
      </c>
      <c r="K2027" t="s">
        <v>46</v>
      </c>
      <c r="L2027" t="s">
        <v>13</v>
      </c>
      <c r="M2027">
        <v>3</v>
      </c>
      <c r="N2027" t="str">
        <f t="shared" si="31"/>
        <v>INSERT INTO TNL_RATING.dbo.usps_rate_master VALUES ('USPS', '2/13/2025', '2/13/2026', 12659, 'US', 'USPS Ground Advantage', 5, 4, 'O', 3.42, 'Wedgewood_USPS_2025', 'NonCubic','3');</v>
      </c>
    </row>
    <row r="2028" spans="1:14" x14ac:dyDescent="0.3">
      <c r="A2028" t="s">
        <v>11</v>
      </c>
      <c r="B2028" s="1" t="s">
        <v>43</v>
      </c>
      <c r="C2028" s="1" t="s">
        <v>44</v>
      </c>
      <c r="D2028">
        <v>12659</v>
      </c>
      <c r="E2028" t="s">
        <v>12</v>
      </c>
      <c r="F2028" t="s">
        <v>51</v>
      </c>
      <c r="G2028">
        <v>5</v>
      </c>
      <c r="H2028">
        <v>5</v>
      </c>
      <c r="I2028" t="s">
        <v>52</v>
      </c>
      <c r="J2028" cm="1">
        <f t="array" ref="J2028">IFERROR(
    _xlfn.XLOOKUP(G2028, 'Wedgewood Pharm-GA-Yr2-2025'!$E$106:$L$106,
        _xlfn.XLOOKUP('Rate Load'!H2028, 'Wedgewood Pharm-GA-Yr2-2025'!$D$107:$D$122,
            'Wedgewood Pharm-GA-Yr2-2025'!$E$107:$L$122, 0, 0),
        0, 0),
    _xlfn.XLOOKUP(G2028, 'Wedgewood Pharm-GA-Yr2-2025'!$E$106:$L$106,
        _xlfn.XLOOKUP('Rate Load'!L2028, 'Wedgewood Pharm-GA-Yr2-2025'!$D$107:$D$122,
            'Wedgewood Pharm-GA-Yr2-2025'!$E$107:$L$122, 0, 0),
        0, 0)
)</f>
        <v>4.3</v>
      </c>
      <c r="K2028" t="s">
        <v>46</v>
      </c>
      <c r="L2028" t="s">
        <v>13</v>
      </c>
      <c r="M2028">
        <v>3</v>
      </c>
      <c r="N2028" t="str">
        <f t="shared" si="31"/>
        <v>INSERT INTO TNL_RATING.dbo.usps_rate_master VALUES ('USPS', '2/13/2025', '2/13/2026', 12659, 'US', 'USPS Ground Advantage', 5, 5, 'O', 4.3, 'Wedgewood_USPS_2025', 'NonCubic','3');</v>
      </c>
    </row>
    <row r="2029" spans="1:14" x14ac:dyDescent="0.3">
      <c r="A2029" t="s">
        <v>11</v>
      </c>
      <c r="B2029" s="1" t="s">
        <v>43</v>
      </c>
      <c r="C2029" s="1" t="s">
        <v>44</v>
      </c>
      <c r="D2029">
        <v>12659</v>
      </c>
      <c r="E2029" t="s">
        <v>12</v>
      </c>
      <c r="F2029" t="s">
        <v>51</v>
      </c>
      <c r="G2029">
        <v>5</v>
      </c>
      <c r="H2029">
        <v>6</v>
      </c>
      <c r="I2029" t="s">
        <v>52</v>
      </c>
      <c r="J2029" cm="1">
        <f t="array" ref="J2029">IFERROR(
    _xlfn.XLOOKUP(G2029, 'Wedgewood Pharm-GA-Yr2-2025'!$E$106:$L$106,
        _xlfn.XLOOKUP('Rate Load'!H2029, 'Wedgewood Pharm-GA-Yr2-2025'!$D$107:$D$122,
            'Wedgewood Pharm-GA-Yr2-2025'!$E$107:$L$122, 0, 0),
        0, 0),
    _xlfn.XLOOKUP(G2029, 'Wedgewood Pharm-GA-Yr2-2025'!$E$106:$L$106,
        _xlfn.XLOOKUP('Rate Load'!L2029, 'Wedgewood Pharm-GA-Yr2-2025'!$D$107:$D$122,
            'Wedgewood Pharm-GA-Yr2-2025'!$E$107:$L$122, 0, 0),
        0, 0)
)</f>
        <v>4.3</v>
      </c>
      <c r="K2029" t="s">
        <v>46</v>
      </c>
      <c r="L2029" t="s">
        <v>13</v>
      </c>
      <c r="M2029">
        <v>3</v>
      </c>
      <c r="N2029" t="str">
        <f t="shared" si="31"/>
        <v>INSERT INTO TNL_RATING.dbo.usps_rate_master VALUES ('USPS', '2/13/2025', '2/13/2026', 12659, 'US', 'USPS Ground Advantage', 5, 6, 'O', 4.3, 'Wedgewood_USPS_2025', 'NonCubic','3');</v>
      </c>
    </row>
    <row r="2030" spans="1:14" x14ac:dyDescent="0.3">
      <c r="A2030" t="s">
        <v>11</v>
      </c>
      <c r="B2030" s="1" t="s">
        <v>43</v>
      </c>
      <c r="C2030" s="1" t="s">
        <v>44</v>
      </c>
      <c r="D2030">
        <v>12659</v>
      </c>
      <c r="E2030" t="s">
        <v>12</v>
      </c>
      <c r="F2030" t="s">
        <v>51</v>
      </c>
      <c r="G2030">
        <v>5</v>
      </c>
      <c r="H2030">
        <v>7</v>
      </c>
      <c r="I2030" t="s">
        <v>52</v>
      </c>
      <c r="J2030" cm="1">
        <f t="array" ref="J2030">IFERROR(
    _xlfn.XLOOKUP(G2030, 'Wedgewood Pharm-GA-Yr2-2025'!$E$106:$L$106,
        _xlfn.XLOOKUP('Rate Load'!H2030, 'Wedgewood Pharm-GA-Yr2-2025'!$D$107:$D$122,
            'Wedgewood Pharm-GA-Yr2-2025'!$E$107:$L$122, 0, 0),
        0, 0),
    _xlfn.XLOOKUP(G2030, 'Wedgewood Pharm-GA-Yr2-2025'!$E$106:$L$106,
        _xlfn.XLOOKUP('Rate Load'!L2030, 'Wedgewood Pharm-GA-Yr2-2025'!$D$107:$D$122,
            'Wedgewood Pharm-GA-Yr2-2025'!$E$107:$L$122, 0, 0),
        0, 0)
)</f>
        <v>4.3</v>
      </c>
      <c r="K2030" t="s">
        <v>46</v>
      </c>
      <c r="L2030" t="s">
        <v>13</v>
      </c>
      <c r="M2030">
        <v>3</v>
      </c>
      <c r="N2030" t="str">
        <f t="shared" si="31"/>
        <v>INSERT INTO TNL_RATING.dbo.usps_rate_master VALUES ('USPS', '2/13/2025', '2/13/2026', 12659, 'US', 'USPS Ground Advantage', 5, 7, 'O', 4.3, 'Wedgewood_USPS_2025', 'NonCubic','3');</v>
      </c>
    </row>
    <row r="2031" spans="1:14" x14ac:dyDescent="0.3">
      <c r="A2031" t="s">
        <v>11</v>
      </c>
      <c r="B2031" s="1" t="s">
        <v>43</v>
      </c>
      <c r="C2031" s="1" t="s">
        <v>44</v>
      </c>
      <c r="D2031">
        <v>12659</v>
      </c>
      <c r="E2031" t="s">
        <v>12</v>
      </c>
      <c r="F2031" t="s">
        <v>51</v>
      </c>
      <c r="G2031">
        <v>5</v>
      </c>
      <c r="H2031">
        <v>8</v>
      </c>
      <c r="I2031" t="s">
        <v>52</v>
      </c>
      <c r="J2031" cm="1">
        <f t="array" ref="J2031">IFERROR(
    _xlfn.XLOOKUP(G2031, 'Wedgewood Pharm-GA-Yr2-2025'!$E$106:$L$106,
        _xlfn.XLOOKUP('Rate Load'!H2031, 'Wedgewood Pharm-GA-Yr2-2025'!$D$107:$D$122,
            'Wedgewood Pharm-GA-Yr2-2025'!$E$107:$L$122, 0, 0),
        0, 0),
    _xlfn.XLOOKUP(G2031, 'Wedgewood Pharm-GA-Yr2-2025'!$E$106:$L$106,
        _xlfn.XLOOKUP('Rate Load'!L2031, 'Wedgewood Pharm-GA-Yr2-2025'!$D$107:$D$122,
            'Wedgewood Pharm-GA-Yr2-2025'!$E$107:$L$122, 0, 0),
        0, 0)
)</f>
        <v>4.3</v>
      </c>
      <c r="K2031" t="s">
        <v>46</v>
      </c>
      <c r="L2031" t="s">
        <v>13</v>
      </c>
      <c r="M2031">
        <v>3</v>
      </c>
      <c r="N2031" t="str">
        <f t="shared" si="31"/>
        <v>INSERT INTO TNL_RATING.dbo.usps_rate_master VALUES ('USPS', '2/13/2025', '2/13/2026', 12659, 'US', 'USPS Ground Advantage', 5, 8, 'O', 4.3, 'Wedgewood_USPS_2025', 'NonCubic','3');</v>
      </c>
    </row>
    <row r="2032" spans="1:14" x14ac:dyDescent="0.3">
      <c r="A2032" t="s">
        <v>11</v>
      </c>
      <c r="B2032" s="1" t="s">
        <v>43</v>
      </c>
      <c r="C2032" s="1" t="s">
        <v>44</v>
      </c>
      <c r="D2032">
        <v>12659</v>
      </c>
      <c r="E2032" t="s">
        <v>12</v>
      </c>
      <c r="F2032" t="s">
        <v>51</v>
      </c>
      <c r="G2032">
        <v>5</v>
      </c>
      <c r="H2032">
        <v>9</v>
      </c>
      <c r="I2032" t="s">
        <v>52</v>
      </c>
      <c r="J2032" cm="1">
        <f t="array" ref="J2032">IFERROR(
    _xlfn.XLOOKUP(G2032, 'Wedgewood Pharm-GA-Yr2-2025'!$E$106:$L$106,
        _xlfn.XLOOKUP('Rate Load'!H2032, 'Wedgewood Pharm-GA-Yr2-2025'!$D$107:$D$122,
            'Wedgewood Pharm-GA-Yr2-2025'!$E$107:$L$122, 0, 0),
        0, 0),
    _xlfn.XLOOKUP(G2032, 'Wedgewood Pharm-GA-Yr2-2025'!$E$106:$L$106,
        _xlfn.XLOOKUP('Rate Load'!L2032, 'Wedgewood Pharm-GA-Yr2-2025'!$D$107:$D$122,
            'Wedgewood Pharm-GA-Yr2-2025'!$E$107:$L$122, 0, 0),
        0, 0)
)</f>
        <v>4.8499999999999996</v>
      </c>
      <c r="K2032" t="s">
        <v>46</v>
      </c>
      <c r="L2032" t="s">
        <v>13</v>
      </c>
      <c r="M2032">
        <v>3</v>
      </c>
      <c r="N2032" t="str">
        <f t="shared" si="31"/>
        <v>INSERT INTO TNL_RATING.dbo.usps_rate_master VALUES ('USPS', '2/13/2025', '2/13/2026', 12659, 'US', 'USPS Ground Advantage', 5, 9, 'O', 4.85, 'Wedgewood_USPS_2025', 'NonCubic','3');</v>
      </c>
    </row>
    <row r="2033" spans="1:14" x14ac:dyDescent="0.3">
      <c r="A2033" t="s">
        <v>11</v>
      </c>
      <c r="B2033" s="1" t="s">
        <v>43</v>
      </c>
      <c r="C2033" s="1" t="s">
        <v>44</v>
      </c>
      <c r="D2033">
        <v>12659</v>
      </c>
      <c r="E2033" t="s">
        <v>12</v>
      </c>
      <c r="F2033" t="s">
        <v>51</v>
      </c>
      <c r="G2033">
        <v>5</v>
      </c>
      <c r="H2033">
        <v>10</v>
      </c>
      <c r="I2033" t="s">
        <v>52</v>
      </c>
      <c r="J2033" cm="1">
        <f t="array" ref="J2033">IFERROR(
    _xlfn.XLOOKUP(G2033, 'Wedgewood Pharm-GA-Yr2-2025'!$E$106:$L$106,
        _xlfn.XLOOKUP('Rate Load'!H2033, 'Wedgewood Pharm-GA-Yr2-2025'!$D$107:$D$122,
            'Wedgewood Pharm-GA-Yr2-2025'!$E$107:$L$122, 0, 0),
        0, 0),
    _xlfn.XLOOKUP(G2033, 'Wedgewood Pharm-GA-Yr2-2025'!$E$106:$L$106,
        _xlfn.XLOOKUP('Rate Load'!L2033, 'Wedgewood Pharm-GA-Yr2-2025'!$D$107:$D$122,
            'Wedgewood Pharm-GA-Yr2-2025'!$E$107:$L$122, 0, 0),
        0, 0)
)</f>
        <v>4.8499999999999996</v>
      </c>
      <c r="K2033" t="s">
        <v>46</v>
      </c>
      <c r="L2033" t="s">
        <v>13</v>
      </c>
      <c r="M2033">
        <v>3</v>
      </c>
      <c r="N2033" t="str">
        <f t="shared" si="31"/>
        <v>INSERT INTO TNL_RATING.dbo.usps_rate_master VALUES ('USPS', '2/13/2025', '2/13/2026', 12659, 'US', 'USPS Ground Advantage', 5, 10, 'O', 4.85, 'Wedgewood_USPS_2025', 'NonCubic','3');</v>
      </c>
    </row>
    <row r="2034" spans="1:14" x14ac:dyDescent="0.3">
      <c r="A2034" t="s">
        <v>11</v>
      </c>
      <c r="B2034" s="1" t="s">
        <v>43</v>
      </c>
      <c r="C2034" s="1" t="s">
        <v>44</v>
      </c>
      <c r="D2034">
        <v>12659</v>
      </c>
      <c r="E2034" t="s">
        <v>12</v>
      </c>
      <c r="F2034" t="s">
        <v>51</v>
      </c>
      <c r="G2034">
        <v>5</v>
      </c>
      <c r="H2034">
        <v>11</v>
      </c>
      <c r="I2034" t="s">
        <v>52</v>
      </c>
      <c r="J2034" cm="1">
        <f t="array" ref="J2034">IFERROR(
    _xlfn.XLOOKUP(G2034, 'Wedgewood Pharm-GA-Yr2-2025'!$E$106:$L$106,
        _xlfn.XLOOKUP('Rate Load'!H2034, 'Wedgewood Pharm-GA-Yr2-2025'!$D$107:$D$122,
            'Wedgewood Pharm-GA-Yr2-2025'!$E$107:$L$122, 0, 0),
        0, 0),
    _xlfn.XLOOKUP(G2034, 'Wedgewood Pharm-GA-Yr2-2025'!$E$106:$L$106,
        _xlfn.XLOOKUP('Rate Load'!L2034, 'Wedgewood Pharm-GA-Yr2-2025'!$D$107:$D$122,
            'Wedgewood Pharm-GA-Yr2-2025'!$E$107:$L$122, 0, 0),
        0, 0)
)</f>
        <v>4.8499999999999996</v>
      </c>
      <c r="K2034" t="s">
        <v>46</v>
      </c>
      <c r="L2034" t="s">
        <v>13</v>
      </c>
      <c r="M2034">
        <v>3</v>
      </c>
      <c r="N2034" t="str">
        <f t="shared" si="31"/>
        <v>INSERT INTO TNL_RATING.dbo.usps_rate_master VALUES ('USPS', '2/13/2025', '2/13/2026', 12659, 'US', 'USPS Ground Advantage', 5, 11, 'O', 4.85, 'Wedgewood_USPS_2025', 'NonCubic','3');</v>
      </c>
    </row>
    <row r="2035" spans="1:14" x14ac:dyDescent="0.3">
      <c r="A2035" t="s">
        <v>11</v>
      </c>
      <c r="B2035" s="1" t="s">
        <v>43</v>
      </c>
      <c r="C2035" s="1" t="s">
        <v>44</v>
      </c>
      <c r="D2035">
        <v>12659</v>
      </c>
      <c r="E2035" t="s">
        <v>12</v>
      </c>
      <c r="F2035" t="s">
        <v>51</v>
      </c>
      <c r="G2035">
        <v>5</v>
      </c>
      <c r="H2035">
        <v>12</v>
      </c>
      <c r="I2035" t="s">
        <v>52</v>
      </c>
      <c r="J2035" cm="1">
        <f t="array" ref="J2035">IFERROR(
    _xlfn.XLOOKUP(G2035, 'Wedgewood Pharm-GA-Yr2-2025'!$E$106:$L$106,
        _xlfn.XLOOKUP('Rate Load'!H2035, 'Wedgewood Pharm-GA-Yr2-2025'!$D$107:$D$122,
            'Wedgewood Pharm-GA-Yr2-2025'!$E$107:$L$122, 0, 0),
        0, 0),
    _xlfn.XLOOKUP(G2035, 'Wedgewood Pharm-GA-Yr2-2025'!$E$106:$L$106,
        _xlfn.XLOOKUP('Rate Load'!L2035, 'Wedgewood Pharm-GA-Yr2-2025'!$D$107:$D$122,
            'Wedgewood Pharm-GA-Yr2-2025'!$E$107:$L$122, 0, 0),
        0, 0)
)</f>
        <v>4.8499999999999996</v>
      </c>
      <c r="K2035" t="s">
        <v>46</v>
      </c>
      <c r="L2035" t="s">
        <v>13</v>
      </c>
      <c r="M2035">
        <v>3</v>
      </c>
      <c r="N2035" t="str">
        <f t="shared" si="31"/>
        <v>INSERT INTO TNL_RATING.dbo.usps_rate_master VALUES ('USPS', '2/13/2025', '2/13/2026', 12659, 'US', 'USPS Ground Advantage', 5, 12, 'O', 4.85, 'Wedgewood_USPS_2025', 'NonCubic','3');</v>
      </c>
    </row>
    <row r="2036" spans="1:14" x14ac:dyDescent="0.3">
      <c r="A2036" t="s">
        <v>11</v>
      </c>
      <c r="B2036" s="1" t="s">
        <v>43</v>
      </c>
      <c r="C2036" s="1" t="s">
        <v>44</v>
      </c>
      <c r="D2036">
        <v>12659</v>
      </c>
      <c r="E2036" t="s">
        <v>12</v>
      </c>
      <c r="F2036" t="s">
        <v>51</v>
      </c>
      <c r="G2036">
        <v>5</v>
      </c>
      <c r="H2036">
        <v>13</v>
      </c>
      <c r="I2036" t="s">
        <v>52</v>
      </c>
      <c r="J2036" cm="1">
        <f t="array" ref="J2036">IFERROR(
    _xlfn.XLOOKUP(G2036, 'Wedgewood Pharm-GA-Yr2-2025'!$E$106:$L$106,
        _xlfn.XLOOKUP('Rate Load'!H2036, 'Wedgewood Pharm-GA-Yr2-2025'!$D$107:$D$122,
            'Wedgewood Pharm-GA-Yr2-2025'!$E$107:$L$122, 0, 0),
        0, 0),
    _xlfn.XLOOKUP(G2036, 'Wedgewood Pharm-GA-Yr2-2025'!$E$106:$L$106,
        _xlfn.XLOOKUP('Rate Load'!L2036, 'Wedgewood Pharm-GA-Yr2-2025'!$D$107:$D$122,
            'Wedgewood Pharm-GA-Yr2-2025'!$E$107:$L$122, 0, 0),
        0, 0)
)</f>
        <v>5.4399999999999995</v>
      </c>
      <c r="K2036" t="s">
        <v>46</v>
      </c>
      <c r="L2036" t="s">
        <v>13</v>
      </c>
      <c r="M2036">
        <v>3</v>
      </c>
      <c r="N2036" t="str">
        <f t="shared" si="31"/>
        <v>INSERT INTO TNL_RATING.dbo.usps_rate_master VALUES ('USPS', '2/13/2025', '2/13/2026', 12659, 'US', 'USPS Ground Advantage', 5, 13, 'O', 5.44, 'Wedgewood_USPS_2025', 'NonCubic','3');</v>
      </c>
    </row>
    <row r="2037" spans="1:14" x14ac:dyDescent="0.3">
      <c r="A2037" t="s">
        <v>11</v>
      </c>
      <c r="B2037" s="1" t="s">
        <v>43</v>
      </c>
      <c r="C2037" s="1" t="s">
        <v>44</v>
      </c>
      <c r="D2037">
        <v>12659</v>
      </c>
      <c r="E2037" t="s">
        <v>12</v>
      </c>
      <c r="F2037" t="s">
        <v>51</v>
      </c>
      <c r="G2037">
        <v>5</v>
      </c>
      <c r="H2037">
        <v>14</v>
      </c>
      <c r="I2037" t="s">
        <v>52</v>
      </c>
      <c r="J2037" cm="1">
        <f t="array" ref="J2037">IFERROR(
    _xlfn.XLOOKUP(G2037, 'Wedgewood Pharm-GA-Yr2-2025'!$E$106:$L$106,
        _xlfn.XLOOKUP('Rate Load'!H2037, 'Wedgewood Pharm-GA-Yr2-2025'!$D$107:$D$122,
            'Wedgewood Pharm-GA-Yr2-2025'!$E$107:$L$122, 0, 0),
        0, 0),
    _xlfn.XLOOKUP(G2037, 'Wedgewood Pharm-GA-Yr2-2025'!$E$106:$L$106,
        _xlfn.XLOOKUP('Rate Load'!L2037, 'Wedgewood Pharm-GA-Yr2-2025'!$D$107:$D$122,
            'Wedgewood Pharm-GA-Yr2-2025'!$E$107:$L$122, 0, 0),
        0, 0)
)</f>
        <v>5.4399999999999995</v>
      </c>
      <c r="K2037" t="s">
        <v>46</v>
      </c>
      <c r="L2037" t="s">
        <v>13</v>
      </c>
      <c r="M2037">
        <v>3</v>
      </c>
      <c r="N2037" t="str">
        <f t="shared" si="31"/>
        <v>INSERT INTO TNL_RATING.dbo.usps_rate_master VALUES ('USPS', '2/13/2025', '2/13/2026', 12659, 'US', 'USPS Ground Advantage', 5, 14, 'O', 5.44, 'Wedgewood_USPS_2025', 'NonCubic','3');</v>
      </c>
    </row>
    <row r="2038" spans="1:14" x14ac:dyDescent="0.3">
      <c r="A2038" t="s">
        <v>11</v>
      </c>
      <c r="B2038" s="1" t="s">
        <v>43</v>
      </c>
      <c r="C2038" s="1" t="s">
        <v>44</v>
      </c>
      <c r="D2038">
        <v>12659</v>
      </c>
      <c r="E2038" t="s">
        <v>12</v>
      </c>
      <c r="F2038" t="s">
        <v>51</v>
      </c>
      <c r="G2038">
        <v>5</v>
      </c>
      <c r="H2038">
        <v>15</v>
      </c>
      <c r="I2038" t="s">
        <v>52</v>
      </c>
      <c r="J2038" cm="1">
        <f t="array" ref="J2038">IFERROR(
    _xlfn.XLOOKUP(G2038, 'Wedgewood Pharm-GA-Yr2-2025'!$E$106:$L$106,
        _xlfn.XLOOKUP('Rate Load'!H2038, 'Wedgewood Pharm-GA-Yr2-2025'!$D$107:$D$122,
            'Wedgewood Pharm-GA-Yr2-2025'!$E$107:$L$122, 0, 0),
        0, 0),
    _xlfn.XLOOKUP(G2038, 'Wedgewood Pharm-GA-Yr2-2025'!$E$106:$L$106,
        _xlfn.XLOOKUP('Rate Load'!L2038, 'Wedgewood Pharm-GA-Yr2-2025'!$D$107:$D$122,
            'Wedgewood Pharm-GA-Yr2-2025'!$E$107:$L$122, 0, 0),
        0, 0)
)</f>
        <v>5.4399999999999995</v>
      </c>
      <c r="K2038" t="s">
        <v>46</v>
      </c>
      <c r="L2038" t="s">
        <v>13</v>
      </c>
      <c r="M2038">
        <v>3</v>
      </c>
      <c r="N2038" t="str">
        <f t="shared" si="31"/>
        <v>INSERT INTO TNL_RATING.dbo.usps_rate_master VALUES ('USPS', '2/13/2025', '2/13/2026', 12659, 'US', 'USPS Ground Advantage', 5, 15, 'O', 5.44, 'Wedgewood_USPS_2025', 'NonCubic','3');</v>
      </c>
    </row>
    <row r="2039" spans="1:14" x14ac:dyDescent="0.3">
      <c r="A2039" t="s">
        <v>11</v>
      </c>
      <c r="B2039" s="1" t="s">
        <v>43</v>
      </c>
      <c r="C2039" s="1" t="s">
        <v>44</v>
      </c>
      <c r="D2039">
        <v>12659</v>
      </c>
      <c r="E2039" t="s">
        <v>12</v>
      </c>
      <c r="F2039" t="s">
        <v>51</v>
      </c>
      <c r="G2039">
        <v>5</v>
      </c>
      <c r="H2039">
        <v>15.999000000000001</v>
      </c>
      <c r="I2039" t="s">
        <v>52</v>
      </c>
      <c r="J2039" cm="1">
        <f t="array" ref="J2039">IFERROR(
    _xlfn.XLOOKUP(G2039, 'Wedgewood Pharm-GA-Yr2-2025'!$E$106:$L$106,
        _xlfn.XLOOKUP('Rate Load'!H2039, 'Wedgewood Pharm-GA-Yr2-2025'!$D$107:$D$122,
            'Wedgewood Pharm-GA-Yr2-2025'!$E$107:$L$122, 0, 0),
        0, 0),
    _xlfn.XLOOKUP(G2039, 'Wedgewood Pharm-GA-Yr2-2025'!$E$106:$L$106,
        _xlfn.XLOOKUP('Rate Load'!L2039, 'Wedgewood Pharm-GA-Yr2-2025'!$D$107:$D$122,
            'Wedgewood Pharm-GA-Yr2-2025'!$E$107:$L$122, 0, 0),
        0, 0)
)</f>
        <v>5.4399999999999995</v>
      </c>
      <c r="K2039" t="s">
        <v>46</v>
      </c>
      <c r="L2039" t="s">
        <v>13</v>
      </c>
      <c r="M2039">
        <v>3</v>
      </c>
      <c r="N2039" t="str">
        <f t="shared" si="31"/>
        <v>INSERT INTO TNL_RATING.dbo.usps_rate_master VALUES ('USPS', '2/13/2025', '2/13/2026', 12659, 'US', 'USPS Ground Advantage', 5, 15.999, 'O', 5.44, 'Wedgewood_USPS_2025', 'NonCubic','3');</v>
      </c>
    </row>
    <row r="2040" spans="1:14" x14ac:dyDescent="0.3">
      <c r="A2040" t="s">
        <v>11</v>
      </c>
      <c r="B2040" s="1" t="s">
        <v>43</v>
      </c>
      <c r="C2040" s="1" t="s">
        <v>44</v>
      </c>
      <c r="D2040">
        <v>12659</v>
      </c>
      <c r="E2040" t="s">
        <v>12</v>
      </c>
      <c r="F2040" t="s">
        <v>51</v>
      </c>
      <c r="G2040">
        <v>6</v>
      </c>
      <c r="H2040">
        <v>1</v>
      </c>
      <c r="I2040" t="s">
        <v>52</v>
      </c>
      <c r="J2040" cm="1">
        <f t="array" ref="J2040">IFERROR(
    _xlfn.XLOOKUP(G2040, 'Wedgewood Pharm-GA-Yr2-2025'!$E$106:$L$106,
        _xlfn.XLOOKUP('Rate Load'!H2040, 'Wedgewood Pharm-GA-Yr2-2025'!$D$107:$D$122,
            'Wedgewood Pharm-GA-Yr2-2025'!$E$107:$L$122, 0, 0),
        0, 0),
    _xlfn.XLOOKUP(G2040, 'Wedgewood Pharm-GA-Yr2-2025'!$E$106:$L$106,
        _xlfn.XLOOKUP('Rate Load'!L2040, 'Wedgewood Pharm-GA-Yr2-2025'!$D$107:$D$122,
            'Wedgewood Pharm-GA-Yr2-2025'!$E$107:$L$122, 0, 0),
        0, 0)
)</f>
        <v>3.51</v>
      </c>
      <c r="K2040" t="s">
        <v>46</v>
      </c>
      <c r="L2040" t="s">
        <v>13</v>
      </c>
      <c r="M2040">
        <v>3</v>
      </c>
      <c r="N2040" t="str">
        <f t="shared" si="31"/>
        <v>INSERT INTO TNL_RATING.dbo.usps_rate_master VALUES ('USPS', '2/13/2025', '2/13/2026', 12659, 'US', 'USPS Ground Advantage', 6, 1, 'O', 3.51, 'Wedgewood_USPS_2025', 'NonCubic','3');</v>
      </c>
    </row>
    <row r="2041" spans="1:14" x14ac:dyDescent="0.3">
      <c r="A2041" t="s">
        <v>11</v>
      </c>
      <c r="B2041" s="1" t="s">
        <v>43</v>
      </c>
      <c r="C2041" s="1" t="s">
        <v>44</v>
      </c>
      <c r="D2041">
        <v>12659</v>
      </c>
      <c r="E2041" t="s">
        <v>12</v>
      </c>
      <c r="F2041" t="s">
        <v>51</v>
      </c>
      <c r="G2041">
        <v>6</v>
      </c>
      <c r="H2041">
        <v>2</v>
      </c>
      <c r="I2041" t="s">
        <v>52</v>
      </c>
      <c r="J2041" cm="1">
        <f t="array" ref="J2041">IFERROR(
    _xlfn.XLOOKUP(G2041, 'Wedgewood Pharm-GA-Yr2-2025'!$E$106:$L$106,
        _xlfn.XLOOKUP('Rate Load'!H2041, 'Wedgewood Pharm-GA-Yr2-2025'!$D$107:$D$122,
            'Wedgewood Pharm-GA-Yr2-2025'!$E$107:$L$122, 0, 0),
        0, 0),
    _xlfn.XLOOKUP(G2041, 'Wedgewood Pharm-GA-Yr2-2025'!$E$106:$L$106,
        _xlfn.XLOOKUP('Rate Load'!L2041, 'Wedgewood Pharm-GA-Yr2-2025'!$D$107:$D$122,
            'Wedgewood Pharm-GA-Yr2-2025'!$E$107:$L$122, 0, 0),
        0, 0)
)</f>
        <v>3.51</v>
      </c>
      <c r="K2041" t="s">
        <v>46</v>
      </c>
      <c r="L2041" t="s">
        <v>13</v>
      </c>
      <c r="M2041">
        <v>3</v>
      </c>
      <c r="N2041" t="str">
        <f t="shared" si="31"/>
        <v>INSERT INTO TNL_RATING.dbo.usps_rate_master VALUES ('USPS', '2/13/2025', '2/13/2026', 12659, 'US', 'USPS Ground Advantage', 6, 2, 'O', 3.51, 'Wedgewood_USPS_2025', 'NonCubic','3');</v>
      </c>
    </row>
    <row r="2042" spans="1:14" x14ac:dyDescent="0.3">
      <c r="A2042" t="s">
        <v>11</v>
      </c>
      <c r="B2042" s="1" t="s">
        <v>43</v>
      </c>
      <c r="C2042" s="1" t="s">
        <v>44</v>
      </c>
      <c r="D2042">
        <v>12659</v>
      </c>
      <c r="E2042" t="s">
        <v>12</v>
      </c>
      <c r="F2042" t="s">
        <v>51</v>
      </c>
      <c r="G2042">
        <v>6</v>
      </c>
      <c r="H2042">
        <v>3</v>
      </c>
      <c r="I2042" t="s">
        <v>52</v>
      </c>
      <c r="J2042" cm="1">
        <f t="array" ref="J2042">IFERROR(
    _xlfn.XLOOKUP(G2042, 'Wedgewood Pharm-GA-Yr2-2025'!$E$106:$L$106,
        _xlfn.XLOOKUP('Rate Load'!H2042, 'Wedgewood Pharm-GA-Yr2-2025'!$D$107:$D$122,
            'Wedgewood Pharm-GA-Yr2-2025'!$E$107:$L$122, 0, 0),
        0, 0),
    _xlfn.XLOOKUP(G2042, 'Wedgewood Pharm-GA-Yr2-2025'!$E$106:$L$106,
        _xlfn.XLOOKUP('Rate Load'!L2042, 'Wedgewood Pharm-GA-Yr2-2025'!$D$107:$D$122,
            'Wedgewood Pharm-GA-Yr2-2025'!$E$107:$L$122, 0, 0),
        0, 0)
)</f>
        <v>3.51</v>
      </c>
      <c r="K2042" t="s">
        <v>46</v>
      </c>
      <c r="L2042" t="s">
        <v>13</v>
      </c>
      <c r="M2042">
        <v>3</v>
      </c>
      <c r="N2042" t="str">
        <f t="shared" si="31"/>
        <v>INSERT INTO TNL_RATING.dbo.usps_rate_master VALUES ('USPS', '2/13/2025', '2/13/2026', 12659, 'US', 'USPS Ground Advantage', 6, 3, 'O', 3.51, 'Wedgewood_USPS_2025', 'NonCubic','3');</v>
      </c>
    </row>
    <row r="2043" spans="1:14" x14ac:dyDescent="0.3">
      <c r="A2043" t="s">
        <v>11</v>
      </c>
      <c r="B2043" s="1" t="s">
        <v>43</v>
      </c>
      <c r="C2043" s="1" t="s">
        <v>44</v>
      </c>
      <c r="D2043">
        <v>12659</v>
      </c>
      <c r="E2043" t="s">
        <v>12</v>
      </c>
      <c r="F2043" t="s">
        <v>51</v>
      </c>
      <c r="G2043">
        <v>6</v>
      </c>
      <c r="H2043">
        <v>4</v>
      </c>
      <c r="I2043" t="s">
        <v>52</v>
      </c>
      <c r="J2043" cm="1">
        <f t="array" ref="J2043">IFERROR(
    _xlfn.XLOOKUP(G2043, 'Wedgewood Pharm-GA-Yr2-2025'!$E$106:$L$106,
        _xlfn.XLOOKUP('Rate Load'!H2043, 'Wedgewood Pharm-GA-Yr2-2025'!$D$107:$D$122,
            'Wedgewood Pharm-GA-Yr2-2025'!$E$107:$L$122, 0, 0),
        0, 0),
    _xlfn.XLOOKUP(G2043, 'Wedgewood Pharm-GA-Yr2-2025'!$E$106:$L$106,
        _xlfn.XLOOKUP('Rate Load'!L2043, 'Wedgewood Pharm-GA-Yr2-2025'!$D$107:$D$122,
            'Wedgewood Pharm-GA-Yr2-2025'!$E$107:$L$122, 0, 0),
        0, 0)
)</f>
        <v>3.51</v>
      </c>
      <c r="K2043" t="s">
        <v>46</v>
      </c>
      <c r="L2043" t="s">
        <v>13</v>
      </c>
      <c r="M2043">
        <v>3</v>
      </c>
      <c r="N2043" t="str">
        <f t="shared" si="31"/>
        <v>INSERT INTO TNL_RATING.dbo.usps_rate_master VALUES ('USPS', '2/13/2025', '2/13/2026', 12659, 'US', 'USPS Ground Advantage', 6, 4, 'O', 3.51, 'Wedgewood_USPS_2025', 'NonCubic','3');</v>
      </c>
    </row>
    <row r="2044" spans="1:14" x14ac:dyDescent="0.3">
      <c r="A2044" t="s">
        <v>11</v>
      </c>
      <c r="B2044" s="1" t="s">
        <v>43</v>
      </c>
      <c r="C2044" s="1" t="s">
        <v>44</v>
      </c>
      <c r="D2044">
        <v>12659</v>
      </c>
      <c r="E2044" t="s">
        <v>12</v>
      </c>
      <c r="F2044" t="s">
        <v>51</v>
      </c>
      <c r="G2044">
        <v>6</v>
      </c>
      <c r="H2044">
        <v>5</v>
      </c>
      <c r="I2044" t="s">
        <v>52</v>
      </c>
      <c r="J2044" cm="1">
        <f t="array" ref="J2044">IFERROR(
    _xlfn.XLOOKUP(G2044, 'Wedgewood Pharm-GA-Yr2-2025'!$E$106:$L$106,
        _xlfn.XLOOKUP('Rate Load'!H2044, 'Wedgewood Pharm-GA-Yr2-2025'!$D$107:$D$122,
            'Wedgewood Pharm-GA-Yr2-2025'!$E$107:$L$122, 0, 0),
        0, 0),
    _xlfn.XLOOKUP(G2044, 'Wedgewood Pharm-GA-Yr2-2025'!$E$106:$L$106,
        _xlfn.XLOOKUP('Rate Load'!L2044, 'Wedgewood Pharm-GA-Yr2-2025'!$D$107:$D$122,
            'Wedgewood Pharm-GA-Yr2-2025'!$E$107:$L$122, 0, 0),
        0, 0)
)</f>
        <v>4.34</v>
      </c>
      <c r="K2044" t="s">
        <v>46</v>
      </c>
      <c r="L2044" t="s">
        <v>13</v>
      </c>
      <c r="M2044">
        <v>3</v>
      </c>
      <c r="N2044" t="str">
        <f t="shared" si="31"/>
        <v>INSERT INTO TNL_RATING.dbo.usps_rate_master VALUES ('USPS', '2/13/2025', '2/13/2026', 12659, 'US', 'USPS Ground Advantage', 6, 5, 'O', 4.34, 'Wedgewood_USPS_2025', 'NonCubic','3');</v>
      </c>
    </row>
    <row r="2045" spans="1:14" x14ac:dyDescent="0.3">
      <c r="A2045" t="s">
        <v>11</v>
      </c>
      <c r="B2045" s="1" t="s">
        <v>43</v>
      </c>
      <c r="C2045" s="1" t="s">
        <v>44</v>
      </c>
      <c r="D2045">
        <v>12659</v>
      </c>
      <c r="E2045" t="s">
        <v>12</v>
      </c>
      <c r="F2045" t="s">
        <v>51</v>
      </c>
      <c r="G2045">
        <v>6</v>
      </c>
      <c r="H2045">
        <v>6</v>
      </c>
      <c r="I2045" t="s">
        <v>52</v>
      </c>
      <c r="J2045" cm="1">
        <f t="array" ref="J2045">IFERROR(
    _xlfn.XLOOKUP(G2045, 'Wedgewood Pharm-GA-Yr2-2025'!$E$106:$L$106,
        _xlfn.XLOOKUP('Rate Load'!H2045, 'Wedgewood Pharm-GA-Yr2-2025'!$D$107:$D$122,
            'Wedgewood Pharm-GA-Yr2-2025'!$E$107:$L$122, 0, 0),
        0, 0),
    _xlfn.XLOOKUP(G2045, 'Wedgewood Pharm-GA-Yr2-2025'!$E$106:$L$106,
        _xlfn.XLOOKUP('Rate Load'!L2045, 'Wedgewood Pharm-GA-Yr2-2025'!$D$107:$D$122,
            'Wedgewood Pharm-GA-Yr2-2025'!$E$107:$L$122, 0, 0),
        0, 0)
)</f>
        <v>4.34</v>
      </c>
      <c r="K2045" t="s">
        <v>46</v>
      </c>
      <c r="L2045" t="s">
        <v>13</v>
      </c>
      <c r="M2045">
        <v>3</v>
      </c>
      <c r="N2045" t="str">
        <f t="shared" si="31"/>
        <v>INSERT INTO TNL_RATING.dbo.usps_rate_master VALUES ('USPS', '2/13/2025', '2/13/2026', 12659, 'US', 'USPS Ground Advantage', 6, 6, 'O', 4.34, 'Wedgewood_USPS_2025', 'NonCubic','3');</v>
      </c>
    </row>
    <row r="2046" spans="1:14" x14ac:dyDescent="0.3">
      <c r="A2046" t="s">
        <v>11</v>
      </c>
      <c r="B2046" s="1" t="s">
        <v>43</v>
      </c>
      <c r="C2046" s="1" t="s">
        <v>44</v>
      </c>
      <c r="D2046">
        <v>12659</v>
      </c>
      <c r="E2046" t="s">
        <v>12</v>
      </c>
      <c r="F2046" t="s">
        <v>51</v>
      </c>
      <c r="G2046">
        <v>6</v>
      </c>
      <c r="H2046">
        <v>7</v>
      </c>
      <c r="I2046" t="s">
        <v>52</v>
      </c>
      <c r="J2046" cm="1">
        <f t="array" ref="J2046">IFERROR(
    _xlfn.XLOOKUP(G2046, 'Wedgewood Pharm-GA-Yr2-2025'!$E$106:$L$106,
        _xlfn.XLOOKUP('Rate Load'!H2046, 'Wedgewood Pharm-GA-Yr2-2025'!$D$107:$D$122,
            'Wedgewood Pharm-GA-Yr2-2025'!$E$107:$L$122, 0, 0),
        0, 0),
    _xlfn.XLOOKUP(G2046, 'Wedgewood Pharm-GA-Yr2-2025'!$E$106:$L$106,
        _xlfn.XLOOKUP('Rate Load'!L2046, 'Wedgewood Pharm-GA-Yr2-2025'!$D$107:$D$122,
            'Wedgewood Pharm-GA-Yr2-2025'!$E$107:$L$122, 0, 0),
        0, 0)
)</f>
        <v>4.34</v>
      </c>
      <c r="K2046" t="s">
        <v>46</v>
      </c>
      <c r="L2046" t="s">
        <v>13</v>
      </c>
      <c r="M2046">
        <v>3</v>
      </c>
      <c r="N2046" t="str">
        <f t="shared" si="31"/>
        <v>INSERT INTO TNL_RATING.dbo.usps_rate_master VALUES ('USPS', '2/13/2025', '2/13/2026', 12659, 'US', 'USPS Ground Advantage', 6, 7, 'O', 4.34, 'Wedgewood_USPS_2025', 'NonCubic','3');</v>
      </c>
    </row>
    <row r="2047" spans="1:14" x14ac:dyDescent="0.3">
      <c r="A2047" t="s">
        <v>11</v>
      </c>
      <c r="B2047" s="1" t="s">
        <v>43</v>
      </c>
      <c r="C2047" s="1" t="s">
        <v>44</v>
      </c>
      <c r="D2047">
        <v>12659</v>
      </c>
      <c r="E2047" t="s">
        <v>12</v>
      </c>
      <c r="F2047" t="s">
        <v>51</v>
      </c>
      <c r="G2047">
        <v>6</v>
      </c>
      <c r="H2047">
        <v>8</v>
      </c>
      <c r="I2047" t="s">
        <v>52</v>
      </c>
      <c r="J2047" cm="1">
        <f t="array" ref="J2047">IFERROR(
    _xlfn.XLOOKUP(G2047, 'Wedgewood Pharm-GA-Yr2-2025'!$E$106:$L$106,
        _xlfn.XLOOKUP('Rate Load'!H2047, 'Wedgewood Pharm-GA-Yr2-2025'!$D$107:$D$122,
            'Wedgewood Pharm-GA-Yr2-2025'!$E$107:$L$122, 0, 0),
        0, 0),
    _xlfn.XLOOKUP(G2047, 'Wedgewood Pharm-GA-Yr2-2025'!$E$106:$L$106,
        _xlfn.XLOOKUP('Rate Load'!L2047, 'Wedgewood Pharm-GA-Yr2-2025'!$D$107:$D$122,
            'Wedgewood Pharm-GA-Yr2-2025'!$E$107:$L$122, 0, 0),
        0, 0)
)</f>
        <v>4.34</v>
      </c>
      <c r="K2047" t="s">
        <v>46</v>
      </c>
      <c r="L2047" t="s">
        <v>13</v>
      </c>
      <c r="M2047">
        <v>3</v>
      </c>
      <c r="N2047" t="str">
        <f t="shared" si="31"/>
        <v>INSERT INTO TNL_RATING.dbo.usps_rate_master VALUES ('USPS', '2/13/2025', '2/13/2026', 12659, 'US', 'USPS Ground Advantage', 6, 8, 'O', 4.34, 'Wedgewood_USPS_2025', 'NonCubic','3');</v>
      </c>
    </row>
    <row r="2048" spans="1:14" x14ac:dyDescent="0.3">
      <c r="A2048" t="s">
        <v>11</v>
      </c>
      <c r="B2048" s="1" t="s">
        <v>43</v>
      </c>
      <c r="C2048" s="1" t="s">
        <v>44</v>
      </c>
      <c r="D2048">
        <v>12659</v>
      </c>
      <c r="E2048" t="s">
        <v>12</v>
      </c>
      <c r="F2048" t="s">
        <v>51</v>
      </c>
      <c r="G2048">
        <v>6</v>
      </c>
      <c r="H2048">
        <v>9</v>
      </c>
      <c r="I2048" t="s">
        <v>52</v>
      </c>
      <c r="J2048" cm="1">
        <f t="array" ref="J2048">IFERROR(
    _xlfn.XLOOKUP(G2048, 'Wedgewood Pharm-GA-Yr2-2025'!$E$106:$L$106,
        _xlfn.XLOOKUP('Rate Load'!H2048, 'Wedgewood Pharm-GA-Yr2-2025'!$D$107:$D$122,
            'Wedgewood Pharm-GA-Yr2-2025'!$E$107:$L$122, 0, 0),
        0, 0),
    _xlfn.XLOOKUP(G2048, 'Wedgewood Pharm-GA-Yr2-2025'!$E$106:$L$106,
        _xlfn.XLOOKUP('Rate Load'!L2048, 'Wedgewood Pharm-GA-Yr2-2025'!$D$107:$D$122,
            'Wedgewood Pharm-GA-Yr2-2025'!$E$107:$L$122, 0, 0),
        0, 0)
)</f>
        <v>5.01</v>
      </c>
      <c r="K2048" t="s">
        <v>46</v>
      </c>
      <c r="L2048" t="s">
        <v>13</v>
      </c>
      <c r="M2048">
        <v>3</v>
      </c>
      <c r="N2048" t="str">
        <f t="shared" si="31"/>
        <v>INSERT INTO TNL_RATING.dbo.usps_rate_master VALUES ('USPS', '2/13/2025', '2/13/2026', 12659, 'US', 'USPS Ground Advantage', 6, 9, 'O', 5.01, 'Wedgewood_USPS_2025', 'NonCubic','3');</v>
      </c>
    </row>
    <row r="2049" spans="1:14" x14ac:dyDescent="0.3">
      <c r="A2049" t="s">
        <v>11</v>
      </c>
      <c r="B2049" s="1" t="s">
        <v>43</v>
      </c>
      <c r="C2049" s="1" t="s">
        <v>44</v>
      </c>
      <c r="D2049">
        <v>12659</v>
      </c>
      <c r="E2049" t="s">
        <v>12</v>
      </c>
      <c r="F2049" t="s">
        <v>51</v>
      </c>
      <c r="G2049">
        <v>6</v>
      </c>
      <c r="H2049">
        <v>10</v>
      </c>
      <c r="I2049" t="s">
        <v>52</v>
      </c>
      <c r="J2049" cm="1">
        <f t="array" ref="J2049">IFERROR(
    _xlfn.XLOOKUP(G2049, 'Wedgewood Pharm-GA-Yr2-2025'!$E$106:$L$106,
        _xlfn.XLOOKUP('Rate Load'!H2049, 'Wedgewood Pharm-GA-Yr2-2025'!$D$107:$D$122,
            'Wedgewood Pharm-GA-Yr2-2025'!$E$107:$L$122, 0, 0),
        0, 0),
    _xlfn.XLOOKUP(G2049, 'Wedgewood Pharm-GA-Yr2-2025'!$E$106:$L$106,
        _xlfn.XLOOKUP('Rate Load'!L2049, 'Wedgewood Pharm-GA-Yr2-2025'!$D$107:$D$122,
            'Wedgewood Pharm-GA-Yr2-2025'!$E$107:$L$122, 0, 0),
        0, 0)
)</f>
        <v>5.01</v>
      </c>
      <c r="K2049" t="s">
        <v>46</v>
      </c>
      <c r="L2049" t="s">
        <v>13</v>
      </c>
      <c r="M2049">
        <v>3</v>
      </c>
      <c r="N2049" t="str">
        <f t="shared" si="31"/>
        <v>INSERT INTO TNL_RATING.dbo.usps_rate_master VALUES ('USPS', '2/13/2025', '2/13/2026', 12659, 'US', 'USPS Ground Advantage', 6, 10, 'O', 5.01, 'Wedgewood_USPS_2025', 'NonCubic','3');</v>
      </c>
    </row>
    <row r="2050" spans="1:14" x14ac:dyDescent="0.3">
      <c r="A2050" t="s">
        <v>11</v>
      </c>
      <c r="B2050" s="1" t="s">
        <v>43</v>
      </c>
      <c r="C2050" s="1" t="s">
        <v>44</v>
      </c>
      <c r="D2050">
        <v>12659</v>
      </c>
      <c r="E2050" t="s">
        <v>12</v>
      </c>
      <c r="F2050" t="s">
        <v>51</v>
      </c>
      <c r="G2050">
        <v>6</v>
      </c>
      <c r="H2050">
        <v>11</v>
      </c>
      <c r="I2050" t="s">
        <v>52</v>
      </c>
      <c r="J2050" cm="1">
        <f t="array" ref="J2050">IFERROR(
    _xlfn.XLOOKUP(G2050, 'Wedgewood Pharm-GA-Yr2-2025'!$E$106:$L$106,
        _xlfn.XLOOKUP('Rate Load'!H2050, 'Wedgewood Pharm-GA-Yr2-2025'!$D$107:$D$122,
            'Wedgewood Pharm-GA-Yr2-2025'!$E$107:$L$122, 0, 0),
        0, 0),
    _xlfn.XLOOKUP(G2050, 'Wedgewood Pharm-GA-Yr2-2025'!$E$106:$L$106,
        _xlfn.XLOOKUP('Rate Load'!L2050, 'Wedgewood Pharm-GA-Yr2-2025'!$D$107:$D$122,
            'Wedgewood Pharm-GA-Yr2-2025'!$E$107:$L$122, 0, 0),
        0, 0)
)</f>
        <v>5.01</v>
      </c>
      <c r="K2050" t="s">
        <v>46</v>
      </c>
      <c r="L2050" t="s">
        <v>13</v>
      </c>
      <c r="M2050">
        <v>3</v>
      </c>
      <c r="N2050" t="str">
        <f t="shared" si="31"/>
        <v>INSERT INTO TNL_RATING.dbo.usps_rate_master VALUES ('USPS', '2/13/2025', '2/13/2026', 12659, 'US', 'USPS Ground Advantage', 6, 11, 'O', 5.01, 'Wedgewood_USPS_2025', 'NonCubic','3');</v>
      </c>
    </row>
    <row r="2051" spans="1:14" x14ac:dyDescent="0.3">
      <c r="A2051" t="s">
        <v>11</v>
      </c>
      <c r="B2051" s="1" t="s">
        <v>43</v>
      </c>
      <c r="C2051" s="1" t="s">
        <v>44</v>
      </c>
      <c r="D2051">
        <v>12659</v>
      </c>
      <c r="E2051" t="s">
        <v>12</v>
      </c>
      <c r="F2051" t="s">
        <v>51</v>
      </c>
      <c r="G2051">
        <v>6</v>
      </c>
      <c r="H2051">
        <v>12</v>
      </c>
      <c r="I2051" t="s">
        <v>52</v>
      </c>
      <c r="J2051" cm="1">
        <f t="array" ref="J2051">IFERROR(
    _xlfn.XLOOKUP(G2051, 'Wedgewood Pharm-GA-Yr2-2025'!$E$106:$L$106,
        _xlfn.XLOOKUP('Rate Load'!H2051, 'Wedgewood Pharm-GA-Yr2-2025'!$D$107:$D$122,
            'Wedgewood Pharm-GA-Yr2-2025'!$E$107:$L$122, 0, 0),
        0, 0),
    _xlfn.XLOOKUP(G2051, 'Wedgewood Pharm-GA-Yr2-2025'!$E$106:$L$106,
        _xlfn.XLOOKUP('Rate Load'!L2051, 'Wedgewood Pharm-GA-Yr2-2025'!$D$107:$D$122,
            'Wedgewood Pharm-GA-Yr2-2025'!$E$107:$L$122, 0, 0),
        0, 0)
)</f>
        <v>5.01</v>
      </c>
      <c r="K2051" t="s">
        <v>46</v>
      </c>
      <c r="L2051" t="s">
        <v>13</v>
      </c>
      <c r="M2051">
        <v>3</v>
      </c>
      <c r="N2051" t="str">
        <f t="shared" ref="N2051:N2086" si="32">"INSERT INTO TNL_RATING.dbo.usps_rate_master VALUES ('" &amp; A2051 &amp; "', '" &amp; B2051 &amp; "', '" &amp; C2051 &amp; "', " &amp; D2051 &amp; ", '" &amp; E2051 &amp; "', '" &amp; F2051 &amp; "', " &amp; G2051 &amp; ", " &amp; H2051 &amp; ", '" &amp; I2051 &amp; "', " &amp; J2051 &amp; ", '" &amp; K2051 &amp; "', '" &amp; L2051 &amp; "','" &amp; M2051 &amp; "');"</f>
        <v>INSERT INTO TNL_RATING.dbo.usps_rate_master VALUES ('USPS', '2/13/2025', '2/13/2026', 12659, 'US', 'USPS Ground Advantage', 6, 12, 'O', 5.01, 'Wedgewood_USPS_2025', 'NonCubic','3');</v>
      </c>
    </row>
    <row r="2052" spans="1:14" x14ac:dyDescent="0.3">
      <c r="A2052" t="s">
        <v>11</v>
      </c>
      <c r="B2052" s="1" t="s">
        <v>43</v>
      </c>
      <c r="C2052" s="1" t="s">
        <v>44</v>
      </c>
      <c r="D2052">
        <v>12659</v>
      </c>
      <c r="E2052" t="s">
        <v>12</v>
      </c>
      <c r="F2052" t="s">
        <v>51</v>
      </c>
      <c r="G2052">
        <v>6</v>
      </c>
      <c r="H2052">
        <v>13</v>
      </c>
      <c r="I2052" t="s">
        <v>52</v>
      </c>
      <c r="J2052" cm="1">
        <f t="array" ref="J2052">IFERROR(
    _xlfn.XLOOKUP(G2052, 'Wedgewood Pharm-GA-Yr2-2025'!$E$106:$L$106,
        _xlfn.XLOOKUP('Rate Load'!H2052, 'Wedgewood Pharm-GA-Yr2-2025'!$D$107:$D$122,
            'Wedgewood Pharm-GA-Yr2-2025'!$E$107:$L$122, 0, 0),
        0, 0),
    _xlfn.XLOOKUP(G2052, 'Wedgewood Pharm-GA-Yr2-2025'!$E$106:$L$106,
        _xlfn.XLOOKUP('Rate Load'!L2052, 'Wedgewood Pharm-GA-Yr2-2025'!$D$107:$D$122,
            'Wedgewood Pharm-GA-Yr2-2025'!$E$107:$L$122, 0, 0),
        0, 0)
)</f>
        <v>5.64</v>
      </c>
      <c r="K2052" t="s">
        <v>46</v>
      </c>
      <c r="L2052" t="s">
        <v>13</v>
      </c>
      <c r="M2052">
        <v>3</v>
      </c>
      <c r="N2052" t="str">
        <f t="shared" si="32"/>
        <v>INSERT INTO TNL_RATING.dbo.usps_rate_master VALUES ('USPS', '2/13/2025', '2/13/2026', 12659, 'US', 'USPS Ground Advantage', 6, 13, 'O', 5.64, 'Wedgewood_USPS_2025', 'NonCubic','3');</v>
      </c>
    </row>
    <row r="2053" spans="1:14" x14ac:dyDescent="0.3">
      <c r="A2053" t="s">
        <v>11</v>
      </c>
      <c r="B2053" s="1" t="s">
        <v>43</v>
      </c>
      <c r="C2053" s="1" t="s">
        <v>44</v>
      </c>
      <c r="D2053">
        <v>12659</v>
      </c>
      <c r="E2053" t="s">
        <v>12</v>
      </c>
      <c r="F2053" t="s">
        <v>51</v>
      </c>
      <c r="G2053">
        <v>6</v>
      </c>
      <c r="H2053">
        <v>14</v>
      </c>
      <c r="I2053" t="s">
        <v>52</v>
      </c>
      <c r="J2053" cm="1">
        <f t="array" ref="J2053">IFERROR(
    _xlfn.XLOOKUP(G2053, 'Wedgewood Pharm-GA-Yr2-2025'!$E$106:$L$106,
        _xlfn.XLOOKUP('Rate Load'!H2053, 'Wedgewood Pharm-GA-Yr2-2025'!$D$107:$D$122,
            'Wedgewood Pharm-GA-Yr2-2025'!$E$107:$L$122, 0, 0),
        0, 0),
    _xlfn.XLOOKUP(G2053, 'Wedgewood Pharm-GA-Yr2-2025'!$E$106:$L$106,
        _xlfn.XLOOKUP('Rate Load'!L2053, 'Wedgewood Pharm-GA-Yr2-2025'!$D$107:$D$122,
            'Wedgewood Pharm-GA-Yr2-2025'!$E$107:$L$122, 0, 0),
        0, 0)
)</f>
        <v>5.64</v>
      </c>
      <c r="K2053" t="s">
        <v>46</v>
      </c>
      <c r="L2053" t="s">
        <v>13</v>
      </c>
      <c r="M2053">
        <v>3</v>
      </c>
      <c r="N2053" t="str">
        <f t="shared" si="32"/>
        <v>INSERT INTO TNL_RATING.dbo.usps_rate_master VALUES ('USPS', '2/13/2025', '2/13/2026', 12659, 'US', 'USPS Ground Advantage', 6, 14, 'O', 5.64, 'Wedgewood_USPS_2025', 'NonCubic','3');</v>
      </c>
    </row>
    <row r="2054" spans="1:14" x14ac:dyDescent="0.3">
      <c r="A2054" t="s">
        <v>11</v>
      </c>
      <c r="B2054" s="1" t="s">
        <v>43</v>
      </c>
      <c r="C2054" s="1" t="s">
        <v>44</v>
      </c>
      <c r="D2054">
        <v>12659</v>
      </c>
      <c r="E2054" t="s">
        <v>12</v>
      </c>
      <c r="F2054" t="s">
        <v>51</v>
      </c>
      <c r="G2054">
        <v>6</v>
      </c>
      <c r="H2054">
        <v>15</v>
      </c>
      <c r="I2054" t="s">
        <v>52</v>
      </c>
      <c r="J2054" cm="1">
        <f t="array" ref="J2054">IFERROR(
    _xlfn.XLOOKUP(G2054, 'Wedgewood Pharm-GA-Yr2-2025'!$E$106:$L$106,
        _xlfn.XLOOKUP('Rate Load'!H2054, 'Wedgewood Pharm-GA-Yr2-2025'!$D$107:$D$122,
            'Wedgewood Pharm-GA-Yr2-2025'!$E$107:$L$122, 0, 0),
        0, 0),
    _xlfn.XLOOKUP(G2054, 'Wedgewood Pharm-GA-Yr2-2025'!$E$106:$L$106,
        _xlfn.XLOOKUP('Rate Load'!L2054, 'Wedgewood Pharm-GA-Yr2-2025'!$D$107:$D$122,
            'Wedgewood Pharm-GA-Yr2-2025'!$E$107:$L$122, 0, 0),
        0, 0)
)</f>
        <v>5.64</v>
      </c>
      <c r="K2054" t="s">
        <v>46</v>
      </c>
      <c r="L2054" t="s">
        <v>13</v>
      </c>
      <c r="M2054">
        <v>3</v>
      </c>
      <c r="N2054" t="str">
        <f t="shared" si="32"/>
        <v>INSERT INTO TNL_RATING.dbo.usps_rate_master VALUES ('USPS', '2/13/2025', '2/13/2026', 12659, 'US', 'USPS Ground Advantage', 6, 15, 'O', 5.64, 'Wedgewood_USPS_2025', 'NonCubic','3');</v>
      </c>
    </row>
    <row r="2055" spans="1:14" x14ac:dyDescent="0.3">
      <c r="A2055" t="s">
        <v>11</v>
      </c>
      <c r="B2055" s="1" t="s">
        <v>43</v>
      </c>
      <c r="C2055" s="1" t="s">
        <v>44</v>
      </c>
      <c r="D2055">
        <v>12659</v>
      </c>
      <c r="E2055" t="s">
        <v>12</v>
      </c>
      <c r="F2055" t="s">
        <v>51</v>
      </c>
      <c r="G2055">
        <v>6</v>
      </c>
      <c r="H2055">
        <v>15.999000000000001</v>
      </c>
      <c r="I2055" t="s">
        <v>52</v>
      </c>
      <c r="J2055" cm="1">
        <f t="array" ref="J2055">IFERROR(
    _xlfn.XLOOKUP(G2055, 'Wedgewood Pharm-GA-Yr2-2025'!$E$106:$L$106,
        _xlfn.XLOOKUP('Rate Load'!H2055, 'Wedgewood Pharm-GA-Yr2-2025'!$D$107:$D$122,
            'Wedgewood Pharm-GA-Yr2-2025'!$E$107:$L$122, 0, 0),
        0, 0),
    _xlfn.XLOOKUP(G2055, 'Wedgewood Pharm-GA-Yr2-2025'!$E$106:$L$106,
        _xlfn.XLOOKUP('Rate Load'!L2055, 'Wedgewood Pharm-GA-Yr2-2025'!$D$107:$D$122,
            'Wedgewood Pharm-GA-Yr2-2025'!$E$107:$L$122, 0, 0),
        0, 0)
)</f>
        <v>5.64</v>
      </c>
      <c r="K2055" t="s">
        <v>46</v>
      </c>
      <c r="L2055" t="s">
        <v>13</v>
      </c>
      <c r="M2055">
        <v>3</v>
      </c>
      <c r="N2055" t="str">
        <f t="shared" si="32"/>
        <v>INSERT INTO TNL_RATING.dbo.usps_rate_master VALUES ('USPS', '2/13/2025', '2/13/2026', 12659, 'US', 'USPS Ground Advantage', 6, 15.999, 'O', 5.64, 'Wedgewood_USPS_2025', 'NonCubic','3');</v>
      </c>
    </row>
    <row r="2056" spans="1:14" x14ac:dyDescent="0.3">
      <c r="A2056" t="s">
        <v>11</v>
      </c>
      <c r="B2056" s="1" t="s">
        <v>43</v>
      </c>
      <c r="C2056" s="1" t="s">
        <v>44</v>
      </c>
      <c r="D2056">
        <v>12659</v>
      </c>
      <c r="E2056" t="s">
        <v>12</v>
      </c>
      <c r="F2056" t="s">
        <v>51</v>
      </c>
      <c r="G2056">
        <v>7</v>
      </c>
      <c r="H2056">
        <v>1</v>
      </c>
      <c r="I2056" t="s">
        <v>52</v>
      </c>
      <c r="J2056" cm="1">
        <f t="array" ref="J2056">IFERROR(
    _xlfn.XLOOKUP(G2056, 'Wedgewood Pharm-GA-Yr2-2025'!$E$106:$L$106,
        _xlfn.XLOOKUP('Rate Load'!H2056, 'Wedgewood Pharm-GA-Yr2-2025'!$D$107:$D$122,
            'Wedgewood Pharm-GA-Yr2-2025'!$E$107:$L$122, 0, 0),
        0, 0),
    _xlfn.XLOOKUP(G2056, 'Wedgewood Pharm-GA-Yr2-2025'!$E$106:$L$106,
        _xlfn.XLOOKUP('Rate Load'!L2056, 'Wedgewood Pharm-GA-Yr2-2025'!$D$107:$D$122,
            'Wedgewood Pharm-GA-Yr2-2025'!$E$107:$L$122, 0, 0),
        0, 0)
)</f>
        <v>3.59</v>
      </c>
      <c r="K2056" t="s">
        <v>46</v>
      </c>
      <c r="L2056" t="s">
        <v>13</v>
      </c>
      <c r="M2056">
        <v>3</v>
      </c>
      <c r="N2056" t="str">
        <f t="shared" si="32"/>
        <v>INSERT INTO TNL_RATING.dbo.usps_rate_master VALUES ('USPS', '2/13/2025', '2/13/2026', 12659, 'US', 'USPS Ground Advantage', 7, 1, 'O', 3.59, 'Wedgewood_USPS_2025', 'NonCubic','3');</v>
      </c>
    </row>
    <row r="2057" spans="1:14" x14ac:dyDescent="0.3">
      <c r="A2057" t="s">
        <v>11</v>
      </c>
      <c r="B2057" s="1" t="s">
        <v>43</v>
      </c>
      <c r="C2057" s="1" t="s">
        <v>44</v>
      </c>
      <c r="D2057">
        <v>12659</v>
      </c>
      <c r="E2057" t="s">
        <v>12</v>
      </c>
      <c r="F2057" t="s">
        <v>51</v>
      </c>
      <c r="G2057">
        <v>7</v>
      </c>
      <c r="H2057">
        <v>2</v>
      </c>
      <c r="I2057" t="s">
        <v>52</v>
      </c>
      <c r="J2057" cm="1">
        <f t="array" ref="J2057">IFERROR(
    _xlfn.XLOOKUP(G2057, 'Wedgewood Pharm-GA-Yr2-2025'!$E$106:$L$106,
        _xlfn.XLOOKUP('Rate Load'!H2057, 'Wedgewood Pharm-GA-Yr2-2025'!$D$107:$D$122,
            'Wedgewood Pharm-GA-Yr2-2025'!$E$107:$L$122, 0, 0),
        0, 0),
    _xlfn.XLOOKUP(G2057, 'Wedgewood Pharm-GA-Yr2-2025'!$E$106:$L$106,
        _xlfn.XLOOKUP('Rate Load'!L2057, 'Wedgewood Pharm-GA-Yr2-2025'!$D$107:$D$122,
            'Wedgewood Pharm-GA-Yr2-2025'!$E$107:$L$122, 0, 0),
        0, 0)
)</f>
        <v>3.59</v>
      </c>
      <c r="K2057" t="s">
        <v>46</v>
      </c>
      <c r="L2057" t="s">
        <v>13</v>
      </c>
      <c r="M2057">
        <v>3</v>
      </c>
      <c r="N2057" t="str">
        <f t="shared" si="32"/>
        <v>INSERT INTO TNL_RATING.dbo.usps_rate_master VALUES ('USPS', '2/13/2025', '2/13/2026', 12659, 'US', 'USPS Ground Advantage', 7, 2, 'O', 3.59, 'Wedgewood_USPS_2025', 'NonCubic','3');</v>
      </c>
    </row>
    <row r="2058" spans="1:14" x14ac:dyDescent="0.3">
      <c r="A2058" t="s">
        <v>11</v>
      </c>
      <c r="B2058" s="1" t="s">
        <v>43</v>
      </c>
      <c r="C2058" s="1" t="s">
        <v>44</v>
      </c>
      <c r="D2058">
        <v>12659</v>
      </c>
      <c r="E2058" t="s">
        <v>12</v>
      </c>
      <c r="F2058" t="s">
        <v>51</v>
      </c>
      <c r="G2058">
        <v>7</v>
      </c>
      <c r="H2058">
        <v>3</v>
      </c>
      <c r="I2058" t="s">
        <v>52</v>
      </c>
      <c r="J2058" cm="1">
        <f t="array" ref="J2058">IFERROR(
    _xlfn.XLOOKUP(G2058, 'Wedgewood Pharm-GA-Yr2-2025'!$E$106:$L$106,
        _xlfn.XLOOKUP('Rate Load'!H2058, 'Wedgewood Pharm-GA-Yr2-2025'!$D$107:$D$122,
            'Wedgewood Pharm-GA-Yr2-2025'!$E$107:$L$122, 0, 0),
        0, 0),
    _xlfn.XLOOKUP(G2058, 'Wedgewood Pharm-GA-Yr2-2025'!$E$106:$L$106,
        _xlfn.XLOOKUP('Rate Load'!L2058, 'Wedgewood Pharm-GA-Yr2-2025'!$D$107:$D$122,
            'Wedgewood Pharm-GA-Yr2-2025'!$E$107:$L$122, 0, 0),
        0, 0)
)</f>
        <v>3.59</v>
      </c>
      <c r="K2058" t="s">
        <v>46</v>
      </c>
      <c r="L2058" t="s">
        <v>13</v>
      </c>
      <c r="M2058">
        <v>3</v>
      </c>
      <c r="N2058" t="str">
        <f t="shared" si="32"/>
        <v>INSERT INTO TNL_RATING.dbo.usps_rate_master VALUES ('USPS', '2/13/2025', '2/13/2026', 12659, 'US', 'USPS Ground Advantage', 7, 3, 'O', 3.59, 'Wedgewood_USPS_2025', 'NonCubic','3');</v>
      </c>
    </row>
    <row r="2059" spans="1:14" x14ac:dyDescent="0.3">
      <c r="A2059" t="s">
        <v>11</v>
      </c>
      <c r="B2059" s="1" t="s">
        <v>43</v>
      </c>
      <c r="C2059" s="1" t="s">
        <v>44</v>
      </c>
      <c r="D2059">
        <v>12659</v>
      </c>
      <c r="E2059" t="s">
        <v>12</v>
      </c>
      <c r="F2059" t="s">
        <v>51</v>
      </c>
      <c r="G2059">
        <v>7</v>
      </c>
      <c r="H2059">
        <v>4</v>
      </c>
      <c r="I2059" t="s">
        <v>52</v>
      </c>
      <c r="J2059" cm="1">
        <f t="array" ref="J2059">IFERROR(
    _xlfn.XLOOKUP(G2059, 'Wedgewood Pharm-GA-Yr2-2025'!$E$106:$L$106,
        _xlfn.XLOOKUP('Rate Load'!H2059, 'Wedgewood Pharm-GA-Yr2-2025'!$D$107:$D$122,
            'Wedgewood Pharm-GA-Yr2-2025'!$E$107:$L$122, 0, 0),
        0, 0),
    _xlfn.XLOOKUP(G2059, 'Wedgewood Pharm-GA-Yr2-2025'!$E$106:$L$106,
        _xlfn.XLOOKUP('Rate Load'!L2059, 'Wedgewood Pharm-GA-Yr2-2025'!$D$107:$D$122,
            'Wedgewood Pharm-GA-Yr2-2025'!$E$107:$L$122, 0, 0),
        0, 0)
)</f>
        <v>3.59</v>
      </c>
      <c r="K2059" t="s">
        <v>46</v>
      </c>
      <c r="L2059" t="s">
        <v>13</v>
      </c>
      <c r="M2059">
        <v>3</v>
      </c>
      <c r="N2059" t="str">
        <f t="shared" si="32"/>
        <v>INSERT INTO TNL_RATING.dbo.usps_rate_master VALUES ('USPS', '2/13/2025', '2/13/2026', 12659, 'US', 'USPS Ground Advantage', 7, 4, 'O', 3.59, 'Wedgewood_USPS_2025', 'NonCubic','3');</v>
      </c>
    </row>
    <row r="2060" spans="1:14" x14ac:dyDescent="0.3">
      <c r="A2060" t="s">
        <v>11</v>
      </c>
      <c r="B2060" s="1" t="s">
        <v>43</v>
      </c>
      <c r="C2060" s="1" t="s">
        <v>44</v>
      </c>
      <c r="D2060">
        <v>12659</v>
      </c>
      <c r="E2060" t="s">
        <v>12</v>
      </c>
      <c r="F2060" t="s">
        <v>51</v>
      </c>
      <c r="G2060">
        <v>7</v>
      </c>
      <c r="H2060">
        <v>5</v>
      </c>
      <c r="I2060" t="s">
        <v>52</v>
      </c>
      <c r="J2060" cm="1">
        <f t="array" ref="J2060">IFERROR(
    _xlfn.XLOOKUP(G2060, 'Wedgewood Pharm-GA-Yr2-2025'!$E$106:$L$106,
        _xlfn.XLOOKUP('Rate Load'!H2060, 'Wedgewood Pharm-GA-Yr2-2025'!$D$107:$D$122,
            'Wedgewood Pharm-GA-Yr2-2025'!$E$107:$L$122, 0, 0),
        0, 0),
    _xlfn.XLOOKUP(G2060, 'Wedgewood Pharm-GA-Yr2-2025'!$E$106:$L$106,
        _xlfn.XLOOKUP('Rate Load'!L2060, 'Wedgewood Pharm-GA-Yr2-2025'!$D$107:$D$122,
            'Wedgewood Pharm-GA-Yr2-2025'!$E$107:$L$122, 0, 0),
        0, 0)
)</f>
        <v>4.41</v>
      </c>
      <c r="K2060" t="s">
        <v>46</v>
      </c>
      <c r="L2060" t="s">
        <v>13</v>
      </c>
      <c r="M2060">
        <v>3</v>
      </c>
      <c r="N2060" t="str">
        <f t="shared" si="32"/>
        <v>INSERT INTO TNL_RATING.dbo.usps_rate_master VALUES ('USPS', '2/13/2025', '2/13/2026', 12659, 'US', 'USPS Ground Advantage', 7, 5, 'O', 4.41, 'Wedgewood_USPS_2025', 'NonCubic','3');</v>
      </c>
    </row>
    <row r="2061" spans="1:14" x14ac:dyDescent="0.3">
      <c r="A2061" t="s">
        <v>11</v>
      </c>
      <c r="B2061" s="1" t="s">
        <v>43</v>
      </c>
      <c r="C2061" s="1" t="s">
        <v>44</v>
      </c>
      <c r="D2061">
        <v>12659</v>
      </c>
      <c r="E2061" t="s">
        <v>12</v>
      </c>
      <c r="F2061" t="s">
        <v>51</v>
      </c>
      <c r="G2061">
        <v>7</v>
      </c>
      <c r="H2061">
        <v>6</v>
      </c>
      <c r="I2061" t="s">
        <v>52</v>
      </c>
      <c r="J2061" cm="1">
        <f t="array" ref="J2061">IFERROR(
    _xlfn.XLOOKUP(G2061, 'Wedgewood Pharm-GA-Yr2-2025'!$E$106:$L$106,
        _xlfn.XLOOKUP('Rate Load'!H2061, 'Wedgewood Pharm-GA-Yr2-2025'!$D$107:$D$122,
            'Wedgewood Pharm-GA-Yr2-2025'!$E$107:$L$122, 0, 0),
        0, 0),
    _xlfn.XLOOKUP(G2061, 'Wedgewood Pharm-GA-Yr2-2025'!$E$106:$L$106,
        _xlfn.XLOOKUP('Rate Load'!L2061, 'Wedgewood Pharm-GA-Yr2-2025'!$D$107:$D$122,
            'Wedgewood Pharm-GA-Yr2-2025'!$E$107:$L$122, 0, 0),
        0, 0)
)</f>
        <v>4.41</v>
      </c>
      <c r="K2061" t="s">
        <v>46</v>
      </c>
      <c r="L2061" t="s">
        <v>13</v>
      </c>
      <c r="M2061">
        <v>3</v>
      </c>
      <c r="N2061" t="str">
        <f t="shared" si="32"/>
        <v>INSERT INTO TNL_RATING.dbo.usps_rate_master VALUES ('USPS', '2/13/2025', '2/13/2026', 12659, 'US', 'USPS Ground Advantage', 7, 6, 'O', 4.41, 'Wedgewood_USPS_2025', 'NonCubic','3');</v>
      </c>
    </row>
    <row r="2062" spans="1:14" x14ac:dyDescent="0.3">
      <c r="A2062" t="s">
        <v>11</v>
      </c>
      <c r="B2062" s="1" t="s">
        <v>43</v>
      </c>
      <c r="C2062" s="1" t="s">
        <v>44</v>
      </c>
      <c r="D2062">
        <v>12659</v>
      </c>
      <c r="E2062" t="s">
        <v>12</v>
      </c>
      <c r="F2062" t="s">
        <v>51</v>
      </c>
      <c r="G2062">
        <v>7</v>
      </c>
      <c r="H2062">
        <v>7</v>
      </c>
      <c r="I2062" t="s">
        <v>52</v>
      </c>
      <c r="J2062" cm="1">
        <f t="array" ref="J2062">IFERROR(
    _xlfn.XLOOKUP(G2062, 'Wedgewood Pharm-GA-Yr2-2025'!$E$106:$L$106,
        _xlfn.XLOOKUP('Rate Load'!H2062, 'Wedgewood Pharm-GA-Yr2-2025'!$D$107:$D$122,
            'Wedgewood Pharm-GA-Yr2-2025'!$E$107:$L$122, 0, 0),
        0, 0),
    _xlfn.XLOOKUP(G2062, 'Wedgewood Pharm-GA-Yr2-2025'!$E$106:$L$106,
        _xlfn.XLOOKUP('Rate Load'!L2062, 'Wedgewood Pharm-GA-Yr2-2025'!$D$107:$D$122,
            'Wedgewood Pharm-GA-Yr2-2025'!$E$107:$L$122, 0, 0),
        0, 0)
)</f>
        <v>4.41</v>
      </c>
      <c r="K2062" t="s">
        <v>46</v>
      </c>
      <c r="L2062" t="s">
        <v>13</v>
      </c>
      <c r="M2062">
        <v>3</v>
      </c>
      <c r="N2062" t="str">
        <f t="shared" si="32"/>
        <v>INSERT INTO TNL_RATING.dbo.usps_rate_master VALUES ('USPS', '2/13/2025', '2/13/2026', 12659, 'US', 'USPS Ground Advantage', 7, 7, 'O', 4.41, 'Wedgewood_USPS_2025', 'NonCubic','3');</v>
      </c>
    </row>
    <row r="2063" spans="1:14" x14ac:dyDescent="0.3">
      <c r="A2063" t="s">
        <v>11</v>
      </c>
      <c r="B2063" s="1" t="s">
        <v>43</v>
      </c>
      <c r="C2063" s="1" t="s">
        <v>44</v>
      </c>
      <c r="D2063">
        <v>12659</v>
      </c>
      <c r="E2063" t="s">
        <v>12</v>
      </c>
      <c r="F2063" t="s">
        <v>51</v>
      </c>
      <c r="G2063">
        <v>7</v>
      </c>
      <c r="H2063">
        <v>8</v>
      </c>
      <c r="I2063" t="s">
        <v>52</v>
      </c>
      <c r="J2063" cm="1">
        <f t="array" ref="J2063">IFERROR(
    _xlfn.XLOOKUP(G2063, 'Wedgewood Pharm-GA-Yr2-2025'!$E$106:$L$106,
        _xlfn.XLOOKUP('Rate Load'!H2063, 'Wedgewood Pharm-GA-Yr2-2025'!$D$107:$D$122,
            'Wedgewood Pharm-GA-Yr2-2025'!$E$107:$L$122, 0, 0),
        0, 0),
    _xlfn.XLOOKUP(G2063, 'Wedgewood Pharm-GA-Yr2-2025'!$E$106:$L$106,
        _xlfn.XLOOKUP('Rate Load'!L2063, 'Wedgewood Pharm-GA-Yr2-2025'!$D$107:$D$122,
            'Wedgewood Pharm-GA-Yr2-2025'!$E$107:$L$122, 0, 0),
        0, 0)
)</f>
        <v>4.41</v>
      </c>
      <c r="K2063" t="s">
        <v>46</v>
      </c>
      <c r="L2063" t="s">
        <v>13</v>
      </c>
      <c r="M2063">
        <v>3</v>
      </c>
      <c r="N2063" t="str">
        <f t="shared" si="32"/>
        <v>INSERT INTO TNL_RATING.dbo.usps_rate_master VALUES ('USPS', '2/13/2025', '2/13/2026', 12659, 'US', 'USPS Ground Advantage', 7, 8, 'O', 4.41, 'Wedgewood_USPS_2025', 'NonCubic','3');</v>
      </c>
    </row>
    <row r="2064" spans="1:14" x14ac:dyDescent="0.3">
      <c r="A2064" t="s">
        <v>11</v>
      </c>
      <c r="B2064" s="1" t="s">
        <v>43</v>
      </c>
      <c r="C2064" s="1" t="s">
        <v>44</v>
      </c>
      <c r="D2064">
        <v>12659</v>
      </c>
      <c r="E2064" t="s">
        <v>12</v>
      </c>
      <c r="F2064" t="s">
        <v>51</v>
      </c>
      <c r="G2064">
        <v>7</v>
      </c>
      <c r="H2064">
        <v>9</v>
      </c>
      <c r="I2064" t="s">
        <v>52</v>
      </c>
      <c r="J2064" cm="1">
        <f t="array" ref="J2064">IFERROR(
    _xlfn.XLOOKUP(G2064, 'Wedgewood Pharm-GA-Yr2-2025'!$E$106:$L$106,
        _xlfn.XLOOKUP('Rate Load'!H2064, 'Wedgewood Pharm-GA-Yr2-2025'!$D$107:$D$122,
            'Wedgewood Pharm-GA-Yr2-2025'!$E$107:$L$122, 0, 0),
        0, 0),
    _xlfn.XLOOKUP(G2064, 'Wedgewood Pharm-GA-Yr2-2025'!$E$106:$L$106,
        _xlfn.XLOOKUP('Rate Load'!L2064, 'Wedgewood Pharm-GA-Yr2-2025'!$D$107:$D$122,
            'Wedgewood Pharm-GA-Yr2-2025'!$E$107:$L$122, 0, 0),
        0, 0)
)</f>
        <v>5.13</v>
      </c>
      <c r="K2064" t="s">
        <v>46</v>
      </c>
      <c r="L2064" t="s">
        <v>13</v>
      </c>
      <c r="M2064">
        <v>3</v>
      </c>
      <c r="N2064" t="str">
        <f t="shared" si="32"/>
        <v>INSERT INTO TNL_RATING.dbo.usps_rate_master VALUES ('USPS', '2/13/2025', '2/13/2026', 12659, 'US', 'USPS Ground Advantage', 7, 9, 'O', 5.13, 'Wedgewood_USPS_2025', 'NonCubic','3');</v>
      </c>
    </row>
    <row r="2065" spans="1:14" x14ac:dyDescent="0.3">
      <c r="A2065" t="s">
        <v>11</v>
      </c>
      <c r="B2065" s="1" t="s">
        <v>43</v>
      </c>
      <c r="C2065" s="1" t="s">
        <v>44</v>
      </c>
      <c r="D2065">
        <v>12659</v>
      </c>
      <c r="E2065" t="s">
        <v>12</v>
      </c>
      <c r="F2065" t="s">
        <v>51</v>
      </c>
      <c r="G2065">
        <v>7</v>
      </c>
      <c r="H2065">
        <v>10</v>
      </c>
      <c r="I2065" t="s">
        <v>52</v>
      </c>
      <c r="J2065" cm="1">
        <f t="array" ref="J2065">IFERROR(
    _xlfn.XLOOKUP(G2065, 'Wedgewood Pharm-GA-Yr2-2025'!$E$106:$L$106,
        _xlfn.XLOOKUP('Rate Load'!H2065, 'Wedgewood Pharm-GA-Yr2-2025'!$D$107:$D$122,
            'Wedgewood Pharm-GA-Yr2-2025'!$E$107:$L$122, 0, 0),
        0, 0),
    _xlfn.XLOOKUP(G2065, 'Wedgewood Pharm-GA-Yr2-2025'!$E$106:$L$106,
        _xlfn.XLOOKUP('Rate Load'!L2065, 'Wedgewood Pharm-GA-Yr2-2025'!$D$107:$D$122,
            'Wedgewood Pharm-GA-Yr2-2025'!$E$107:$L$122, 0, 0),
        0, 0)
)</f>
        <v>5.13</v>
      </c>
      <c r="K2065" t="s">
        <v>46</v>
      </c>
      <c r="L2065" t="s">
        <v>13</v>
      </c>
      <c r="M2065">
        <v>3</v>
      </c>
      <c r="N2065" t="str">
        <f t="shared" si="32"/>
        <v>INSERT INTO TNL_RATING.dbo.usps_rate_master VALUES ('USPS', '2/13/2025', '2/13/2026', 12659, 'US', 'USPS Ground Advantage', 7, 10, 'O', 5.13, 'Wedgewood_USPS_2025', 'NonCubic','3');</v>
      </c>
    </row>
    <row r="2066" spans="1:14" x14ac:dyDescent="0.3">
      <c r="A2066" t="s">
        <v>11</v>
      </c>
      <c r="B2066" s="1" t="s">
        <v>43</v>
      </c>
      <c r="C2066" s="1" t="s">
        <v>44</v>
      </c>
      <c r="D2066">
        <v>12659</v>
      </c>
      <c r="E2066" t="s">
        <v>12</v>
      </c>
      <c r="F2066" t="s">
        <v>51</v>
      </c>
      <c r="G2066">
        <v>7</v>
      </c>
      <c r="H2066">
        <v>11</v>
      </c>
      <c r="I2066" t="s">
        <v>52</v>
      </c>
      <c r="J2066" cm="1">
        <f t="array" ref="J2066">IFERROR(
    _xlfn.XLOOKUP(G2066, 'Wedgewood Pharm-GA-Yr2-2025'!$E$106:$L$106,
        _xlfn.XLOOKUP('Rate Load'!H2066, 'Wedgewood Pharm-GA-Yr2-2025'!$D$107:$D$122,
            'Wedgewood Pharm-GA-Yr2-2025'!$E$107:$L$122, 0, 0),
        0, 0),
    _xlfn.XLOOKUP(G2066, 'Wedgewood Pharm-GA-Yr2-2025'!$E$106:$L$106,
        _xlfn.XLOOKUP('Rate Load'!L2066, 'Wedgewood Pharm-GA-Yr2-2025'!$D$107:$D$122,
            'Wedgewood Pharm-GA-Yr2-2025'!$E$107:$L$122, 0, 0),
        0, 0)
)</f>
        <v>5.13</v>
      </c>
      <c r="K2066" t="s">
        <v>46</v>
      </c>
      <c r="L2066" t="s">
        <v>13</v>
      </c>
      <c r="M2066">
        <v>3</v>
      </c>
      <c r="N2066" t="str">
        <f t="shared" si="32"/>
        <v>INSERT INTO TNL_RATING.dbo.usps_rate_master VALUES ('USPS', '2/13/2025', '2/13/2026', 12659, 'US', 'USPS Ground Advantage', 7, 11, 'O', 5.13, 'Wedgewood_USPS_2025', 'NonCubic','3');</v>
      </c>
    </row>
    <row r="2067" spans="1:14" x14ac:dyDescent="0.3">
      <c r="A2067" t="s">
        <v>11</v>
      </c>
      <c r="B2067" s="1" t="s">
        <v>43</v>
      </c>
      <c r="C2067" s="1" t="s">
        <v>44</v>
      </c>
      <c r="D2067">
        <v>12659</v>
      </c>
      <c r="E2067" t="s">
        <v>12</v>
      </c>
      <c r="F2067" t="s">
        <v>51</v>
      </c>
      <c r="G2067">
        <v>7</v>
      </c>
      <c r="H2067">
        <v>12</v>
      </c>
      <c r="I2067" t="s">
        <v>52</v>
      </c>
      <c r="J2067" cm="1">
        <f t="array" ref="J2067">IFERROR(
    _xlfn.XLOOKUP(G2067, 'Wedgewood Pharm-GA-Yr2-2025'!$E$106:$L$106,
        _xlfn.XLOOKUP('Rate Load'!H2067, 'Wedgewood Pharm-GA-Yr2-2025'!$D$107:$D$122,
            'Wedgewood Pharm-GA-Yr2-2025'!$E$107:$L$122, 0, 0),
        0, 0),
    _xlfn.XLOOKUP(G2067, 'Wedgewood Pharm-GA-Yr2-2025'!$E$106:$L$106,
        _xlfn.XLOOKUP('Rate Load'!L2067, 'Wedgewood Pharm-GA-Yr2-2025'!$D$107:$D$122,
            'Wedgewood Pharm-GA-Yr2-2025'!$E$107:$L$122, 0, 0),
        0, 0)
)</f>
        <v>5.13</v>
      </c>
      <c r="K2067" t="s">
        <v>46</v>
      </c>
      <c r="L2067" t="s">
        <v>13</v>
      </c>
      <c r="M2067">
        <v>3</v>
      </c>
      <c r="N2067" t="str">
        <f t="shared" si="32"/>
        <v>INSERT INTO TNL_RATING.dbo.usps_rate_master VALUES ('USPS', '2/13/2025', '2/13/2026', 12659, 'US', 'USPS Ground Advantage', 7, 12, 'O', 5.13, 'Wedgewood_USPS_2025', 'NonCubic','3');</v>
      </c>
    </row>
    <row r="2068" spans="1:14" x14ac:dyDescent="0.3">
      <c r="A2068" t="s">
        <v>11</v>
      </c>
      <c r="B2068" s="1" t="s">
        <v>43</v>
      </c>
      <c r="C2068" s="1" t="s">
        <v>44</v>
      </c>
      <c r="D2068">
        <v>12659</v>
      </c>
      <c r="E2068" t="s">
        <v>12</v>
      </c>
      <c r="F2068" t="s">
        <v>51</v>
      </c>
      <c r="G2068">
        <v>7</v>
      </c>
      <c r="H2068">
        <v>13</v>
      </c>
      <c r="I2068" t="s">
        <v>52</v>
      </c>
      <c r="J2068" cm="1">
        <f t="array" ref="J2068">IFERROR(
    _xlfn.XLOOKUP(G2068, 'Wedgewood Pharm-GA-Yr2-2025'!$E$106:$L$106,
        _xlfn.XLOOKUP('Rate Load'!H2068, 'Wedgewood Pharm-GA-Yr2-2025'!$D$107:$D$122,
            'Wedgewood Pharm-GA-Yr2-2025'!$E$107:$L$122, 0, 0),
        0, 0),
    _xlfn.XLOOKUP(G2068, 'Wedgewood Pharm-GA-Yr2-2025'!$E$106:$L$106,
        _xlfn.XLOOKUP('Rate Load'!L2068, 'Wedgewood Pharm-GA-Yr2-2025'!$D$107:$D$122,
            'Wedgewood Pharm-GA-Yr2-2025'!$E$107:$L$122, 0, 0),
        0, 0)
)</f>
        <v>5.77</v>
      </c>
      <c r="K2068" t="s">
        <v>46</v>
      </c>
      <c r="L2068" t="s">
        <v>13</v>
      </c>
      <c r="M2068">
        <v>3</v>
      </c>
      <c r="N2068" t="str">
        <f t="shared" si="32"/>
        <v>INSERT INTO TNL_RATING.dbo.usps_rate_master VALUES ('USPS', '2/13/2025', '2/13/2026', 12659, 'US', 'USPS Ground Advantage', 7, 13, 'O', 5.77, 'Wedgewood_USPS_2025', 'NonCubic','3');</v>
      </c>
    </row>
    <row r="2069" spans="1:14" x14ac:dyDescent="0.3">
      <c r="A2069" t="s">
        <v>11</v>
      </c>
      <c r="B2069" s="1" t="s">
        <v>43</v>
      </c>
      <c r="C2069" s="1" t="s">
        <v>44</v>
      </c>
      <c r="D2069">
        <v>12659</v>
      </c>
      <c r="E2069" t="s">
        <v>12</v>
      </c>
      <c r="F2069" t="s">
        <v>51</v>
      </c>
      <c r="G2069">
        <v>7</v>
      </c>
      <c r="H2069">
        <v>14</v>
      </c>
      <c r="I2069" t="s">
        <v>52</v>
      </c>
      <c r="J2069" cm="1">
        <f t="array" ref="J2069">IFERROR(
    _xlfn.XLOOKUP(G2069, 'Wedgewood Pharm-GA-Yr2-2025'!$E$106:$L$106,
        _xlfn.XLOOKUP('Rate Load'!H2069, 'Wedgewood Pharm-GA-Yr2-2025'!$D$107:$D$122,
            'Wedgewood Pharm-GA-Yr2-2025'!$E$107:$L$122, 0, 0),
        0, 0),
    _xlfn.XLOOKUP(G2069, 'Wedgewood Pharm-GA-Yr2-2025'!$E$106:$L$106,
        _xlfn.XLOOKUP('Rate Load'!L2069, 'Wedgewood Pharm-GA-Yr2-2025'!$D$107:$D$122,
            'Wedgewood Pharm-GA-Yr2-2025'!$E$107:$L$122, 0, 0),
        0, 0)
)</f>
        <v>5.77</v>
      </c>
      <c r="K2069" t="s">
        <v>46</v>
      </c>
      <c r="L2069" t="s">
        <v>13</v>
      </c>
      <c r="M2069">
        <v>3</v>
      </c>
      <c r="N2069" t="str">
        <f t="shared" si="32"/>
        <v>INSERT INTO TNL_RATING.dbo.usps_rate_master VALUES ('USPS', '2/13/2025', '2/13/2026', 12659, 'US', 'USPS Ground Advantage', 7, 14, 'O', 5.77, 'Wedgewood_USPS_2025', 'NonCubic','3');</v>
      </c>
    </row>
    <row r="2070" spans="1:14" x14ac:dyDescent="0.3">
      <c r="A2070" t="s">
        <v>11</v>
      </c>
      <c r="B2070" s="1" t="s">
        <v>43</v>
      </c>
      <c r="C2070" s="1" t="s">
        <v>44</v>
      </c>
      <c r="D2070">
        <v>12659</v>
      </c>
      <c r="E2070" t="s">
        <v>12</v>
      </c>
      <c r="F2070" t="s">
        <v>51</v>
      </c>
      <c r="G2070">
        <v>7</v>
      </c>
      <c r="H2070">
        <v>15</v>
      </c>
      <c r="I2070" t="s">
        <v>52</v>
      </c>
      <c r="J2070" cm="1">
        <f t="array" ref="J2070">IFERROR(
    _xlfn.XLOOKUP(G2070, 'Wedgewood Pharm-GA-Yr2-2025'!$E$106:$L$106,
        _xlfn.XLOOKUP('Rate Load'!H2070, 'Wedgewood Pharm-GA-Yr2-2025'!$D$107:$D$122,
            'Wedgewood Pharm-GA-Yr2-2025'!$E$107:$L$122, 0, 0),
        0, 0),
    _xlfn.XLOOKUP(G2070, 'Wedgewood Pharm-GA-Yr2-2025'!$E$106:$L$106,
        _xlfn.XLOOKUP('Rate Load'!L2070, 'Wedgewood Pharm-GA-Yr2-2025'!$D$107:$D$122,
            'Wedgewood Pharm-GA-Yr2-2025'!$E$107:$L$122, 0, 0),
        0, 0)
)</f>
        <v>5.77</v>
      </c>
      <c r="K2070" t="s">
        <v>46</v>
      </c>
      <c r="L2070" t="s">
        <v>13</v>
      </c>
      <c r="M2070">
        <v>3</v>
      </c>
      <c r="N2070" t="str">
        <f t="shared" si="32"/>
        <v>INSERT INTO TNL_RATING.dbo.usps_rate_master VALUES ('USPS', '2/13/2025', '2/13/2026', 12659, 'US', 'USPS Ground Advantage', 7, 15, 'O', 5.77, 'Wedgewood_USPS_2025', 'NonCubic','3');</v>
      </c>
    </row>
    <row r="2071" spans="1:14" x14ac:dyDescent="0.3">
      <c r="A2071" t="s">
        <v>11</v>
      </c>
      <c r="B2071" s="1" t="s">
        <v>43</v>
      </c>
      <c r="C2071" s="1" t="s">
        <v>44</v>
      </c>
      <c r="D2071">
        <v>12659</v>
      </c>
      <c r="E2071" t="s">
        <v>12</v>
      </c>
      <c r="F2071" t="s">
        <v>51</v>
      </c>
      <c r="G2071">
        <v>7</v>
      </c>
      <c r="H2071">
        <v>15.999000000000001</v>
      </c>
      <c r="I2071" t="s">
        <v>52</v>
      </c>
      <c r="J2071" cm="1">
        <f t="array" ref="J2071">IFERROR(
    _xlfn.XLOOKUP(G2071, 'Wedgewood Pharm-GA-Yr2-2025'!$E$106:$L$106,
        _xlfn.XLOOKUP('Rate Load'!H2071, 'Wedgewood Pharm-GA-Yr2-2025'!$D$107:$D$122,
            'Wedgewood Pharm-GA-Yr2-2025'!$E$107:$L$122, 0, 0),
        0, 0),
    _xlfn.XLOOKUP(G2071, 'Wedgewood Pharm-GA-Yr2-2025'!$E$106:$L$106,
        _xlfn.XLOOKUP('Rate Load'!L2071, 'Wedgewood Pharm-GA-Yr2-2025'!$D$107:$D$122,
            'Wedgewood Pharm-GA-Yr2-2025'!$E$107:$L$122, 0, 0),
        0, 0)
)</f>
        <v>5.77</v>
      </c>
      <c r="K2071" t="s">
        <v>46</v>
      </c>
      <c r="L2071" t="s">
        <v>13</v>
      </c>
      <c r="M2071">
        <v>3</v>
      </c>
      <c r="N2071" t="str">
        <f t="shared" si="32"/>
        <v>INSERT INTO TNL_RATING.dbo.usps_rate_master VALUES ('USPS', '2/13/2025', '2/13/2026', 12659, 'US', 'USPS Ground Advantage', 7, 15.999, 'O', 5.77, 'Wedgewood_USPS_2025', 'NonCubic','3');</v>
      </c>
    </row>
    <row r="2072" spans="1:14" x14ac:dyDescent="0.3">
      <c r="A2072" t="s">
        <v>11</v>
      </c>
      <c r="B2072" s="1" t="s">
        <v>43</v>
      </c>
      <c r="C2072" s="1" t="s">
        <v>44</v>
      </c>
      <c r="D2072">
        <v>12659</v>
      </c>
      <c r="E2072" t="s">
        <v>12</v>
      </c>
      <c r="F2072" t="s">
        <v>51</v>
      </c>
      <c r="G2072">
        <v>8</v>
      </c>
      <c r="H2072">
        <v>1</v>
      </c>
      <c r="I2072" t="s">
        <v>52</v>
      </c>
      <c r="J2072" cm="1">
        <f t="array" ref="J2072">IFERROR(
    _xlfn.XLOOKUP(G2072, 'Wedgewood Pharm-GA-Yr2-2025'!$E$106:$L$106,
        _xlfn.XLOOKUP('Rate Load'!H2072, 'Wedgewood Pharm-GA-Yr2-2025'!$D$107:$D$122,
            'Wedgewood Pharm-GA-Yr2-2025'!$E$107:$L$122, 0, 0),
        0, 0),
    _xlfn.XLOOKUP(G2072, 'Wedgewood Pharm-GA-Yr2-2025'!$E$106:$L$106,
        _xlfn.XLOOKUP('Rate Load'!L2072, 'Wedgewood Pharm-GA-Yr2-2025'!$D$107:$D$122,
            'Wedgewood Pharm-GA-Yr2-2025'!$E$107:$L$122, 0, 0),
        0, 0)
)</f>
        <v>3.75</v>
      </c>
      <c r="K2072" t="s">
        <v>46</v>
      </c>
      <c r="L2072" t="s">
        <v>13</v>
      </c>
      <c r="M2072">
        <v>3</v>
      </c>
      <c r="N2072" t="str">
        <f t="shared" si="32"/>
        <v>INSERT INTO TNL_RATING.dbo.usps_rate_master VALUES ('USPS', '2/13/2025', '2/13/2026', 12659, 'US', 'USPS Ground Advantage', 8, 1, 'O', 3.75, 'Wedgewood_USPS_2025', 'NonCubic','3');</v>
      </c>
    </row>
    <row r="2073" spans="1:14" x14ac:dyDescent="0.3">
      <c r="A2073" t="s">
        <v>11</v>
      </c>
      <c r="B2073" s="1" t="s">
        <v>43</v>
      </c>
      <c r="C2073" s="1" t="s">
        <v>44</v>
      </c>
      <c r="D2073">
        <v>12659</v>
      </c>
      <c r="E2073" t="s">
        <v>12</v>
      </c>
      <c r="F2073" t="s">
        <v>51</v>
      </c>
      <c r="G2073">
        <v>8</v>
      </c>
      <c r="H2073">
        <v>2</v>
      </c>
      <c r="I2073" t="s">
        <v>52</v>
      </c>
      <c r="J2073" cm="1">
        <f t="array" ref="J2073">IFERROR(
    _xlfn.XLOOKUP(G2073, 'Wedgewood Pharm-GA-Yr2-2025'!$E$106:$L$106,
        _xlfn.XLOOKUP('Rate Load'!H2073, 'Wedgewood Pharm-GA-Yr2-2025'!$D$107:$D$122,
            'Wedgewood Pharm-GA-Yr2-2025'!$E$107:$L$122, 0, 0),
        0, 0),
    _xlfn.XLOOKUP(G2073, 'Wedgewood Pharm-GA-Yr2-2025'!$E$106:$L$106,
        _xlfn.XLOOKUP('Rate Load'!L2073, 'Wedgewood Pharm-GA-Yr2-2025'!$D$107:$D$122,
            'Wedgewood Pharm-GA-Yr2-2025'!$E$107:$L$122, 0, 0),
        0, 0)
)</f>
        <v>3.75</v>
      </c>
      <c r="K2073" t="s">
        <v>46</v>
      </c>
      <c r="L2073" t="s">
        <v>13</v>
      </c>
      <c r="M2073">
        <v>3</v>
      </c>
      <c r="N2073" t="str">
        <f t="shared" si="32"/>
        <v>INSERT INTO TNL_RATING.dbo.usps_rate_master VALUES ('USPS', '2/13/2025', '2/13/2026', 12659, 'US', 'USPS Ground Advantage', 8, 2, 'O', 3.75, 'Wedgewood_USPS_2025', 'NonCubic','3');</v>
      </c>
    </row>
    <row r="2074" spans="1:14" x14ac:dyDescent="0.3">
      <c r="A2074" t="s">
        <v>11</v>
      </c>
      <c r="B2074" s="1" t="s">
        <v>43</v>
      </c>
      <c r="C2074" s="1" t="s">
        <v>44</v>
      </c>
      <c r="D2074">
        <v>12659</v>
      </c>
      <c r="E2074" t="s">
        <v>12</v>
      </c>
      <c r="F2074" t="s">
        <v>51</v>
      </c>
      <c r="G2074">
        <v>8</v>
      </c>
      <c r="H2074">
        <v>3</v>
      </c>
      <c r="I2074" t="s">
        <v>52</v>
      </c>
      <c r="J2074" cm="1">
        <f t="array" ref="J2074">IFERROR(
    _xlfn.XLOOKUP(G2074, 'Wedgewood Pharm-GA-Yr2-2025'!$E$106:$L$106,
        _xlfn.XLOOKUP('Rate Load'!H2074, 'Wedgewood Pharm-GA-Yr2-2025'!$D$107:$D$122,
            'Wedgewood Pharm-GA-Yr2-2025'!$E$107:$L$122, 0, 0),
        0, 0),
    _xlfn.XLOOKUP(G2074, 'Wedgewood Pharm-GA-Yr2-2025'!$E$106:$L$106,
        _xlfn.XLOOKUP('Rate Load'!L2074, 'Wedgewood Pharm-GA-Yr2-2025'!$D$107:$D$122,
            'Wedgewood Pharm-GA-Yr2-2025'!$E$107:$L$122, 0, 0),
        0, 0)
)</f>
        <v>3.75</v>
      </c>
      <c r="K2074" t="s">
        <v>46</v>
      </c>
      <c r="L2074" t="s">
        <v>13</v>
      </c>
      <c r="M2074">
        <v>3</v>
      </c>
      <c r="N2074" t="str">
        <f t="shared" si="32"/>
        <v>INSERT INTO TNL_RATING.dbo.usps_rate_master VALUES ('USPS', '2/13/2025', '2/13/2026', 12659, 'US', 'USPS Ground Advantage', 8, 3, 'O', 3.75, 'Wedgewood_USPS_2025', 'NonCubic','3');</v>
      </c>
    </row>
    <row r="2075" spans="1:14" x14ac:dyDescent="0.3">
      <c r="A2075" t="s">
        <v>11</v>
      </c>
      <c r="B2075" s="1" t="s">
        <v>43</v>
      </c>
      <c r="C2075" s="1" t="s">
        <v>44</v>
      </c>
      <c r="D2075">
        <v>12659</v>
      </c>
      <c r="E2075" t="s">
        <v>12</v>
      </c>
      <c r="F2075" t="s">
        <v>51</v>
      </c>
      <c r="G2075">
        <v>8</v>
      </c>
      <c r="H2075">
        <v>4</v>
      </c>
      <c r="I2075" t="s">
        <v>52</v>
      </c>
      <c r="J2075" cm="1">
        <f t="array" ref="J2075">IFERROR(
    _xlfn.XLOOKUP(G2075, 'Wedgewood Pharm-GA-Yr2-2025'!$E$106:$L$106,
        _xlfn.XLOOKUP('Rate Load'!H2075, 'Wedgewood Pharm-GA-Yr2-2025'!$D$107:$D$122,
            'Wedgewood Pharm-GA-Yr2-2025'!$E$107:$L$122, 0, 0),
        0, 0),
    _xlfn.XLOOKUP(G2075, 'Wedgewood Pharm-GA-Yr2-2025'!$E$106:$L$106,
        _xlfn.XLOOKUP('Rate Load'!L2075, 'Wedgewood Pharm-GA-Yr2-2025'!$D$107:$D$122,
            'Wedgewood Pharm-GA-Yr2-2025'!$E$107:$L$122, 0, 0),
        0, 0)
)</f>
        <v>3.75</v>
      </c>
      <c r="K2075" t="s">
        <v>46</v>
      </c>
      <c r="L2075" t="s">
        <v>13</v>
      </c>
      <c r="M2075">
        <v>3</v>
      </c>
      <c r="N2075" t="str">
        <f t="shared" si="32"/>
        <v>INSERT INTO TNL_RATING.dbo.usps_rate_master VALUES ('USPS', '2/13/2025', '2/13/2026', 12659, 'US', 'USPS Ground Advantage', 8, 4, 'O', 3.75, 'Wedgewood_USPS_2025', 'NonCubic','3');</v>
      </c>
    </row>
    <row r="2076" spans="1:14" x14ac:dyDescent="0.3">
      <c r="A2076" t="s">
        <v>11</v>
      </c>
      <c r="B2076" s="1" t="s">
        <v>43</v>
      </c>
      <c r="C2076" s="1" t="s">
        <v>44</v>
      </c>
      <c r="D2076">
        <v>12659</v>
      </c>
      <c r="E2076" t="s">
        <v>12</v>
      </c>
      <c r="F2076" t="s">
        <v>51</v>
      </c>
      <c r="G2076">
        <v>8</v>
      </c>
      <c r="H2076">
        <v>5</v>
      </c>
      <c r="I2076" t="s">
        <v>52</v>
      </c>
      <c r="J2076" cm="1">
        <f t="array" ref="J2076">IFERROR(
    _xlfn.XLOOKUP(G2076, 'Wedgewood Pharm-GA-Yr2-2025'!$E$106:$L$106,
        _xlfn.XLOOKUP('Rate Load'!H2076, 'Wedgewood Pharm-GA-Yr2-2025'!$D$107:$D$122,
            'Wedgewood Pharm-GA-Yr2-2025'!$E$107:$L$122, 0, 0),
        0, 0),
    _xlfn.XLOOKUP(G2076, 'Wedgewood Pharm-GA-Yr2-2025'!$E$106:$L$106,
        _xlfn.XLOOKUP('Rate Load'!L2076, 'Wedgewood Pharm-GA-Yr2-2025'!$D$107:$D$122,
            'Wedgewood Pharm-GA-Yr2-2025'!$E$107:$L$122, 0, 0),
        0, 0)
)</f>
        <v>4.55</v>
      </c>
      <c r="K2076" t="s">
        <v>46</v>
      </c>
      <c r="L2076" t="s">
        <v>13</v>
      </c>
      <c r="M2076">
        <v>3</v>
      </c>
      <c r="N2076" t="str">
        <f t="shared" si="32"/>
        <v>INSERT INTO TNL_RATING.dbo.usps_rate_master VALUES ('USPS', '2/13/2025', '2/13/2026', 12659, 'US', 'USPS Ground Advantage', 8, 5, 'O', 4.55, 'Wedgewood_USPS_2025', 'NonCubic','3');</v>
      </c>
    </row>
    <row r="2077" spans="1:14" x14ac:dyDescent="0.3">
      <c r="A2077" t="s">
        <v>11</v>
      </c>
      <c r="B2077" s="1" t="s">
        <v>43</v>
      </c>
      <c r="C2077" s="1" t="s">
        <v>44</v>
      </c>
      <c r="D2077">
        <v>12659</v>
      </c>
      <c r="E2077" t="s">
        <v>12</v>
      </c>
      <c r="F2077" t="s">
        <v>51</v>
      </c>
      <c r="G2077">
        <v>8</v>
      </c>
      <c r="H2077">
        <v>6</v>
      </c>
      <c r="I2077" t="s">
        <v>52</v>
      </c>
      <c r="J2077" cm="1">
        <f t="array" ref="J2077">IFERROR(
    _xlfn.XLOOKUP(G2077, 'Wedgewood Pharm-GA-Yr2-2025'!$E$106:$L$106,
        _xlfn.XLOOKUP('Rate Load'!H2077, 'Wedgewood Pharm-GA-Yr2-2025'!$D$107:$D$122,
            'Wedgewood Pharm-GA-Yr2-2025'!$E$107:$L$122, 0, 0),
        0, 0),
    _xlfn.XLOOKUP(G2077, 'Wedgewood Pharm-GA-Yr2-2025'!$E$106:$L$106,
        _xlfn.XLOOKUP('Rate Load'!L2077, 'Wedgewood Pharm-GA-Yr2-2025'!$D$107:$D$122,
            'Wedgewood Pharm-GA-Yr2-2025'!$E$107:$L$122, 0, 0),
        0, 0)
)</f>
        <v>4.55</v>
      </c>
      <c r="K2077" t="s">
        <v>46</v>
      </c>
      <c r="L2077" t="s">
        <v>13</v>
      </c>
      <c r="M2077">
        <v>3</v>
      </c>
      <c r="N2077" t="str">
        <f t="shared" si="32"/>
        <v>INSERT INTO TNL_RATING.dbo.usps_rate_master VALUES ('USPS', '2/13/2025', '2/13/2026', 12659, 'US', 'USPS Ground Advantage', 8, 6, 'O', 4.55, 'Wedgewood_USPS_2025', 'NonCubic','3');</v>
      </c>
    </row>
    <row r="2078" spans="1:14" x14ac:dyDescent="0.3">
      <c r="A2078" t="s">
        <v>11</v>
      </c>
      <c r="B2078" s="1" t="s">
        <v>43</v>
      </c>
      <c r="C2078" s="1" t="s">
        <v>44</v>
      </c>
      <c r="D2078">
        <v>12659</v>
      </c>
      <c r="E2078" t="s">
        <v>12</v>
      </c>
      <c r="F2078" t="s">
        <v>51</v>
      </c>
      <c r="G2078">
        <v>8</v>
      </c>
      <c r="H2078">
        <v>7</v>
      </c>
      <c r="I2078" t="s">
        <v>52</v>
      </c>
      <c r="J2078" cm="1">
        <f t="array" ref="J2078">IFERROR(
    _xlfn.XLOOKUP(G2078, 'Wedgewood Pharm-GA-Yr2-2025'!$E$106:$L$106,
        _xlfn.XLOOKUP('Rate Load'!H2078, 'Wedgewood Pharm-GA-Yr2-2025'!$D$107:$D$122,
            'Wedgewood Pharm-GA-Yr2-2025'!$E$107:$L$122, 0, 0),
        0, 0),
    _xlfn.XLOOKUP(G2078, 'Wedgewood Pharm-GA-Yr2-2025'!$E$106:$L$106,
        _xlfn.XLOOKUP('Rate Load'!L2078, 'Wedgewood Pharm-GA-Yr2-2025'!$D$107:$D$122,
            'Wedgewood Pharm-GA-Yr2-2025'!$E$107:$L$122, 0, 0),
        0, 0)
)</f>
        <v>4.55</v>
      </c>
      <c r="K2078" t="s">
        <v>46</v>
      </c>
      <c r="L2078" t="s">
        <v>13</v>
      </c>
      <c r="M2078">
        <v>3</v>
      </c>
      <c r="N2078" t="str">
        <f t="shared" si="32"/>
        <v>INSERT INTO TNL_RATING.dbo.usps_rate_master VALUES ('USPS', '2/13/2025', '2/13/2026', 12659, 'US', 'USPS Ground Advantage', 8, 7, 'O', 4.55, 'Wedgewood_USPS_2025', 'NonCubic','3');</v>
      </c>
    </row>
    <row r="2079" spans="1:14" x14ac:dyDescent="0.3">
      <c r="A2079" t="s">
        <v>11</v>
      </c>
      <c r="B2079" s="1" t="s">
        <v>43</v>
      </c>
      <c r="C2079" s="1" t="s">
        <v>44</v>
      </c>
      <c r="D2079">
        <v>12659</v>
      </c>
      <c r="E2079" t="s">
        <v>12</v>
      </c>
      <c r="F2079" t="s">
        <v>51</v>
      </c>
      <c r="G2079">
        <v>8</v>
      </c>
      <c r="H2079">
        <v>8</v>
      </c>
      <c r="I2079" t="s">
        <v>52</v>
      </c>
      <c r="J2079" cm="1">
        <f t="array" ref="J2079">IFERROR(
    _xlfn.XLOOKUP(G2079, 'Wedgewood Pharm-GA-Yr2-2025'!$E$106:$L$106,
        _xlfn.XLOOKUP('Rate Load'!H2079, 'Wedgewood Pharm-GA-Yr2-2025'!$D$107:$D$122,
            'Wedgewood Pharm-GA-Yr2-2025'!$E$107:$L$122, 0, 0),
        0, 0),
    _xlfn.XLOOKUP(G2079, 'Wedgewood Pharm-GA-Yr2-2025'!$E$106:$L$106,
        _xlfn.XLOOKUP('Rate Load'!L2079, 'Wedgewood Pharm-GA-Yr2-2025'!$D$107:$D$122,
            'Wedgewood Pharm-GA-Yr2-2025'!$E$107:$L$122, 0, 0),
        0, 0)
)</f>
        <v>4.55</v>
      </c>
      <c r="K2079" t="s">
        <v>46</v>
      </c>
      <c r="L2079" t="s">
        <v>13</v>
      </c>
      <c r="M2079">
        <v>3</v>
      </c>
      <c r="N2079" t="str">
        <f t="shared" si="32"/>
        <v>INSERT INTO TNL_RATING.dbo.usps_rate_master VALUES ('USPS', '2/13/2025', '2/13/2026', 12659, 'US', 'USPS Ground Advantage', 8, 8, 'O', 4.55, 'Wedgewood_USPS_2025', 'NonCubic','3');</v>
      </c>
    </row>
    <row r="2080" spans="1:14" x14ac:dyDescent="0.3">
      <c r="A2080" t="s">
        <v>11</v>
      </c>
      <c r="B2080" s="1" t="s">
        <v>43</v>
      </c>
      <c r="C2080" s="1" t="s">
        <v>44</v>
      </c>
      <c r="D2080">
        <v>12659</v>
      </c>
      <c r="E2080" t="s">
        <v>12</v>
      </c>
      <c r="F2080" t="s">
        <v>51</v>
      </c>
      <c r="G2080">
        <v>8</v>
      </c>
      <c r="H2080">
        <v>9</v>
      </c>
      <c r="I2080" t="s">
        <v>52</v>
      </c>
      <c r="J2080" cm="1">
        <f t="array" ref="J2080">IFERROR(
    _xlfn.XLOOKUP(G2080, 'Wedgewood Pharm-GA-Yr2-2025'!$E$106:$L$106,
        _xlfn.XLOOKUP('Rate Load'!H2080, 'Wedgewood Pharm-GA-Yr2-2025'!$D$107:$D$122,
            'Wedgewood Pharm-GA-Yr2-2025'!$E$107:$L$122, 0, 0),
        0, 0),
    _xlfn.XLOOKUP(G2080, 'Wedgewood Pharm-GA-Yr2-2025'!$E$106:$L$106,
        _xlfn.XLOOKUP('Rate Load'!L2080, 'Wedgewood Pharm-GA-Yr2-2025'!$D$107:$D$122,
            'Wedgewood Pharm-GA-Yr2-2025'!$E$107:$L$122, 0, 0),
        0, 0)
)</f>
        <v>5.29</v>
      </c>
      <c r="K2080" t="s">
        <v>46</v>
      </c>
      <c r="L2080" t="s">
        <v>13</v>
      </c>
      <c r="M2080">
        <v>3</v>
      </c>
      <c r="N2080" t="str">
        <f t="shared" si="32"/>
        <v>INSERT INTO TNL_RATING.dbo.usps_rate_master VALUES ('USPS', '2/13/2025', '2/13/2026', 12659, 'US', 'USPS Ground Advantage', 8, 9, 'O', 5.29, 'Wedgewood_USPS_2025', 'NonCubic','3');</v>
      </c>
    </row>
    <row r="2081" spans="1:14" x14ac:dyDescent="0.3">
      <c r="A2081" t="s">
        <v>11</v>
      </c>
      <c r="B2081" s="1" t="s">
        <v>43</v>
      </c>
      <c r="C2081" s="1" t="s">
        <v>44</v>
      </c>
      <c r="D2081">
        <v>12659</v>
      </c>
      <c r="E2081" t="s">
        <v>12</v>
      </c>
      <c r="F2081" t="s">
        <v>51</v>
      </c>
      <c r="G2081">
        <v>8</v>
      </c>
      <c r="H2081">
        <v>10</v>
      </c>
      <c r="I2081" t="s">
        <v>52</v>
      </c>
      <c r="J2081" cm="1">
        <f t="array" ref="J2081">IFERROR(
    _xlfn.XLOOKUP(G2081, 'Wedgewood Pharm-GA-Yr2-2025'!$E$106:$L$106,
        _xlfn.XLOOKUP('Rate Load'!H2081, 'Wedgewood Pharm-GA-Yr2-2025'!$D$107:$D$122,
            'Wedgewood Pharm-GA-Yr2-2025'!$E$107:$L$122, 0, 0),
        0, 0),
    _xlfn.XLOOKUP(G2081, 'Wedgewood Pharm-GA-Yr2-2025'!$E$106:$L$106,
        _xlfn.XLOOKUP('Rate Load'!L2081, 'Wedgewood Pharm-GA-Yr2-2025'!$D$107:$D$122,
            'Wedgewood Pharm-GA-Yr2-2025'!$E$107:$L$122, 0, 0),
        0, 0)
)</f>
        <v>5.29</v>
      </c>
      <c r="K2081" t="s">
        <v>46</v>
      </c>
      <c r="L2081" t="s">
        <v>13</v>
      </c>
      <c r="M2081">
        <v>3</v>
      </c>
      <c r="N2081" t="str">
        <f t="shared" si="32"/>
        <v>INSERT INTO TNL_RATING.dbo.usps_rate_master VALUES ('USPS', '2/13/2025', '2/13/2026', 12659, 'US', 'USPS Ground Advantage', 8, 10, 'O', 5.29, 'Wedgewood_USPS_2025', 'NonCubic','3');</v>
      </c>
    </row>
    <row r="2082" spans="1:14" x14ac:dyDescent="0.3">
      <c r="A2082" t="s">
        <v>11</v>
      </c>
      <c r="B2082" s="1" t="s">
        <v>43</v>
      </c>
      <c r="C2082" s="1" t="s">
        <v>44</v>
      </c>
      <c r="D2082">
        <v>12659</v>
      </c>
      <c r="E2082" t="s">
        <v>12</v>
      </c>
      <c r="F2082" t="s">
        <v>51</v>
      </c>
      <c r="G2082">
        <v>8</v>
      </c>
      <c r="H2082">
        <v>11</v>
      </c>
      <c r="I2082" t="s">
        <v>52</v>
      </c>
      <c r="J2082" cm="1">
        <f t="array" ref="J2082">IFERROR(
    _xlfn.XLOOKUP(G2082, 'Wedgewood Pharm-GA-Yr2-2025'!$E$106:$L$106,
        _xlfn.XLOOKUP('Rate Load'!H2082, 'Wedgewood Pharm-GA-Yr2-2025'!$D$107:$D$122,
            'Wedgewood Pharm-GA-Yr2-2025'!$E$107:$L$122, 0, 0),
        0, 0),
    _xlfn.XLOOKUP(G2082, 'Wedgewood Pharm-GA-Yr2-2025'!$E$106:$L$106,
        _xlfn.XLOOKUP('Rate Load'!L2082, 'Wedgewood Pharm-GA-Yr2-2025'!$D$107:$D$122,
            'Wedgewood Pharm-GA-Yr2-2025'!$E$107:$L$122, 0, 0),
        0, 0)
)</f>
        <v>5.29</v>
      </c>
      <c r="K2082" t="s">
        <v>46</v>
      </c>
      <c r="L2082" t="s">
        <v>13</v>
      </c>
      <c r="M2082">
        <v>3</v>
      </c>
      <c r="N2082" t="str">
        <f t="shared" si="32"/>
        <v>INSERT INTO TNL_RATING.dbo.usps_rate_master VALUES ('USPS', '2/13/2025', '2/13/2026', 12659, 'US', 'USPS Ground Advantage', 8, 11, 'O', 5.29, 'Wedgewood_USPS_2025', 'NonCubic','3');</v>
      </c>
    </row>
    <row r="2083" spans="1:14" x14ac:dyDescent="0.3">
      <c r="A2083" t="s">
        <v>11</v>
      </c>
      <c r="B2083" s="1" t="s">
        <v>43</v>
      </c>
      <c r="C2083" s="1" t="s">
        <v>44</v>
      </c>
      <c r="D2083">
        <v>12659</v>
      </c>
      <c r="E2083" t="s">
        <v>12</v>
      </c>
      <c r="F2083" t="s">
        <v>51</v>
      </c>
      <c r="G2083">
        <v>8</v>
      </c>
      <c r="H2083">
        <v>12</v>
      </c>
      <c r="I2083" t="s">
        <v>52</v>
      </c>
      <c r="J2083" cm="1">
        <f t="array" ref="J2083">IFERROR(
    _xlfn.XLOOKUP(G2083, 'Wedgewood Pharm-GA-Yr2-2025'!$E$106:$L$106,
        _xlfn.XLOOKUP('Rate Load'!H2083, 'Wedgewood Pharm-GA-Yr2-2025'!$D$107:$D$122,
            'Wedgewood Pharm-GA-Yr2-2025'!$E$107:$L$122, 0, 0),
        0, 0),
    _xlfn.XLOOKUP(G2083, 'Wedgewood Pharm-GA-Yr2-2025'!$E$106:$L$106,
        _xlfn.XLOOKUP('Rate Load'!L2083, 'Wedgewood Pharm-GA-Yr2-2025'!$D$107:$D$122,
            'Wedgewood Pharm-GA-Yr2-2025'!$E$107:$L$122, 0, 0),
        0, 0)
)</f>
        <v>5.29</v>
      </c>
      <c r="K2083" t="s">
        <v>46</v>
      </c>
      <c r="L2083" t="s">
        <v>13</v>
      </c>
      <c r="M2083">
        <v>3</v>
      </c>
      <c r="N2083" t="str">
        <f t="shared" si="32"/>
        <v>INSERT INTO TNL_RATING.dbo.usps_rate_master VALUES ('USPS', '2/13/2025', '2/13/2026', 12659, 'US', 'USPS Ground Advantage', 8, 12, 'O', 5.29, 'Wedgewood_USPS_2025', 'NonCubic','3');</v>
      </c>
    </row>
    <row r="2084" spans="1:14" x14ac:dyDescent="0.3">
      <c r="A2084" t="s">
        <v>11</v>
      </c>
      <c r="B2084" s="1" t="s">
        <v>43</v>
      </c>
      <c r="C2084" s="1" t="s">
        <v>44</v>
      </c>
      <c r="D2084">
        <v>12659</v>
      </c>
      <c r="E2084" t="s">
        <v>12</v>
      </c>
      <c r="F2084" t="s">
        <v>51</v>
      </c>
      <c r="G2084">
        <v>8</v>
      </c>
      <c r="H2084">
        <v>13</v>
      </c>
      <c r="I2084" t="s">
        <v>52</v>
      </c>
      <c r="J2084" cm="1">
        <f t="array" ref="J2084">IFERROR(
    _xlfn.XLOOKUP(G2084, 'Wedgewood Pharm-GA-Yr2-2025'!$E$106:$L$106,
        _xlfn.XLOOKUP('Rate Load'!H2084, 'Wedgewood Pharm-GA-Yr2-2025'!$D$107:$D$122,
            'Wedgewood Pharm-GA-Yr2-2025'!$E$107:$L$122, 0, 0),
        0, 0),
    _xlfn.XLOOKUP(G2084, 'Wedgewood Pharm-GA-Yr2-2025'!$E$106:$L$106,
        _xlfn.XLOOKUP('Rate Load'!L2084, 'Wedgewood Pharm-GA-Yr2-2025'!$D$107:$D$122,
            'Wedgewood Pharm-GA-Yr2-2025'!$E$107:$L$122, 0, 0),
        0, 0)
)</f>
        <v>5.9399999999999995</v>
      </c>
      <c r="K2084" t="s">
        <v>46</v>
      </c>
      <c r="L2084" t="s">
        <v>13</v>
      </c>
      <c r="M2084">
        <v>3</v>
      </c>
      <c r="N2084" t="str">
        <f t="shared" si="32"/>
        <v>INSERT INTO TNL_RATING.dbo.usps_rate_master VALUES ('USPS', '2/13/2025', '2/13/2026', 12659, 'US', 'USPS Ground Advantage', 8, 13, 'O', 5.94, 'Wedgewood_USPS_2025', 'NonCubic','3');</v>
      </c>
    </row>
    <row r="2085" spans="1:14" x14ac:dyDescent="0.3">
      <c r="A2085" t="s">
        <v>11</v>
      </c>
      <c r="B2085" s="1" t="s">
        <v>43</v>
      </c>
      <c r="C2085" s="1" t="s">
        <v>44</v>
      </c>
      <c r="D2085">
        <v>12659</v>
      </c>
      <c r="E2085" t="s">
        <v>12</v>
      </c>
      <c r="F2085" t="s">
        <v>51</v>
      </c>
      <c r="G2085">
        <v>8</v>
      </c>
      <c r="H2085">
        <v>14</v>
      </c>
      <c r="I2085" t="s">
        <v>52</v>
      </c>
      <c r="J2085" cm="1">
        <f t="array" ref="J2085">IFERROR(
    _xlfn.XLOOKUP(G2085, 'Wedgewood Pharm-GA-Yr2-2025'!$E$106:$L$106,
        _xlfn.XLOOKUP('Rate Load'!H2085, 'Wedgewood Pharm-GA-Yr2-2025'!$D$107:$D$122,
            'Wedgewood Pharm-GA-Yr2-2025'!$E$107:$L$122, 0, 0),
        0, 0),
    _xlfn.XLOOKUP(G2085, 'Wedgewood Pharm-GA-Yr2-2025'!$E$106:$L$106,
        _xlfn.XLOOKUP('Rate Load'!L2085, 'Wedgewood Pharm-GA-Yr2-2025'!$D$107:$D$122,
            'Wedgewood Pharm-GA-Yr2-2025'!$E$107:$L$122, 0, 0),
        0, 0)
)</f>
        <v>5.9399999999999995</v>
      </c>
      <c r="K2085" t="s">
        <v>46</v>
      </c>
      <c r="L2085" t="s">
        <v>13</v>
      </c>
      <c r="M2085">
        <v>3</v>
      </c>
      <c r="N2085" t="str">
        <f t="shared" si="32"/>
        <v>INSERT INTO TNL_RATING.dbo.usps_rate_master VALUES ('USPS', '2/13/2025', '2/13/2026', 12659, 'US', 'USPS Ground Advantage', 8, 14, 'O', 5.94, 'Wedgewood_USPS_2025', 'NonCubic','3');</v>
      </c>
    </row>
    <row r="2086" spans="1:14" x14ac:dyDescent="0.3">
      <c r="A2086" t="s">
        <v>11</v>
      </c>
      <c r="B2086" s="1" t="s">
        <v>43</v>
      </c>
      <c r="C2086" s="1" t="s">
        <v>44</v>
      </c>
      <c r="D2086">
        <v>12659</v>
      </c>
      <c r="E2086" t="s">
        <v>12</v>
      </c>
      <c r="F2086" t="s">
        <v>51</v>
      </c>
      <c r="G2086">
        <v>8</v>
      </c>
      <c r="H2086">
        <v>15</v>
      </c>
      <c r="I2086" t="s">
        <v>52</v>
      </c>
      <c r="J2086" cm="1">
        <f t="array" ref="J2086">IFERROR(
    _xlfn.XLOOKUP(G2086, 'Wedgewood Pharm-GA-Yr2-2025'!$E$106:$L$106,
        _xlfn.XLOOKUP('Rate Load'!H2086, 'Wedgewood Pharm-GA-Yr2-2025'!$D$107:$D$122,
            'Wedgewood Pharm-GA-Yr2-2025'!$E$107:$L$122, 0, 0),
        0, 0),
    _xlfn.XLOOKUP(G2086, 'Wedgewood Pharm-GA-Yr2-2025'!$E$106:$L$106,
        _xlfn.XLOOKUP('Rate Load'!L2086, 'Wedgewood Pharm-GA-Yr2-2025'!$D$107:$D$122,
            'Wedgewood Pharm-GA-Yr2-2025'!$E$107:$L$122, 0, 0),
        0, 0)
)</f>
        <v>5.9399999999999995</v>
      </c>
      <c r="K2086" t="s">
        <v>46</v>
      </c>
      <c r="L2086" t="s">
        <v>13</v>
      </c>
      <c r="M2086">
        <v>3</v>
      </c>
      <c r="N2086" t="str">
        <f t="shared" si="32"/>
        <v>INSERT INTO TNL_RATING.dbo.usps_rate_master VALUES ('USPS', '2/13/2025', '2/13/2026', 12659, 'US', 'USPS Ground Advantage', 8, 15, 'O', 5.94, 'Wedgewood_USPS_2025', 'NonCubic','3');</v>
      </c>
    </row>
    <row r="2087" spans="1:14" x14ac:dyDescent="0.3">
      <c r="A2087" t="s">
        <v>11</v>
      </c>
      <c r="B2087" s="1" t="s">
        <v>43</v>
      </c>
      <c r="C2087" s="1" t="s">
        <v>44</v>
      </c>
      <c r="D2087">
        <v>12659</v>
      </c>
      <c r="E2087" t="s">
        <v>12</v>
      </c>
      <c r="F2087" t="s">
        <v>47</v>
      </c>
      <c r="G2087">
        <v>1</v>
      </c>
      <c r="H2087">
        <v>0</v>
      </c>
      <c r="I2087" t="s">
        <v>45</v>
      </c>
      <c r="J2087" cm="1">
        <f t="array" ref="J2087">IFERROR(
    _xlfn.XLOOKUP(G2087, 'Wedgewood Pharm-PM-Yr2-2025'!$E$4:$L$4,
        _xlfn.XLOOKUP('Rate Load'!L2087, 'Wedgewood Pharm-PM-Yr2-2025'!$D$32:$D$36,
            'Wedgewood Pharm-PM-Yr2-2025'!$E$32:$L$36, 0, 0),
        0, 0),
    _xlfn.XLOOKUP(G2087, 'Wedgewood Pharm-PM-Yr2-2025'!$E$4:$L$4,
        _xlfn.XLOOKUP('Rate Load'!L2087, 'Wedgewood Pharm-PM-Yr2-2025'!$D$32:$D$36,
            'Wedgewood Pharm-PM-Yr2-2025'!$E$32:$L$36, 0, 0),
        0, 0)
)</f>
        <v>6.95</v>
      </c>
      <c r="K2087" t="s">
        <v>46</v>
      </c>
      <c r="L2087" t="s">
        <v>31</v>
      </c>
      <c r="M2087">
        <v>1</v>
      </c>
      <c r="N2087" t="str">
        <f t="shared" ref="N2087:N2150" si="33">"INSERT INTO TNL_RATING.dbo.usps_rate_master VALUES ('" &amp; A2087 &amp; "', '" &amp; B2087 &amp; "', '" &amp; C2087 &amp; "', " &amp; D2087 &amp; ", '" &amp; E2087 &amp; "', '" &amp; F2087 &amp; "', " &amp; G2087 &amp; ", " &amp; H2087 &amp; ", '" &amp; I2087 &amp; "', " &amp; J2087 &amp; ", '" &amp; K2087 &amp; "', '" &amp; L2087 &amp; "','" &amp; M2087 &amp; "');"</f>
        <v>INSERT INTO TNL_RATING.dbo.usps_rate_master VALUES ('USPS', '2/13/2025', '2/13/2026', 12659, 'US', 'Priority Mail', 1, 0, 'L', 6.95, 'Wedgewood_USPS_2025', 'Cubic Tier 1 (0.00 - 0.10)','1');</v>
      </c>
    </row>
    <row r="2088" spans="1:14" x14ac:dyDescent="0.3">
      <c r="A2088" t="s">
        <v>11</v>
      </c>
      <c r="B2088" s="1" t="s">
        <v>43</v>
      </c>
      <c r="C2088" s="1" t="s">
        <v>44</v>
      </c>
      <c r="D2088">
        <v>12659</v>
      </c>
      <c r="E2088" t="s">
        <v>12</v>
      </c>
      <c r="F2088" t="s">
        <v>47</v>
      </c>
      <c r="G2088">
        <v>2</v>
      </c>
      <c r="H2088">
        <v>0</v>
      </c>
      <c r="I2088" t="s">
        <v>45</v>
      </c>
      <c r="J2088" cm="1">
        <f t="array" ref="J2088">IFERROR(
    _xlfn.XLOOKUP(G2088, 'Wedgewood Pharm-PM-Yr2-2025'!$E$4:$L$4,
        _xlfn.XLOOKUP('Rate Load'!L2088, 'Wedgewood Pharm-PM-Yr2-2025'!$D$32:$D$36,
            'Wedgewood Pharm-PM-Yr2-2025'!$E$32:$L$36, 0, 0),
        0, 0),
    _xlfn.XLOOKUP(G2088, 'Wedgewood Pharm-PM-Yr2-2025'!$E$4:$L$4,
        _xlfn.XLOOKUP('Rate Load'!L2088, 'Wedgewood Pharm-PM-Yr2-2025'!$D$32:$D$36,
            'Wedgewood Pharm-PM-Yr2-2025'!$E$32:$L$36, 0, 0),
        0, 0)
)</f>
        <v>6.97</v>
      </c>
      <c r="K2088" t="s">
        <v>46</v>
      </c>
      <c r="L2088" t="s">
        <v>31</v>
      </c>
      <c r="M2088">
        <v>1</v>
      </c>
      <c r="N2088" t="str">
        <f t="shared" si="33"/>
        <v>INSERT INTO TNL_RATING.dbo.usps_rate_master VALUES ('USPS', '2/13/2025', '2/13/2026', 12659, 'US', 'Priority Mail', 2, 0, 'L', 6.97, 'Wedgewood_USPS_2025', 'Cubic Tier 1 (0.00 - 0.10)','1');</v>
      </c>
    </row>
    <row r="2089" spans="1:14" x14ac:dyDescent="0.3">
      <c r="A2089" t="s">
        <v>11</v>
      </c>
      <c r="B2089" s="1" t="s">
        <v>43</v>
      </c>
      <c r="C2089" s="1" t="s">
        <v>44</v>
      </c>
      <c r="D2089">
        <v>12659</v>
      </c>
      <c r="E2089" t="s">
        <v>12</v>
      </c>
      <c r="F2089" t="s">
        <v>47</v>
      </c>
      <c r="G2089">
        <v>3</v>
      </c>
      <c r="H2089">
        <v>0</v>
      </c>
      <c r="I2089" t="s">
        <v>45</v>
      </c>
      <c r="J2089" cm="1">
        <f t="array" ref="J2089">IFERROR(
    _xlfn.XLOOKUP(G2089, 'Wedgewood Pharm-PM-Yr2-2025'!$E$4:$L$4,
        _xlfn.XLOOKUP('Rate Load'!L2089, 'Wedgewood Pharm-PM-Yr2-2025'!$D$32:$D$36,
            'Wedgewood Pharm-PM-Yr2-2025'!$E$32:$L$36, 0, 0),
        0, 0),
    _xlfn.XLOOKUP(G2089, 'Wedgewood Pharm-PM-Yr2-2025'!$E$4:$L$4,
        _xlfn.XLOOKUP('Rate Load'!L2089, 'Wedgewood Pharm-PM-Yr2-2025'!$D$32:$D$36,
            'Wedgewood Pharm-PM-Yr2-2025'!$E$32:$L$36, 0, 0),
        0, 0)
)</f>
        <v>6.97</v>
      </c>
      <c r="K2089" t="s">
        <v>46</v>
      </c>
      <c r="L2089" t="s">
        <v>31</v>
      </c>
      <c r="M2089">
        <v>1</v>
      </c>
      <c r="N2089" t="str">
        <f t="shared" si="33"/>
        <v>INSERT INTO TNL_RATING.dbo.usps_rate_master VALUES ('USPS', '2/13/2025', '2/13/2026', 12659, 'US', 'Priority Mail', 3, 0, 'L', 6.97, 'Wedgewood_USPS_2025', 'Cubic Tier 1 (0.00 - 0.10)','1');</v>
      </c>
    </row>
    <row r="2090" spans="1:14" x14ac:dyDescent="0.3">
      <c r="A2090" t="s">
        <v>11</v>
      </c>
      <c r="B2090" s="1" t="s">
        <v>43</v>
      </c>
      <c r="C2090" s="1" t="s">
        <v>44</v>
      </c>
      <c r="D2090">
        <v>12659</v>
      </c>
      <c r="E2090" t="s">
        <v>12</v>
      </c>
      <c r="F2090" t="s">
        <v>47</v>
      </c>
      <c r="G2090">
        <v>4</v>
      </c>
      <c r="H2090">
        <v>0</v>
      </c>
      <c r="I2090" t="s">
        <v>45</v>
      </c>
      <c r="J2090" cm="1">
        <f t="array" ref="J2090">IFERROR(
    _xlfn.XLOOKUP(G2090, 'Wedgewood Pharm-PM-Yr2-2025'!$E$4:$L$4,
        _xlfn.XLOOKUP('Rate Load'!L2090, 'Wedgewood Pharm-PM-Yr2-2025'!$D$32:$D$36,
            'Wedgewood Pharm-PM-Yr2-2025'!$E$32:$L$36, 0, 0),
        0, 0),
    _xlfn.XLOOKUP(G2090, 'Wedgewood Pharm-PM-Yr2-2025'!$E$4:$L$4,
        _xlfn.XLOOKUP('Rate Load'!L2090, 'Wedgewood Pharm-PM-Yr2-2025'!$D$32:$D$36,
            'Wedgewood Pharm-PM-Yr2-2025'!$E$32:$L$36, 0, 0),
        0, 0)
)</f>
        <v>6.9799999999999995</v>
      </c>
      <c r="K2090" t="s">
        <v>46</v>
      </c>
      <c r="L2090" t="s">
        <v>31</v>
      </c>
      <c r="M2090">
        <v>1</v>
      </c>
      <c r="N2090" t="str">
        <f t="shared" si="33"/>
        <v>INSERT INTO TNL_RATING.dbo.usps_rate_master VALUES ('USPS', '2/13/2025', '2/13/2026', 12659, 'US', 'Priority Mail', 4, 0, 'L', 6.98, 'Wedgewood_USPS_2025', 'Cubic Tier 1 (0.00 - 0.10)','1');</v>
      </c>
    </row>
    <row r="2091" spans="1:14" x14ac:dyDescent="0.3">
      <c r="A2091" t="s">
        <v>11</v>
      </c>
      <c r="B2091" s="1" t="s">
        <v>43</v>
      </c>
      <c r="C2091" s="1" t="s">
        <v>44</v>
      </c>
      <c r="D2091">
        <v>12659</v>
      </c>
      <c r="E2091" t="s">
        <v>12</v>
      </c>
      <c r="F2091" t="s">
        <v>47</v>
      </c>
      <c r="G2091">
        <v>5</v>
      </c>
      <c r="H2091">
        <v>0</v>
      </c>
      <c r="I2091" t="s">
        <v>45</v>
      </c>
      <c r="J2091" cm="1">
        <f t="array" ref="J2091">IFERROR(
    _xlfn.XLOOKUP(G2091, 'Wedgewood Pharm-PM-Yr2-2025'!$E$4:$L$4,
        _xlfn.XLOOKUP('Rate Load'!L2091, 'Wedgewood Pharm-PM-Yr2-2025'!$D$32:$D$36,
            'Wedgewood Pharm-PM-Yr2-2025'!$E$32:$L$36, 0, 0),
        0, 0),
    _xlfn.XLOOKUP(G2091, 'Wedgewood Pharm-PM-Yr2-2025'!$E$4:$L$4,
        _xlfn.XLOOKUP('Rate Load'!L2091, 'Wedgewood Pharm-PM-Yr2-2025'!$D$32:$D$36,
            'Wedgewood Pharm-PM-Yr2-2025'!$E$32:$L$36, 0, 0),
        0, 0)
)</f>
        <v>7.3599999999999994</v>
      </c>
      <c r="K2091" t="s">
        <v>46</v>
      </c>
      <c r="L2091" t="s">
        <v>31</v>
      </c>
      <c r="M2091">
        <v>1</v>
      </c>
      <c r="N2091" t="str">
        <f t="shared" si="33"/>
        <v>INSERT INTO TNL_RATING.dbo.usps_rate_master VALUES ('USPS', '2/13/2025', '2/13/2026', 12659, 'US', 'Priority Mail', 5, 0, 'L', 7.36, 'Wedgewood_USPS_2025', 'Cubic Tier 1 (0.00 - 0.10)','1');</v>
      </c>
    </row>
    <row r="2092" spans="1:14" x14ac:dyDescent="0.3">
      <c r="A2092" t="s">
        <v>11</v>
      </c>
      <c r="B2092" s="1" t="s">
        <v>43</v>
      </c>
      <c r="C2092" s="1" t="s">
        <v>44</v>
      </c>
      <c r="D2092">
        <v>12659</v>
      </c>
      <c r="E2092" t="s">
        <v>12</v>
      </c>
      <c r="F2092" t="s">
        <v>47</v>
      </c>
      <c r="G2092">
        <v>6</v>
      </c>
      <c r="H2092">
        <v>0</v>
      </c>
      <c r="I2092" t="s">
        <v>45</v>
      </c>
      <c r="J2092" cm="1">
        <f t="array" ref="J2092">IFERROR(
    _xlfn.XLOOKUP(G2092, 'Wedgewood Pharm-PM-Yr2-2025'!$E$4:$L$4,
        _xlfn.XLOOKUP('Rate Load'!L2092, 'Wedgewood Pharm-PM-Yr2-2025'!$D$32:$D$36,
            'Wedgewood Pharm-PM-Yr2-2025'!$E$32:$L$36, 0, 0),
        0, 0),
    _xlfn.XLOOKUP(G2092, 'Wedgewood Pharm-PM-Yr2-2025'!$E$4:$L$4,
        _xlfn.XLOOKUP('Rate Load'!L2092, 'Wedgewood Pharm-PM-Yr2-2025'!$D$32:$D$36,
            'Wedgewood Pharm-PM-Yr2-2025'!$E$32:$L$36, 0, 0),
        0, 0)
)</f>
        <v>7.8199999999999994</v>
      </c>
      <c r="K2092" t="s">
        <v>46</v>
      </c>
      <c r="L2092" t="s">
        <v>31</v>
      </c>
      <c r="M2092">
        <v>1</v>
      </c>
      <c r="N2092" t="str">
        <f>"INSERT INTO TNL_RATING.dbo.usps_rate_master VALUES ('" &amp; A2092 &amp; "', '" &amp; B2092 &amp; "', '" &amp; C2092 &amp; "', " &amp; D2092 &amp; ", '" &amp; E2092 &amp; "', '" &amp; F2092 &amp; "', " &amp; G2092 &amp; ", " &amp; H2092 &amp; ", '" &amp; I2092 &amp; "', " &amp; J2092 &amp; ", '" &amp; K2092 &amp; "', '" &amp; L2092 &amp; "','" &amp; M2092 &amp; "');"</f>
        <v>INSERT INTO TNL_RATING.dbo.usps_rate_master VALUES ('USPS', '2/13/2025', '2/13/2026', 12659, 'US', 'Priority Mail', 6, 0, 'L', 7.82, 'Wedgewood_USPS_2025', 'Cubic Tier 1 (0.00 - 0.10)','1');</v>
      </c>
    </row>
    <row r="2093" spans="1:14" x14ac:dyDescent="0.3">
      <c r="A2093" t="s">
        <v>11</v>
      </c>
      <c r="B2093" s="1" t="s">
        <v>43</v>
      </c>
      <c r="C2093" s="1" t="s">
        <v>44</v>
      </c>
      <c r="D2093">
        <v>12659</v>
      </c>
      <c r="E2093" t="s">
        <v>12</v>
      </c>
      <c r="F2093" t="s">
        <v>47</v>
      </c>
      <c r="G2093">
        <v>7</v>
      </c>
      <c r="H2093">
        <v>0</v>
      </c>
      <c r="I2093" t="s">
        <v>45</v>
      </c>
      <c r="J2093" cm="1">
        <f t="array" ref="J2093">IFERROR(
    _xlfn.XLOOKUP(G2093, 'Wedgewood Pharm-PM-Yr2-2025'!$E$4:$L$4,
        _xlfn.XLOOKUP('Rate Load'!L2093, 'Wedgewood Pharm-PM-Yr2-2025'!$D$32:$D$36,
            'Wedgewood Pharm-PM-Yr2-2025'!$E$32:$L$36, 0, 0),
        0, 0),
    _xlfn.XLOOKUP(G2093, 'Wedgewood Pharm-PM-Yr2-2025'!$E$4:$L$4,
        _xlfn.XLOOKUP('Rate Load'!L2093, 'Wedgewood Pharm-PM-Yr2-2025'!$D$32:$D$36,
            'Wedgewood Pharm-PM-Yr2-2025'!$E$32:$L$36, 0, 0),
        0, 0)
)</f>
        <v>8.44</v>
      </c>
      <c r="K2093" t="s">
        <v>46</v>
      </c>
      <c r="L2093" t="s">
        <v>31</v>
      </c>
      <c r="M2093">
        <v>1</v>
      </c>
      <c r="N2093" t="str">
        <f t="shared" si="33"/>
        <v>INSERT INTO TNL_RATING.dbo.usps_rate_master VALUES ('USPS', '2/13/2025', '2/13/2026', 12659, 'US', 'Priority Mail', 7, 0, 'L', 8.44, 'Wedgewood_USPS_2025', 'Cubic Tier 1 (0.00 - 0.10)','1');</v>
      </c>
    </row>
    <row r="2094" spans="1:14" x14ac:dyDescent="0.3">
      <c r="A2094" t="s">
        <v>11</v>
      </c>
      <c r="B2094" s="1" t="s">
        <v>43</v>
      </c>
      <c r="C2094" s="1" t="s">
        <v>44</v>
      </c>
      <c r="D2094">
        <v>12659</v>
      </c>
      <c r="E2094" t="s">
        <v>12</v>
      </c>
      <c r="F2094" t="s">
        <v>47</v>
      </c>
      <c r="G2094">
        <v>8</v>
      </c>
      <c r="H2094">
        <v>0</v>
      </c>
      <c r="I2094" t="s">
        <v>45</v>
      </c>
      <c r="J2094" cm="1">
        <f t="array" ref="J2094">IFERROR(
    _xlfn.XLOOKUP(G2094, 'Wedgewood Pharm-PM-Yr2-2025'!$E$4:$L$4,
        _xlfn.XLOOKUP('Rate Load'!L2094, 'Wedgewood Pharm-PM-Yr2-2025'!$D$32:$D$36,
            'Wedgewood Pharm-PM-Yr2-2025'!$E$32:$L$36, 0, 0),
        0, 0),
    _xlfn.XLOOKUP(G2094, 'Wedgewood Pharm-PM-Yr2-2025'!$E$4:$L$4,
        _xlfn.XLOOKUP('Rate Load'!L2094, 'Wedgewood Pharm-PM-Yr2-2025'!$D$32:$D$36,
            'Wedgewood Pharm-PM-Yr2-2025'!$E$32:$L$36, 0, 0),
        0, 0)
)</f>
        <v>8.9599999999999991</v>
      </c>
      <c r="K2094" t="s">
        <v>46</v>
      </c>
      <c r="L2094" t="s">
        <v>31</v>
      </c>
      <c r="M2094">
        <v>1</v>
      </c>
      <c r="N2094" t="str">
        <f t="shared" si="33"/>
        <v>INSERT INTO TNL_RATING.dbo.usps_rate_master VALUES ('USPS', '2/13/2025', '2/13/2026', 12659, 'US', 'Priority Mail', 8, 0, 'L', 8.96, 'Wedgewood_USPS_2025', 'Cubic Tier 1 (0.00 - 0.10)','1');</v>
      </c>
    </row>
    <row r="2095" spans="1:14" x14ac:dyDescent="0.3">
      <c r="A2095" t="s">
        <v>11</v>
      </c>
      <c r="B2095" s="1" t="s">
        <v>43</v>
      </c>
      <c r="C2095" s="1" t="s">
        <v>44</v>
      </c>
      <c r="D2095">
        <v>12659</v>
      </c>
      <c r="E2095" t="s">
        <v>12</v>
      </c>
      <c r="F2095" t="s">
        <v>47</v>
      </c>
      <c r="G2095">
        <v>1</v>
      </c>
      <c r="H2095">
        <v>0</v>
      </c>
      <c r="I2095" t="s">
        <v>45</v>
      </c>
      <c r="J2095" cm="1">
        <f t="array" ref="J2095">IFERROR(
    _xlfn.XLOOKUP(G2095, 'Wedgewood Pharm-PM-Yr2-2025'!$E$4:$L$4,
        _xlfn.XLOOKUP('Rate Load'!L2095, 'Wedgewood Pharm-PM-Yr2-2025'!$D$32:$D$36,
            'Wedgewood Pharm-PM-Yr2-2025'!$E$32:$L$36, 0, 0),
        0, 0),
    _xlfn.XLOOKUP(G2095, 'Wedgewood Pharm-PM-Yr2-2025'!$E$4:$L$4,
        _xlfn.XLOOKUP('Rate Load'!L2095, 'Wedgewood Pharm-PM-Yr2-2025'!$D$32:$D$36,
            'Wedgewood Pharm-PM-Yr2-2025'!$E$32:$L$36, 0, 0),
        0, 0)
)</f>
        <v>6.97</v>
      </c>
      <c r="K2095" t="s">
        <v>46</v>
      </c>
      <c r="L2095" t="s">
        <v>32</v>
      </c>
      <c r="M2095">
        <v>1</v>
      </c>
      <c r="N2095" t="str">
        <f t="shared" si="33"/>
        <v>INSERT INTO TNL_RATING.dbo.usps_rate_master VALUES ('USPS', '2/13/2025', '2/13/2026', 12659, 'US', 'Priority Mail', 1, 0, 'L', 6.97, 'Wedgewood_USPS_2025', 'Cubic Tier 2 (0.10 - 0.20)','1');</v>
      </c>
    </row>
    <row r="2096" spans="1:14" x14ac:dyDescent="0.3">
      <c r="A2096" t="s">
        <v>11</v>
      </c>
      <c r="B2096" s="1" t="s">
        <v>43</v>
      </c>
      <c r="C2096" s="1" t="s">
        <v>44</v>
      </c>
      <c r="D2096">
        <v>12659</v>
      </c>
      <c r="E2096" t="s">
        <v>12</v>
      </c>
      <c r="F2096" t="s">
        <v>47</v>
      </c>
      <c r="G2096">
        <v>2</v>
      </c>
      <c r="H2096">
        <v>0</v>
      </c>
      <c r="I2096" t="s">
        <v>45</v>
      </c>
      <c r="J2096" cm="1">
        <f t="array" ref="J2096">IFERROR(
    _xlfn.XLOOKUP(G2096, 'Wedgewood Pharm-PM-Yr2-2025'!$E$4:$L$4,
        _xlfn.XLOOKUP('Rate Load'!L2096, 'Wedgewood Pharm-PM-Yr2-2025'!$D$32:$D$36,
            'Wedgewood Pharm-PM-Yr2-2025'!$E$32:$L$36, 0, 0),
        0, 0),
    _xlfn.XLOOKUP(G2096, 'Wedgewood Pharm-PM-Yr2-2025'!$E$4:$L$4,
        _xlfn.XLOOKUP('Rate Load'!L2096, 'Wedgewood Pharm-PM-Yr2-2025'!$D$32:$D$36,
            'Wedgewood Pharm-PM-Yr2-2025'!$E$32:$L$36, 0, 0),
        0, 0)
)</f>
        <v>6.97</v>
      </c>
      <c r="K2096" t="s">
        <v>46</v>
      </c>
      <c r="L2096" t="s">
        <v>32</v>
      </c>
      <c r="M2096">
        <v>1</v>
      </c>
      <c r="N2096" t="str">
        <f t="shared" si="33"/>
        <v>INSERT INTO TNL_RATING.dbo.usps_rate_master VALUES ('USPS', '2/13/2025', '2/13/2026', 12659, 'US', 'Priority Mail', 2, 0, 'L', 6.97, 'Wedgewood_USPS_2025', 'Cubic Tier 2 (0.10 - 0.20)','1');</v>
      </c>
    </row>
    <row r="2097" spans="1:14" x14ac:dyDescent="0.3">
      <c r="A2097" t="s">
        <v>11</v>
      </c>
      <c r="B2097" s="1" t="s">
        <v>43</v>
      </c>
      <c r="C2097" s="1" t="s">
        <v>44</v>
      </c>
      <c r="D2097">
        <v>12659</v>
      </c>
      <c r="E2097" t="s">
        <v>12</v>
      </c>
      <c r="F2097" t="s">
        <v>47</v>
      </c>
      <c r="G2097">
        <v>3</v>
      </c>
      <c r="H2097">
        <v>0</v>
      </c>
      <c r="I2097" t="s">
        <v>45</v>
      </c>
      <c r="J2097" cm="1">
        <f t="array" ref="J2097">IFERROR(
    _xlfn.XLOOKUP(G2097, 'Wedgewood Pharm-PM-Yr2-2025'!$E$4:$L$4,
        _xlfn.XLOOKUP('Rate Load'!L2097, 'Wedgewood Pharm-PM-Yr2-2025'!$D$32:$D$36,
            'Wedgewood Pharm-PM-Yr2-2025'!$E$32:$L$36, 0, 0),
        0, 0),
    _xlfn.XLOOKUP(G2097, 'Wedgewood Pharm-PM-Yr2-2025'!$E$4:$L$4,
        _xlfn.XLOOKUP('Rate Load'!L2097, 'Wedgewood Pharm-PM-Yr2-2025'!$D$32:$D$36,
            'Wedgewood Pharm-PM-Yr2-2025'!$E$32:$L$36, 0, 0),
        0, 0)
)</f>
        <v>6.97</v>
      </c>
      <c r="K2097" t="s">
        <v>46</v>
      </c>
      <c r="L2097" t="s">
        <v>32</v>
      </c>
      <c r="M2097">
        <v>1</v>
      </c>
      <c r="N2097" t="str">
        <f t="shared" si="33"/>
        <v>INSERT INTO TNL_RATING.dbo.usps_rate_master VALUES ('USPS', '2/13/2025', '2/13/2026', 12659, 'US', 'Priority Mail', 3, 0, 'L', 6.97, 'Wedgewood_USPS_2025', 'Cubic Tier 2 (0.10 - 0.20)','1');</v>
      </c>
    </row>
    <row r="2098" spans="1:14" x14ac:dyDescent="0.3">
      <c r="A2098" t="s">
        <v>11</v>
      </c>
      <c r="B2098" s="1" t="s">
        <v>43</v>
      </c>
      <c r="C2098" s="1" t="s">
        <v>44</v>
      </c>
      <c r="D2098">
        <v>12659</v>
      </c>
      <c r="E2098" t="s">
        <v>12</v>
      </c>
      <c r="F2098" t="s">
        <v>47</v>
      </c>
      <c r="G2098">
        <v>4</v>
      </c>
      <c r="H2098">
        <v>0</v>
      </c>
      <c r="I2098" t="s">
        <v>45</v>
      </c>
      <c r="J2098" cm="1">
        <f t="array" ref="J2098">IFERROR(
    _xlfn.XLOOKUP(G2098, 'Wedgewood Pharm-PM-Yr2-2025'!$E$4:$L$4,
        _xlfn.XLOOKUP('Rate Load'!L2098, 'Wedgewood Pharm-PM-Yr2-2025'!$D$32:$D$36,
            'Wedgewood Pharm-PM-Yr2-2025'!$E$32:$L$36, 0, 0),
        0, 0),
    _xlfn.XLOOKUP(G2098, 'Wedgewood Pharm-PM-Yr2-2025'!$E$4:$L$4,
        _xlfn.XLOOKUP('Rate Load'!L2098, 'Wedgewood Pharm-PM-Yr2-2025'!$D$32:$D$36,
            'Wedgewood Pharm-PM-Yr2-2025'!$E$32:$L$36, 0, 0),
        0, 0)
)</f>
        <v>7.05</v>
      </c>
      <c r="K2098" t="s">
        <v>46</v>
      </c>
      <c r="L2098" t="s">
        <v>32</v>
      </c>
      <c r="M2098">
        <v>1</v>
      </c>
      <c r="N2098" t="str">
        <f t="shared" si="33"/>
        <v>INSERT INTO TNL_RATING.dbo.usps_rate_master VALUES ('USPS', '2/13/2025', '2/13/2026', 12659, 'US', 'Priority Mail', 4, 0, 'L', 7.05, 'Wedgewood_USPS_2025', 'Cubic Tier 2 (0.10 - 0.20)','1');</v>
      </c>
    </row>
    <row r="2099" spans="1:14" x14ac:dyDescent="0.3">
      <c r="A2099" t="s">
        <v>11</v>
      </c>
      <c r="B2099" s="1" t="s">
        <v>43</v>
      </c>
      <c r="C2099" s="1" t="s">
        <v>44</v>
      </c>
      <c r="D2099">
        <v>12659</v>
      </c>
      <c r="E2099" t="s">
        <v>12</v>
      </c>
      <c r="F2099" t="s">
        <v>47</v>
      </c>
      <c r="G2099">
        <v>5</v>
      </c>
      <c r="H2099">
        <v>0</v>
      </c>
      <c r="I2099" t="s">
        <v>45</v>
      </c>
      <c r="J2099" cm="1">
        <f t="array" ref="J2099">IFERROR(
    _xlfn.XLOOKUP(G2099, 'Wedgewood Pharm-PM-Yr2-2025'!$E$4:$L$4,
        _xlfn.XLOOKUP('Rate Load'!L2099, 'Wedgewood Pharm-PM-Yr2-2025'!$D$32:$D$36,
            'Wedgewood Pharm-PM-Yr2-2025'!$E$32:$L$36, 0, 0),
        0, 0),
    _xlfn.XLOOKUP(G2099, 'Wedgewood Pharm-PM-Yr2-2025'!$E$4:$L$4,
        _xlfn.XLOOKUP('Rate Load'!L2099, 'Wedgewood Pharm-PM-Yr2-2025'!$D$32:$D$36,
            'Wedgewood Pharm-PM-Yr2-2025'!$E$32:$L$36, 0, 0),
        0, 0)
)</f>
        <v>8.1199999999999992</v>
      </c>
      <c r="K2099" t="s">
        <v>46</v>
      </c>
      <c r="L2099" t="s">
        <v>32</v>
      </c>
      <c r="M2099">
        <v>1</v>
      </c>
      <c r="N2099" t="str">
        <f t="shared" si="33"/>
        <v>INSERT INTO TNL_RATING.dbo.usps_rate_master VALUES ('USPS', '2/13/2025', '2/13/2026', 12659, 'US', 'Priority Mail', 5, 0, 'L', 8.12, 'Wedgewood_USPS_2025', 'Cubic Tier 2 (0.10 - 0.20)','1');</v>
      </c>
    </row>
    <row r="2100" spans="1:14" x14ac:dyDescent="0.3">
      <c r="A2100" t="s">
        <v>11</v>
      </c>
      <c r="B2100" s="1" t="s">
        <v>43</v>
      </c>
      <c r="C2100" s="1" t="s">
        <v>44</v>
      </c>
      <c r="D2100">
        <v>12659</v>
      </c>
      <c r="E2100" t="s">
        <v>12</v>
      </c>
      <c r="F2100" t="s">
        <v>47</v>
      </c>
      <c r="G2100">
        <v>6</v>
      </c>
      <c r="H2100">
        <v>0</v>
      </c>
      <c r="I2100" t="s">
        <v>45</v>
      </c>
      <c r="J2100" cm="1">
        <f t="array" ref="J2100">IFERROR(
    _xlfn.XLOOKUP(G2100, 'Wedgewood Pharm-PM-Yr2-2025'!$E$4:$L$4,
        _xlfn.XLOOKUP('Rate Load'!L2100, 'Wedgewood Pharm-PM-Yr2-2025'!$D$32:$D$36,
            'Wedgewood Pharm-PM-Yr2-2025'!$E$32:$L$36, 0, 0),
        0, 0),
    _xlfn.XLOOKUP(G2100, 'Wedgewood Pharm-PM-Yr2-2025'!$E$4:$L$4,
        _xlfn.XLOOKUP('Rate Load'!L2100, 'Wedgewood Pharm-PM-Yr2-2025'!$D$32:$D$36,
            'Wedgewood Pharm-PM-Yr2-2025'!$E$32:$L$36, 0, 0),
        0, 0)
)</f>
        <v>9.17</v>
      </c>
      <c r="K2100" t="s">
        <v>46</v>
      </c>
      <c r="L2100" t="s">
        <v>32</v>
      </c>
      <c r="M2100">
        <v>1</v>
      </c>
      <c r="N2100" t="str">
        <f t="shared" si="33"/>
        <v>INSERT INTO TNL_RATING.dbo.usps_rate_master VALUES ('USPS', '2/13/2025', '2/13/2026', 12659, 'US', 'Priority Mail', 6, 0, 'L', 9.17, 'Wedgewood_USPS_2025', 'Cubic Tier 2 (0.10 - 0.20)','1');</v>
      </c>
    </row>
    <row r="2101" spans="1:14" x14ac:dyDescent="0.3">
      <c r="A2101" t="s">
        <v>11</v>
      </c>
      <c r="B2101" s="1" t="s">
        <v>43</v>
      </c>
      <c r="C2101" s="1" t="s">
        <v>44</v>
      </c>
      <c r="D2101">
        <v>12659</v>
      </c>
      <c r="E2101" t="s">
        <v>12</v>
      </c>
      <c r="F2101" t="s">
        <v>47</v>
      </c>
      <c r="G2101">
        <v>7</v>
      </c>
      <c r="H2101">
        <v>0</v>
      </c>
      <c r="I2101" t="s">
        <v>45</v>
      </c>
      <c r="J2101" cm="1">
        <f t="array" ref="J2101">IFERROR(
    _xlfn.XLOOKUP(G2101, 'Wedgewood Pharm-PM-Yr2-2025'!$E$4:$L$4,
        _xlfn.XLOOKUP('Rate Load'!L2101, 'Wedgewood Pharm-PM-Yr2-2025'!$D$32:$D$36,
            'Wedgewood Pharm-PM-Yr2-2025'!$E$32:$L$36, 0, 0),
        0, 0),
    _xlfn.XLOOKUP(G2101, 'Wedgewood Pharm-PM-Yr2-2025'!$E$4:$L$4,
        _xlfn.XLOOKUP('Rate Load'!L2101, 'Wedgewood Pharm-PM-Yr2-2025'!$D$32:$D$36,
            'Wedgewood Pharm-PM-Yr2-2025'!$E$32:$L$36, 0, 0),
        0, 0)
)</f>
        <v>10.01</v>
      </c>
      <c r="K2101" t="s">
        <v>46</v>
      </c>
      <c r="L2101" t="s">
        <v>32</v>
      </c>
      <c r="M2101">
        <v>1</v>
      </c>
      <c r="N2101" t="str">
        <f t="shared" si="33"/>
        <v>INSERT INTO TNL_RATING.dbo.usps_rate_master VALUES ('USPS', '2/13/2025', '2/13/2026', 12659, 'US', 'Priority Mail', 7, 0, 'L', 10.01, 'Wedgewood_USPS_2025', 'Cubic Tier 2 (0.10 - 0.20)','1');</v>
      </c>
    </row>
    <row r="2102" spans="1:14" x14ac:dyDescent="0.3">
      <c r="A2102" t="s">
        <v>11</v>
      </c>
      <c r="B2102" s="1" t="s">
        <v>43</v>
      </c>
      <c r="C2102" s="1" t="s">
        <v>44</v>
      </c>
      <c r="D2102">
        <v>12659</v>
      </c>
      <c r="E2102" t="s">
        <v>12</v>
      </c>
      <c r="F2102" t="s">
        <v>47</v>
      </c>
      <c r="G2102">
        <v>8</v>
      </c>
      <c r="H2102">
        <v>0</v>
      </c>
      <c r="I2102" t="s">
        <v>45</v>
      </c>
      <c r="J2102" cm="1">
        <f t="array" ref="J2102">IFERROR(
    _xlfn.XLOOKUP(G2102, 'Wedgewood Pharm-PM-Yr2-2025'!$E$4:$L$4,
        _xlfn.XLOOKUP('Rate Load'!L2102, 'Wedgewood Pharm-PM-Yr2-2025'!$D$32:$D$36,
            'Wedgewood Pharm-PM-Yr2-2025'!$E$32:$L$36, 0, 0),
        0, 0),
    _xlfn.XLOOKUP(G2102, 'Wedgewood Pharm-PM-Yr2-2025'!$E$4:$L$4,
        _xlfn.XLOOKUP('Rate Load'!L2102, 'Wedgewood Pharm-PM-Yr2-2025'!$D$32:$D$36,
            'Wedgewood Pharm-PM-Yr2-2025'!$E$32:$L$36, 0, 0),
        0, 0)
)</f>
        <v>10.799999999999999</v>
      </c>
      <c r="K2102" t="s">
        <v>46</v>
      </c>
      <c r="L2102" t="s">
        <v>32</v>
      </c>
      <c r="M2102">
        <v>1</v>
      </c>
      <c r="N2102" t="str">
        <f t="shared" si="33"/>
        <v>INSERT INTO TNL_RATING.dbo.usps_rate_master VALUES ('USPS', '2/13/2025', '2/13/2026', 12659, 'US', 'Priority Mail', 8, 0, 'L', 10.8, 'Wedgewood_USPS_2025', 'Cubic Tier 2 (0.10 - 0.20)','1');</v>
      </c>
    </row>
    <row r="2103" spans="1:14" x14ac:dyDescent="0.3">
      <c r="A2103" t="s">
        <v>11</v>
      </c>
      <c r="B2103" s="1" t="s">
        <v>43</v>
      </c>
      <c r="C2103" s="1" t="s">
        <v>44</v>
      </c>
      <c r="D2103">
        <v>12659</v>
      </c>
      <c r="E2103" t="s">
        <v>12</v>
      </c>
      <c r="F2103" t="s">
        <v>47</v>
      </c>
      <c r="G2103">
        <v>1</v>
      </c>
      <c r="H2103">
        <v>0</v>
      </c>
      <c r="I2103" t="s">
        <v>45</v>
      </c>
      <c r="J2103" cm="1">
        <f t="array" ref="J2103">IFERROR(
    _xlfn.XLOOKUP(G2103, 'Wedgewood Pharm-PM-Yr2-2025'!$E$4:$L$4,
        _xlfn.XLOOKUP('Rate Load'!L2103, 'Wedgewood Pharm-PM-Yr2-2025'!$D$32:$D$36,
            'Wedgewood Pharm-PM-Yr2-2025'!$E$32:$L$36, 0, 0),
        0, 0),
    _xlfn.XLOOKUP(G2103, 'Wedgewood Pharm-PM-Yr2-2025'!$E$4:$L$4,
        _xlfn.XLOOKUP('Rate Load'!L2103, 'Wedgewood Pharm-PM-Yr2-2025'!$D$32:$D$36,
            'Wedgewood Pharm-PM-Yr2-2025'!$E$32:$L$36, 0, 0),
        0, 0)
)</f>
        <v>7.04</v>
      </c>
      <c r="K2103" t="s">
        <v>46</v>
      </c>
      <c r="L2103" t="s">
        <v>33</v>
      </c>
      <c r="M2103">
        <v>1</v>
      </c>
      <c r="N2103" t="str">
        <f t="shared" si="33"/>
        <v>INSERT INTO TNL_RATING.dbo.usps_rate_master VALUES ('USPS', '2/13/2025', '2/13/2026', 12659, 'US', 'Priority Mail', 1, 0, 'L', 7.04, 'Wedgewood_USPS_2025', 'Cubic Tier 3 (0.20 - 0.30)','1');</v>
      </c>
    </row>
    <row r="2104" spans="1:14" x14ac:dyDescent="0.3">
      <c r="A2104" t="s">
        <v>11</v>
      </c>
      <c r="B2104" s="1" t="s">
        <v>43</v>
      </c>
      <c r="C2104" s="1" t="s">
        <v>44</v>
      </c>
      <c r="D2104">
        <v>12659</v>
      </c>
      <c r="E2104" t="s">
        <v>12</v>
      </c>
      <c r="F2104" t="s">
        <v>47</v>
      </c>
      <c r="G2104">
        <v>2</v>
      </c>
      <c r="H2104">
        <v>0</v>
      </c>
      <c r="I2104" t="s">
        <v>45</v>
      </c>
      <c r="J2104" cm="1">
        <f t="array" ref="J2104">IFERROR(
    _xlfn.XLOOKUP(G2104, 'Wedgewood Pharm-PM-Yr2-2025'!$E$4:$L$4,
        _xlfn.XLOOKUP('Rate Load'!L2104, 'Wedgewood Pharm-PM-Yr2-2025'!$D$32:$D$36,
            'Wedgewood Pharm-PM-Yr2-2025'!$E$32:$L$36, 0, 0),
        0, 0),
    _xlfn.XLOOKUP(G2104, 'Wedgewood Pharm-PM-Yr2-2025'!$E$4:$L$4,
        _xlfn.XLOOKUP('Rate Load'!L2104, 'Wedgewood Pharm-PM-Yr2-2025'!$D$32:$D$36,
            'Wedgewood Pharm-PM-Yr2-2025'!$E$32:$L$36, 0, 0),
        0, 0)
)</f>
        <v>7.1099999999999994</v>
      </c>
      <c r="K2104" t="s">
        <v>46</v>
      </c>
      <c r="L2104" t="s">
        <v>33</v>
      </c>
      <c r="M2104">
        <v>1</v>
      </c>
      <c r="N2104" t="str">
        <f t="shared" si="33"/>
        <v>INSERT INTO TNL_RATING.dbo.usps_rate_master VALUES ('USPS', '2/13/2025', '2/13/2026', 12659, 'US', 'Priority Mail', 2, 0, 'L', 7.11, 'Wedgewood_USPS_2025', 'Cubic Tier 3 (0.20 - 0.30)','1');</v>
      </c>
    </row>
    <row r="2105" spans="1:14" x14ac:dyDescent="0.3">
      <c r="A2105" t="s">
        <v>11</v>
      </c>
      <c r="B2105" s="1" t="s">
        <v>43</v>
      </c>
      <c r="C2105" s="1" t="s">
        <v>44</v>
      </c>
      <c r="D2105">
        <v>12659</v>
      </c>
      <c r="E2105" t="s">
        <v>12</v>
      </c>
      <c r="F2105" t="s">
        <v>47</v>
      </c>
      <c r="G2105">
        <v>3</v>
      </c>
      <c r="H2105">
        <v>0</v>
      </c>
      <c r="I2105" t="s">
        <v>45</v>
      </c>
      <c r="J2105" cm="1">
        <f t="array" ref="J2105">IFERROR(
    _xlfn.XLOOKUP(G2105, 'Wedgewood Pharm-PM-Yr2-2025'!$E$4:$L$4,
        _xlfn.XLOOKUP('Rate Load'!L2105, 'Wedgewood Pharm-PM-Yr2-2025'!$D$32:$D$36,
            'Wedgewood Pharm-PM-Yr2-2025'!$E$32:$L$36, 0, 0),
        0, 0),
    _xlfn.XLOOKUP(G2105, 'Wedgewood Pharm-PM-Yr2-2025'!$E$4:$L$4,
        _xlfn.XLOOKUP('Rate Load'!L2105, 'Wedgewood Pharm-PM-Yr2-2025'!$D$32:$D$36,
            'Wedgewood Pharm-PM-Yr2-2025'!$E$32:$L$36, 0, 0),
        0, 0)
)</f>
        <v>7.25</v>
      </c>
      <c r="K2105" t="s">
        <v>46</v>
      </c>
      <c r="L2105" t="s">
        <v>33</v>
      </c>
      <c r="M2105">
        <v>1</v>
      </c>
      <c r="N2105" t="str">
        <f t="shared" si="33"/>
        <v>INSERT INTO TNL_RATING.dbo.usps_rate_master VALUES ('USPS', '2/13/2025', '2/13/2026', 12659, 'US', 'Priority Mail', 3, 0, 'L', 7.25, 'Wedgewood_USPS_2025', 'Cubic Tier 3 (0.20 - 0.30)','1');</v>
      </c>
    </row>
    <row r="2106" spans="1:14" x14ac:dyDescent="0.3">
      <c r="A2106" t="s">
        <v>11</v>
      </c>
      <c r="B2106" s="1" t="s">
        <v>43</v>
      </c>
      <c r="C2106" s="1" t="s">
        <v>44</v>
      </c>
      <c r="D2106">
        <v>12659</v>
      </c>
      <c r="E2106" t="s">
        <v>12</v>
      </c>
      <c r="F2106" t="s">
        <v>47</v>
      </c>
      <c r="G2106">
        <v>4</v>
      </c>
      <c r="H2106">
        <v>0</v>
      </c>
      <c r="I2106" t="s">
        <v>45</v>
      </c>
      <c r="J2106" cm="1">
        <f t="array" ref="J2106">IFERROR(
    _xlfn.XLOOKUP(G2106, 'Wedgewood Pharm-PM-Yr2-2025'!$E$4:$L$4,
        _xlfn.XLOOKUP('Rate Load'!L2106, 'Wedgewood Pharm-PM-Yr2-2025'!$D$32:$D$36,
            'Wedgewood Pharm-PM-Yr2-2025'!$E$32:$L$36, 0, 0),
        0, 0),
    _xlfn.XLOOKUP(G2106, 'Wedgewood Pharm-PM-Yr2-2025'!$E$4:$L$4,
        _xlfn.XLOOKUP('Rate Load'!L2106, 'Wedgewood Pharm-PM-Yr2-2025'!$D$32:$D$36,
            'Wedgewood Pharm-PM-Yr2-2025'!$E$32:$L$36, 0, 0),
        0, 0)
)</f>
        <v>7.3199999999999994</v>
      </c>
      <c r="K2106" t="s">
        <v>46</v>
      </c>
      <c r="L2106" t="s">
        <v>33</v>
      </c>
      <c r="M2106">
        <v>1</v>
      </c>
      <c r="N2106" t="str">
        <f t="shared" si="33"/>
        <v>INSERT INTO TNL_RATING.dbo.usps_rate_master VALUES ('USPS', '2/13/2025', '2/13/2026', 12659, 'US', 'Priority Mail', 4, 0, 'L', 7.32, 'Wedgewood_USPS_2025', 'Cubic Tier 3 (0.20 - 0.30)','1');</v>
      </c>
    </row>
    <row r="2107" spans="1:14" x14ac:dyDescent="0.3">
      <c r="A2107" t="s">
        <v>11</v>
      </c>
      <c r="B2107" s="1" t="s">
        <v>43</v>
      </c>
      <c r="C2107" s="1" t="s">
        <v>44</v>
      </c>
      <c r="D2107">
        <v>12659</v>
      </c>
      <c r="E2107" t="s">
        <v>12</v>
      </c>
      <c r="F2107" t="s">
        <v>47</v>
      </c>
      <c r="G2107">
        <v>5</v>
      </c>
      <c r="H2107">
        <v>0</v>
      </c>
      <c r="I2107" t="s">
        <v>45</v>
      </c>
      <c r="J2107" cm="1">
        <f t="array" ref="J2107">IFERROR(
    _xlfn.XLOOKUP(G2107, 'Wedgewood Pharm-PM-Yr2-2025'!$E$4:$L$4,
        _xlfn.XLOOKUP('Rate Load'!L2107, 'Wedgewood Pharm-PM-Yr2-2025'!$D$32:$D$36,
            'Wedgewood Pharm-PM-Yr2-2025'!$E$32:$L$36, 0, 0),
        0, 0),
    _xlfn.XLOOKUP(G2107, 'Wedgewood Pharm-PM-Yr2-2025'!$E$4:$L$4,
        _xlfn.XLOOKUP('Rate Load'!L2107, 'Wedgewood Pharm-PM-Yr2-2025'!$D$32:$D$36,
            'Wedgewood Pharm-PM-Yr2-2025'!$E$32:$L$36, 0, 0),
        0, 0)
)</f>
        <v>9.82</v>
      </c>
      <c r="K2107" t="s">
        <v>46</v>
      </c>
      <c r="L2107" t="s">
        <v>33</v>
      </c>
      <c r="M2107">
        <v>1</v>
      </c>
      <c r="N2107" t="str">
        <f t="shared" si="33"/>
        <v>INSERT INTO TNL_RATING.dbo.usps_rate_master VALUES ('USPS', '2/13/2025', '2/13/2026', 12659, 'US', 'Priority Mail', 5, 0, 'L', 9.82, 'Wedgewood_USPS_2025', 'Cubic Tier 3 (0.20 - 0.30)','1');</v>
      </c>
    </row>
    <row r="2108" spans="1:14" x14ac:dyDescent="0.3">
      <c r="A2108" t="s">
        <v>11</v>
      </c>
      <c r="B2108" s="1" t="s">
        <v>43</v>
      </c>
      <c r="C2108" s="1" t="s">
        <v>44</v>
      </c>
      <c r="D2108">
        <v>12659</v>
      </c>
      <c r="E2108" t="s">
        <v>12</v>
      </c>
      <c r="F2108" t="s">
        <v>47</v>
      </c>
      <c r="G2108">
        <v>6</v>
      </c>
      <c r="H2108">
        <v>0</v>
      </c>
      <c r="I2108" t="s">
        <v>45</v>
      </c>
      <c r="J2108" cm="1">
        <f t="array" ref="J2108">IFERROR(
    _xlfn.XLOOKUP(G2108, 'Wedgewood Pharm-PM-Yr2-2025'!$E$4:$L$4,
        _xlfn.XLOOKUP('Rate Load'!L2108, 'Wedgewood Pharm-PM-Yr2-2025'!$D$32:$D$36,
            'Wedgewood Pharm-PM-Yr2-2025'!$E$32:$L$36, 0, 0),
        0, 0),
    _xlfn.XLOOKUP(G2108, 'Wedgewood Pharm-PM-Yr2-2025'!$E$4:$L$4,
        _xlfn.XLOOKUP('Rate Load'!L2108, 'Wedgewood Pharm-PM-Yr2-2025'!$D$32:$D$36,
            'Wedgewood Pharm-PM-Yr2-2025'!$E$32:$L$36, 0, 0),
        0, 0)
)</f>
        <v>11.77</v>
      </c>
      <c r="K2108" t="s">
        <v>46</v>
      </c>
      <c r="L2108" t="s">
        <v>33</v>
      </c>
      <c r="M2108">
        <v>1</v>
      </c>
      <c r="N2108" t="str">
        <f t="shared" si="33"/>
        <v>INSERT INTO TNL_RATING.dbo.usps_rate_master VALUES ('USPS', '2/13/2025', '2/13/2026', 12659, 'US', 'Priority Mail', 6, 0, 'L', 11.77, 'Wedgewood_USPS_2025', 'Cubic Tier 3 (0.20 - 0.30)','1');</v>
      </c>
    </row>
    <row r="2109" spans="1:14" x14ac:dyDescent="0.3">
      <c r="A2109" t="s">
        <v>11</v>
      </c>
      <c r="B2109" s="1" t="s">
        <v>43</v>
      </c>
      <c r="C2109" s="1" t="s">
        <v>44</v>
      </c>
      <c r="D2109">
        <v>12659</v>
      </c>
      <c r="E2109" t="s">
        <v>12</v>
      </c>
      <c r="F2109" t="s">
        <v>47</v>
      </c>
      <c r="G2109">
        <v>7</v>
      </c>
      <c r="H2109">
        <v>0</v>
      </c>
      <c r="I2109" t="s">
        <v>45</v>
      </c>
      <c r="J2109" cm="1">
        <f t="array" ref="J2109">IFERROR(
    _xlfn.XLOOKUP(G2109, 'Wedgewood Pharm-PM-Yr2-2025'!$E$4:$L$4,
        _xlfn.XLOOKUP('Rate Load'!L2109, 'Wedgewood Pharm-PM-Yr2-2025'!$D$32:$D$36,
            'Wedgewood Pharm-PM-Yr2-2025'!$E$32:$L$36, 0, 0),
        0, 0),
    _xlfn.XLOOKUP(G2109, 'Wedgewood Pharm-PM-Yr2-2025'!$E$4:$L$4,
        _xlfn.XLOOKUP('Rate Load'!L2109, 'Wedgewood Pharm-PM-Yr2-2025'!$D$32:$D$36,
            'Wedgewood Pharm-PM-Yr2-2025'!$E$32:$L$36, 0, 0),
        0, 0)
)</f>
        <v>13.459999999999999</v>
      </c>
      <c r="K2109" t="s">
        <v>46</v>
      </c>
      <c r="L2109" t="s">
        <v>33</v>
      </c>
      <c r="M2109">
        <v>1</v>
      </c>
      <c r="N2109" t="str">
        <f t="shared" si="33"/>
        <v>INSERT INTO TNL_RATING.dbo.usps_rate_master VALUES ('USPS', '2/13/2025', '2/13/2026', 12659, 'US', 'Priority Mail', 7, 0, 'L', 13.46, 'Wedgewood_USPS_2025', 'Cubic Tier 3 (0.20 - 0.30)','1');</v>
      </c>
    </row>
    <row r="2110" spans="1:14" x14ac:dyDescent="0.3">
      <c r="A2110" t="s">
        <v>11</v>
      </c>
      <c r="B2110" s="1" t="s">
        <v>43</v>
      </c>
      <c r="C2110" s="1" t="s">
        <v>44</v>
      </c>
      <c r="D2110">
        <v>12659</v>
      </c>
      <c r="E2110" t="s">
        <v>12</v>
      </c>
      <c r="F2110" t="s">
        <v>47</v>
      </c>
      <c r="G2110">
        <v>8</v>
      </c>
      <c r="H2110">
        <v>0</v>
      </c>
      <c r="I2110" t="s">
        <v>45</v>
      </c>
      <c r="J2110" cm="1">
        <f t="array" ref="J2110">IFERROR(
    _xlfn.XLOOKUP(G2110, 'Wedgewood Pharm-PM-Yr2-2025'!$E$4:$L$4,
        _xlfn.XLOOKUP('Rate Load'!L2110, 'Wedgewood Pharm-PM-Yr2-2025'!$D$32:$D$36,
            'Wedgewood Pharm-PM-Yr2-2025'!$E$32:$L$36, 0, 0),
        0, 0),
    _xlfn.XLOOKUP(G2110, 'Wedgewood Pharm-PM-Yr2-2025'!$E$4:$L$4,
        _xlfn.XLOOKUP('Rate Load'!L2110, 'Wedgewood Pharm-PM-Yr2-2025'!$D$32:$D$36,
            'Wedgewood Pharm-PM-Yr2-2025'!$E$32:$L$36, 0, 0),
        0, 0)
)</f>
        <v>15.299999999999999</v>
      </c>
      <c r="K2110" t="s">
        <v>46</v>
      </c>
      <c r="L2110" t="s">
        <v>33</v>
      </c>
      <c r="M2110">
        <v>1</v>
      </c>
      <c r="N2110" t="str">
        <f t="shared" si="33"/>
        <v>INSERT INTO TNL_RATING.dbo.usps_rate_master VALUES ('USPS', '2/13/2025', '2/13/2026', 12659, 'US', 'Priority Mail', 8, 0, 'L', 15.3, 'Wedgewood_USPS_2025', 'Cubic Tier 3 (0.20 - 0.30)','1');</v>
      </c>
    </row>
    <row r="2111" spans="1:14" x14ac:dyDescent="0.3">
      <c r="A2111" t="s">
        <v>11</v>
      </c>
      <c r="B2111" s="1" t="s">
        <v>43</v>
      </c>
      <c r="C2111" s="1" t="s">
        <v>44</v>
      </c>
      <c r="D2111">
        <v>12659</v>
      </c>
      <c r="E2111" t="s">
        <v>12</v>
      </c>
      <c r="F2111" t="s">
        <v>47</v>
      </c>
      <c r="G2111">
        <v>1</v>
      </c>
      <c r="H2111">
        <v>0</v>
      </c>
      <c r="I2111" t="s">
        <v>45</v>
      </c>
      <c r="J2111" cm="1">
        <f t="array" ref="J2111">IFERROR(
    _xlfn.XLOOKUP(G2111, 'Wedgewood Pharm-PM-Yr2-2025'!$E$4:$L$4,
        _xlfn.XLOOKUP('Rate Load'!L2111, 'Wedgewood Pharm-PM-Yr2-2025'!$D$32:$D$36,
            'Wedgewood Pharm-PM-Yr2-2025'!$E$32:$L$36, 0, 0),
        0, 0),
    _xlfn.XLOOKUP(G2111, 'Wedgewood Pharm-PM-Yr2-2025'!$E$4:$L$4,
        _xlfn.XLOOKUP('Rate Load'!L2111, 'Wedgewood Pharm-PM-Yr2-2025'!$D$32:$D$36,
            'Wedgewood Pharm-PM-Yr2-2025'!$E$32:$L$36, 0, 0),
        0, 0)
)</f>
        <v>7.16</v>
      </c>
      <c r="K2111" t="s">
        <v>46</v>
      </c>
      <c r="L2111" t="s">
        <v>34</v>
      </c>
      <c r="M2111">
        <v>1</v>
      </c>
      <c r="N2111" t="str">
        <f t="shared" si="33"/>
        <v>INSERT INTO TNL_RATING.dbo.usps_rate_master VALUES ('USPS', '2/13/2025', '2/13/2026', 12659, 'US', 'Priority Mail', 1, 0, 'L', 7.16, 'Wedgewood_USPS_2025', 'Cubic Tier 4 (0.30 - 0.40)','1');</v>
      </c>
    </row>
    <row r="2112" spans="1:14" x14ac:dyDescent="0.3">
      <c r="A2112" t="s">
        <v>11</v>
      </c>
      <c r="B2112" s="1" t="s">
        <v>43</v>
      </c>
      <c r="C2112" s="1" t="s">
        <v>44</v>
      </c>
      <c r="D2112">
        <v>12659</v>
      </c>
      <c r="E2112" t="s">
        <v>12</v>
      </c>
      <c r="F2112" t="s">
        <v>47</v>
      </c>
      <c r="G2112">
        <v>2</v>
      </c>
      <c r="H2112">
        <v>0</v>
      </c>
      <c r="I2112" t="s">
        <v>45</v>
      </c>
      <c r="J2112" cm="1">
        <f t="array" ref="J2112">IFERROR(
    _xlfn.XLOOKUP(G2112, 'Wedgewood Pharm-PM-Yr2-2025'!$E$4:$L$4,
        _xlfn.XLOOKUP('Rate Load'!L2112, 'Wedgewood Pharm-PM-Yr2-2025'!$D$32:$D$36,
            'Wedgewood Pharm-PM-Yr2-2025'!$E$32:$L$36, 0, 0),
        0, 0),
    _xlfn.XLOOKUP(G2112, 'Wedgewood Pharm-PM-Yr2-2025'!$E$4:$L$4,
        _xlfn.XLOOKUP('Rate Load'!L2112, 'Wedgewood Pharm-PM-Yr2-2025'!$D$32:$D$36,
            'Wedgewood Pharm-PM-Yr2-2025'!$E$32:$L$36, 0, 0),
        0, 0)
)</f>
        <v>7.25</v>
      </c>
      <c r="K2112" t="s">
        <v>46</v>
      </c>
      <c r="L2112" t="s">
        <v>34</v>
      </c>
      <c r="M2112">
        <v>1</v>
      </c>
      <c r="N2112" t="str">
        <f t="shared" si="33"/>
        <v>INSERT INTO TNL_RATING.dbo.usps_rate_master VALUES ('USPS', '2/13/2025', '2/13/2026', 12659, 'US', 'Priority Mail', 2, 0, 'L', 7.25, 'Wedgewood_USPS_2025', 'Cubic Tier 4 (0.30 - 0.40)','1');</v>
      </c>
    </row>
    <row r="2113" spans="1:14" x14ac:dyDescent="0.3">
      <c r="A2113" t="s">
        <v>11</v>
      </c>
      <c r="B2113" s="1" t="s">
        <v>43</v>
      </c>
      <c r="C2113" s="1" t="s">
        <v>44</v>
      </c>
      <c r="D2113">
        <v>12659</v>
      </c>
      <c r="E2113" t="s">
        <v>12</v>
      </c>
      <c r="F2113" t="s">
        <v>47</v>
      </c>
      <c r="G2113">
        <v>3</v>
      </c>
      <c r="H2113">
        <v>0</v>
      </c>
      <c r="I2113" t="s">
        <v>45</v>
      </c>
      <c r="J2113" cm="1">
        <f t="array" ref="J2113">IFERROR(
    _xlfn.XLOOKUP(G2113, 'Wedgewood Pharm-PM-Yr2-2025'!$E$4:$L$4,
        _xlfn.XLOOKUP('Rate Load'!L2113, 'Wedgewood Pharm-PM-Yr2-2025'!$D$32:$D$36,
            'Wedgewood Pharm-PM-Yr2-2025'!$E$32:$L$36, 0, 0),
        0, 0),
    _xlfn.XLOOKUP(G2113, 'Wedgewood Pharm-PM-Yr2-2025'!$E$4:$L$4,
        _xlfn.XLOOKUP('Rate Load'!L2113, 'Wedgewood Pharm-PM-Yr2-2025'!$D$32:$D$36,
            'Wedgewood Pharm-PM-Yr2-2025'!$E$32:$L$36, 0, 0),
        0, 0)
)</f>
        <v>7.3199999999999994</v>
      </c>
      <c r="K2113" t="s">
        <v>46</v>
      </c>
      <c r="L2113" t="s">
        <v>34</v>
      </c>
      <c r="M2113">
        <v>1</v>
      </c>
      <c r="N2113" t="str">
        <f t="shared" si="33"/>
        <v>INSERT INTO TNL_RATING.dbo.usps_rate_master VALUES ('USPS', '2/13/2025', '2/13/2026', 12659, 'US', 'Priority Mail', 3, 0, 'L', 7.32, 'Wedgewood_USPS_2025', 'Cubic Tier 4 (0.30 - 0.40)','1');</v>
      </c>
    </row>
    <row r="2114" spans="1:14" x14ac:dyDescent="0.3">
      <c r="A2114" t="s">
        <v>11</v>
      </c>
      <c r="B2114" s="1" t="s">
        <v>43</v>
      </c>
      <c r="C2114" s="1" t="s">
        <v>44</v>
      </c>
      <c r="D2114">
        <v>12659</v>
      </c>
      <c r="E2114" t="s">
        <v>12</v>
      </c>
      <c r="F2114" t="s">
        <v>47</v>
      </c>
      <c r="G2114">
        <v>4</v>
      </c>
      <c r="H2114">
        <v>0</v>
      </c>
      <c r="I2114" t="s">
        <v>45</v>
      </c>
      <c r="J2114" cm="1">
        <f t="array" ref="J2114">IFERROR(
    _xlfn.XLOOKUP(G2114, 'Wedgewood Pharm-PM-Yr2-2025'!$E$4:$L$4,
        _xlfn.XLOOKUP('Rate Load'!L2114, 'Wedgewood Pharm-PM-Yr2-2025'!$D$32:$D$36,
            'Wedgewood Pharm-PM-Yr2-2025'!$E$32:$L$36, 0, 0),
        0, 0),
    _xlfn.XLOOKUP(G2114, 'Wedgewood Pharm-PM-Yr2-2025'!$E$4:$L$4,
        _xlfn.XLOOKUP('Rate Load'!L2114, 'Wedgewood Pharm-PM-Yr2-2025'!$D$32:$D$36,
            'Wedgewood Pharm-PM-Yr2-2025'!$E$32:$L$36, 0, 0),
        0, 0)
)</f>
        <v>7.38</v>
      </c>
      <c r="K2114" t="s">
        <v>46</v>
      </c>
      <c r="L2114" t="s">
        <v>34</v>
      </c>
      <c r="M2114">
        <v>1</v>
      </c>
      <c r="N2114" t="str">
        <f t="shared" si="33"/>
        <v>INSERT INTO TNL_RATING.dbo.usps_rate_master VALUES ('USPS', '2/13/2025', '2/13/2026', 12659, 'US', 'Priority Mail', 4, 0, 'L', 7.38, 'Wedgewood_USPS_2025', 'Cubic Tier 4 (0.30 - 0.40)','1');</v>
      </c>
    </row>
    <row r="2115" spans="1:14" x14ac:dyDescent="0.3">
      <c r="A2115" t="s">
        <v>11</v>
      </c>
      <c r="B2115" s="1" t="s">
        <v>43</v>
      </c>
      <c r="C2115" s="1" t="s">
        <v>44</v>
      </c>
      <c r="D2115">
        <v>12659</v>
      </c>
      <c r="E2115" t="s">
        <v>12</v>
      </c>
      <c r="F2115" t="s">
        <v>47</v>
      </c>
      <c r="G2115">
        <v>5</v>
      </c>
      <c r="H2115">
        <v>0</v>
      </c>
      <c r="I2115" t="s">
        <v>45</v>
      </c>
      <c r="J2115" cm="1">
        <f t="array" ref="J2115">IFERROR(
    _xlfn.XLOOKUP(G2115, 'Wedgewood Pharm-PM-Yr2-2025'!$E$4:$L$4,
        _xlfn.XLOOKUP('Rate Load'!L2115, 'Wedgewood Pharm-PM-Yr2-2025'!$D$32:$D$36,
            'Wedgewood Pharm-PM-Yr2-2025'!$E$32:$L$36, 0, 0),
        0, 0),
    _xlfn.XLOOKUP(G2115, 'Wedgewood Pharm-PM-Yr2-2025'!$E$4:$L$4,
        _xlfn.XLOOKUP('Rate Load'!L2115, 'Wedgewood Pharm-PM-Yr2-2025'!$D$32:$D$36,
            'Wedgewood Pharm-PM-Yr2-2025'!$E$32:$L$36, 0, 0),
        0, 0)
)</f>
        <v>11.68</v>
      </c>
      <c r="K2115" t="s">
        <v>46</v>
      </c>
      <c r="L2115" t="s">
        <v>34</v>
      </c>
      <c r="M2115">
        <v>1</v>
      </c>
      <c r="N2115" t="str">
        <f t="shared" si="33"/>
        <v>INSERT INTO TNL_RATING.dbo.usps_rate_master VALUES ('USPS', '2/13/2025', '2/13/2026', 12659, 'US', 'Priority Mail', 5, 0, 'L', 11.68, 'Wedgewood_USPS_2025', 'Cubic Tier 4 (0.30 - 0.40)','1');</v>
      </c>
    </row>
    <row r="2116" spans="1:14" x14ac:dyDescent="0.3">
      <c r="A2116" t="s">
        <v>11</v>
      </c>
      <c r="B2116" s="1" t="s">
        <v>43</v>
      </c>
      <c r="C2116" s="1" t="s">
        <v>44</v>
      </c>
      <c r="D2116">
        <v>12659</v>
      </c>
      <c r="E2116" t="s">
        <v>12</v>
      </c>
      <c r="F2116" t="s">
        <v>47</v>
      </c>
      <c r="G2116">
        <v>6</v>
      </c>
      <c r="H2116">
        <v>0</v>
      </c>
      <c r="I2116" t="s">
        <v>45</v>
      </c>
      <c r="J2116" cm="1">
        <f t="array" ref="J2116">IFERROR(
    _xlfn.XLOOKUP(G2116, 'Wedgewood Pharm-PM-Yr2-2025'!$E$4:$L$4,
        _xlfn.XLOOKUP('Rate Load'!L2116, 'Wedgewood Pharm-PM-Yr2-2025'!$D$32:$D$36,
            'Wedgewood Pharm-PM-Yr2-2025'!$E$32:$L$36, 0, 0),
        0, 0),
    _xlfn.XLOOKUP(G2116, 'Wedgewood Pharm-PM-Yr2-2025'!$E$4:$L$4,
        _xlfn.XLOOKUP('Rate Load'!L2116, 'Wedgewood Pharm-PM-Yr2-2025'!$D$32:$D$36,
            'Wedgewood Pharm-PM-Yr2-2025'!$E$32:$L$36, 0, 0),
        0, 0)
)</f>
        <v>13.95</v>
      </c>
      <c r="K2116" t="s">
        <v>46</v>
      </c>
      <c r="L2116" t="s">
        <v>34</v>
      </c>
      <c r="M2116">
        <v>1</v>
      </c>
      <c r="N2116" t="str">
        <f t="shared" si="33"/>
        <v>INSERT INTO TNL_RATING.dbo.usps_rate_master VALUES ('USPS', '2/13/2025', '2/13/2026', 12659, 'US', 'Priority Mail', 6, 0, 'L', 13.95, 'Wedgewood_USPS_2025', 'Cubic Tier 4 (0.30 - 0.40)','1');</v>
      </c>
    </row>
    <row r="2117" spans="1:14" x14ac:dyDescent="0.3">
      <c r="A2117" t="s">
        <v>11</v>
      </c>
      <c r="B2117" s="1" t="s">
        <v>43</v>
      </c>
      <c r="C2117" s="1" t="s">
        <v>44</v>
      </c>
      <c r="D2117">
        <v>12659</v>
      </c>
      <c r="E2117" t="s">
        <v>12</v>
      </c>
      <c r="F2117" t="s">
        <v>47</v>
      </c>
      <c r="G2117">
        <v>7</v>
      </c>
      <c r="H2117">
        <v>0</v>
      </c>
      <c r="I2117" t="s">
        <v>45</v>
      </c>
      <c r="J2117" cm="1">
        <f t="array" ref="J2117">IFERROR(
    _xlfn.XLOOKUP(G2117, 'Wedgewood Pharm-PM-Yr2-2025'!$E$4:$L$4,
        _xlfn.XLOOKUP('Rate Load'!L2117, 'Wedgewood Pharm-PM-Yr2-2025'!$D$32:$D$36,
            'Wedgewood Pharm-PM-Yr2-2025'!$E$32:$L$36, 0, 0),
        0, 0),
    _xlfn.XLOOKUP(G2117, 'Wedgewood Pharm-PM-Yr2-2025'!$E$4:$L$4,
        _xlfn.XLOOKUP('Rate Load'!L2117, 'Wedgewood Pharm-PM-Yr2-2025'!$D$32:$D$36,
            'Wedgewood Pharm-PM-Yr2-2025'!$E$32:$L$36, 0, 0),
        0, 0)
)</f>
        <v>16.520000000000003</v>
      </c>
      <c r="K2117" t="s">
        <v>46</v>
      </c>
      <c r="L2117" t="s">
        <v>34</v>
      </c>
      <c r="M2117">
        <v>1</v>
      </c>
      <c r="N2117" t="str">
        <f t="shared" si="33"/>
        <v>INSERT INTO TNL_RATING.dbo.usps_rate_master VALUES ('USPS', '2/13/2025', '2/13/2026', 12659, 'US', 'Priority Mail', 7, 0, 'L', 16.52, 'Wedgewood_USPS_2025', 'Cubic Tier 4 (0.30 - 0.40)','1');</v>
      </c>
    </row>
    <row r="2118" spans="1:14" x14ac:dyDescent="0.3">
      <c r="A2118" t="s">
        <v>11</v>
      </c>
      <c r="B2118" s="1" t="s">
        <v>43</v>
      </c>
      <c r="C2118" s="1" t="s">
        <v>44</v>
      </c>
      <c r="D2118">
        <v>12659</v>
      </c>
      <c r="E2118" t="s">
        <v>12</v>
      </c>
      <c r="F2118" t="s">
        <v>47</v>
      </c>
      <c r="G2118">
        <v>8</v>
      </c>
      <c r="H2118">
        <v>0</v>
      </c>
      <c r="I2118" t="s">
        <v>45</v>
      </c>
      <c r="J2118" cm="1">
        <f t="array" ref="J2118">IFERROR(
    _xlfn.XLOOKUP(G2118, 'Wedgewood Pharm-PM-Yr2-2025'!$E$4:$L$4,
        _xlfn.XLOOKUP('Rate Load'!L2118, 'Wedgewood Pharm-PM-Yr2-2025'!$D$32:$D$36,
            'Wedgewood Pharm-PM-Yr2-2025'!$E$32:$L$36, 0, 0),
        0, 0),
    _xlfn.XLOOKUP(G2118, 'Wedgewood Pharm-PM-Yr2-2025'!$E$4:$L$4,
        _xlfn.XLOOKUP('Rate Load'!L2118, 'Wedgewood Pharm-PM-Yr2-2025'!$D$32:$D$36,
            'Wedgewood Pharm-PM-Yr2-2025'!$E$32:$L$36, 0, 0),
        0, 0)
)</f>
        <v>18.53</v>
      </c>
      <c r="K2118" t="s">
        <v>46</v>
      </c>
      <c r="L2118" t="s">
        <v>34</v>
      </c>
      <c r="M2118">
        <v>1</v>
      </c>
      <c r="N2118" t="str">
        <f t="shared" si="33"/>
        <v>INSERT INTO TNL_RATING.dbo.usps_rate_master VALUES ('USPS', '2/13/2025', '2/13/2026', 12659, 'US', 'Priority Mail', 8, 0, 'L', 18.53, 'Wedgewood_USPS_2025', 'Cubic Tier 4 (0.30 - 0.40)','1');</v>
      </c>
    </row>
    <row r="2119" spans="1:14" x14ac:dyDescent="0.3">
      <c r="A2119" t="s">
        <v>11</v>
      </c>
      <c r="B2119" s="1" t="s">
        <v>43</v>
      </c>
      <c r="C2119" s="1" t="s">
        <v>44</v>
      </c>
      <c r="D2119">
        <v>12659</v>
      </c>
      <c r="E2119" t="s">
        <v>12</v>
      </c>
      <c r="F2119" t="s">
        <v>47</v>
      </c>
      <c r="G2119">
        <v>1</v>
      </c>
      <c r="H2119">
        <v>0</v>
      </c>
      <c r="I2119" t="s">
        <v>45</v>
      </c>
      <c r="J2119" cm="1">
        <f t="array" ref="J2119">IFERROR(
    _xlfn.XLOOKUP(G2119, 'Wedgewood Pharm-PM-Yr2-2025'!$E$4:$L$4,
        _xlfn.XLOOKUP('Rate Load'!L2119, 'Wedgewood Pharm-PM-Yr2-2025'!$D$32:$D$36,
            'Wedgewood Pharm-PM-Yr2-2025'!$E$32:$L$36, 0, 0),
        0, 0),
    _xlfn.XLOOKUP(G2119, 'Wedgewood Pharm-PM-Yr2-2025'!$E$4:$L$4,
        _xlfn.XLOOKUP('Rate Load'!L2119, 'Wedgewood Pharm-PM-Yr2-2025'!$D$32:$D$36,
            'Wedgewood Pharm-PM-Yr2-2025'!$E$32:$L$36, 0, 0),
        0, 0)
)</f>
        <v>7.2299999999999995</v>
      </c>
      <c r="K2119" t="s">
        <v>46</v>
      </c>
      <c r="L2119" t="s">
        <v>35</v>
      </c>
      <c r="M2119">
        <v>1</v>
      </c>
      <c r="N2119" t="str">
        <f t="shared" si="33"/>
        <v>INSERT INTO TNL_RATING.dbo.usps_rate_master VALUES ('USPS', '2/13/2025', '2/13/2026', 12659, 'US', 'Priority Mail', 1, 0, 'L', 7.23, 'Wedgewood_USPS_2025', 'Cubic Tier 5 (0.40 - 0.50)','1');</v>
      </c>
    </row>
    <row r="2120" spans="1:14" x14ac:dyDescent="0.3">
      <c r="A2120" t="s">
        <v>11</v>
      </c>
      <c r="B2120" s="1" t="s">
        <v>43</v>
      </c>
      <c r="C2120" s="1" t="s">
        <v>44</v>
      </c>
      <c r="D2120">
        <v>12659</v>
      </c>
      <c r="E2120" t="s">
        <v>12</v>
      </c>
      <c r="F2120" t="s">
        <v>47</v>
      </c>
      <c r="G2120">
        <v>2</v>
      </c>
      <c r="H2120">
        <v>0</v>
      </c>
      <c r="I2120" t="s">
        <v>45</v>
      </c>
      <c r="J2120" cm="1">
        <f t="array" ref="J2120">IFERROR(
    _xlfn.XLOOKUP(G2120, 'Wedgewood Pharm-PM-Yr2-2025'!$E$4:$L$4,
        _xlfn.XLOOKUP('Rate Load'!L2120, 'Wedgewood Pharm-PM-Yr2-2025'!$D$32:$D$36,
            'Wedgewood Pharm-PM-Yr2-2025'!$E$32:$L$36, 0, 0),
        0, 0),
    _xlfn.XLOOKUP(G2120, 'Wedgewood Pharm-PM-Yr2-2025'!$E$4:$L$4,
        _xlfn.XLOOKUP('Rate Load'!L2120, 'Wedgewood Pharm-PM-Yr2-2025'!$D$32:$D$36,
            'Wedgewood Pharm-PM-Yr2-2025'!$E$32:$L$36, 0, 0),
        0, 0)
)</f>
        <v>7.35</v>
      </c>
      <c r="K2120" t="s">
        <v>46</v>
      </c>
      <c r="L2120" t="s">
        <v>35</v>
      </c>
      <c r="M2120">
        <v>1</v>
      </c>
      <c r="N2120" t="str">
        <f t="shared" si="33"/>
        <v>INSERT INTO TNL_RATING.dbo.usps_rate_master VALUES ('USPS', '2/13/2025', '2/13/2026', 12659, 'US', 'Priority Mail', 2, 0, 'L', 7.35, 'Wedgewood_USPS_2025', 'Cubic Tier 5 (0.40 - 0.50)','1');</v>
      </c>
    </row>
    <row r="2121" spans="1:14" x14ac:dyDescent="0.3">
      <c r="A2121" t="s">
        <v>11</v>
      </c>
      <c r="B2121" s="1" t="s">
        <v>43</v>
      </c>
      <c r="C2121" s="1" t="s">
        <v>44</v>
      </c>
      <c r="D2121">
        <v>12659</v>
      </c>
      <c r="E2121" t="s">
        <v>12</v>
      </c>
      <c r="F2121" t="s">
        <v>47</v>
      </c>
      <c r="G2121">
        <v>3</v>
      </c>
      <c r="H2121">
        <v>0</v>
      </c>
      <c r="I2121" t="s">
        <v>45</v>
      </c>
      <c r="J2121" cm="1">
        <f t="array" ref="J2121">IFERROR(
    _xlfn.XLOOKUP(G2121, 'Wedgewood Pharm-PM-Yr2-2025'!$E$4:$L$4,
        _xlfn.XLOOKUP('Rate Load'!L2121, 'Wedgewood Pharm-PM-Yr2-2025'!$D$32:$D$36,
            'Wedgewood Pharm-PM-Yr2-2025'!$E$32:$L$36, 0, 0),
        0, 0),
    _xlfn.XLOOKUP(G2121, 'Wedgewood Pharm-PM-Yr2-2025'!$E$4:$L$4,
        _xlfn.XLOOKUP('Rate Load'!L2121, 'Wedgewood Pharm-PM-Yr2-2025'!$D$32:$D$36,
            'Wedgewood Pharm-PM-Yr2-2025'!$E$32:$L$36, 0, 0),
        0, 0)
)</f>
        <v>7.38</v>
      </c>
      <c r="K2121" t="s">
        <v>46</v>
      </c>
      <c r="L2121" t="s">
        <v>35</v>
      </c>
      <c r="M2121">
        <v>1</v>
      </c>
      <c r="N2121" t="str">
        <f t="shared" si="33"/>
        <v>INSERT INTO TNL_RATING.dbo.usps_rate_master VALUES ('USPS', '2/13/2025', '2/13/2026', 12659, 'US', 'Priority Mail', 3, 0, 'L', 7.38, 'Wedgewood_USPS_2025', 'Cubic Tier 5 (0.40 - 0.50)','1');</v>
      </c>
    </row>
    <row r="2122" spans="1:14" x14ac:dyDescent="0.3">
      <c r="A2122" t="s">
        <v>11</v>
      </c>
      <c r="B2122" s="1" t="s">
        <v>43</v>
      </c>
      <c r="C2122" s="1" t="s">
        <v>44</v>
      </c>
      <c r="D2122">
        <v>12659</v>
      </c>
      <c r="E2122" t="s">
        <v>12</v>
      </c>
      <c r="F2122" t="s">
        <v>47</v>
      </c>
      <c r="G2122">
        <v>4</v>
      </c>
      <c r="H2122">
        <v>0</v>
      </c>
      <c r="I2122" t="s">
        <v>45</v>
      </c>
      <c r="J2122" cm="1">
        <f t="array" ref="J2122">IFERROR(
    _xlfn.XLOOKUP(G2122, 'Wedgewood Pharm-PM-Yr2-2025'!$E$4:$L$4,
        _xlfn.XLOOKUP('Rate Load'!L2122, 'Wedgewood Pharm-PM-Yr2-2025'!$D$32:$D$36,
            'Wedgewood Pharm-PM-Yr2-2025'!$E$32:$L$36, 0, 0),
        0, 0),
    _xlfn.XLOOKUP(G2122, 'Wedgewood Pharm-PM-Yr2-2025'!$E$4:$L$4,
        _xlfn.XLOOKUP('Rate Load'!L2122, 'Wedgewood Pharm-PM-Yr2-2025'!$D$32:$D$36,
            'Wedgewood Pharm-PM-Yr2-2025'!$E$32:$L$36, 0, 0),
        0, 0)
)</f>
        <v>7.5299999999999994</v>
      </c>
      <c r="K2122" t="s">
        <v>46</v>
      </c>
      <c r="L2122" t="s">
        <v>35</v>
      </c>
      <c r="M2122">
        <v>1</v>
      </c>
      <c r="N2122" t="str">
        <f t="shared" si="33"/>
        <v>INSERT INTO TNL_RATING.dbo.usps_rate_master VALUES ('USPS', '2/13/2025', '2/13/2026', 12659, 'US', 'Priority Mail', 4, 0, 'L', 7.53, 'Wedgewood_USPS_2025', 'Cubic Tier 5 (0.40 - 0.50)','1');</v>
      </c>
    </row>
    <row r="2123" spans="1:14" x14ac:dyDescent="0.3">
      <c r="A2123" t="s">
        <v>11</v>
      </c>
      <c r="B2123" s="1" t="s">
        <v>43</v>
      </c>
      <c r="C2123" s="1" t="s">
        <v>44</v>
      </c>
      <c r="D2123">
        <v>12659</v>
      </c>
      <c r="E2123" t="s">
        <v>12</v>
      </c>
      <c r="F2123" t="s">
        <v>47</v>
      </c>
      <c r="G2123">
        <v>5</v>
      </c>
      <c r="H2123">
        <v>0</v>
      </c>
      <c r="I2123" t="s">
        <v>45</v>
      </c>
      <c r="J2123" cm="1">
        <f t="array" ref="J2123">IFERROR(
    _xlfn.XLOOKUP(G2123, 'Wedgewood Pharm-PM-Yr2-2025'!$E$4:$L$4,
        _xlfn.XLOOKUP('Rate Load'!L2123, 'Wedgewood Pharm-PM-Yr2-2025'!$D$32:$D$36,
            'Wedgewood Pharm-PM-Yr2-2025'!$E$32:$L$36, 0, 0),
        0, 0),
    _xlfn.XLOOKUP(G2123, 'Wedgewood Pharm-PM-Yr2-2025'!$E$4:$L$4,
        _xlfn.XLOOKUP('Rate Load'!L2123, 'Wedgewood Pharm-PM-Yr2-2025'!$D$32:$D$36,
            'Wedgewood Pharm-PM-Yr2-2025'!$E$32:$L$36, 0, 0),
        0, 0)
)</f>
        <v>13.33</v>
      </c>
      <c r="K2123" t="s">
        <v>46</v>
      </c>
      <c r="L2123" t="s">
        <v>35</v>
      </c>
      <c r="M2123">
        <v>1</v>
      </c>
      <c r="N2123" t="str">
        <f t="shared" si="33"/>
        <v>INSERT INTO TNL_RATING.dbo.usps_rate_master VALUES ('USPS', '2/13/2025', '2/13/2026', 12659, 'US', 'Priority Mail', 5, 0, 'L', 13.33, 'Wedgewood_USPS_2025', 'Cubic Tier 5 (0.40 - 0.50)','1');</v>
      </c>
    </row>
    <row r="2124" spans="1:14" x14ac:dyDescent="0.3">
      <c r="A2124" t="s">
        <v>11</v>
      </c>
      <c r="B2124" s="1" t="s">
        <v>43</v>
      </c>
      <c r="C2124" s="1" t="s">
        <v>44</v>
      </c>
      <c r="D2124">
        <v>12659</v>
      </c>
      <c r="E2124" t="s">
        <v>12</v>
      </c>
      <c r="F2124" t="s">
        <v>47</v>
      </c>
      <c r="G2124">
        <v>6</v>
      </c>
      <c r="H2124">
        <v>0</v>
      </c>
      <c r="I2124" t="s">
        <v>45</v>
      </c>
      <c r="J2124" cm="1">
        <f t="array" ref="J2124">IFERROR(
    _xlfn.XLOOKUP(G2124, 'Wedgewood Pharm-PM-Yr2-2025'!$E$4:$L$4,
        _xlfn.XLOOKUP('Rate Load'!L2124, 'Wedgewood Pharm-PM-Yr2-2025'!$D$32:$D$36,
            'Wedgewood Pharm-PM-Yr2-2025'!$E$32:$L$36, 0, 0),
        0, 0),
    _xlfn.XLOOKUP(G2124, 'Wedgewood Pharm-PM-Yr2-2025'!$E$4:$L$4,
        _xlfn.XLOOKUP('Rate Load'!L2124, 'Wedgewood Pharm-PM-Yr2-2025'!$D$32:$D$36,
            'Wedgewood Pharm-PM-Yr2-2025'!$E$32:$L$36, 0, 0),
        0, 0)
)</f>
        <v>15.89</v>
      </c>
      <c r="K2124" t="s">
        <v>46</v>
      </c>
      <c r="L2124" t="s">
        <v>35</v>
      </c>
      <c r="M2124">
        <v>1</v>
      </c>
      <c r="N2124" t="str">
        <f t="shared" si="33"/>
        <v>INSERT INTO TNL_RATING.dbo.usps_rate_master VALUES ('USPS', '2/13/2025', '2/13/2026', 12659, 'US', 'Priority Mail', 6, 0, 'L', 15.89, 'Wedgewood_USPS_2025', 'Cubic Tier 5 (0.40 - 0.50)','1');</v>
      </c>
    </row>
    <row r="2125" spans="1:14" x14ac:dyDescent="0.3">
      <c r="A2125" t="s">
        <v>11</v>
      </c>
      <c r="B2125" s="1" t="s">
        <v>43</v>
      </c>
      <c r="C2125" s="1" t="s">
        <v>44</v>
      </c>
      <c r="D2125">
        <v>12659</v>
      </c>
      <c r="E2125" t="s">
        <v>12</v>
      </c>
      <c r="F2125" t="s">
        <v>47</v>
      </c>
      <c r="G2125">
        <v>7</v>
      </c>
      <c r="H2125">
        <v>0</v>
      </c>
      <c r="I2125" t="s">
        <v>45</v>
      </c>
      <c r="J2125" cm="1">
        <f t="array" ref="J2125">IFERROR(
    _xlfn.XLOOKUP(G2125, 'Wedgewood Pharm-PM-Yr2-2025'!$E$4:$L$4,
        _xlfn.XLOOKUP('Rate Load'!L2125, 'Wedgewood Pharm-PM-Yr2-2025'!$D$32:$D$36,
            'Wedgewood Pharm-PM-Yr2-2025'!$E$32:$L$36, 0, 0),
        0, 0),
    _xlfn.XLOOKUP(G2125, 'Wedgewood Pharm-PM-Yr2-2025'!$E$4:$L$4,
        _xlfn.XLOOKUP('Rate Load'!L2125, 'Wedgewood Pharm-PM-Yr2-2025'!$D$32:$D$36,
            'Wedgewood Pharm-PM-Yr2-2025'!$E$32:$L$36, 0, 0),
        0, 0)
)</f>
        <v>19.62</v>
      </c>
      <c r="K2125" t="s">
        <v>46</v>
      </c>
      <c r="L2125" t="s">
        <v>35</v>
      </c>
      <c r="M2125">
        <v>1</v>
      </c>
      <c r="N2125" t="str">
        <f t="shared" si="33"/>
        <v>INSERT INTO TNL_RATING.dbo.usps_rate_master VALUES ('USPS', '2/13/2025', '2/13/2026', 12659, 'US', 'Priority Mail', 7, 0, 'L', 19.62, 'Wedgewood_USPS_2025', 'Cubic Tier 5 (0.40 - 0.50)','1');</v>
      </c>
    </row>
    <row r="2126" spans="1:14" x14ac:dyDescent="0.3">
      <c r="A2126" t="s">
        <v>11</v>
      </c>
      <c r="B2126" s="1" t="s">
        <v>43</v>
      </c>
      <c r="C2126" s="1" t="s">
        <v>44</v>
      </c>
      <c r="D2126">
        <v>12659</v>
      </c>
      <c r="E2126" t="s">
        <v>12</v>
      </c>
      <c r="F2126" t="s">
        <v>47</v>
      </c>
      <c r="G2126">
        <v>8</v>
      </c>
      <c r="H2126">
        <v>0</v>
      </c>
      <c r="I2126" t="s">
        <v>45</v>
      </c>
      <c r="J2126" cm="1">
        <f t="array" ref="J2126">IFERROR(
    _xlfn.XLOOKUP(G2126, 'Wedgewood Pharm-PM-Yr2-2025'!$E$4:$L$4,
        _xlfn.XLOOKUP('Rate Load'!L2126, 'Wedgewood Pharm-PM-Yr2-2025'!$D$32:$D$36,
            'Wedgewood Pharm-PM-Yr2-2025'!$E$32:$L$36, 0, 0),
        0, 0),
    _xlfn.XLOOKUP(G2126, 'Wedgewood Pharm-PM-Yr2-2025'!$E$4:$L$4,
        _xlfn.XLOOKUP('Rate Load'!L2126, 'Wedgewood Pharm-PM-Yr2-2025'!$D$32:$D$36,
            'Wedgewood Pharm-PM-Yr2-2025'!$E$32:$L$36, 0, 0),
        0, 0)
)</f>
        <v>22.05</v>
      </c>
      <c r="K2126" t="s">
        <v>46</v>
      </c>
      <c r="L2126" t="s">
        <v>35</v>
      </c>
      <c r="M2126">
        <v>1</v>
      </c>
      <c r="N2126" t="str">
        <f t="shared" si="33"/>
        <v>INSERT INTO TNL_RATING.dbo.usps_rate_master VALUES ('USPS', '2/13/2025', '2/13/2026', 12659, 'US', 'Priority Mail', 8, 0, 'L', 22.05, 'Wedgewood_USPS_2025', 'Cubic Tier 5 (0.40 - 0.50)','1');</v>
      </c>
    </row>
    <row r="2127" spans="1:14" x14ac:dyDescent="0.3">
      <c r="A2127" t="s">
        <v>11</v>
      </c>
      <c r="B2127" s="1" t="s">
        <v>43</v>
      </c>
      <c r="C2127" s="1" t="s">
        <v>44</v>
      </c>
      <c r="D2127">
        <v>12659</v>
      </c>
      <c r="E2127" t="s">
        <v>12</v>
      </c>
      <c r="F2127" t="s">
        <v>47</v>
      </c>
      <c r="G2127">
        <v>1</v>
      </c>
      <c r="H2127">
        <v>0</v>
      </c>
      <c r="I2127" t="s">
        <v>45</v>
      </c>
      <c r="J2127" cm="1">
        <f t="array" ref="J2127">IFERROR(
    _xlfn.XLOOKUP(G2127, 'Wedgewood Pharm-PM-Yr2-2025'!$E$4:$L$4,
        _xlfn.XLOOKUP('Rate Load'!L2127, 'Wedgewood Pharm-PM-Yr2-2025'!$D$32:$D$36,
            'Wedgewood Pharm-PM-Yr2-2025'!$E$69:$L$73, 0, 0),
        0, 0),
    _xlfn.XLOOKUP(G2127, 'Wedgewood Pharm-PM-Yr2-2025'!$E$4:$L$4,
        _xlfn.XLOOKUP('Rate Load'!L2127, 'Wedgewood Pharm-PM-Yr2-2025'!$D$32:$D$36,
            'Wedgewood Pharm-PM-Yr2-2025'!$E$69:$L$73, 0, 0),
        0, 0)
)</f>
        <v>6.9399999999999995</v>
      </c>
      <c r="K2127" t="s">
        <v>46</v>
      </c>
      <c r="L2127" t="s">
        <v>31</v>
      </c>
      <c r="M2127">
        <v>2</v>
      </c>
      <c r="N2127" t="str">
        <f t="shared" si="33"/>
        <v>INSERT INTO TNL_RATING.dbo.usps_rate_master VALUES ('USPS', '2/13/2025', '2/13/2026', 12659, 'US', 'Priority Mail', 1, 0, 'L', 6.94, 'Wedgewood_USPS_2025', 'Cubic Tier 1 (0.00 - 0.10)','2');</v>
      </c>
    </row>
    <row r="2128" spans="1:14" x14ac:dyDescent="0.3">
      <c r="A2128" t="s">
        <v>11</v>
      </c>
      <c r="B2128" s="1" t="s">
        <v>43</v>
      </c>
      <c r="C2128" s="1" t="s">
        <v>44</v>
      </c>
      <c r="D2128">
        <v>12659</v>
      </c>
      <c r="E2128" t="s">
        <v>12</v>
      </c>
      <c r="F2128" t="s">
        <v>47</v>
      </c>
      <c r="G2128">
        <v>2</v>
      </c>
      <c r="H2128">
        <v>0</v>
      </c>
      <c r="I2128" t="s">
        <v>45</v>
      </c>
      <c r="J2128" cm="1">
        <f t="array" ref="J2128">IFERROR(
    _xlfn.XLOOKUP(G2128, 'Wedgewood Pharm-PM-Yr2-2025'!$E$4:$L$4,
        _xlfn.XLOOKUP('Rate Load'!L2128, 'Wedgewood Pharm-PM-Yr2-2025'!$D$32:$D$36,
            'Wedgewood Pharm-PM-Yr2-2025'!$E$69:$L$73, 0, 0),
        0, 0),
    _xlfn.XLOOKUP(G2128, 'Wedgewood Pharm-PM-Yr2-2025'!$E$4:$L$4,
        _xlfn.XLOOKUP('Rate Load'!L2128, 'Wedgewood Pharm-PM-Yr2-2025'!$D$32:$D$36,
            'Wedgewood Pharm-PM-Yr2-2025'!$E$69:$L$73, 0, 0),
        0, 0)
)</f>
        <v>6.96</v>
      </c>
      <c r="K2128" t="s">
        <v>46</v>
      </c>
      <c r="L2128" t="s">
        <v>31</v>
      </c>
      <c r="M2128">
        <v>2</v>
      </c>
      <c r="N2128" t="str">
        <f t="shared" si="33"/>
        <v>INSERT INTO TNL_RATING.dbo.usps_rate_master VALUES ('USPS', '2/13/2025', '2/13/2026', 12659, 'US', 'Priority Mail', 2, 0, 'L', 6.96, 'Wedgewood_USPS_2025', 'Cubic Tier 1 (0.00 - 0.10)','2');</v>
      </c>
    </row>
    <row r="2129" spans="1:14" x14ac:dyDescent="0.3">
      <c r="A2129" t="s">
        <v>11</v>
      </c>
      <c r="B2129" s="1" t="s">
        <v>43</v>
      </c>
      <c r="C2129" s="1" t="s">
        <v>44</v>
      </c>
      <c r="D2129">
        <v>12659</v>
      </c>
      <c r="E2129" t="s">
        <v>12</v>
      </c>
      <c r="F2129" t="s">
        <v>47</v>
      </c>
      <c r="G2129">
        <v>3</v>
      </c>
      <c r="H2129">
        <v>0</v>
      </c>
      <c r="I2129" t="s">
        <v>45</v>
      </c>
      <c r="J2129" cm="1">
        <f t="array" ref="J2129">IFERROR(
    _xlfn.XLOOKUP(G2129, 'Wedgewood Pharm-PM-Yr2-2025'!$E$4:$L$4,
        _xlfn.XLOOKUP('Rate Load'!L2129, 'Wedgewood Pharm-PM-Yr2-2025'!$D$32:$D$36,
            'Wedgewood Pharm-PM-Yr2-2025'!$E$69:$L$73, 0, 0),
        0, 0),
    _xlfn.XLOOKUP(G2129, 'Wedgewood Pharm-PM-Yr2-2025'!$E$4:$L$4,
        _xlfn.XLOOKUP('Rate Load'!L2129, 'Wedgewood Pharm-PM-Yr2-2025'!$D$32:$D$36,
            'Wedgewood Pharm-PM-Yr2-2025'!$E$69:$L$73, 0, 0),
        0, 0)
)</f>
        <v>6.96</v>
      </c>
      <c r="K2129" t="s">
        <v>46</v>
      </c>
      <c r="L2129" t="s">
        <v>31</v>
      </c>
      <c r="M2129">
        <v>2</v>
      </c>
      <c r="N2129" t="str">
        <f t="shared" si="33"/>
        <v>INSERT INTO TNL_RATING.dbo.usps_rate_master VALUES ('USPS', '2/13/2025', '2/13/2026', 12659, 'US', 'Priority Mail', 3, 0, 'L', 6.96, 'Wedgewood_USPS_2025', 'Cubic Tier 1 (0.00 - 0.10)','2');</v>
      </c>
    </row>
    <row r="2130" spans="1:14" x14ac:dyDescent="0.3">
      <c r="A2130" t="s">
        <v>11</v>
      </c>
      <c r="B2130" s="1" t="s">
        <v>43</v>
      </c>
      <c r="C2130" s="1" t="s">
        <v>44</v>
      </c>
      <c r="D2130">
        <v>12659</v>
      </c>
      <c r="E2130" t="s">
        <v>12</v>
      </c>
      <c r="F2130" t="s">
        <v>47</v>
      </c>
      <c r="G2130">
        <v>4</v>
      </c>
      <c r="H2130">
        <v>0</v>
      </c>
      <c r="I2130" t="s">
        <v>45</v>
      </c>
      <c r="J2130" cm="1">
        <f t="array" ref="J2130">IFERROR(
    _xlfn.XLOOKUP(G2130, 'Wedgewood Pharm-PM-Yr2-2025'!$E$4:$L$4,
        _xlfn.XLOOKUP('Rate Load'!L2130, 'Wedgewood Pharm-PM-Yr2-2025'!$D$32:$D$36,
            'Wedgewood Pharm-PM-Yr2-2025'!$E$69:$L$73, 0, 0),
        0, 0),
    _xlfn.XLOOKUP(G2130, 'Wedgewood Pharm-PM-Yr2-2025'!$E$4:$L$4,
        _xlfn.XLOOKUP('Rate Load'!L2130, 'Wedgewood Pharm-PM-Yr2-2025'!$D$32:$D$36,
            'Wedgewood Pharm-PM-Yr2-2025'!$E$69:$L$73, 0, 0),
        0, 0)
)</f>
        <v>6.97</v>
      </c>
      <c r="K2130" t="s">
        <v>46</v>
      </c>
      <c r="L2130" t="s">
        <v>31</v>
      </c>
      <c r="M2130">
        <v>2</v>
      </c>
      <c r="N2130" t="str">
        <f t="shared" si="33"/>
        <v>INSERT INTO TNL_RATING.dbo.usps_rate_master VALUES ('USPS', '2/13/2025', '2/13/2026', 12659, 'US', 'Priority Mail', 4, 0, 'L', 6.97, 'Wedgewood_USPS_2025', 'Cubic Tier 1 (0.00 - 0.10)','2');</v>
      </c>
    </row>
    <row r="2131" spans="1:14" x14ac:dyDescent="0.3">
      <c r="A2131" t="s">
        <v>11</v>
      </c>
      <c r="B2131" s="1" t="s">
        <v>43</v>
      </c>
      <c r="C2131" s="1" t="s">
        <v>44</v>
      </c>
      <c r="D2131">
        <v>12659</v>
      </c>
      <c r="E2131" t="s">
        <v>12</v>
      </c>
      <c r="F2131" t="s">
        <v>47</v>
      </c>
      <c r="G2131">
        <v>5</v>
      </c>
      <c r="H2131">
        <v>0</v>
      </c>
      <c r="I2131" t="s">
        <v>45</v>
      </c>
      <c r="J2131" cm="1">
        <f t="array" ref="J2131">IFERROR(
    _xlfn.XLOOKUP(G2131, 'Wedgewood Pharm-PM-Yr2-2025'!$E$4:$L$4,
        _xlfn.XLOOKUP('Rate Load'!L2131, 'Wedgewood Pharm-PM-Yr2-2025'!$D$32:$D$36,
            'Wedgewood Pharm-PM-Yr2-2025'!$E$69:$L$73, 0, 0),
        0, 0),
    _xlfn.XLOOKUP(G2131, 'Wedgewood Pharm-PM-Yr2-2025'!$E$4:$L$4,
        _xlfn.XLOOKUP('Rate Load'!L2131, 'Wedgewood Pharm-PM-Yr2-2025'!$D$32:$D$36,
            'Wedgewood Pharm-PM-Yr2-2025'!$E$69:$L$73, 0, 0),
        0, 0)
)</f>
        <v>7.35</v>
      </c>
      <c r="K2131" t="s">
        <v>46</v>
      </c>
      <c r="L2131" t="s">
        <v>31</v>
      </c>
      <c r="M2131">
        <v>2</v>
      </c>
      <c r="N2131" t="str">
        <f t="shared" si="33"/>
        <v>INSERT INTO TNL_RATING.dbo.usps_rate_master VALUES ('USPS', '2/13/2025', '2/13/2026', 12659, 'US', 'Priority Mail', 5, 0, 'L', 7.35, 'Wedgewood_USPS_2025', 'Cubic Tier 1 (0.00 - 0.10)','2');</v>
      </c>
    </row>
    <row r="2132" spans="1:14" x14ac:dyDescent="0.3">
      <c r="A2132" t="s">
        <v>11</v>
      </c>
      <c r="B2132" s="1" t="s">
        <v>43</v>
      </c>
      <c r="C2132" s="1" t="s">
        <v>44</v>
      </c>
      <c r="D2132">
        <v>12659</v>
      </c>
      <c r="E2132" t="s">
        <v>12</v>
      </c>
      <c r="F2132" t="s">
        <v>47</v>
      </c>
      <c r="G2132">
        <v>6</v>
      </c>
      <c r="H2132">
        <v>0</v>
      </c>
      <c r="I2132" t="s">
        <v>45</v>
      </c>
      <c r="J2132" cm="1">
        <f t="array" ref="J2132">IFERROR(
    _xlfn.XLOOKUP(G2132, 'Wedgewood Pharm-PM-Yr2-2025'!$E$4:$L$4,
        _xlfn.XLOOKUP('Rate Load'!L2132, 'Wedgewood Pharm-PM-Yr2-2025'!$D$32:$D$36,
            'Wedgewood Pharm-PM-Yr2-2025'!$E$69:$L$73, 0, 0),
        0, 0),
    _xlfn.XLOOKUP(G2132, 'Wedgewood Pharm-PM-Yr2-2025'!$E$4:$L$4,
        _xlfn.XLOOKUP('Rate Load'!L2132, 'Wedgewood Pharm-PM-Yr2-2025'!$D$32:$D$36,
            'Wedgewood Pharm-PM-Yr2-2025'!$E$69:$L$73, 0, 0),
        0, 0)
)</f>
        <v>7.81</v>
      </c>
      <c r="K2132" t="s">
        <v>46</v>
      </c>
      <c r="L2132" t="s">
        <v>31</v>
      </c>
      <c r="M2132">
        <v>2</v>
      </c>
      <c r="N2132" t="str">
        <f t="shared" si="33"/>
        <v>INSERT INTO TNL_RATING.dbo.usps_rate_master VALUES ('USPS', '2/13/2025', '2/13/2026', 12659, 'US', 'Priority Mail', 6, 0, 'L', 7.81, 'Wedgewood_USPS_2025', 'Cubic Tier 1 (0.00 - 0.10)','2');</v>
      </c>
    </row>
    <row r="2133" spans="1:14" x14ac:dyDescent="0.3">
      <c r="A2133" t="s">
        <v>11</v>
      </c>
      <c r="B2133" s="1" t="s">
        <v>43</v>
      </c>
      <c r="C2133" s="1" t="s">
        <v>44</v>
      </c>
      <c r="D2133">
        <v>12659</v>
      </c>
      <c r="E2133" t="s">
        <v>12</v>
      </c>
      <c r="F2133" t="s">
        <v>47</v>
      </c>
      <c r="G2133">
        <v>7</v>
      </c>
      <c r="H2133">
        <v>0</v>
      </c>
      <c r="I2133" t="s">
        <v>45</v>
      </c>
      <c r="J2133" cm="1">
        <f t="array" ref="J2133">IFERROR(
    _xlfn.XLOOKUP(G2133, 'Wedgewood Pharm-PM-Yr2-2025'!$E$4:$L$4,
        _xlfn.XLOOKUP('Rate Load'!L2133, 'Wedgewood Pharm-PM-Yr2-2025'!$D$32:$D$36,
            'Wedgewood Pharm-PM-Yr2-2025'!$E$69:$L$73, 0, 0),
        0, 0),
    _xlfn.XLOOKUP(G2133, 'Wedgewood Pharm-PM-Yr2-2025'!$E$4:$L$4,
        _xlfn.XLOOKUP('Rate Load'!L2133, 'Wedgewood Pharm-PM-Yr2-2025'!$D$32:$D$36,
            'Wedgewood Pharm-PM-Yr2-2025'!$E$69:$L$73, 0, 0),
        0, 0)
)</f>
        <v>8.42</v>
      </c>
      <c r="K2133" t="s">
        <v>46</v>
      </c>
      <c r="L2133" t="s">
        <v>31</v>
      </c>
      <c r="M2133">
        <v>2</v>
      </c>
      <c r="N2133" t="str">
        <f t="shared" si="33"/>
        <v>INSERT INTO TNL_RATING.dbo.usps_rate_master VALUES ('USPS', '2/13/2025', '2/13/2026', 12659, 'US', 'Priority Mail', 7, 0, 'L', 8.42, 'Wedgewood_USPS_2025', 'Cubic Tier 1 (0.00 - 0.10)','2');</v>
      </c>
    </row>
    <row r="2134" spans="1:14" x14ac:dyDescent="0.3">
      <c r="A2134" t="s">
        <v>11</v>
      </c>
      <c r="B2134" s="1" t="s">
        <v>43</v>
      </c>
      <c r="C2134" s="1" t="s">
        <v>44</v>
      </c>
      <c r="D2134">
        <v>12659</v>
      </c>
      <c r="E2134" t="s">
        <v>12</v>
      </c>
      <c r="F2134" t="s">
        <v>47</v>
      </c>
      <c r="G2134">
        <v>8</v>
      </c>
      <c r="H2134">
        <v>0</v>
      </c>
      <c r="I2134" t="s">
        <v>45</v>
      </c>
      <c r="J2134" cm="1">
        <f t="array" ref="J2134">IFERROR(
    _xlfn.XLOOKUP(G2134, 'Wedgewood Pharm-PM-Yr2-2025'!$E$4:$L$4,
        _xlfn.XLOOKUP('Rate Load'!L2134, 'Wedgewood Pharm-PM-Yr2-2025'!$D$32:$D$36,
            'Wedgewood Pharm-PM-Yr2-2025'!$E$69:$L$73, 0, 0),
        0, 0),
    _xlfn.XLOOKUP(G2134, 'Wedgewood Pharm-PM-Yr2-2025'!$E$4:$L$4,
        _xlfn.XLOOKUP('Rate Load'!L2134, 'Wedgewood Pharm-PM-Yr2-2025'!$D$32:$D$36,
            'Wedgewood Pharm-PM-Yr2-2025'!$E$69:$L$73, 0, 0),
        0, 0)
)</f>
        <v>8.94</v>
      </c>
      <c r="K2134" t="s">
        <v>46</v>
      </c>
      <c r="L2134" t="s">
        <v>31</v>
      </c>
      <c r="M2134">
        <v>2</v>
      </c>
      <c r="N2134" t="str">
        <f t="shared" si="33"/>
        <v>INSERT INTO TNL_RATING.dbo.usps_rate_master VALUES ('USPS', '2/13/2025', '2/13/2026', 12659, 'US', 'Priority Mail', 8, 0, 'L', 8.94, 'Wedgewood_USPS_2025', 'Cubic Tier 1 (0.00 - 0.10)','2');</v>
      </c>
    </row>
    <row r="2135" spans="1:14" x14ac:dyDescent="0.3">
      <c r="A2135" t="s">
        <v>11</v>
      </c>
      <c r="B2135" s="1" t="s">
        <v>43</v>
      </c>
      <c r="C2135" s="1" t="s">
        <v>44</v>
      </c>
      <c r="D2135">
        <v>12659</v>
      </c>
      <c r="E2135" t="s">
        <v>12</v>
      </c>
      <c r="F2135" t="s">
        <v>47</v>
      </c>
      <c r="G2135">
        <v>1</v>
      </c>
      <c r="H2135">
        <v>0</v>
      </c>
      <c r="I2135" t="s">
        <v>45</v>
      </c>
      <c r="J2135" cm="1">
        <f t="array" ref="J2135">IFERROR(
    _xlfn.XLOOKUP(G2135, 'Wedgewood Pharm-PM-Yr2-2025'!$E$4:$L$4,
        _xlfn.XLOOKUP('Rate Load'!L2135, 'Wedgewood Pharm-PM-Yr2-2025'!$D$32:$D$36,
            'Wedgewood Pharm-PM-Yr2-2025'!$E$69:$L$73, 0, 0),
        0, 0),
    _xlfn.XLOOKUP(G2135, 'Wedgewood Pharm-PM-Yr2-2025'!$E$4:$L$4,
        _xlfn.XLOOKUP('Rate Load'!L2135, 'Wedgewood Pharm-PM-Yr2-2025'!$D$32:$D$36,
            'Wedgewood Pharm-PM-Yr2-2025'!$E$69:$L$73, 0, 0),
        0, 0)
)</f>
        <v>6.96</v>
      </c>
      <c r="K2135" t="s">
        <v>46</v>
      </c>
      <c r="L2135" t="s">
        <v>32</v>
      </c>
      <c r="M2135">
        <v>2</v>
      </c>
      <c r="N2135" t="str">
        <f t="shared" si="33"/>
        <v>INSERT INTO TNL_RATING.dbo.usps_rate_master VALUES ('USPS', '2/13/2025', '2/13/2026', 12659, 'US', 'Priority Mail', 1, 0, 'L', 6.96, 'Wedgewood_USPS_2025', 'Cubic Tier 2 (0.10 - 0.20)','2');</v>
      </c>
    </row>
    <row r="2136" spans="1:14" x14ac:dyDescent="0.3">
      <c r="A2136" t="s">
        <v>11</v>
      </c>
      <c r="B2136" s="1" t="s">
        <v>43</v>
      </c>
      <c r="C2136" s="1" t="s">
        <v>44</v>
      </c>
      <c r="D2136">
        <v>12659</v>
      </c>
      <c r="E2136" t="s">
        <v>12</v>
      </c>
      <c r="F2136" t="s">
        <v>47</v>
      </c>
      <c r="G2136">
        <v>2</v>
      </c>
      <c r="H2136">
        <v>0</v>
      </c>
      <c r="I2136" t="s">
        <v>45</v>
      </c>
      <c r="J2136" cm="1">
        <f t="array" ref="J2136">IFERROR(
    _xlfn.XLOOKUP(G2136, 'Wedgewood Pharm-PM-Yr2-2025'!$E$4:$L$4,
        _xlfn.XLOOKUP('Rate Load'!L2136, 'Wedgewood Pharm-PM-Yr2-2025'!$D$32:$D$36,
            'Wedgewood Pharm-PM-Yr2-2025'!$E$69:$L$73, 0, 0),
        0, 0),
    _xlfn.XLOOKUP(G2136, 'Wedgewood Pharm-PM-Yr2-2025'!$E$4:$L$4,
        _xlfn.XLOOKUP('Rate Load'!L2136, 'Wedgewood Pharm-PM-Yr2-2025'!$D$32:$D$36,
            'Wedgewood Pharm-PM-Yr2-2025'!$E$69:$L$73, 0, 0),
        0, 0)
)</f>
        <v>6.96</v>
      </c>
      <c r="K2136" t="s">
        <v>46</v>
      </c>
      <c r="L2136" t="s">
        <v>32</v>
      </c>
      <c r="M2136">
        <v>2</v>
      </c>
      <c r="N2136" t="str">
        <f t="shared" si="33"/>
        <v>INSERT INTO TNL_RATING.dbo.usps_rate_master VALUES ('USPS', '2/13/2025', '2/13/2026', 12659, 'US', 'Priority Mail', 2, 0, 'L', 6.96, 'Wedgewood_USPS_2025', 'Cubic Tier 2 (0.10 - 0.20)','2');</v>
      </c>
    </row>
    <row r="2137" spans="1:14" x14ac:dyDescent="0.3">
      <c r="A2137" t="s">
        <v>11</v>
      </c>
      <c r="B2137" s="1" t="s">
        <v>43</v>
      </c>
      <c r="C2137" s="1" t="s">
        <v>44</v>
      </c>
      <c r="D2137">
        <v>12659</v>
      </c>
      <c r="E2137" t="s">
        <v>12</v>
      </c>
      <c r="F2137" t="s">
        <v>47</v>
      </c>
      <c r="G2137">
        <v>3</v>
      </c>
      <c r="H2137">
        <v>0</v>
      </c>
      <c r="I2137" t="s">
        <v>45</v>
      </c>
      <c r="J2137" cm="1">
        <f t="array" ref="J2137">IFERROR(
    _xlfn.XLOOKUP(G2137, 'Wedgewood Pharm-PM-Yr2-2025'!$E$4:$L$4,
        _xlfn.XLOOKUP('Rate Load'!L2137, 'Wedgewood Pharm-PM-Yr2-2025'!$D$32:$D$36,
            'Wedgewood Pharm-PM-Yr2-2025'!$E$69:$L$73, 0, 0),
        0, 0),
    _xlfn.XLOOKUP(G2137, 'Wedgewood Pharm-PM-Yr2-2025'!$E$4:$L$4,
        _xlfn.XLOOKUP('Rate Load'!L2137, 'Wedgewood Pharm-PM-Yr2-2025'!$D$32:$D$36,
            'Wedgewood Pharm-PM-Yr2-2025'!$E$69:$L$73, 0, 0),
        0, 0)
)</f>
        <v>6.96</v>
      </c>
      <c r="K2137" t="s">
        <v>46</v>
      </c>
      <c r="L2137" t="s">
        <v>32</v>
      </c>
      <c r="M2137">
        <v>2</v>
      </c>
      <c r="N2137" t="str">
        <f t="shared" si="33"/>
        <v>INSERT INTO TNL_RATING.dbo.usps_rate_master VALUES ('USPS', '2/13/2025', '2/13/2026', 12659, 'US', 'Priority Mail', 3, 0, 'L', 6.96, 'Wedgewood_USPS_2025', 'Cubic Tier 2 (0.10 - 0.20)','2');</v>
      </c>
    </row>
    <row r="2138" spans="1:14" x14ac:dyDescent="0.3">
      <c r="A2138" t="s">
        <v>11</v>
      </c>
      <c r="B2138" s="1" t="s">
        <v>43</v>
      </c>
      <c r="C2138" s="1" t="s">
        <v>44</v>
      </c>
      <c r="D2138">
        <v>12659</v>
      </c>
      <c r="E2138" t="s">
        <v>12</v>
      </c>
      <c r="F2138" t="s">
        <v>47</v>
      </c>
      <c r="G2138">
        <v>4</v>
      </c>
      <c r="H2138">
        <v>0</v>
      </c>
      <c r="I2138" t="s">
        <v>45</v>
      </c>
      <c r="J2138" cm="1">
        <f t="array" ref="J2138">IFERROR(
    _xlfn.XLOOKUP(G2138, 'Wedgewood Pharm-PM-Yr2-2025'!$E$4:$L$4,
        _xlfn.XLOOKUP('Rate Load'!L2138, 'Wedgewood Pharm-PM-Yr2-2025'!$D$32:$D$36,
            'Wedgewood Pharm-PM-Yr2-2025'!$E$69:$L$73, 0, 0),
        0, 0),
    _xlfn.XLOOKUP(G2138, 'Wedgewood Pharm-PM-Yr2-2025'!$E$4:$L$4,
        _xlfn.XLOOKUP('Rate Load'!L2138, 'Wedgewood Pharm-PM-Yr2-2025'!$D$32:$D$36,
            'Wedgewood Pharm-PM-Yr2-2025'!$E$69:$L$73, 0, 0),
        0, 0)
)</f>
        <v>7.04</v>
      </c>
      <c r="K2138" t="s">
        <v>46</v>
      </c>
      <c r="L2138" t="s">
        <v>32</v>
      </c>
      <c r="M2138">
        <v>2</v>
      </c>
      <c r="N2138" t="str">
        <f t="shared" si="33"/>
        <v>INSERT INTO TNL_RATING.dbo.usps_rate_master VALUES ('USPS', '2/13/2025', '2/13/2026', 12659, 'US', 'Priority Mail', 4, 0, 'L', 7.04, 'Wedgewood_USPS_2025', 'Cubic Tier 2 (0.10 - 0.20)','2');</v>
      </c>
    </row>
    <row r="2139" spans="1:14" x14ac:dyDescent="0.3">
      <c r="A2139" t="s">
        <v>11</v>
      </c>
      <c r="B2139" s="1" t="s">
        <v>43</v>
      </c>
      <c r="C2139" s="1" t="s">
        <v>44</v>
      </c>
      <c r="D2139">
        <v>12659</v>
      </c>
      <c r="E2139" t="s">
        <v>12</v>
      </c>
      <c r="F2139" t="s">
        <v>47</v>
      </c>
      <c r="G2139">
        <v>5</v>
      </c>
      <c r="H2139">
        <v>0</v>
      </c>
      <c r="I2139" t="s">
        <v>45</v>
      </c>
      <c r="J2139" cm="1">
        <f t="array" ref="J2139">IFERROR(
    _xlfn.XLOOKUP(G2139, 'Wedgewood Pharm-PM-Yr2-2025'!$E$4:$L$4,
        _xlfn.XLOOKUP('Rate Load'!L2139, 'Wedgewood Pharm-PM-Yr2-2025'!$D$32:$D$36,
            'Wedgewood Pharm-PM-Yr2-2025'!$E$69:$L$73, 0, 0),
        0, 0),
    _xlfn.XLOOKUP(G2139, 'Wedgewood Pharm-PM-Yr2-2025'!$E$4:$L$4,
        _xlfn.XLOOKUP('Rate Load'!L2139, 'Wedgewood Pharm-PM-Yr2-2025'!$D$32:$D$36,
            'Wedgewood Pharm-PM-Yr2-2025'!$E$69:$L$73, 0, 0),
        0, 0)
)</f>
        <v>8.11</v>
      </c>
      <c r="K2139" t="s">
        <v>46</v>
      </c>
      <c r="L2139" t="s">
        <v>32</v>
      </c>
      <c r="M2139">
        <v>2</v>
      </c>
      <c r="N2139" t="str">
        <f t="shared" si="33"/>
        <v>INSERT INTO TNL_RATING.dbo.usps_rate_master VALUES ('USPS', '2/13/2025', '2/13/2026', 12659, 'US', 'Priority Mail', 5, 0, 'L', 8.11, 'Wedgewood_USPS_2025', 'Cubic Tier 2 (0.10 - 0.20)','2');</v>
      </c>
    </row>
    <row r="2140" spans="1:14" x14ac:dyDescent="0.3">
      <c r="A2140" t="s">
        <v>11</v>
      </c>
      <c r="B2140" s="1" t="s">
        <v>43</v>
      </c>
      <c r="C2140" s="1" t="s">
        <v>44</v>
      </c>
      <c r="D2140">
        <v>12659</v>
      </c>
      <c r="E2140" t="s">
        <v>12</v>
      </c>
      <c r="F2140" t="s">
        <v>47</v>
      </c>
      <c r="G2140">
        <v>6</v>
      </c>
      <c r="H2140">
        <v>0</v>
      </c>
      <c r="I2140" t="s">
        <v>45</v>
      </c>
      <c r="J2140" cm="1">
        <f t="array" ref="J2140">IFERROR(
    _xlfn.XLOOKUP(G2140, 'Wedgewood Pharm-PM-Yr2-2025'!$E$4:$L$4,
        _xlfn.XLOOKUP('Rate Load'!L2140, 'Wedgewood Pharm-PM-Yr2-2025'!$D$32:$D$36,
            'Wedgewood Pharm-PM-Yr2-2025'!$E$69:$L$73, 0, 0),
        0, 0),
    _xlfn.XLOOKUP(G2140, 'Wedgewood Pharm-PM-Yr2-2025'!$E$4:$L$4,
        _xlfn.XLOOKUP('Rate Load'!L2140, 'Wedgewood Pharm-PM-Yr2-2025'!$D$32:$D$36,
            'Wedgewood Pharm-PM-Yr2-2025'!$E$69:$L$73, 0, 0),
        0, 0)
)</f>
        <v>9.15</v>
      </c>
      <c r="K2140" t="s">
        <v>46</v>
      </c>
      <c r="L2140" t="s">
        <v>32</v>
      </c>
      <c r="M2140">
        <v>2</v>
      </c>
      <c r="N2140" t="str">
        <f t="shared" si="33"/>
        <v>INSERT INTO TNL_RATING.dbo.usps_rate_master VALUES ('USPS', '2/13/2025', '2/13/2026', 12659, 'US', 'Priority Mail', 6, 0, 'L', 9.15, 'Wedgewood_USPS_2025', 'Cubic Tier 2 (0.10 - 0.20)','2');</v>
      </c>
    </row>
    <row r="2141" spans="1:14" x14ac:dyDescent="0.3">
      <c r="A2141" t="s">
        <v>11</v>
      </c>
      <c r="B2141" s="1" t="s">
        <v>43</v>
      </c>
      <c r="C2141" s="1" t="s">
        <v>44</v>
      </c>
      <c r="D2141">
        <v>12659</v>
      </c>
      <c r="E2141" t="s">
        <v>12</v>
      </c>
      <c r="F2141" t="s">
        <v>47</v>
      </c>
      <c r="G2141">
        <v>7</v>
      </c>
      <c r="H2141">
        <v>0</v>
      </c>
      <c r="I2141" t="s">
        <v>45</v>
      </c>
      <c r="J2141" cm="1">
        <f t="array" ref="J2141">IFERROR(
    _xlfn.XLOOKUP(G2141, 'Wedgewood Pharm-PM-Yr2-2025'!$E$4:$L$4,
        _xlfn.XLOOKUP('Rate Load'!L2141, 'Wedgewood Pharm-PM-Yr2-2025'!$D$32:$D$36,
            'Wedgewood Pharm-PM-Yr2-2025'!$E$69:$L$73, 0, 0),
        0, 0),
    _xlfn.XLOOKUP(G2141, 'Wedgewood Pharm-PM-Yr2-2025'!$E$4:$L$4,
        _xlfn.XLOOKUP('Rate Load'!L2141, 'Wedgewood Pharm-PM-Yr2-2025'!$D$32:$D$36,
            'Wedgewood Pharm-PM-Yr2-2025'!$E$69:$L$73, 0, 0),
        0, 0)
)</f>
        <v>9.98</v>
      </c>
      <c r="K2141" t="s">
        <v>46</v>
      </c>
      <c r="L2141" t="s">
        <v>32</v>
      </c>
      <c r="M2141">
        <v>2</v>
      </c>
      <c r="N2141" t="str">
        <f t="shared" si="33"/>
        <v>INSERT INTO TNL_RATING.dbo.usps_rate_master VALUES ('USPS', '2/13/2025', '2/13/2026', 12659, 'US', 'Priority Mail', 7, 0, 'L', 9.98, 'Wedgewood_USPS_2025', 'Cubic Tier 2 (0.10 - 0.20)','2');</v>
      </c>
    </row>
    <row r="2142" spans="1:14" x14ac:dyDescent="0.3">
      <c r="A2142" t="s">
        <v>11</v>
      </c>
      <c r="B2142" s="1" t="s">
        <v>43</v>
      </c>
      <c r="C2142" s="1" t="s">
        <v>44</v>
      </c>
      <c r="D2142">
        <v>12659</v>
      </c>
      <c r="E2142" t="s">
        <v>12</v>
      </c>
      <c r="F2142" t="s">
        <v>47</v>
      </c>
      <c r="G2142">
        <v>8</v>
      </c>
      <c r="H2142">
        <v>0</v>
      </c>
      <c r="I2142" t="s">
        <v>45</v>
      </c>
      <c r="J2142" cm="1">
        <f t="array" ref="J2142">IFERROR(
    _xlfn.XLOOKUP(G2142, 'Wedgewood Pharm-PM-Yr2-2025'!$E$4:$L$4,
        _xlfn.XLOOKUP('Rate Load'!L2142, 'Wedgewood Pharm-PM-Yr2-2025'!$D$32:$D$36,
            'Wedgewood Pharm-PM-Yr2-2025'!$E$69:$L$73, 0, 0),
        0, 0),
    _xlfn.XLOOKUP(G2142, 'Wedgewood Pharm-PM-Yr2-2025'!$E$4:$L$4,
        _xlfn.XLOOKUP('Rate Load'!L2142, 'Wedgewood Pharm-PM-Yr2-2025'!$D$32:$D$36,
            'Wedgewood Pharm-PM-Yr2-2025'!$E$69:$L$73, 0, 0),
        0, 0)
)</f>
        <v>10.78</v>
      </c>
      <c r="K2142" t="s">
        <v>46</v>
      </c>
      <c r="L2142" t="s">
        <v>32</v>
      </c>
      <c r="M2142">
        <v>2</v>
      </c>
      <c r="N2142" t="str">
        <f t="shared" si="33"/>
        <v>INSERT INTO TNL_RATING.dbo.usps_rate_master VALUES ('USPS', '2/13/2025', '2/13/2026', 12659, 'US', 'Priority Mail', 8, 0, 'L', 10.78, 'Wedgewood_USPS_2025', 'Cubic Tier 2 (0.10 - 0.20)','2');</v>
      </c>
    </row>
    <row r="2143" spans="1:14" x14ac:dyDescent="0.3">
      <c r="A2143" t="s">
        <v>11</v>
      </c>
      <c r="B2143" s="1" t="s">
        <v>43</v>
      </c>
      <c r="C2143" s="1" t="s">
        <v>44</v>
      </c>
      <c r="D2143">
        <v>12659</v>
      </c>
      <c r="E2143" t="s">
        <v>12</v>
      </c>
      <c r="F2143" t="s">
        <v>47</v>
      </c>
      <c r="G2143">
        <v>1</v>
      </c>
      <c r="H2143">
        <v>0</v>
      </c>
      <c r="I2143" t="s">
        <v>45</v>
      </c>
      <c r="J2143" cm="1">
        <f t="array" ref="J2143">IFERROR(
    _xlfn.XLOOKUP(G2143, 'Wedgewood Pharm-PM-Yr2-2025'!$E$4:$L$4,
        _xlfn.XLOOKUP('Rate Load'!L2143, 'Wedgewood Pharm-PM-Yr2-2025'!$D$32:$D$36,
            'Wedgewood Pharm-PM-Yr2-2025'!$E$69:$L$73, 0, 0),
        0, 0),
    _xlfn.XLOOKUP(G2143, 'Wedgewood Pharm-PM-Yr2-2025'!$E$4:$L$4,
        _xlfn.XLOOKUP('Rate Load'!L2143, 'Wedgewood Pharm-PM-Yr2-2025'!$D$32:$D$36,
            'Wedgewood Pharm-PM-Yr2-2025'!$E$69:$L$73, 0, 0),
        0, 0)
)</f>
        <v>7.0299999999999994</v>
      </c>
      <c r="K2143" t="s">
        <v>46</v>
      </c>
      <c r="L2143" t="s">
        <v>33</v>
      </c>
      <c r="M2143">
        <v>2</v>
      </c>
      <c r="N2143" t="str">
        <f t="shared" si="33"/>
        <v>INSERT INTO TNL_RATING.dbo.usps_rate_master VALUES ('USPS', '2/13/2025', '2/13/2026', 12659, 'US', 'Priority Mail', 1, 0, 'L', 7.03, 'Wedgewood_USPS_2025', 'Cubic Tier 3 (0.20 - 0.30)','2');</v>
      </c>
    </row>
    <row r="2144" spans="1:14" x14ac:dyDescent="0.3">
      <c r="A2144" t="s">
        <v>11</v>
      </c>
      <c r="B2144" s="1" t="s">
        <v>43</v>
      </c>
      <c r="C2144" s="1" t="s">
        <v>44</v>
      </c>
      <c r="D2144">
        <v>12659</v>
      </c>
      <c r="E2144" t="s">
        <v>12</v>
      </c>
      <c r="F2144" t="s">
        <v>47</v>
      </c>
      <c r="G2144">
        <v>2</v>
      </c>
      <c r="H2144">
        <v>0</v>
      </c>
      <c r="I2144" t="s">
        <v>45</v>
      </c>
      <c r="J2144" cm="1">
        <f t="array" ref="J2144">IFERROR(
    _xlfn.XLOOKUP(G2144, 'Wedgewood Pharm-PM-Yr2-2025'!$E$4:$L$4,
        _xlfn.XLOOKUP('Rate Load'!L2144, 'Wedgewood Pharm-PM-Yr2-2025'!$D$32:$D$36,
            'Wedgewood Pharm-PM-Yr2-2025'!$E$69:$L$73, 0, 0),
        0, 0),
    _xlfn.XLOOKUP(G2144, 'Wedgewood Pharm-PM-Yr2-2025'!$E$4:$L$4,
        _xlfn.XLOOKUP('Rate Load'!L2144, 'Wedgewood Pharm-PM-Yr2-2025'!$D$32:$D$36,
            'Wedgewood Pharm-PM-Yr2-2025'!$E$69:$L$73, 0, 0),
        0, 0)
)</f>
        <v>7.09</v>
      </c>
      <c r="K2144" t="s">
        <v>46</v>
      </c>
      <c r="L2144" t="s">
        <v>33</v>
      </c>
      <c r="M2144">
        <v>2</v>
      </c>
      <c r="N2144" t="str">
        <f t="shared" si="33"/>
        <v>INSERT INTO TNL_RATING.dbo.usps_rate_master VALUES ('USPS', '2/13/2025', '2/13/2026', 12659, 'US', 'Priority Mail', 2, 0, 'L', 7.09, 'Wedgewood_USPS_2025', 'Cubic Tier 3 (0.20 - 0.30)','2');</v>
      </c>
    </row>
    <row r="2145" spans="1:14" x14ac:dyDescent="0.3">
      <c r="A2145" t="s">
        <v>11</v>
      </c>
      <c r="B2145" s="1" t="s">
        <v>43</v>
      </c>
      <c r="C2145" s="1" t="s">
        <v>44</v>
      </c>
      <c r="D2145">
        <v>12659</v>
      </c>
      <c r="E2145" t="s">
        <v>12</v>
      </c>
      <c r="F2145" t="s">
        <v>47</v>
      </c>
      <c r="G2145">
        <v>3</v>
      </c>
      <c r="H2145">
        <v>0</v>
      </c>
      <c r="I2145" t="s">
        <v>45</v>
      </c>
      <c r="J2145" cm="1">
        <f t="array" ref="J2145">IFERROR(
    _xlfn.XLOOKUP(G2145, 'Wedgewood Pharm-PM-Yr2-2025'!$E$4:$L$4,
        _xlfn.XLOOKUP('Rate Load'!L2145, 'Wedgewood Pharm-PM-Yr2-2025'!$D$32:$D$36,
            'Wedgewood Pharm-PM-Yr2-2025'!$E$69:$L$73, 0, 0),
        0, 0),
    _xlfn.XLOOKUP(G2145, 'Wedgewood Pharm-PM-Yr2-2025'!$E$4:$L$4,
        _xlfn.XLOOKUP('Rate Load'!L2145, 'Wedgewood Pharm-PM-Yr2-2025'!$D$32:$D$36,
            'Wedgewood Pharm-PM-Yr2-2025'!$E$69:$L$73, 0, 0),
        0, 0)
)</f>
        <v>7.24</v>
      </c>
      <c r="K2145" t="s">
        <v>46</v>
      </c>
      <c r="L2145" t="s">
        <v>33</v>
      </c>
      <c r="M2145">
        <v>2</v>
      </c>
      <c r="N2145" t="str">
        <f t="shared" si="33"/>
        <v>INSERT INTO TNL_RATING.dbo.usps_rate_master VALUES ('USPS', '2/13/2025', '2/13/2026', 12659, 'US', 'Priority Mail', 3, 0, 'L', 7.24, 'Wedgewood_USPS_2025', 'Cubic Tier 3 (0.20 - 0.30)','2');</v>
      </c>
    </row>
    <row r="2146" spans="1:14" x14ac:dyDescent="0.3">
      <c r="A2146" t="s">
        <v>11</v>
      </c>
      <c r="B2146" s="1" t="s">
        <v>43</v>
      </c>
      <c r="C2146" s="1" t="s">
        <v>44</v>
      </c>
      <c r="D2146">
        <v>12659</v>
      </c>
      <c r="E2146" t="s">
        <v>12</v>
      </c>
      <c r="F2146" t="s">
        <v>47</v>
      </c>
      <c r="G2146">
        <v>4</v>
      </c>
      <c r="H2146">
        <v>0</v>
      </c>
      <c r="I2146" t="s">
        <v>45</v>
      </c>
      <c r="J2146" cm="1">
        <f t="array" ref="J2146">IFERROR(
    _xlfn.XLOOKUP(G2146, 'Wedgewood Pharm-PM-Yr2-2025'!$E$4:$L$4,
        _xlfn.XLOOKUP('Rate Load'!L2146, 'Wedgewood Pharm-PM-Yr2-2025'!$D$32:$D$36,
            'Wedgewood Pharm-PM-Yr2-2025'!$E$69:$L$73, 0, 0),
        0, 0),
    _xlfn.XLOOKUP(G2146, 'Wedgewood Pharm-PM-Yr2-2025'!$E$4:$L$4,
        _xlfn.XLOOKUP('Rate Load'!L2146, 'Wedgewood Pharm-PM-Yr2-2025'!$D$32:$D$36,
            'Wedgewood Pharm-PM-Yr2-2025'!$E$69:$L$73, 0, 0),
        0, 0)
)</f>
        <v>7.31</v>
      </c>
      <c r="K2146" t="s">
        <v>46</v>
      </c>
      <c r="L2146" t="s">
        <v>33</v>
      </c>
      <c r="M2146">
        <v>2</v>
      </c>
      <c r="N2146" t="str">
        <f t="shared" si="33"/>
        <v>INSERT INTO TNL_RATING.dbo.usps_rate_master VALUES ('USPS', '2/13/2025', '2/13/2026', 12659, 'US', 'Priority Mail', 4, 0, 'L', 7.31, 'Wedgewood_USPS_2025', 'Cubic Tier 3 (0.20 - 0.30)','2');</v>
      </c>
    </row>
    <row r="2147" spans="1:14" x14ac:dyDescent="0.3">
      <c r="A2147" t="s">
        <v>11</v>
      </c>
      <c r="B2147" s="1" t="s">
        <v>43</v>
      </c>
      <c r="C2147" s="1" t="s">
        <v>44</v>
      </c>
      <c r="D2147">
        <v>12659</v>
      </c>
      <c r="E2147" t="s">
        <v>12</v>
      </c>
      <c r="F2147" t="s">
        <v>47</v>
      </c>
      <c r="G2147">
        <v>5</v>
      </c>
      <c r="H2147">
        <v>0</v>
      </c>
      <c r="I2147" t="s">
        <v>45</v>
      </c>
      <c r="J2147" cm="1">
        <f t="array" ref="J2147">IFERROR(
    _xlfn.XLOOKUP(G2147, 'Wedgewood Pharm-PM-Yr2-2025'!$E$4:$L$4,
        _xlfn.XLOOKUP('Rate Load'!L2147, 'Wedgewood Pharm-PM-Yr2-2025'!$D$32:$D$36,
            'Wedgewood Pharm-PM-Yr2-2025'!$E$69:$L$73, 0, 0),
        0, 0),
    _xlfn.XLOOKUP(G2147, 'Wedgewood Pharm-PM-Yr2-2025'!$E$4:$L$4,
        _xlfn.XLOOKUP('Rate Load'!L2147, 'Wedgewood Pharm-PM-Yr2-2025'!$D$32:$D$36,
            'Wedgewood Pharm-PM-Yr2-2025'!$E$69:$L$73, 0, 0),
        0, 0)
)</f>
        <v>9.7999999999999989</v>
      </c>
      <c r="K2147" t="s">
        <v>46</v>
      </c>
      <c r="L2147" t="s">
        <v>33</v>
      </c>
      <c r="M2147">
        <v>2</v>
      </c>
      <c r="N2147" t="str">
        <f t="shared" si="33"/>
        <v>INSERT INTO TNL_RATING.dbo.usps_rate_master VALUES ('USPS', '2/13/2025', '2/13/2026', 12659, 'US', 'Priority Mail', 5, 0, 'L', 9.8, 'Wedgewood_USPS_2025', 'Cubic Tier 3 (0.20 - 0.30)','2');</v>
      </c>
    </row>
    <row r="2148" spans="1:14" x14ac:dyDescent="0.3">
      <c r="A2148" t="s">
        <v>11</v>
      </c>
      <c r="B2148" s="1" t="s">
        <v>43</v>
      </c>
      <c r="C2148" s="1" t="s">
        <v>44</v>
      </c>
      <c r="D2148">
        <v>12659</v>
      </c>
      <c r="E2148" t="s">
        <v>12</v>
      </c>
      <c r="F2148" t="s">
        <v>47</v>
      </c>
      <c r="G2148">
        <v>6</v>
      </c>
      <c r="H2148">
        <v>0</v>
      </c>
      <c r="I2148" t="s">
        <v>45</v>
      </c>
      <c r="J2148" cm="1">
        <f t="array" ref="J2148">IFERROR(
    _xlfn.XLOOKUP(G2148, 'Wedgewood Pharm-PM-Yr2-2025'!$E$4:$L$4,
        _xlfn.XLOOKUP('Rate Load'!L2148, 'Wedgewood Pharm-PM-Yr2-2025'!$D$32:$D$36,
            'Wedgewood Pharm-PM-Yr2-2025'!$E$69:$L$73, 0, 0),
        0, 0),
    _xlfn.XLOOKUP(G2148, 'Wedgewood Pharm-PM-Yr2-2025'!$E$4:$L$4,
        _xlfn.XLOOKUP('Rate Load'!L2148, 'Wedgewood Pharm-PM-Yr2-2025'!$D$32:$D$36,
            'Wedgewood Pharm-PM-Yr2-2025'!$E$69:$L$73, 0, 0),
        0, 0)
)</f>
        <v>11.75</v>
      </c>
      <c r="K2148" t="s">
        <v>46</v>
      </c>
      <c r="L2148" t="s">
        <v>33</v>
      </c>
      <c r="M2148">
        <v>2</v>
      </c>
      <c r="N2148" t="str">
        <f t="shared" si="33"/>
        <v>INSERT INTO TNL_RATING.dbo.usps_rate_master VALUES ('USPS', '2/13/2025', '2/13/2026', 12659, 'US', 'Priority Mail', 6, 0, 'L', 11.75, 'Wedgewood_USPS_2025', 'Cubic Tier 3 (0.20 - 0.30)','2');</v>
      </c>
    </row>
    <row r="2149" spans="1:14" x14ac:dyDescent="0.3">
      <c r="A2149" t="s">
        <v>11</v>
      </c>
      <c r="B2149" s="1" t="s">
        <v>43</v>
      </c>
      <c r="C2149" s="1" t="s">
        <v>44</v>
      </c>
      <c r="D2149">
        <v>12659</v>
      </c>
      <c r="E2149" t="s">
        <v>12</v>
      </c>
      <c r="F2149" t="s">
        <v>47</v>
      </c>
      <c r="G2149">
        <v>7</v>
      </c>
      <c r="H2149">
        <v>0</v>
      </c>
      <c r="I2149" t="s">
        <v>45</v>
      </c>
      <c r="J2149" cm="1">
        <f t="array" ref="J2149">IFERROR(
    _xlfn.XLOOKUP(G2149, 'Wedgewood Pharm-PM-Yr2-2025'!$E$4:$L$4,
        _xlfn.XLOOKUP('Rate Load'!L2149, 'Wedgewood Pharm-PM-Yr2-2025'!$D$32:$D$36,
            'Wedgewood Pharm-PM-Yr2-2025'!$E$69:$L$73, 0, 0),
        0, 0),
    _xlfn.XLOOKUP(G2149, 'Wedgewood Pharm-PM-Yr2-2025'!$E$4:$L$4,
        _xlfn.XLOOKUP('Rate Load'!L2149, 'Wedgewood Pharm-PM-Yr2-2025'!$D$32:$D$36,
            'Wedgewood Pharm-PM-Yr2-2025'!$E$69:$L$73, 0, 0),
        0, 0)
)</f>
        <v>13.43</v>
      </c>
      <c r="K2149" t="s">
        <v>46</v>
      </c>
      <c r="L2149" t="s">
        <v>33</v>
      </c>
      <c r="M2149">
        <v>2</v>
      </c>
      <c r="N2149" t="str">
        <f t="shared" si="33"/>
        <v>INSERT INTO TNL_RATING.dbo.usps_rate_master VALUES ('USPS', '2/13/2025', '2/13/2026', 12659, 'US', 'Priority Mail', 7, 0, 'L', 13.43, 'Wedgewood_USPS_2025', 'Cubic Tier 3 (0.20 - 0.30)','2');</v>
      </c>
    </row>
    <row r="2150" spans="1:14" x14ac:dyDescent="0.3">
      <c r="A2150" t="s">
        <v>11</v>
      </c>
      <c r="B2150" s="1" t="s">
        <v>43</v>
      </c>
      <c r="C2150" s="1" t="s">
        <v>44</v>
      </c>
      <c r="D2150">
        <v>12659</v>
      </c>
      <c r="E2150" t="s">
        <v>12</v>
      </c>
      <c r="F2150" t="s">
        <v>47</v>
      </c>
      <c r="G2150">
        <v>8</v>
      </c>
      <c r="H2150">
        <v>0</v>
      </c>
      <c r="I2150" t="s">
        <v>45</v>
      </c>
      <c r="J2150" cm="1">
        <f t="array" ref="J2150">IFERROR(
    _xlfn.XLOOKUP(G2150, 'Wedgewood Pharm-PM-Yr2-2025'!$E$4:$L$4,
        _xlfn.XLOOKUP('Rate Load'!L2150, 'Wedgewood Pharm-PM-Yr2-2025'!$D$32:$D$36,
            'Wedgewood Pharm-PM-Yr2-2025'!$E$69:$L$73, 0, 0),
        0, 0),
    _xlfn.XLOOKUP(G2150, 'Wedgewood Pharm-PM-Yr2-2025'!$E$4:$L$4,
        _xlfn.XLOOKUP('Rate Load'!L2150, 'Wedgewood Pharm-PM-Yr2-2025'!$D$32:$D$36,
            'Wedgewood Pharm-PM-Yr2-2025'!$E$69:$L$73, 0, 0),
        0, 0)
)</f>
        <v>15.27</v>
      </c>
      <c r="K2150" t="s">
        <v>46</v>
      </c>
      <c r="L2150" t="s">
        <v>33</v>
      </c>
      <c r="M2150">
        <v>2</v>
      </c>
      <c r="N2150" t="str">
        <f t="shared" si="33"/>
        <v>INSERT INTO TNL_RATING.dbo.usps_rate_master VALUES ('USPS', '2/13/2025', '2/13/2026', 12659, 'US', 'Priority Mail', 8, 0, 'L', 15.27, 'Wedgewood_USPS_2025', 'Cubic Tier 3 (0.20 - 0.30)','2');</v>
      </c>
    </row>
    <row r="2151" spans="1:14" x14ac:dyDescent="0.3">
      <c r="A2151" t="s">
        <v>11</v>
      </c>
      <c r="B2151" s="1" t="s">
        <v>43</v>
      </c>
      <c r="C2151" s="1" t="s">
        <v>44</v>
      </c>
      <c r="D2151">
        <v>12659</v>
      </c>
      <c r="E2151" t="s">
        <v>12</v>
      </c>
      <c r="F2151" t="s">
        <v>47</v>
      </c>
      <c r="G2151">
        <v>1</v>
      </c>
      <c r="H2151">
        <v>0</v>
      </c>
      <c r="I2151" t="s">
        <v>45</v>
      </c>
      <c r="J2151" cm="1">
        <f t="array" ref="J2151">IFERROR(
    _xlfn.XLOOKUP(G2151, 'Wedgewood Pharm-PM-Yr2-2025'!$E$4:$L$4,
        _xlfn.XLOOKUP('Rate Load'!L2151, 'Wedgewood Pharm-PM-Yr2-2025'!$D$32:$D$36,
            'Wedgewood Pharm-PM-Yr2-2025'!$E$69:$L$73, 0, 0),
        0, 0),
    _xlfn.XLOOKUP(G2151, 'Wedgewood Pharm-PM-Yr2-2025'!$E$4:$L$4,
        _xlfn.XLOOKUP('Rate Load'!L2151, 'Wedgewood Pharm-PM-Yr2-2025'!$D$32:$D$36,
            'Wedgewood Pharm-PM-Yr2-2025'!$E$69:$L$73, 0, 0),
        0, 0)
)</f>
        <v>7.1499999999999995</v>
      </c>
      <c r="K2151" t="s">
        <v>46</v>
      </c>
      <c r="L2151" t="s">
        <v>34</v>
      </c>
      <c r="M2151">
        <v>2</v>
      </c>
      <c r="N2151" t="str">
        <f t="shared" ref="N2151:N2206" si="34">"INSERT INTO TNL_RATING.dbo.usps_rate_master VALUES ('" &amp; A2151 &amp; "', '" &amp; B2151 &amp; "', '" &amp; C2151 &amp; "', " &amp; D2151 &amp; ", '" &amp; E2151 &amp; "', '" &amp; F2151 &amp; "', " &amp; G2151 &amp; ", " &amp; H2151 &amp; ", '" &amp; I2151 &amp; "', " &amp; J2151 &amp; ", '" &amp; K2151 &amp; "', '" &amp; L2151 &amp; "','" &amp; M2151 &amp; "');"</f>
        <v>INSERT INTO TNL_RATING.dbo.usps_rate_master VALUES ('USPS', '2/13/2025', '2/13/2026', 12659, 'US', 'Priority Mail', 1, 0, 'L', 7.15, 'Wedgewood_USPS_2025', 'Cubic Tier 4 (0.30 - 0.40)','2');</v>
      </c>
    </row>
    <row r="2152" spans="1:14" x14ac:dyDescent="0.3">
      <c r="A2152" t="s">
        <v>11</v>
      </c>
      <c r="B2152" s="1" t="s">
        <v>43</v>
      </c>
      <c r="C2152" s="1" t="s">
        <v>44</v>
      </c>
      <c r="D2152">
        <v>12659</v>
      </c>
      <c r="E2152" t="s">
        <v>12</v>
      </c>
      <c r="F2152" t="s">
        <v>47</v>
      </c>
      <c r="G2152">
        <v>2</v>
      </c>
      <c r="H2152">
        <v>0</v>
      </c>
      <c r="I2152" t="s">
        <v>45</v>
      </c>
      <c r="J2152" cm="1">
        <f t="array" ref="J2152">IFERROR(
    _xlfn.XLOOKUP(G2152, 'Wedgewood Pharm-PM-Yr2-2025'!$E$4:$L$4,
        _xlfn.XLOOKUP('Rate Load'!L2152, 'Wedgewood Pharm-PM-Yr2-2025'!$D$32:$D$36,
            'Wedgewood Pharm-PM-Yr2-2025'!$E$69:$L$73, 0, 0),
        0, 0),
    _xlfn.XLOOKUP(G2152, 'Wedgewood Pharm-PM-Yr2-2025'!$E$4:$L$4,
        _xlfn.XLOOKUP('Rate Load'!L2152, 'Wedgewood Pharm-PM-Yr2-2025'!$D$32:$D$36,
            'Wedgewood Pharm-PM-Yr2-2025'!$E$69:$L$73, 0, 0),
        0, 0)
)</f>
        <v>7.24</v>
      </c>
      <c r="K2152" t="s">
        <v>46</v>
      </c>
      <c r="L2152" t="s">
        <v>34</v>
      </c>
      <c r="M2152">
        <v>2</v>
      </c>
      <c r="N2152" t="str">
        <f t="shared" si="34"/>
        <v>INSERT INTO TNL_RATING.dbo.usps_rate_master VALUES ('USPS', '2/13/2025', '2/13/2026', 12659, 'US', 'Priority Mail', 2, 0, 'L', 7.24, 'Wedgewood_USPS_2025', 'Cubic Tier 4 (0.30 - 0.40)','2');</v>
      </c>
    </row>
    <row r="2153" spans="1:14" x14ac:dyDescent="0.3">
      <c r="A2153" t="s">
        <v>11</v>
      </c>
      <c r="B2153" s="1" t="s">
        <v>43</v>
      </c>
      <c r="C2153" s="1" t="s">
        <v>44</v>
      </c>
      <c r="D2153">
        <v>12659</v>
      </c>
      <c r="E2153" t="s">
        <v>12</v>
      </c>
      <c r="F2153" t="s">
        <v>47</v>
      </c>
      <c r="G2153">
        <v>3</v>
      </c>
      <c r="H2153">
        <v>0</v>
      </c>
      <c r="I2153" t="s">
        <v>45</v>
      </c>
      <c r="J2153" cm="1">
        <f t="array" ref="J2153">IFERROR(
    _xlfn.XLOOKUP(G2153, 'Wedgewood Pharm-PM-Yr2-2025'!$E$4:$L$4,
        _xlfn.XLOOKUP('Rate Load'!L2153, 'Wedgewood Pharm-PM-Yr2-2025'!$D$32:$D$36,
            'Wedgewood Pharm-PM-Yr2-2025'!$E$69:$L$73, 0, 0),
        0, 0),
    _xlfn.XLOOKUP(G2153, 'Wedgewood Pharm-PM-Yr2-2025'!$E$4:$L$4,
        _xlfn.XLOOKUP('Rate Load'!L2153, 'Wedgewood Pharm-PM-Yr2-2025'!$D$32:$D$36,
            'Wedgewood Pharm-PM-Yr2-2025'!$E$69:$L$73, 0, 0),
        0, 0)
)</f>
        <v>7.31</v>
      </c>
      <c r="K2153" t="s">
        <v>46</v>
      </c>
      <c r="L2153" t="s">
        <v>34</v>
      </c>
      <c r="M2153">
        <v>2</v>
      </c>
      <c r="N2153" t="str">
        <f t="shared" si="34"/>
        <v>INSERT INTO TNL_RATING.dbo.usps_rate_master VALUES ('USPS', '2/13/2025', '2/13/2026', 12659, 'US', 'Priority Mail', 3, 0, 'L', 7.31, 'Wedgewood_USPS_2025', 'Cubic Tier 4 (0.30 - 0.40)','2');</v>
      </c>
    </row>
    <row r="2154" spans="1:14" x14ac:dyDescent="0.3">
      <c r="A2154" t="s">
        <v>11</v>
      </c>
      <c r="B2154" s="1" t="s">
        <v>43</v>
      </c>
      <c r="C2154" s="1" t="s">
        <v>44</v>
      </c>
      <c r="D2154">
        <v>12659</v>
      </c>
      <c r="E2154" t="s">
        <v>12</v>
      </c>
      <c r="F2154" t="s">
        <v>47</v>
      </c>
      <c r="G2154">
        <v>4</v>
      </c>
      <c r="H2154">
        <v>0</v>
      </c>
      <c r="I2154" t="s">
        <v>45</v>
      </c>
      <c r="J2154" cm="1">
        <f t="array" ref="J2154">IFERROR(
    _xlfn.XLOOKUP(G2154, 'Wedgewood Pharm-PM-Yr2-2025'!$E$4:$L$4,
        _xlfn.XLOOKUP('Rate Load'!L2154, 'Wedgewood Pharm-PM-Yr2-2025'!$D$32:$D$36,
            'Wedgewood Pharm-PM-Yr2-2025'!$E$69:$L$73, 0, 0),
        0, 0),
    _xlfn.XLOOKUP(G2154, 'Wedgewood Pharm-PM-Yr2-2025'!$E$4:$L$4,
        _xlfn.XLOOKUP('Rate Load'!L2154, 'Wedgewood Pharm-PM-Yr2-2025'!$D$32:$D$36,
            'Wedgewood Pharm-PM-Yr2-2025'!$E$69:$L$73, 0, 0),
        0, 0)
)</f>
        <v>7.37</v>
      </c>
      <c r="K2154" t="s">
        <v>46</v>
      </c>
      <c r="L2154" t="s">
        <v>34</v>
      </c>
      <c r="M2154">
        <v>2</v>
      </c>
      <c r="N2154" t="str">
        <f t="shared" si="34"/>
        <v>INSERT INTO TNL_RATING.dbo.usps_rate_master VALUES ('USPS', '2/13/2025', '2/13/2026', 12659, 'US', 'Priority Mail', 4, 0, 'L', 7.37, 'Wedgewood_USPS_2025', 'Cubic Tier 4 (0.30 - 0.40)','2');</v>
      </c>
    </row>
    <row r="2155" spans="1:14" x14ac:dyDescent="0.3">
      <c r="A2155" t="s">
        <v>11</v>
      </c>
      <c r="B2155" s="1" t="s">
        <v>43</v>
      </c>
      <c r="C2155" s="1" t="s">
        <v>44</v>
      </c>
      <c r="D2155">
        <v>12659</v>
      </c>
      <c r="E2155" t="s">
        <v>12</v>
      </c>
      <c r="F2155" t="s">
        <v>47</v>
      </c>
      <c r="G2155">
        <v>5</v>
      </c>
      <c r="H2155">
        <v>0</v>
      </c>
      <c r="I2155" t="s">
        <v>45</v>
      </c>
      <c r="J2155" cm="1">
        <f t="array" ref="J2155">IFERROR(
    _xlfn.XLOOKUP(G2155, 'Wedgewood Pharm-PM-Yr2-2025'!$E$4:$L$4,
        _xlfn.XLOOKUP('Rate Load'!L2155, 'Wedgewood Pharm-PM-Yr2-2025'!$D$32:$D$36,
            'Wedgewood Pharm-PM-Yr2-2025'!$E$69:$L$73, 0, 0),
        0, 0),
    _xlfn.XLOOKUP(G2155, 'Wedgewood Pharm-PM-Yr2-2025'!$E$4:$L$4,
        _xlfn.XLOOKUP('Rate Load'!L2155, 'Wedgewood Pharm-PM-Yr2-2025'!$D$32:$D$36,
            'Wedgewood Pharm-PM-Yr2-2025'!$E$69:$L$73, 0, 0),
        0, 0)
)</f>
        <v>11.66</v>
      </c>
      <c r="K2155" t="s">
        <v>46</v>
      </c>
      <c r="L2155" t="s">
        <v>34</v>
      </c>
      <c r="M2155">
        <v>2</v>
      </c>
      <c r="N2155" t="str">
        <f t="shared" si="34"/>
        <v>INSERT INTO TNL_RATING.dbo.usps_rate_master VALUES ('USPS', '2/13/2025', '2/13/2026', 12659, 'US', 'Priority Mail', 5, 0, 'L', 11.66, 'Wedgewood_USPS_2025', 'Cubic Tier 4 (0.30 - 0.40)','2');</v>
      </c>
    </row>
    <row r="2156" spans="1:14" x14ac:dyDescent="0.3">
      <c r="A2156" t="s">
        <v>11</v>
      </c>
      <c r="B2156" s="1" t="s">
        <v>43</v>
      </c>
      <c r="C2156" s="1" t="s">
        <v>44</v>
      </c>
      <c r="D2156">
        <v>12659</v>
      </c>
      <c r="E2156" t="s">
        <v>12</v>
      </c>
      <c r="F2156" t="s">
        <v>47</v>
      </c>
      <c r="G2156">
        <v>6</v>
      </c>
      <c r="H2156">
        <v>0</v>
      </c>
      <c r="I2156" t="s">
        <v>45</v>
      </c>
      <c r="J2156" cm="1">
        <f t="array" ref="J2156">IFERROR(
    _xlfn.XLOOKUP(G2156, 'Wedgewood Pharm-PM-Yr2-2025'!$E$4:$L$4,
        _xlfn.XLOOKUP('Rate Load'!L2156, 'Wedgewood Pharm-PM-Yr2-2025'!$D$32:$D$36,
            'Wedgewood Pharm-PM-Yr2-2025'!$E$69:$L$73, 0, 0),
        0, 0),
    _xlfn.XLOOKUP(G2156, 'Wedgewood Pharm-PM-Yr2-2025'!$E$4:$L$4,
        _xlfn.XLOOKUP('Rate Load'!L2156, 'Wedgewood Pharm-PM-Yr2-2025'!$D$32:$D$36,
            'Wedgewood Pharm-PM-Yr2-2025'!$E$69:$L$73, 0, 0),
        0, 0)
)</f>
        <v>13.92</v>
      </c>
      <c r="K2156" t="s">
        <v>46</v>
      </c>
      <c r="L2156" t="s">
        <v>34</v>
      </c>
      <c r="M2156">
        <v>2</v>
      </c>
      <c r="N2156" t="str">
        <f t="shared" si="34"/>
        <v>INSERT INTO TNL_RATING.dbo.usps_rate_master VALUES ('USPS', '2/13/2025', '2/13/2026', 12659, 'US', 'Priority Mail', 6, 0, 'L', 13.92, 'Wedgewood_USPS_2025', 'Cubic Tier 4 (0.30 - 0.40)','2');</v>
      </c>
    </row>
    <row r="2157" spans="1:14" x14ac:dyDescent="0.3">
      <c r="A2157" t="s">
        <v>11</v>
      </c>
      <c r="B2157" s="1" t="s">
        <v>43</v>
      </c>
      <c r="C2157" s="1" t="s">
        <v>44</v>
      </c>
      <c r="D2157">
        <v>12659</v>
      </c>
      <c r="E2157" t="s">
        <v>12</v>
      </c>
      <c r="F2157" t="s">
        <v>47</v>
      </c>
      <c r="G2157">
        <v>7</v>
      </c>
      <c r="H2157">
        <v>0</v>
      </c>
      <c r="I2157" t="s">
        <v>45</v>
      </c>
      <c r="J2157" cm="1">
        <f t="array" ref="J2157">IFERROR(
    _xlfn.XLOOKUP(G2157, 'Wedgewood Pharm-PM-Yr2-2025'!$E$4:$L$4,
        _xlfn.XLOOKUP('Rate Load'!L2157, 'Wedgewood Pharm-PM-Yr2-2025'!$D$32:$D$36,
            'Wedgewood Pharm-PM-Yr2-2025'!$E$69:$L$73, 0, 0),
        0, 0),
    _xlfn.XLOOKUP(G2157, 'Wedgewood Pharm-PM-Yr2-2025'!$E$4:$L$4,
        _xlfn.XLOOKUP('Rate Load'!L2157, 'Wedgewood Pharm-PM-Yr2-2025'!$D$32:$D$36,
            'Wedgewood Pharm-PM-Yr2-2025'!$E$69:$L$73, 0, 0),
        0, 0)
)</f>
        <v>16.48</v>
      </c>
      <c r="K2157" t="s">
        <v>46</v>
      </c>
      <c r="L2157" t="s">
        <v>34</v>
      </c>
      <c r="M2157">
        <v>2</v>
      </c>
      <c r="N2157" t="str">
        <f t="shared" si="34"/>
        <v>INSERT INTO TNL_RATING.dbo.usps_rate_master VALUES ('USPS', '2/13/2025', '2/13/2026', 12659, 'US', 'Priority Mail', 7, 0, 'L', 16.48, 'Wedgewood_USPS_2025', 'Cubic Tier 4 (0.30 - 0.40)','2');</v>
      </c>
    </row>
    <row r="2158" spans="1:14" x14ac:dyDescent="0.3">
      <c r="A2158" t="s">
        <v>11</v>
      </c>
      <c r="B2158" s="1" t="s">
        <v>43</v>
      </c>
      <c r="C2158" s="1" t="s">
        <v>44</v>
      </c>
      <c r="D2158">
        <v>12659</v>
      </c>
      <c r="E2158" t="s">
        <v>12</v>
      </c>
      <c r="F2158" t="s">
        <v>47</v>
      </c>
      <c r="G2158">
        <v>8</v>
      </c>
      <c r="H2158">
        <v>0</v>
      </c>
      <c r="I2158" t="s">
        <v>45</v>
      </c>
      <c r="J2158" cm="1">
        <f t="array" ref="J2158">IFERROR(
    _xlfn.XLOOKUP(G2158, 'Wedgewood Pharm-PM-Yr2-2025'!$E$4:$L$4,
        _xlfn.XLOOKUP('Rate Load'!L2158, 'Wedgewood Pharm-PM-Yr2-2025'!$D$32:$D$36,
            'Wedgewood Pharm-PM-Yr2-2025'!$E$69:$L$73, 0, 0),
        0, 0),
    _xlfn.XLOOKUP(G2158, 'Wedgewood Pharm-PM-Yr2-2025'!$E$4:$L$4,
        _xlfn.XLOOKUP('Rate Load'!L2158, 'Wedgewood Pharm-PM-Yr2-2025'!$D$32:$D$36,
            'Wedgewood Pharm-PM-Yr2-2025'!$E$69:$L$73, 0, 0),
        0, 0)
)</f>
        <v>18.490000000000002</v>
      </c>
      <c r="K2158" t="s">
        <v>46</v>
      </c>
      <c r="L2158" t="s">
        <v>34</v>
      </c>
      <c r="M2158">
        <v>2</v>
      </c>
      <c r="N2158" t="str">
        <f t="shared" si="34"/>
        <v>INSERT INTO TNL_RATING.dbo.usps_rate_master VALUES ('USPS', '2/13/2025', '2/13/2026', 12659, 'US', 'Priority Mail', 8, 0, 'L', 18.49, 'Wedgewood_USPS_2025', 'Cubic Tier 4 (0.30 - 0.40)','2');</v>
      </c>
    </row>
    <row r="2159" spans="1:14" x14ac:dyDescent="0.3">
      <c r="A2159" t="s">
        <v>11</v>
      </c>
      <c r="B2159" s="1" t="s">
        <v>43</v>
      </c>
      <c r="C2159" s="1" t="s">
        <v>44</v>
      </c>
      <c r="D2159">
        <v>12659</v>
      </c>
      <c r="E2159" t="s">
        <v>12</v>
      </c>
      <c r="F2159" t="s">
        <v>47</v>
      </c>
      <c r="G2159">
        <v>1</v>
      </c>
      <c r="H2159">
        <v>0</v>
      </c>
      <c r="I2159" t="s">
        <v>45</v>
      </c>
      <c r="J2159" cm="1">
        <f t="array" ref="J2159">IFERROR(
    _xlfn.XLOOKUP(G2159, 'Wedgewood Pharm-PM-Yr2-2025'!$E$4:$L$4,
        _xlfn.XLOOKUP('Rate Load'!L2159, 'Wedgewood Pharm-PM-Yr2-2025'!$D$32:$D$36,
            'Wedgewood Pharm-PM-Yr2-2025'!$E$69:$L$73, 0, 0),
        0, 0),
    _xlfn.XLOOKUP(G2159, 'Wedgewood Pharm-PM-Yr2-2025'!$E$4:$L$4,
        _xlfn.XLOOKUP('Rate Load'!L2159, 'Wedgewood Pharm-PM-Yr2-2025'!$D$32:$D$36,
            'Wedgewood Pharm-PM-Yr2-2025'!$E$69:$L$73, 0, 0),
        0, 0)
)</f>
        <v>7.22</v>
      </c>
      <c r="K2159" t="s">
        <v>46</v>
      </c>
      <c r="L2159" t="s">
        <v>35</v>
      </c>
      <c r="M2159">
        <v>2</v>
      </c>
      <c r="N2159" t="str">
        <f t="shared" si="34"/>
        <v>INSERT INTO TNL_RATING.dbo.usps_rate_master VALUES ('USPS', '2/13/2025', '2/13/2026', 12659, 'US', 'Priority Mail', 1, 0, 'L', 7.22, 'Wedgewood_USPS_2025', 'Cubic Tier 5 (0.40 - 0.50)','2');</v>
      </c>
    </row>
    <row r="2160" spans="1:14" x14ac:dyDescent="0.3">
      <c r="A2160" t="s">
        <v>11</v>
      </c>
      <c r="B2160" s="1" t="s">
        <v>43</v>
      </c>
      <c r="C2160" s="1" t="s">
        <v>44</v>
      </c>
      <c r="D2160">
        <v>12659</v>
      </c>
      <c r="E2160" t="s">
        <v>12</v>
      </c>
      <c r="F2160" t="s">
        <v>47</v>
      </c>
      <c r="G2160">
        <v>2</v>
      </c>
      <c r="H2160">
        <v>0</v>
      </c>
      <c r="I2160" t="s">
        <v>45</v>
      </c>
      <c r="J2160" cm="1">
        <f t="array" ref="J2160">IFERROR(
    _xlfn.XLOOKUP(G2160, 'Wedgewood Pharm-PM-Yr2-2025'!$E$4:$L$4,
        _xlfn.XLOOKUP('Rate Load'!L2160, 'Wedgewood Pharm-PM-Yr2-2025'!$D$32:$D$36,
            'Wedgewood Pharm-PM-Yr2-2025'!$E$69:$L$73, 0, 0),
        0, 0),
    _xlfn.XLOOKUP(G2160, 'Wedgewood Pharm-PM-Yr2-2025'!$E$4:$L$4,
        _xlfn.XLOOKUP('Rate Load'!L2160, 'Wedgewood Pharm-PM-Yr2-2025'!$D$32:$D$36,
            'Wedgewood Pharm-PM-Yr2-2025'!$E$69:$L$73, 0, 0),
        0, 0)
)</f>
        <v>7.34</v>
      </c>
      <c r="K2160" t="s">
        <v>46</v>
      </c>
      <c r="L2160" t="s">
        <v>35</v>
      </c>
      <c r="M2160">
        <v>2</v>
      </c>
      <c r="N2160" t="str">
        <f t="shared" si="34"/>
        <v>INSERT INTO TNL_RATING.dbo.usps_rate_master VALUES ('USPS', '2/13/2025', '2/13/2026', 12659, 'US', 'Priority Mail', 2, 0, 'L', 7.34, 'Wedgewood_USPS_2025', 'Cubic Tier 5 (0.40 - 0.50)','2');</v>
      </c>
    </row>
    <row r="2161" spans="1:14" x14ac:dyDescent="0.3">
      <c r="A2161" t="s">
        <v>11</v>
      </c>
      <c r="B2161" s="1" t="s">
        <v>43</v>
      </c>
      <c r="C2161" s="1" t="s">
        <v>44</v>
      </c>
      <c r="D2161">
        <v>12659</v>
      </c>
      <c r="E2161" t="s">
        <v>12</v>
      </c>
      <c r="F2161" t="s">
        <v>47</v>
      </c>
      <c r="G2161">
        <v>3</v>
      </c>
      <c r="H2161">
        <v>0</v>
      </c>
      <c r="I2161" t="s">
        <v>45</v>
      </c>
      <c r="J2161" cm="1">
        <f t="array" ref="J2161">IFERROR(
    _xlfn.XLOOKUP(G2161, 'Wedgewood Pharm-PM-Yr2-2025'!$E$4:$L$4,
        _xlfn.XLOOKUP('Rate Load'!L2161, 'Wedgewood Pharm-PM-Yr2-2025'!$D$32:$D$36,
            'Wedgewood Pharm-PM-Yr2-2025'!$E$69:$L$73, 0, 0),
        0, 0),
    _xlfn.XLOOKUP(G2161, 'Wedgewood Pharm-PM-Yr2-2025'!$E$4:$L$4,
        _xlfn.XLOOKUP('Rate Load'!L2161, 'Wedgewood Pharm-PM-Yr2-2025'!$D$32:$D$36,
            'Wedgewood Pharm-PM-Yr2-2025'!$E$69:$L$73, 0, 0),
        0, 0)
)</f>
        <v>7.37</v>
      </c>
      <c r="K2161" t="s">
        <v>46</v>
      </c>
      <c r="L2161" t="s">
        <v>35</v>
      </c>
      <c r="M2161">
        <v>2</v>
      </c>
      <c r="N2161" t="str">
        <f t="shared" si="34"/>
        <v>INSERT INTO TNL_RATING.dbo.usps_rate_master VALUES ('USPS', '2/13/2025', '2/13/2026', 12659, 'US', 'Priority Mail', 3, 0, 'L', 7.37, 'Wedgewood_USPS_2025', 'Cubic Tier 5 (0.40 - 0.50)','2');</v>
      </c>
    </row>
    <row r="2162" spans="1:14" x14ac:dyDescent="0.3">
      <c r="A2162" t="s">
        <v>11</v>
      </c>
      <c r="B2162" s="1" t="s">
        <v>43</v>
      </c>
      <c r="C2162" s="1" t="s">
        <v>44</v>
      </c>
      <c r="D2162">
        <v>12659</v>
      </c>
      <c r="E2162" t="s">
        <v>12</v>
      </c>
      <c r="F2162" t="s">
        <v>47</v>
      </c>
      <c r="G2162">
        <v>4</v>
      </c>
      <c r="H2162">
        <v>0</v>
      </c>
      <c r="I2162" t="s">
        <v>45</v>
      </c>
      <c r="J2162" cm="1">
        <f t="array" ref="J2162">IFERROR(
    _xlfn.XLOOKUP(G2162, 'Wedgewood Pharm-PM-Yr2-2025'!$E$4:$L$4,
        _xlfn.XLOOKUP('Rate Load'!L2162, 'Wedgewood Pharm-PM-Yr2-2025'!$D$32:$D$36,
            'Wedgewood Pharm-PM-Yr2-2025'!$E$69:$L$73, 0, 0),
        0, 0),
    _xlfn.XLOOKUP(G2162, 'Wedgewood Pharm-PM-Yr2-2025'!$E$4:$L$4,
        _xlfn.XLOOKUP('Rate Load'!L2162, 'Wedgewood Pharm-PM-Yr2-2025'!$D$32:$D$36,
            'Wedgewood Pharm-PM-Yr2-2025'!$E$69:$L$73, 0, 0),
        0, 0)
)</f>
        <v>7.52</v>
      </c>
      <c r="K2162" t="s">
        <v>46</v>
      </c>
      <c r="L2162" t="s">
        <v>35</v>
      </c>
      <c r="M2162">
        <v>2</v>
      </c>
      <c r="N2162" t="str">
        <f t="shared" si="34"/>
        <v>INSERT INTO TNL_RATING.dbo.usps_rate_master VALUES ('USPS', '2/13/2025', '2/13/2026', 12659, 'US', 'Priority Mail', 4, 0, 'L', 7.52, 'Wedgewood_USPS_2025', 'Cubic Tier 5 (0.40 - 0.50)','2');</v>
      </c>
    </row>
    <row r="2163" spans="1:14" x14ac:dyDescent="0.3">
      <c r="A2163" t="s">
        <v>11</v>
      </c>
      <c r="B2163" s="1" t="s">
        <v>43</v>
      </c>
      <c r="C2163" s="1" t="s">
        <v>44</v>
      </c>
      <c r="D2163">
        <v>12659</v>
      </c>
      <c r="E2163" t="s">
        <v>12</v>
      </c>
      <c r="F2163" t="s">
        <v>47</v>
      </c>
      <c r="G2163">
        <v>5</v>
      </c>
      <c r="H2163">
        <v>0</v>
      </c>
      <c r="I2163" t="s">
        <v>45</v>
      </c>
      <c r="J2163" cm="1">
        <f t="array" ref="J2163">IFERROR(
    _xlfn.XLOOKUP(G2163, 'Wedgewood Pharm-PM-Yr2-2025'!$E$4:$L$4,
        _xlfn.XLOOKUP('Rate Load'!L2163, 'Wedgewood Pharm-PM-Yr2-2025'!$D$32:$D$36,
            'Wedgewood Pharm-PM-Yr2-2025'!$E$69:$L$73, 0, 0),
        0, 0),
    _xlfn.XLOOKUP(G2163, 'Wedgewood Pharm-PM-Yr2-2025'!$E$4:$L$4,
        _xlfn.XLOOKUP('Rate Load'!L2163, 'Wedgewood Pharm-PM-Yr2-2025'!$D$32:$D$36,
            'Wedgewood Pharm-PM-Yr2-2025'!$E$69:$L$73, 0, 0),
        0, 0)
)</f>
        <v>13.299999999999999</v>
      </c>
      <c r="K2163" t="s">
        <v>46</v>
      </c>
      <c r="L2163" t="s">
        <v>35</v>
      </c>
      <c r="M2163">
        <v>2</v>
      </c>
      <c r="N2163" t="str">
        <f t="shared" si="34"/>
        <v>INSERT INTO TNL_RATING.dbo.usps_rate_master VALUES ('USPS', '2/13/2025', '2/13/2026', 12659, 'US', 'Priority Mail', 5, 0, 'L', 13.3, 'Wedgewood_USPS_2025', 'Cubic Tier 5 (0.40 - 0.50)','2');</v>
      </c>
    </row>
    <row r="2164" spans="1:14" x14ac:dyDescent="0.3">
      <c r="A2164" t="s">
        <v>11</v>
      </c>
      <c r="B2164" s="1" t="s">
        <v>43</v>
      </c>
      <c r="C2164" s="1" t="s">
        <v>44</v>
      </c>
      <c r="D2164">
        <v>12659</v>
      </c>
      <c r="E2164" t="s">
        <v>12</v>
      </c>
      <c r="F2164" t="s">
        <v>47</v>
      </c>
      <c r="G2164">
        <v>6</v>
      </c>
      <c r="H2164">
        <v>0</v>
      </c>
      <c r="I2164" t="s">
        <v>45</v>
      </c>
      <c r="J2164" cm="1">
        <f t="array" ref="J2164">IFERROR(
    _xlfn.XLOOKUP(G2164, 'Wedgewood Pharm-PM-Yr2-2025'!$E$4:$L$4,
        _xlfn.XLOOKUP('Rate Load'!L2164, 'Wedgewood Pharm-PM-Yr2-2025'!$D$32:$D$36,
            'Wedgewood Pharm-PM-Yr2-2025'!$E$69:$L$73, 0, 0),
        0, 0),
    _xlfn.XLOOKUP(G2164, 'Wedgewood Pharm-PM-Yr2-2025'!$E$4:$L$4,
        _xlfn.XLOOKUP('Rate Load'!L2164, 'Wedgewood Pharm-PM-Yr2-2025'!$D$32:$D$36,
            'Wedgewood Pharm-PM-Yr2-2025'!$E$69:$L$73, 0, 0),
        0, 0)
)</f>
        <v>15.86</v>
      </c>
      <c r="K2164" t="s">
        <v>46</v>
      </c>
      <c r="L2164" t="s">
        <v>35</v>
      </c>
      <c r="M2164">
        <v>2</v>
      </c>
      <c r="N2164" t="str">
        <f t="shared" si="34"/>
        <v>INSERT INTO TNL_RATING.dbo.usps_rate_master VALUES ('USPS', '2/13/2025', '2/13/2026', 12659, 'US', 'Priority Mail', 6, 0, 'L', 15.86, 'Wedgewood_USPS_2025', 'Cubic Tier 5 (0.40 - 0.50)','2');</v>
      </c>
    </row>
    <row r="2165" spans="1:14" x14ac:dyDescent="0.3">
      <c r="A2165" t="s">
        <v>11</v>
      </c>
      <c r="B2165" s="1" t="s">
        <v>43</v>
      </c>
      <c r="C2165" s="1" t="s">
        <v>44</v>
      </c>
      <c r="D2165">
        <v>12659</v>
      </c>
      <c r="E2165" t="s">
        <v>12</v>
      </c>
      <c r="F2165" t="s">
        <v>47</v>
      </c>
      <c r="G2165">
        <v>7</v>
      </c>
      <c r="H2165">
        <v>0</v>
      </c>
      <c r="I2165" t="s">
        <v>45</v>
      </c>
      <c r="J2165" cm="1">
        <f t="array" ref="J2165">IFERROR(
    _xlfn.XLOOKUP(G2165, 'Wedgewood Pharm-PM-Yr2-2025'!$E$4:$L$4,
        _xlfn.XLOOKUP('Rate Load'!L2165, 'Wedgewood Pharm-PM-Yr2-2025'!$D$32:$D$36,
            'Wedgewood Pharm-PM-Yr2-2025'!$E$69:$L$73, 0, 0),
        0, 0),
    _xlfn.XLOOKUP(G2165, 'Wedgewood Pharm-PM-Yr2-2025'!$E$4:$L$4,
        _xlfn.XLOOKUP('Rate Load'!L2165, 'Wedgewood Pharm-PM-Yr2-2025'!$D$32:$D$36,
            'Wedgewood Pharm-PM-Yr2-2025'!$E$69:$L$73, 0, 0),
        0, 0)
)</f>
        <v>19.580000000000002</v>
      </c>
      <c r="K2165" t="s">
        <v>46</v>
      </c>
      <c r="L2165" t="s">
        <v>35</v>
      </c>
      <c r="M2165">
        <v>2</v>
      </c>
      <c r="N2165" t="str">
        <f t="shared" si="34"/>
        <v>INSERT INTO TNL_RATING.dbo.usps_rate_master VALUES ('USPS', '2/13/2025', '2/13/2026', 12659, 'US', 'Priority Mail', 7, 0, 'L', 19.58, 'Wedgewood_USPS_2025', 'Cubic Tier 5 (0.40 - 0.50)','2');</v>
      </c>
    </row>
    <row r="2166" spans="1:14" x14ac:dyDescent="0.3">
      <c r="A2166" t="s">
        <v>11</v>
      </c>
      <c r="B2166" s="1" t="s">
        <v>43</v>
      </c>
      <c r="C2166" s="1" t="s">
        <v>44</v>
      </c>
      <c r="D2166">
        <v>12659</v>
      </c>
      <c r="E2166" t="s">
        <v>12</v>
      </c>
      <c r="F2166" t="s">
        <v>47</v>
      </c>
      <c r="G2166">
        <v>8</v>
      </c>
      <c r="H2166">
        <v>0</v>
      </c>
      <c r="I2166" t="s">
        <v>45</v>
      </c>
      <c r="J2166" cm="1">
        <f t="array" ref="J2166">IFERROR(
    _xlfn.XLOOKUP(G2166, 'Wedgewood Pharm-PM-Yr2-2025'!$E$4:$L$4,
        _xlfn.XLOOKUP('Rate Load'!L2166, 'Wedgewood Pharm-PM-Yr2-2025'!$D$32:$D$36,
            'Wedgewood Pharm-PM-Yr2-2025'!$E$69:$L$73, 0, 0),
        0, 0),
    _xlfn.XLOOKUP(G2166, 'Wedgewood Pharm-PM-Yr2-2025'!$E$4:$L$4,
        _xlfn.XLOOKUP('Rate Load'!L2166, 'Wedgewood Pharm-PM-Yr2-2025'!$D$32:$D$36,
            'Wedgewood Pharm-PM-Yr2-2025'!$E$69:$L$73, 0, 0),
        0, 0)
)</f>
        <v>22</v>
      </c>
      <c r="K2166" t="s">
        <v>46</v>
      </c>
      <c r="L2166" t="s">
        <v>35</v>
      </c>
      <c r="M2166">
        <v>2</v>
      </c>
      <c r="N2166" t="str">
        <f t="shared" si="34"/>
        <v>INSERT INTO TNL_RATING.dbo.usps_rate_master VALUES ('USPS', '2/13/2025', '2/13/2026', 12659, 'US', 'Priority Mail', 8, 0, 'L', 22, 'Wedgewood_USPS_2025', 'Cubic Tier 5 (0.40 - 0.50)','2');</v>
      </c>
    </row>
    <row r="2167" spans="1:14" x14ac:dyDescent="0.3">
      <c r="A2167" t="s">
        <v>11</v>
      </c>
      <c r="B2167" s="1" t="s">
        <v>43</v>
      </c>
      <c r="C2167" s="1" t="s">
        <v>44</v>
      </c>
      <c r="D2167">
        <v>12659</v>
      </c>
      <c r="E2167" t="s">
        <v>12</v>
      </c>
      <c r="F2167" t="s">
        <v>47</v>
      </c>
      <c r="G2167">
        <v>1</v>
      </c>
      <c r="H2167">
        <v>0</v>
      </c>
      <c r="I2167" t="s">
        <v>45</v>
      </c>
      <c r="J2167" cm="1">
        <f t="array" ref="J2167">IFERROR(
    _xlfn.XLOOKUP(G2167, 'Wedgewood Pharm-PM-Yr2-2025'!$E$4:$L$4,
        _xlfn.XLOOKUP('Rate Load'!L2167, 'Wedgewood Pharm-PM-Yr2-2025'!$D$32:$D$36,
            'Wedgewood Pharm-PM-Yr2-2025'!$E$106:$L$110, 0, 0),
        0, 0),
    _xlfn.XLOOKUP(G2167, 'Wedgewood Pharm-PM-Yr2-2025'!$E$4:$L$4,
        _xlfn.XLOOKUP('Rate Load'!L2167, 'Wedgewood Pharm-PM-Yr2-2025'!$D$32:$D$36,
            'Wedgewood Pharm-PM-Yr2-2025'!$E$106:$L$110, 0, 0),
        0, 0)
)</f>
        <v>6.84</v>
      </c>
      <c r="K2167" t="s">
        <v>46</v>
      </c>
      <c r="L2167" t="s">
        <v>31</v>
      </c>
      <c r="M2167">
        <v>3</v>
      </c>
      <c r="N2167" t="str">
        <f t="shared" si="34"/>
        <v>INSERT INTO TNL_RATING.dbo.usps_rate_master VALUES ('USPS', '2/13/2025', '2/13/2026', 12659, 'US', 'Priority Mail', 1, 0, 'L', 6.84, 'Wedgewood_USPS_2025', 'Cubic Tier 1 (0.00 - 0.10)','3');</v>
      </c>
    </row>
    <row r="2168" spans="1:14" x14ac:dyDescent="0.3">
      <c r="A2168" t="s">
        <v>11</v>
      </c>
      <c r="B2168" s="1" t="s">
        <v>43</v>
      </c>
      <c r="C2168" s="1" t="s">
        <v>44</v>
      </c>
      <c r="D2168">
        <v>12659</v>
      </c>
      <c r="E2168" t="s">
        <v>12</v>
      </c>
      <c r="F2168" t="s">
        <v>47</v>
      </c>
      <c r="G2168">
        <v>2</v>
      </c>
      <c r="H2168">
        <v>0</v>
      </c>
      <c r="I2168" t="s">
        <v>45</v>
      </c>
      <c r="J2168" cm="1">
        <f t="array" ref="J2168">IFERROR(
    _xlfn.XLOOKUP(G2168, 'Wedgewood Pharm-PM-Yr2-2025'!$E$4:$L$4,
        _xlfn.XLOOKUP('Rate Load'!L2168, 'Wedgewood Pharm-PM-Yr2-2025'!$D$32:$D$36,
            'Wedgewood Pharm-PM-Yr2-2025'!$E$106:$L$110, 0, 0),
        0, 0),
    _xlfn.XLOOKUP(G2168, 'Wedgewood Pharm-PM-Yr2-2025'!$E$4:$L$4,
        _xlfn.XLOOKUP('Rate Load'!L2168, 'Wedgewood Pharm-PM-Yr2-2025'!$D$32:$D$36,
            'Wedgewood Pharm-PM-Yr2-2025'!$E$106:$L$110, 0, 0),
        0, 0)
)</f>
        <v>6.8599999999999994</v>
      </c>
      <c r="K2168" t="s">
        <v>46</v>
      </c>
      <c r="L2168" t="s">
        <v>31</v>
      </c>
      <c r="M2168">
        <v>3</v>
      </c>
      <c r="N2168" t="str">
        <f t="shared" si="34"/>
        <v>INSERT INTO TNL_RATING.dbo.usps_rate_master VALUES ('USPS', '2/13/2025', '2/13/2026', 12659, 'US', 'Priority Mail', 2, 0, 'L', 6.86, 'Wedgewood_USPS_2025', 'Cubic Tier 1 (0.00 - 0.10)','3');</v>
      </c>
    </row>
    <row r="2169" spans="1:14" x14ac:dyDescent="0.3">
      <c r="A2169" t="s">
        <v>11</v>
      </c>
      <c r="B2169" s="1" t="s">
        <v>43</v>
      </c>
      <c r="C2169" s="1" t="s">
        <v>44</v>
      </c>
      <c r="D2169">
        <v>12659</v>
      </c>
      <c r="E2169" t="s">
        <v>12</v>
      </c>
      <c r="F2169" t="s">
        <v>47</v>
      </c>
      <c r="G2169">
        <v>3</v>
      </c>
      <c r="H2169">
        <v>0</v>
      </c>
      <c r="I2169" t="s">
        <v>45</v>
      </c>
      <c r="J2169" cm="1">
        <f t="array" ref="J2169">IFERROR(
    _xlfn.XLOOKUP(G2169, 'Wedgewood Pharm-PM-Yr2-2025'!$E$4:$L$4,
        _xlfn.XLOOKUP('Rate Load'!L2169, 'Wedgewood Pharm-PM-Yr2-2025'!$D$32:$D$36,
            'Wedgewood Pharm-PM-Yr2-2025'!$E$106:$L$110, 0, 0),
        0, 0),
    _xlfn.XLOOKUP(G2169, 'Wedgewood Pharm-PM-Yr2-2025'!$E$4:$L$4,
        _xlfn.XLOOKUP('Rate Load'!L2169, 'Wedgewood Pharm-PM-Yr2-2025'!$D$32:$D$36,
            'Wedgewood Pharm-PM-Yr2-2025'!$E$106:$L$110, 0, 0),
        0, 0)
)</f>
        <v>6.8599999999999994</v>
      </c>
      <c r="K2169" t="s">
        <v>46</v>
      </c>
      <c r="L2169" t="s">
        <v>31</v>
      </c>
      <c r="M2169">
        <v>3</v>
      </c>
      <c r="N2169" t="str">
        <f t="shared" si="34"/>
        <v>INSERT INTO TNL_RATING.dbo.usps_rate_master VALUES ('USPS', '2/13/2025', '2/13/2026', 12659, 'US', 'Priority Mail', 3, 0, 'L', 6.86, 'Wedgewood_USPS_2025', 'Cubic Tier 1 (0.00 - 0.10)','3');</v>
      </c>
    </row>
    <row r="2170" spans="1:14" x14ac:dyDescent="0.3">
      <c r="A2170" t="s">
        <v>11</v>
      </c>
      <c r="B2170" s="1" t="s">
        <v>43</v>
      </c>
      <c r="C2170" s="1" t="s">
        <v>44</v>
      </c>
      <c r="D2170">
        <v>12659</v>
      </c>
      <c r="E2170" t="s">
        <v>12</v>
      </c>
      <c r="F2170" t="s">
        <v>47</v>
      </c>
      <c r="G2170">
        <v>4</v>
      </c>
      <c r="H2170">
        <v>0</v>
      </c>
      <c r="I2170" t="s">
        <v>45</v>
      </c>
      <c r="J2170" cm="1">
        <f t="array" ref="J2170">IFERROR(
    _xlfn.XLOOKUP(G2170, 'Wedgewood Pharm-PM-Yr2-2025'!$E$4:$L$4,
        _xlfn.XLOOKUP('Rate Load'!L2170, 'Wedgewood Pharm-PM-Yr2-2025'!$D$32:$D$36,
            'Wedgewood Pharm-PM-Yr2-2025'!$E$106:$L$110, 0, 0),
        0, 0),
    _xlfn.XLOOKUP(G2170, 'Wedgewood Pharm-PM-Yr2-2025'!$E$4:$L$4,
        _xlfn.XLOOKUP('Rate Load'!L2170, 'Wedgewood Pharm-PM-Yr2-2025'!$D$32:$D$36,
            'Wedgewood Pharm-PM-Yr2-2025'!$E$106:$L$110, 0, 0),
        0, 0)
)</f>
        <v>6.87</v>
      </c>
      <c r="K2170" t="s">
        <v>46</v>
      </c>
      <c r="L2170" t="s">
        <v>31</v>
      </c>
      <c r="M2170">
        <v>3</v>
      </c>
      <c r="N2170" t="str">
        <f t="shared" si="34"/>
        <v>INSERT INTO TNL_RATING.dbo.usps_rate_master VALUES ('USPS', '2/13/2025', '2/13/2026', 12659, 'US', 'Priority Mail', 4, 0, 'L', 6.87, 'Wedgewood_USPS_2025', 'Cubic Tier 1 (0.00 - 0.10)','3');</v>
      </c>
    </row>
    <row r="2171" spans="1:14" x14ac:dyDescent="0.3">
      <c r="A2171" t="s">
        <v>11</v>
      </c>
      <c r="B2171" s="1" t="s">
        <v>43</v>
      </c>
      <c r="C2171" s="1" t="s">
        <v>44</v>
      </c>
      <c r="D2171">
        <v>12659</v>
      </c>
      <c r="E2171" t="s">
        <v>12</v>
      </c>
      <c r="F2171" t="s">
        <v>47</v>
      </c>
      <c r="G2171">
        <v>5</v>
      </c>
      <c r="H2171">
        <v>0</v>
      </c>
      <c r="I2171" t="s">
        <v>45</v>
      </c>
      <c r="J2171" cm="1">
        <f t="array" ref="J2171">IFERROR(
    _xlfn.XLOOKUP(G2171, 'Wedgewood Pharm-PM-Yr2-2025'!$E$4:$L$4,
        _xlfn.XLOOKUP('Rate Load'!L2171, 'Wedgewood Pharm-PM-Yr2-2025'!$D$32:$D$36,
            'Wedgewood Pharm-PM-Yr2-2025'!$E$106:$L$110, 0, 0),
        0, 0),
    _xlfn.XLOOKUP(G2171, 'Wedgewood Pharm-PM-Yr2-2025'!$E$4:$L$4,
        _xlfn.XLOOKUP('Rate Load'!L2171, 'Wedgewood Pharm-PM-Yr2-2025'!$D$32:$D$36,
            'Wedgewood Pharm-PM-Yr2-2025'!$E$106:$L$110, 0, 0),
        0, 0)
)</f>
        <v>7.24</v>
      </c>
      <c r="K2171" t="s">
        <v>46</v>
      </c>
      <c r="L2171" t="s">
        <v>31</v>
      </c>
      <c r="M2171">
        <v>3</v>
      </c>
      <c r="N2171" t="str">
        <f t="shared" si="34"/>
        <v>INSERT INTO TNL_RATING.dbo.usps_rate_master VALUES ('USPS', '2/13/2025', '2/13/2026', 12659, 'US', 'Priority Mail', 5, 0, 'L', 7.24, 'Wedgewood_USPS_2025', 'Cubic Tier 1 (0.00 - 0.10)','3');</v>
      </c>
    </row>
    <row r="2172" spans="1:14" x14ac:dyDescent="0.3">
      <c r="A2172" t="s">
        <v>11</v>
      </c>
      <c r="B2172" s="1" t="s">
        <v>43</v>
      </c>
      <c r="C2172" s="1" t="s">
        <v>44</v>
      </c>
      <c r="D2172">
        <v>12659</v>
      </c>
      <c r="E2172" t="s">
        <v>12</v>
      </c>
      <c r="F2172" t="s">
        <v>47</v>
      </c>
      <c r="G2172">
        <v>6</v>
      </c>
      <c r="H2172">
        <v>0</v>
      </c>
      <c r="I2172" t="s">
        <v>45</v>
      </c>
      <c r="J2172" cm="1">
        <f t="array" ref="J2172">IFERROR(
    _xlfn.XLOOKUP(G2172, 'Wedgewood Pharm-PM-Yr2-2025'!$E$4:$L$4,
        _xlfn.XLOOKUP('Rate Load'!L2172, 'Wedgewood Pharm-PM-Yr2-2025'!$D$32:$D$36,
            'Wedgewood Pharm-PM-Yr2-2025'!$E$106:$L$110, 0, 0),
        0, 0),
    _xlfn.XLOOKUP(G2172, 'Wedgewood Pharm-PM-Yr2-2025'!$E$4:$L$4,
        _xlfn.XLOOKUP('Rate Load'!L2172, 'Wedgewood Pharm-PM-Yr2-2025'!$D$32:$D$36,
            'Wedgewood Pharm-PM-Yr2-2025'!$E$106:$L$110, 0, 0),
        0, 0)
)</f>
        <v>7.68</v>
      </c>
      <c r="K2172" t="s">
        <v>46</v>
      </c>
      <c r="L2172" t="s">
        <v>31</v>
      </c>
      <c r="M2172">
        <v>3</v>
      </c>
      <c r="N2172" t="str">
        <f t="shared" si="34"/>
        <v>INSERT INTO TNL_RATING.dbo.usps_rate_master VALUES ('USPS', '2/13/2025', '2/13/2026', 12659, 'US', 'Priority Mail', 6, 0, 'L', 7.68, 'Wedgewood_USPS_2025', 'Cubic Tier 1 (0.00 - 0.10)','3');</v>
      </c>
    </row>
    <row r="2173" spans="1:14" x14ac:dyDescent="0.3">
      <c r="A2173" t="s">
        <v>11</v>
      </c>
      <c r="B2173" s="1" t="s">
        <v>43</v>
      </c>
      <c r="C2173" s="1" t="s">
        <v>44</v>
      </c>
      <c r="D2173">
        <v>12659</v>
      </c>
      <c r="E2173" t="s">
        <v>12</v>
      </c>
      <c r="F2173" t="s">
        <v>47</v>
      </c>
      <c r="G2173">
        <v>7</v>
      </c>
      <c r="H2173">
        <v>0</v>
      </c>
      <c r="I2173" t="s">
        <v>45</v>
      </c>
      <c r="J2173" cm="1">
        <f t="array" ref="J2173">IFERROR(
    _xlfn.XLOOKUP(G2173, 'Wedgewood Pharm-PM-Yr2-2025'!$E$4:$L$4,
        _xlfn.XLOOKUP('Rate Load'!L2173, 'Wedgewood Pharm-PM-Yr2-2025'!$D$32:$D$36,
            'Wedgewood Pharm-PM-Yr2-2025'!$E$106:$L$110, 0, 0),
        0, 0),
    _xlfn.XLOOKUP(G2173, 'Wedgewood Pharm-PM-Yr2-2025'!$E$4:$L$4,
        _xlfn.XLOOKUP('Rate Load'!L2173, 'Wedgewood Pharm-PM-Yr2-2025'!$D$32:$D$36,
            'Wedgewood Pharm-PM-Yr2-2025'!$E$106:$L$110, 0, 0),
        0, 0)
)</f>
        <v>8.2899999999999991</v>
      </c>
      <c r="K2173" t="s">
        <v>46</v>
      </c>
      <c r="L2173" t="s">
        <v>31</v>
      </c>
      <c r="M2173">
        <v>3</v>
      </c>
      <c r="N2173" t="str">
        <f t="shared" si="34"/>
        <v>INSERT INTO TNL_RATING.dbo.usps_rate_master VALUES ('USPS', '2/13/2025', '2/13/2026', 12659, 'US', 'Priority Mail', 7, 0, 'L', 8.29, 'Wedgewood_USPS_2025', 'Cubic Tier 1 (0.00 - 0.10)','3');</v>
      </c>
    </row>
    <row r="2174" spans="1:14" x14ac:dyDescent="0.3">
      <c r="A2174" t="s">
        <v>11</v>
      </c>
      <c r="B2174" s="1" t="s">
        <v>43</v>
      </c>
      <c r="C2174" s="1" t="s">
        <v>44</v>
      </c>
      <c r="D2174">
        <v>12659</v>
      </c>
      <c r="E2174" t="s">
        <v>12</v>
      </c>
      <c r="F2174" t="s">
        <v>47</v>
      </c>
      <c r="G2174">
        <v>8</v>
      </c>
      <c r="H2174">
        <v>0</v>
      </c>
      <c r="I2174" t="s">
        <v>45</v>
      </c>
      <c r="J2174" cm="1">
        <f t="array" ref="J2174">IFERROR(
    _xlfn.XLOOKUP(G2174, 'Wedgewood Pharm-PM-Yr2-2025'!$E$4:$L$4,
        _xlfn.XLOOKUP('Rate Load'!L2174, 'Wedgewood Pharm-PM-Yr2-2025'!$D$32:$D$36,
            'Wedgewood Pharm-PM-Yr2-2025'!$E$106:$L$110, 0, 0),
        0, 0),
    _xlfn.XLOOKUP(G2174, 'Wedgewood Pharm-PM-Yr2-2025'!$E$4:$L$4,
        _xlfn.XLOOKUP('Rate Load'!L2174, 'Wedgewood Pharm-PM-Yr2-2025'!$D$32:$D$36,
            'Wedgewood Pharm-PM-Yr2-2025'!$E$106:$L$110, 0, 0),
        0, 0)
)</f>
        <v>8.81</v>
      </c>
      <c r="K2174" t="s">
        <v>46</v>
      </c>
      <c r="L2174" t="s">
        <v>31</v>
      </c>
      <c r="M2174">
        <v>3</v>
      </c>
      <c r="N2174" t="str">
        <f t="shared" si="34"/>
        <v>INSERT INTO TNL_RATING.dbo.usps_rate_master VALUES ('USPS', '2/13/2025', '2/13/2026', 12659, 'US', 'Priority Mail', 8, 0, 'L', 8.81, 'Wedgewood_USPS_2025', 'Cubic Tier 1 (0.00 - 0.10)','3');</v>
      </c>
    </row>
    <row r="2175" spans="1:14" x14ac:dyDescent="0.3">
      <c r="A2175" t="s">
        <v>11</v>
      </c>
      <c r="B2175" s="1" t="s">
        <v>43</v>
      </c>
      <c r="C2175" s="1" t="s">
        <v>44</v>
      </c>
      <c r="D2175">
        <v>12659</v>
      </c>
      <c r="E2175" t="s">
        <v>12</v>
      </c>
      <c r="F2175" t="s">
        <v>47</v>
      </c>
      <c r="G2175">
        <v>1</v>
      </c>
      <c r="H2175">
        <v>0</v>
      </c>
      <c r="I2175" t="s">
        <v>45</v>
      </c>
      <c r="J2175" cm="1">
        <f t="array" ref="J2175">IFERROR(
    _xlfn.XLOOKUP(G2175, 'Wedgewood Pharm-PM-Yr2-2025'!$E$4:$L$4,
        _xlfn.XLOOKUP('Rate Load'!L2175, 'Wedgewood Pharm-PM-Yr2-2025'!$D$32:$D$36,
            'Wedgewood Pharm-PM-Yr2-2025'!$E$106:$L$110, 0, 0),
        0, 0),
    _xlfn.XLOOKUP(G2175, 'Wedgewood Pharm-PM-Yr2-2025'!$E$4:$L$4,
        _xlfn.XLOOKUP('Rate Load'!L2175, 'Wedgewood Pharm-PM-Yr2-2025'!$D$32:$D$36,
            'Wedgewood Pharm-PM-Yr2-2025'!$E$106:$L$110, 0, 0),
        0, 0)
)</f>
        <v>6.8599999999999994</v>
      </c>
      <c r="K2175" t="s">
        <v>46</v>
      </c>
      <c r="L2175" t="s">
        <v>32</v>
      </c>
      <c r="M2175">
        <v>3</v>
      </c>
      <c r="N2175" t="str">
        <f t="shared" si="34"/>
        <v>INSERT INTO TNL_RATING.dbo.usps_rate_master VALUES ('USPS', '2/13/2025', '2/13/2026', 12659, 'US', 'Priority Mail', 1, 0, 'L', 6.86, 'Wedgewood_USPS_2025', 'Cubic Tier 2 (0.10 - 0.20)','3');</v>
      </c>
    </row>
    <row r="2176" spans="1:14" x14ac:dyDescent="0.3">
      <c r="A2176" t="s">
        <v>11</v>
      </c>
      <c r="B2176" s="1" t="s">
        <v>43</v>
      </c>
      <c r="C2176" s="1" t="s">
        <v>44</v>
      </c>
      <c r="D2176">
        <v>12659</v>
      </c>
      <c r="E2176" t="s">
        <v>12</v>
      </c>
      <c r="F2176" t="s">
        <v>47</v>
      </c>
      <c r="G2176">
        <v>2</v>
      </c>
      <c r="H2176">
        <v>0</v>
      </c>
      <c r="I2176" t="s">
        <v>45</v>
      </c>
      <c r="J2176" cm="1">
        <f t="array" ref="J2176">IFERROR(
    _xlfn.XLOOKUP(G2176, 'Wedgewood Pharm-PM-Yr2-2025'!$E$4:$L$4,
        _xlfn.XLOOKUP('Rate Load'!L2176, 'Wedgewood Pharm-PM-Yr2-2025'!$D$32:$D$36,
            'Wedgewood Pharm-PM-Yr2-2025'!$E$106:$L$110, 0, 0),
        0, 0),
    _xlfn.XLOOKUP(G2176, 'Wedgewood Pharm-PM-Yr2-2025'!$E$4:$L$4,
        _xlfn.XLOOKUP('Rate Load'!L2176, 'Wedgewood Pharm-PM-Yr2-2025'!$D$32:$D$36,
            'Wedgewood Pharm-PM-Yr2-2025'!$E$106:$L$110, 0, 0),
        0, 0)
)</f>
        <v>6.8599999999999994</v>
      </c>
      <c r="K2176" t="s">
        <v>46</v>
      </c>
      <c r="L2176" t="s">
        <v>32</v>
      </c>
      <c r="M2176">
        <v>3</v>
      </c>
      <c r="N2176" t="str">
        <f t="shared" si="34"/>
        <v>INSERT INTO TNL_RATING.dbo.usps_rate_master VALUES ('USPS', '2/13/2025', '2/13/2026', 12659, 'US', 'Priority Mail', 2, 0, 'L', 6.86, 'Wedgewood_USPS_2025', 'Cubic Tier 2 (0.10 - 0.20)','3');</v>
      </c>
    </row>
    <row r="2177" spans="1:14" x14ac:dyDescent="0.3">
      <c r="A2177" t="s">
        <v>11</v>
      </c>
      <c r="B2177" s="1" t="s">
        <v>43</v>
      </c>
      <c r="C2177" s="1" t="s">
        <v>44</v>
      </c>
      <c r="D2177">
        <v>12659</v>
      </c>
      <c r="E2177" t="s">
        <v>12</v>
      </c>
      <c r="F2177" t="s">
        <v>47</v>
      </c>
      <c r="G2177">
        <v>3</v>
      </c>
      <c r="H2177">
        <v>0</v>
      </c>
      <c r="I2177" t="s">
        <v>45</v>
      </c>
      <c r="J2177" cm="1">
        <f t="array" ref="J2177">IFERROR(
    _xlfn.XLOOKUP(G2177, 'Wedgewood Pharm-PM-Yr2-2025'!$E$4:$L$4,
        _xlfn.XLOOKUP('Rate Load'!L2177, 'Wedgewood Pharm-PM-Yr2-2025'!$D$32:$D$36,
            'Wedgewood Pharm-PM-Yr2-2025'!$E$106:$L$110, 0, 0),
        0, 0),
    _xlfn.XLOOKUP(G2177, 'Wedgewood Pharm-PM-Yr2-2025'!$E$4:$L$4,
        _xlfn.XLOOKUP('Rate Load'!L2177, 'Wedgewood Pharm-PM-Yr2-2025'!$D$32:$D$36,
            'Wedgewood Pharm-PM-Yr2-2025'!$E$106:$L$110, 0, 0),
        0, 0)
)</f>
        <v>6.8599999999999994</v>
      </c>
      <c r="K2177" t="s">
        <v>46</v>
      </c>
      <c r="L2177" t="s">
        <v>32</v>
      </c>
      <c r="M2177">
        <v>3</v>
      </c>
      <c r="N2177" t="str">
        <f t="shared" si="34"/>
        <v>INSERT INTO TNL_RATING.dbo.usps_rate_master VALUES ('USPS', '2/13/2025', '2/13/2026', 12659, 'US', 'Priority Mail', 3, 0, 'L', 6.86, 'Wedgewood_USPS_2025', 'Cubic Tier 2 (0.10 - 0.20)','3');</v>
      </c>
    </row>
    <row r="2178" spans="1:14" x14ac:dyDescent="0.3">
      <c r="A2178" t="s">
        <v>11</v>
      </c>
      <c r="B2178" s="1" t="s">
        <v>43</v>
      </c>
      <c r="C2178" s="1" t="s">
        <v>44</v>
      </c>
      <c r="D2178">
        <v>12659</v>
      </c>
      <c r="E2178" t="s">
        <v>12</v>
      </c>
      <c r="F2178" t="s">
        <v>47</v>
      </c>
      <c r="G2178">
        <v>4</v>
      </c>
      <c r="H2178">
        <v>0</v>
      </c>
      <c r="I2178" t="s">
        <v>45</v>
      </c>
      <c r="J2178" cm="1">
        <f t="array" ref="J2178">IFERROR(
    _xlfn.XLOOKUP(G2178, 'Wedgewood Pharm-PM-Yr2-2025'!$E$4:$L$4,
        _xlfn.XLOOKUP('Rate Load'!L2178, 'Wedgewood Pharm-PM-Yr2-2025'!$D$32:$D$36,
            'Wedgewood Pharm-PM-Yr2-2025'!$E$106:$L$110, 0, 0),
        0, 0),
    _xlfn.XLOOKUP(G2178, 'Wedgewood Pharm-PM-Yr2-2025'!$E$4:$L$4,
        _xlfn.XLOOKUP('Rate Load'!L2178, 'Wedgewood Pharm-PM-Yr2-2025'!$D$32:$D$36,
            'Wedgewood Pharm-PM-Yr2-2025'!$E$106:$L$110, 0, 0),
        0, 0)
)</f>
        <v>6.9399999999999995</v>
      </c>
      <c r="K2178" t="s">
        <v>46</v>
      </c>
      <c r="L2178" t="s">
        <v>32</v>
      </c>
      <c r="M2178">
        <v>3</v>
      </c>
      <c r="N2178" t="str">
        <f t="shared" si="34"/>
        <v>INSERT INTO TNL_RATING.dbo.usps_rate_master VALUES ('USPS', '2/13/2025', '2/13/2026', 12659, 'US', 'Priority Mail', 4, 0, 'L', 6.94, 'Wedgewood_USPS_2025', 'Cubic Tier 2 (0.10 - 0.20)','3');</v>
      </c>
    </row>
    <row r="2179" spans="1:14" x14ac:dyDescent="0.3">
      <c r="A2179" t="s">
        <v>11</v>
      </c>
      <c r="B2179" s="1" t="s">
        <v>43</v>
      </c>
      <c r="C2179" s="1" t="s">
        <v>44</v>
      </c>
      <c r="D2179">
        <v>12659</v>
      </c>
      <c r="E2179" t="s">
        <v>12</v>
      </c>
      <c r="F2179" t="s">
        <v>47</v>
      </c>
      <c r="G2179">
        <v>5</v>
      </c>
      <c r="H2179">
        <v>0</v>
      </c>
      <c r="I2179" t="s">
        <v>45</v>
      </c>
      <c r="J2179" cm="1">
        <f t="array" ref="J2179">IFERROR(
    _xlfn.XLOOKUP(G2179, 'Wedgewood Pharm-PM-Yr2-2025'!$E$4:$L$4,
        _xlfn.XLOOKUP('Rate Load'!L2179, 'Wedgewood Pharm-PM-Yr2-2025'!$D$32:$D$36,
            'Wedgewood Pharm-PM-Yr2-2025'!$E$106:$L$110, 0, 0),
        0, 0),
    _xlfn.XLOOKUP(G2179, 'Wedgewood Pharm-PM-Yr2-2025'!$E$4:$L$4,
        _xlfn.XLOOKUP('Rate Load'!L2179, 'Wedgewood Pharm-PM-Yr2-2025'!$D$32:$D$36,
            'Wedgewood Pharm-PM-Yr2-2025'!$E$106:$L$110, 0, 0),
        0, 0)
)</f>
        <v>7.9799999999999995</v>
      </c>
      <c r="K2179" t="s">
        <v>46</v>
      </c>
      <c r="L2179" t="s">
        <v>32</v>
      </c>
      <c r="M2179">
        <v>3</v>
      </c>
      <c r="N2179" t="str">
        <f t="shared" si="34"/>
        <v>INSERT INTO TNL_RATING.dbo.usps_rate_master VALUES ('USPS', '2/13/2025', '2/13/2026', 12659, 'US', 'Priority Mail', 5, 0, 'L', 7.98, 'Wedgewood_USPS_2025', 'Cubic Tier 2 (0.10 - 0.20)','3');</v>
      </c>
    </row>
    <row r="2180" spans="1:14" x14ac:dyDescent="0.3">
      <c r="A2180" t="s">
        <v>11</v>
      </c>
      <c r="B2180" s="1" t="s">
        <v>43</v>
      </c>
      <c r="C2180" s="1" t="s">
        <v>44</v>
      </c>
      <c r="D2180">
        <v>12659</v>
      </c>
      <c r="E2180" t="s">
        <v>12</v>
      </c>
      <c r="F2180" t="s">
        <v>47</v>
      </c>
      <c r="G2180">
        <v>6</v>
      </c>
      <c r="H2180">
        <v>0</v>
      </c>
      <c r="I2180" t="s">
        <v>45</v>
      </c>
      <c r="J2180" cm="1">
        <f t="array" ref="J2180">IFERROR(
    _xlfn.XLOOKUP(G2180, 'Wedgewood Pharm-PM-Yr2-2025'!$E$4:$L$4,
        _xlfn.XLOOKUP('Rate Load'!L2180, 'Wedgewood Pharm-PM-Yr2-2025'!$D$32:$D$36,
            'Wedgewood Pharm-PM-Yr2-2025'!$E$106:$L$110, 0, 0),
        0, 0),
    _xlfn.XLOOKUP(G2180, 'Wedgewood Pharm-PM-Yr2-2025'!$E$4:$L$4,
        _xlfn.XLOOKUP('Rate Load'!L2180, 'Wedgewood Pharm-PM-Yr2-2025'!$D$32:$D$36,
            'Wedgewood Pharm-PM-Yr2-2025'!$E$106:$L$110, 0, 0),
        0, 0)
)</f>
        <v>9.01</v>
      </c>
      <c r="K2180" t="s">
        <v>46</v>
      </c>
      <c r="L2180" t="s">
        <v>32</v>
      </c>
      <c r="M2180">
        <v>3</v>
      </c>
      <c r="N2180" t="str">
        <f t="shared" si="34"/>
        <v>INSERT INTO TNL_RATING.dbo.usps_rate_master VALUES ('USPS', '2/13/2025', '2/13/2026', 12659, 'US', 'Priority Mail', 6, 0, 'L', 9.01, 'Wedgewood_USPS_2025', 'Cubic Tier 2 (0.10 - 0.20)','3');</v>
      </c>
    </row>
    <row r="2181" spans="1:14" x14ac:dyDescent="0.3">
      <c r="A2181" t="s">
        <v>11</v>
      </c>
      <c r="B2181" s="1" t="s">
        <v>43</v>
      </c>
      <c r="C2181" s="1" t="s">
        <v>44</v>
      </c>
      <c r="D2181">
        <v>12659</v>
      </c>
      <c r="E2181" t="s">
        <v>12</v>
      </c>
      <c r="F2181" t="s">
        <v>47</v>
      </c>
      <c r="G2181">
        <v>7</v>
      </c>
      <c r="H2181">
        <v>0</v>
      </c>
      <c r="I2181" t="s">
        <v>45</v>
      </c>
      <c r="J2181" cm="1">
        <f t="array" ref="J2181">IFERROR(
    _xlfn.XLOOKUP(G2181, 'Wedgewood Pharm-PM-Yr2-2025'!$E$4:$L$4,
        _xlfn.XLOOKUP('Rate Load'!L2181, 'Wedgewood Pharm-PM-Yr2-2025'!$D$32:$D$36,
            'Wedgewood Pharm-PM-Yr2-2025'!$E$106:$L$110, 0, 0),
        0, 0),
    _xlfn.XLOOKUP(G2181, 'Wedgewood Pharm-PM-Yr2-2025'!$E$4:$L$4,
        _xlfn.XLOOKUP('Rate Load'!L2181, 'Wedgewood Pharm-PM-Yr2-2025'!$D$32:$D$36,
            'Wedgewood Pharm-PM-Yr2-2025'!$E$106:$L$110, 0, 0),
        0, 0)
)</f>
        <v>9.84</v>
      </c>
      <c r="K2181" t="s">
        <v>46</v>
      </c>
      <c r="L2181" t="s">
        <v>32</v>
      </c>
      <c r="M2181">
        <v>3</v>
      </c>
      <c r="N2181" t="str">
        <f t="shared" si="34"/>
        <v>INSERT INTO TNL_RATING.dbo.usps_rate_master VALUES ('USPS', '2/13/2025', '2/13/2026', 12659, 'US', 'Priority Mail', 7, 0, 'L', 9.84, 'Wedgewood_USPS_2025', 'Cubic Tier 2 (0.10 - 0.20)','3');</v>
      </c>
    </row>
    <row r="2182" spans="1:14" x14ac:dyDescent="0.3">
      <c r="A2182" t="s">
        <v>11</v>
      </c>
      <c r="B2182" s="1" t="s">
        <v>43</v>
      </c>
      <c r="C2182" s="1" t="s">
        <v>44</v>
      </c>
      <c r="D2182">
        <v>12659</v>
      </c>
      <c r="E2182" t="s">
        <v>12</v>
      </c>
      <c r="F2182" t="s">
        <v>47</v>
      </c>
      <c r="G2182">
        <v>8</v>
      </c>
      <c r="H2182">
        <v>0</v>
      </c>
      <c r="I2182" t="s">
        <v>45</v>
      </c>
      <c r="J2182" cm="1">
        <f t="array" ref="J2182">IFERROR(
    _xlfn.XLOOKUP(G2182, 'Wedgewood Pharm-PM-Yr2-2025'!$E$4:$L$4,
        _xlfn.XLOOKUP('Rate Load'!L2182, 'Wedgewood Pharm-PM-Yr2-2025'!$D$32:$D$36,
            'Wedgewood Pharm-PM-Yr2-2025'!$E$106:$L$110, 0, 0),
        0, 0),
    _xlfn.XLOOKUP(G2182, 'Wedgewood Pharm-PM-Yr2-2025'!$E$4:$L$4,
        _xlfn.XLOOKUP('Rate Load'!L2182, 'Wedgewood Pharm-PM-Yr2-2025'!$D$32:$D$36,
            'Wedgewood Pharm-PM-Yr2-2025'!$E$106:$L$110, 0, 0),
        0, 0)
)</f>
        <v>10.61</v>
      </c>
      <c r="K2182" t="s">
        <v>46</v>
      </c>
      <c r="L2182" t="s">
        <v>32</v>
      </c>
      <c r="M2182">
        <v>3</v>
      </c>
      <c r="N2182" t="str">
        <f t="shared" si="34"/>
        <v>INSERT INTO TNL_RATING.dbo.usps_rate_master VALUES ('USPS', '2/13/2025', '2/13/2026', 12659, 'US', 'Priority Mail', 8, 0, 'L', 10.61, 'Wedgewood_USPS_2025', 'Cubic Tier 2 (0.10 - 0.20)','3');</v>
      </c>
    </row>
    <row r="2183" spans="1:14" x14ac:dyDescent="0.3">
      <c r="A2183" t="s">
        <v>11</v>
      </c>
      <c r="B2183" s="1" t="s">
        <v>43</v>
      </c>
      <c r="C2183" s="1" t="s">
        <v>44</v>
      </c>
      <c r="D2183">
        <v>12659</v>
      </c>
      <c r="E2183" t="s">
        <v>12</v>
      </c>
      <c r="F2183" t="s">
        <v>47</v>
      </c>
      <c r="G2183">
        <v>1</v>
      </c>
      <c r="H2183">
        <v>0</v>
      </c>
      <c r="I2183" t="s">
        <v>45</v>
      </c>
      <c r="J2183" cm="1">
        <f t="array" ref="J2183">IFERROR(
    _xlfn.XLOOKUP(G2183, 'Wedgewood Pharm-PM-Yr2-2025'!$E$4:$L$4,
        _xlfn.XLOOKUP('Rate Load'!L2183, 'Wedgewood Pharm-PM-Yr2-2025'!$D$32:$D$36,
            'Wedgewood Pharm-PM-Yr2-2025'!$E$106:$L$110, 0, 0),
        0, 0),
    _xlfn.XLOOKUP(G2183, 'Wedgewood Pharm-PM-Yr2-2025'!$E$4:$L$4,
        _xlfn.XLOOKUP('Rate Load'!L2183, 'Wedgewood Pharm-PM-Yr2-2025'!$D$32:$D$36,
            'Wedgewood Pharm-PM-Yr2-2025'!$E$106:$L$110, 0, 0),
        0, 0)
)</f>
        <v>6.93</v>
      </c>
      <c r="K2183" t="s">
        <v>46</v>
      </c>
      <c r="L2183" t="s">
        <v>33</v>
      </c>
      <c r="M2183">
        <v>3</v>
      </c>
      <c r="N2183" t="str">
        <f t="shared" si="34"/>
        <v>INSERT INTO TNL_RATING.dbo.usps_rate_master VALUES ('USPS', '2/13/2025', '2/13/2026', 12659, 'US', 'Priority Mail', 1, 0, 'L', 6.93, 'Wedgewood_USPS_2025', 'Cubic Tier 3 (0.20 - 0.30)','3');</v>
      </c>
    </row>
    <row r="2184" spans="1:14" x14ac:dyDescent="0.3">
      <c r="A2184" t="s">
        <v>11</v>
      </c>
      <c r="B2184" s="1" t="s">
        <v>43</v>
      </c>
      <c r="C2184" s="1" t="s">
        <v>44</v>
      </c>
      <c r="D2184">
        <v>12659</v>
      </c>
      <c r="E2184" t="s">
        <v>12</v>
      </c>
      <c r="F2184" t="s">
        <v>47</v>
      </c>
      <c r="G2184">
        <v>2</v>
      </c>
      <c r="H2184">
        <v>0</v>
      </c>
      <c r="I2184" t="s">
        <v>45</v>
      </c>
      <c r="J2184" cm="1">
        <f t="array" ref="J2184">IFERROR(
    _xlfn.XLOOKUP(G2184, 'Wedgewood Pharm-PM-Yr2-2025'!$E$4:$L$4,
        _xlfn.XLOOKUP('Rate Load'!L2184, 'Wedgewood Pharm-PM-Yr2-2025'!$D$32:$D$36,
            'Wedgewood Pharm-PM-Yr2-2025'!$E$106:$L$110, 0, 0),
        0, 0),
    _xlfn.XLOOKUP(G2184, 'Wedgewood Pharm-PM-Yr2-2025'!$E$4:$L$4,
        _xlfn.XLOOKUP('Rate Load'!L2184, 'Wedgewood Pharm-PM-Yr2-2025'!$D$32:$D$36,
            'Wedgewood Pharm-PM-Yr2-2025'!$E$106:$L$110, 0, 0),
        0, 0)
)</f>
        <v>6.9799999999999995</v>
      </c>
      <c r="K2184" t="s">
        <v>46</v>
      </c>
      <c r="L2184" t="s">
        <v>33</v>
      </c>
      <c r="M2184">
        <v>3</v>
      </c>
      <c r="N2184" t="str">
        <f t="shared" si="34"/>
        <v>INSERT INTO TNL_RATING.dbo.usps_rate_master VALUES ('USPS', '2/13/2025', '2/13/2026', 12659, 'US', 'Priority Mail', 2, 0, 'L', 6.98, 'Wedgewood_USPS_2025', 'Cubic Tier 3 (0.20 - 0.30)','3');</v>
      </c>
    </row>
    <row r="2185" spans="1:14" x14ac:dyDescent="0.3">
      <c r="A2185" t="s">
        <v>11</v>
      </c>
      <c r="B2185" s="1" t="s">
        <v>43</v>
      </c>
      <c r="C2185" s="1" t="s">
        <v>44</v>
      </c>
      <c r="D2185">
        <v>12659</v>
      </c>
      <c r="E2185" t="s">
        <v>12</v>
      </c>
      <c r="F2185" t="s">
        <v>47</v>
      </c>
      <c r="G2185">
        <v>3</v>
      </c>
      <c r="H2185">
        <v>0</v>
      </c>
      <c r="I2185" t="s">
        <v>45</v>
      </c>
      <c r="J2185" cm="1">
        <f t="array" ref="J2185">IFERROR(
    _xlfn.XLOOKUP(G2185, 'Wedgewood Pharm-PM-Yr2-2025'!$E$4:$L$4,
        _xlfn.XLOOKUP('Rate Load'!L2185, 'Wedgewood Pharm-PM-Yr2-2025'!$D$32:$D$36,
            'Wedgewood Pharm-PM-Yr2-2025'!$E$106:$L$110, 0, 0),
        0, 0),
    _xlfn.XLOOKUP(G2185, 'Wedgewood Pharm-PM-Yr2-2025'!$E$4:$L$4,
        _xlfn.XLOOKUP('Rate Load'!L2185, 'Wedgewood Pharm-PM-Yr2-2025'!$D$32:$D$36,
            'Wedgewood Pharm-PM-Yr2-2025'!$E$106:$L$110, 0, 0),
        0, 0)
)</f>
        <v>7.13</v>
      </c>
      <c r="K2185" t="s">
        <v>46</v>
      </c>
      <c r="L2185" t="s">
        <v>33</v>
      </c>
      <c r="M2185">
        <v>3</v>
      </c>
      <c r="N2185" t="str">
        <f t="shared" si="34"/>
        <v>INSERT INTO TNL_RATING.dbo.usps_rate_master VALUES ('USPS', '2/13/2025', '2/13/2026', 12659, 'US', 'Priority Mail', 3, 0, 'L', 7.13, 'Wedgewood_USPS_2025', 'Cubic Tier 3 (0.20 - 0.30)','3');</v>
      </c>
    </row>
    <row r="2186" spans="1:14" x14ac:dyDescent="0.3">
      <c r="A2186" t="s">
        <v>11</v>
      </c>
      <c r="B2186" s="1" t="s">
        <v>43</v>
      </c>
      <c r="C2186" s="1" t="s">
        <v>44</v>
      </c>
      <c r="D2186">
        <v>12659</v>
      </c>
      <c r="E2186" t="s">
        <v>12</v>
      </c>
      <c r="F2186" t="s">
        <v>47</v>
      </c>
      <c r="G2186">
        <v>4</v>
      </c>
      <c r="H2186">
        <v>0</v>
      </c>
      <c r="I2186" t="s">
        <v>45</v>
      </c>
      <c r="J2186" cm="1">
        <f t="array" ref="J2186">IFERROR(
    _xlfn.XLOOKUP(G2186, 'Wedgewood Pharm-PM-Yr2-2025'!$E$4:$L$4,
        _xlfn.XLOOKUP('Rate Load'!L2186, 'Wedgewood Pharm-PM-Yr2-2025'!$D$32:$D$36,
            'Wedgewood Pharm-PM-Yr2-2025'!$E$106:$L$110, 0, 0),
        0, 0),
    _xlfn.XLOOKUP(G2186, 'Wedgewood Pharm-PM-Yr2-2025'!$E$4:$L$4,
        _xlfn.XLOOKUP('Rate Load'!L2186, 'Wedgewood Pharm-PM-Yr2-2025'!$D$32:$D$36,
            'Wedgewood Pharm-PM-Yr2-2025'!$E$106:$L$110, 0, 0),
        0, 0)
)</f>
        <v>7.2</v>
      </c>
      <c r="K2186" t="s">
        <v>46</v>
      </c>
      <c r="L2186" t="s">
        <v>33</v>
      </c>
      <c r="M2186">
        <v>3</v>
      </c>
      <c r="N2186" t="str">
        <f t="shared" si="34"/>
        <v>INSERT INTO TNL_RATING.dbo.usps_rate_master VALUES ('USPS', '2/13/2025', '2/13/2026', 12659, 'US', 'Priority Mail', 4, 0, 'L', 7.2, 'Wedgewood_USPS_2025', 'Cubic Tier 3 (0.20 - 0.30)','3');</v>
      </c>
    </row>
    <row r="2187" spans="1:14" x14ac:dyDescent="0.3">
      <c r="A2187" t="s">
        <v>11</v>
      </c>
      <c r="B2187" s="1" t="s">
        <v>43</v>
      </c>
      <c r="C2187" s="1" t="s">
        <v>44</v>
      </c>
      <c r="D2187">
        <v>12659</v>
      </c>
      <c r="E2187" t="s">
        <v>12</v>
      </c>
      <c r="F2187" t="s">
        <v>47</v>
      </c>
      <c r="G2187">
        <v>5</v>
      </c>
      <c r="H2187">
        <v>0</v>
      </c>
      <c r="I2187" t="s">
        <v>45</v>
      </c>
      <c r="J2187" cm="1">
        <f t="array" ref="J2187">IFERROR(
    _xlfn.XLOOKUP(G2187, 'Wedgewood Pharm-PM-Yr2-2025'!$E$4:$L$4,
        _xlfn.XLOOKUP('Rate Load'!L2187, 'Wedgewood Pharm-PM-Yr2-2025'!$D$32:$D$36,
            'Wedgewood Pharm-PM-Yr2-2025'!$E$106:$L$110, 0, 0),
        0, 0),
    _xlfn.XLOOKUP(G2187, 'Wedgewood Pharm-PM-Yr2-2025'!$E$4:$L$4,
        _xlfn.XLOOKUP('Rate Load'!L2187, 'Wedgewood Pharm-PM-Yr2-2025'!$D$32:$D$36,
            'Wedgewood Pharm-PM-Yr2-2025'!$E$106:$L$110, 0, 0),
        0, 0)
)</f>
        <v>9.65</v>
      </c>
      <c r="K2187" t="s">
        <v>46</v>
      </c>
      <c r="L2187" t="s">
        <v>33</v>
      </c>
      <c r="M2187">
        <v>3</v>
      </c>
      <c r="N2187" t="str">
        <f t="shared" si="34"/>
        <v>INSERT INTO TNL_RATING.dbo.usps_rate_master VALUES ('USPS', '2/13/2025', '2/13/2026', 12659, 'US', 'Priority Mail', 5, 0, 'L', 9.65, 'Wedgewood_USPS_2025', 'Cubic Tier 3 (0.20 - 0.30)','3');</v>
      </c>
    </row>
    <row r="2188" spans="1:14" x14ac:dyDescent="0.3">
      <c r="A2188" t="s">
        <v>11</v>
      </c>
      <c r="B2188" s="1" t="s">
        <v>43</v>
      </c>
      <c r="C2188" s="1" t="s">
        <v>44</v>
      </c>
      <c r="D2188">
        <v>12659</v>
      </c>
      <c r="E2188" t="s">
        <v>12</v>
      </c>
      <c r="F2188" t="s">
        <v>47</v>
      </c>
      <c r="G2188">
        <v>6</v>
      </c>
      <c r="H2188">
        <v>0</v>
      </c>
      <c r="I2188" t="s">
        <v>45</v>
      </c>
      <c r="J2188" cm="1">
        <f t="array" ref="J2188">IFERROR(
    _xlfn.XLOOKUP(G2188, 'Wedgewood Pharm-PM-Yr2-2025'!$E$4:$L$4,
        _xlfn.XLOOKUP('Rate Load'!L2188, 'Wedgewood Pharm-PM-Yr2-2025'!$D$32:$D$36,
            'Wedgewood Pharm-PM-Yr2-2025'!$E$106:$L$110, 0, 0),
        0, 0),
    _xlfn.XLOOKUP(G2188, 'Wedgewood Pharm-PM-Yr2-2025'!$E$4:$L$4,
        _xlfn.XLOOKUP('Rate Load'!L2188, 'Wedgewood Pharm-PM-Yr2-2025'!$D$32:$D$36,
            'Wedgewood Pharm-PM-Yr2-2025'!$E$106:$L$110, 0, 0),
        0, 0)
)</f>
        <v>11.57</v>
      </c>
      <c r="K2188" t="s">
        <v>46</v>
      </c>
      <c r="L2188" t="s">
        <v>33</v>
      </c>
      <c r="M2188">
        <v>3</v>
      </c>
      <c r="N2188" t="str">
        <f t="shared" si="34"/>
        <v>INSERT INTO TNL_RATING.dbo.usps_rate_master VALUES ('USPS', '2/13/2025', '2/13/2026', 12659, 'US', 'Priority Mail', 6, 0, 'L', 11.57, 'Wedgewood_USPS_2025', 'Cubic Tier 3 (0.20 - 0.30)','3');</v>
      </c>
    </row>
    <row r="2189" spans="1:14" x14ac:dyDescent="0.3">
      <c r="A2189" t="s">
        <v>11</v>
      </c>
      <c r="B2189" s="1" t="s">
        <v>43</v>
      </c>
      <c r="C2189" s="1" t="s">
        <v>44</v>
      </c>
      <c r="D2189">
        <v>12659</v>
      </c>
      <c r="E2189" t="s">
        <v>12</v>
      </c>
      <c r="F2189" t="s">
        <v>47</v>
      </c>
      <c r="G2189">
        <v>7</v>
      </c>
      <c r="H2189">
        <v>0</v>
      </c>
      <c r="I2189" t="s">
        <v>45</v>
      </c>
      <c r="J2189" cm="1">
        <f t="array" ref="J2189">IFERROR(
    _xlfn.XLOOKUP(G2189, 'Wedgewood Pharm-PM-Yr2-2025'!$E$4:$L$4,
        _xlfn.XLOOKUP('Rate Load'!L2189, 'Wedgewood Pharm-PM-Yr2-2025'!$D$32:$D$36,
            'Wedgewood Pharm-PM-Yr2-2025'!$E$106:$L$110, 0, 0),
        0, 0),
    _xlfn.XLOOKUP(G2189, 'Wedgewood Pharm-PM-Yr2-2025'!$E$4:$L$4,
        _xlfn.XLOOKUP('Rate Load'!L2189, 'Wedgewood Pharm-PM-Yr2-2025'!$D$32:$D$36,
            'Wedgewood Pharm-PM-Yr2-2025'!$E$106:$L$110, 0, 0),
        0, 0)
)</f>
        <v>13.24</v>
      </c>
      <c r="K2189" t="s">
        <v>46</v>
      </c>
      <c r="L2189" t="s">
        <v>33</v>
      </c>
      <c r="M2189">
        <v>3</v>
      </c>
      <c r="N2189" t="str">
        <f t="shared" si="34"/>
        <v>INSERT INTO TNL_RATING.dbo.usps_rate_master VALUES ('USPS', '2/13/2025', '2/13/2026', 12659, 'US', 'Priority Mail', 7, 0, 'L', 13.24, 'Wedgewood_USPS_2025', 'Cubic Tier 3 (0.20 - 0.30)','3');</v>
      </c>
    </row>
    <row r="2190" spans="1:14" x14ac:dyDescent="0.3">
      <c r="A2190" t="s">
        <v>11</v>
      </c>
      <c r="B2190" s="1" t="s">
        <v>43</v>
      </c>
      <c r="C2190" s="1" t="s">
        <v>44</v>
      </c>
      <c r="D2190">
        <v>12659</v>
      </c>
      <c r="E2190" t="s">
        <v>12</v>
      </c>
      <c r="F2190" t="s">
        <v>47</v>
      </c>
      <c r="G2190">
        <v>8</v>
      </c>
      <c r="H2190">
        <v>0</v>
      </c>
      <c r="I2190" t="s">
        <v>45</v>
      </c>
      <c r="J2190" cm="1">
        <f t="array" ref="J2190">IFERROR(
    _xlfn.XLOOKUP(G2190, 'Wedgewood Pharm-PM-Yr2-2025'!$E$4:$L$4,
        _xlfn.XLOOKUP('Rate Load'!L2190, 'Wedgewood Pharm-PM-Yr2-2025'!$D$32:$D$36,
            'Wedgewood Pharm-PM-Yr2-2025'!$E$106:$L$110, 0, 0),
        0, 0),
    _xlfn.XLOOKUP(G2190, 'Wedgewood Pharm-PM-Yr2-2025'!$E$4:$L$4,
        _xlfn.XLOOKUP('Rate Load'!L2190, 'Wedgewood Pharm-PM-Yr2-2025'!$D$32:$D$36,
            'Wedgewood Pharm-PM-Yr2-2025'!$E$106:$L$110, 0, 0),
        0, 0)
)</f>
        <v>15.04</v>
      </c>
      <c r="K2190" t="s">
        <v>46</v>
      </c>
      <c r="L2190" t="s">
        <v>33</v>
      </c>
      <c r="M2190">
        <v>3</v>
      </c>
      <c r="N2190" t="str">
        <f t="shared" si="34"/>
        <v>INSERT INTO TNL_RATING.dbo.usps_rate_master VALUES ('USPS', '2/13/2025', '2/13/2026', 12659, 'US', 'Priority Mail', 8, 0, 'L', 15.04, 'Wedgewood_USPS_2025', 'Cubic Tier 3 (0.20 - 0.30)','3');</v>
      </c>
    </row>
    <row r="2191" spans="1:14" x14ac:dyDescent="0.3">
      <c r="A2191" t="s">
        <v>11</v>
      </c>
      <c r="B2191" s="1" t="s">
        <v>43</v>
      </c>
      <c r="C2191" s="1" t="s">
        <v>44</v>
      </c>
      <c r="D2191">
        <v>12659</v>
      </c>
      <c r="E2191" t="s">
        <v>12</v>
      </c>
      <c r="F2191" t="s">
        <v>47</v>
      </c>
      <c r="G2191">
        <v>1</v>
      </c>
      <c r="H2191">
        <v>0</v>
      </c>
      <c r="I2191" t="s">
        <v>45</v>
      </c>
      <c r="J2191" cm="1">
        <f t="array" ref="J2191">IFERROR(
    _xlfn.XLOOKUP(G2191, 'Wedgewood Pharm-PM-Yr2-2025'!$E$4:$L$4,
        _xlfn.XLOOKUP('Rate Load'!L2191, 'Wedgewood Pharm-PM-Yr2-2025'!$D$32:$D$36,
            'Wedgewood Pharm-PM-Yr2-2025'!$E$106:$L$110, 0, 0),
        0, 0),
    _xlfn.XLOOKUP(G2191, 'Wedgewood Pharm-PM-Yr2-2025'!$E$4:$L$4,
        _xlfn.XLOOKUP('Rate Load'!L2191, 'Wedgewood Pharm-PM-Yr2-2025'!$D$32:$D$36,
            'Wedgewood Pharm-PM-Yr2-2025'!$E$106:$L$110, 0, 0),
        0, 0)
)</f>
        <v>7.0299999999999994</v>
      </c>
      <c r="K2191" t="s">
        <v>46</v>
      </c>
      <c r="L2191" t="s">
        <v>34</v>
      </c>
      <c r="M2191">
        <v>3</v>
      </c>
      <c r="N2191" t="str">
        <f t="shared" si="34"/>
        <v>INSERT INTO TNL_RATING.dbo.usps_rate_master VALUES ('USPS', '2/13/2025', '2/13/2026', 12659, 'US', 'Priority Mail', 1, 0, 'L', 7.03, 'Wedgewood_USPS_2025', 'Cubic Tier 4 (0.30 - 0.40)','3');</v>
      </c>
    </row>
    <row r="2192" spans="1:14" x14ac:dyDescent="0.3">
      <c r="A2192" t="s">
        <v>11</v>
      </c>
      <c r="B2192" s="1" t="s">
        <v>43</v>
      </c>
      <c r="C2192" s="1" t="s">
        <v>44</v>
      </c>
      <c r="D2192">
        <v>12659</v>
      </c>
      <c r="E2192" t="s">
        <v>12</v>
      </c>
      <c r="F2192" t="s">
        <v>47</v>
      </c>
      <c r="G2192">
        <v>2</v>
      </c>
      <c r="H2192">
        <v>0</v>
      </c>
      <c r="I2192" t="s">
        <v>45</v>
      </c>
      <c r="J2192" cm="1">
        <f t="array" ref="J2192">IFERROR(
    _xlfn.XLOOKUP(G2192, 'Wedgewood Pharm-PM-Yr2-2025'!$E$4:$L$4,
        _xlfn.XLOOKUP('Rate Load'!L2192, 'Wedgewood Pharm-PM-Yr2-2025'!$D$32:$D$36,
            'Wedgewood Pharm-PM-Yr2-2025'!$E$106:$L$110, 0, 0),
        0, 0),
    _xlfn.XLOOKUP(G2192, 'Wedgewood Pharm-PM-Yr2-2025'!$E$4:$L$4,
        _xlfn.XLOOKUP('Rate Load'!L2192, 'Wedgewood Pharm-PM-Yr2-2025'!$D$32:$D$36,
            'Wedgewood Pharm-PM-Yr2-2025'!$E$106:$L$110, 0, 0),
        0, 0)
)</f>
        <v>7.13</v>
      </c>
      <c r="K2192" t="s">
        <v>46</v>
      </c>
      <c r="L2192" t="s">
        <v>34</v>
      </c>
      <c r="M2192">
        <v>3</v>
      </c>
      <c r="N2192" t="str">
        <f t="shared" si="34"/>
        <v>INSERT INTO TNL_RATING.dbo.usps_rate_master VALUES ('USPS', '2/13/2025', '2/13/2026', 12659, 'US', 'Priority Mail', 2, 0, 'L', 7.13, 'Wedgewood_USPS_2025', 'Cubic Tier 4 (0.30 - 0.40)','3');</v>
      </c>
    </row>
    <row r="2193" spans="1:14" x14ac:dyDescent="0.3">
      <c r="A2193" t="s">
        <v>11</v>
      </c>
      <c r="B2193" s="1" t="s">
        <v>43</v>
      </c>
      <c r="C2193" s="1" t="s">
        <v>44</v>
      </c>
      <c r="D2193">
        <v>12659</v>
      </c>
      <c r="E2193" t="s">
        <v>12</v>
      </c>
      <c r="F2193" t="s">
        <v>47</v>
      </c>
      <c r="G2193">
        <v>3</v>
      </c>
      <c r="H2193">
        <v>0</v>
      </c>
      <c r="I2193" t="s">
        <v>45</v>
      </c>
      <c r="J2193" cm="1">
        <f t="array" ref="J2193">IFERROR(
    _xlfn.XLOOKUP(G2193, 'Wedgewood Pharm-PM-Yr2-2025'!$E$4:$L$4,
        _xlfn.XLOOKUP('Rate Load'!L2193, 'Wedgewood Pharm-PM-Yr2-2025'!$D$32:$D$36,
            'Wedgewood Pharm-PM-Yr2-2025'!$E$106:$L$110, 0, 0),
        0, 0),
    _xlfn.XLOOKUP(G2193, 'Wedgewood Pharm-PM-Yr2-2025'!$E$4:$L$4,
        _xlfn.XLOOKUP('Rate Load'!L2193, 'Wedgewood Pharm-PM-Yr2-2025'!$D$32:$D$36,
            'Wedgewood Pharm-PM-Yr2-2025'!$E$106:$L$110, 0, 0),
        0, 0)
)</f>
        <v>7.2</v>
      </c>
      <c r="K2193" t="s">
        <v>46</v>
      </c>
      <c r="L2193" t="s">
        <v>34</v>
      </c>
      <c r="M2193">
        <v>3</v>
      </c>
      <c r="N2193" t="str">
        <f t="shared" si="34"/>
        <v>INSERT INTO TNL_RATING.dbo.usps_rate_master VALUES ('USPS', '2/13/2025', '2/13/2026', 12659, 'US', 'Priority Mail', 3, 0, 'L', 7.2, 'Wedgewood_USPS_2025', 'Cubic Tier 4 (0.30 - 0.40)','3');</v>
      </c>
    </row>
    <row r="2194" spans="1:14" x14ac:dyDescent="0.3">
      <c r="A2194" t="s">
        <v>11</v>
      </c>
      <c r="B2194" s="1" t="s">
        <v>43</v>
      </c>
      <c r="C2194" s="1" t="s">
        <v>44</v>
      </c>
      <c r="D2194">
        <v>12659</v>
      </c>
      <c r="E2194" t="s">
        <v>12</v>
      </c>
      <c r="F2194" t="s">
        <v>47</v>
      </c>
      <c r="G2194">
        <v>4</v>
      </c>
      <c r="H2194">
        <v>0</v>
      </c>
      <c r="I2194" t="s">
        <v>45</v>
      </c>
      <c r="J2194" cm="1">
        <f t="array" ref="J2194">IFERROR(
    _xlfn.XLOOKUP(G2194, 'Wedgewood Pharm-PM-Yr2-2025'!$E$4:$L$4,
        _xlfn.XLOOKUP('Rate Load'!L2194, 'Wedgewood Pharm-PM-Yr2-2025'!$D$32:$D$36,
            'Wedgewood Pharm-PM-Yr2-2025'!$E$106:$L$110, 0, 0),
        0, 0),
    _xlfn.XLOOKUP(G2194, 'Wedgewood Pharm-PM-Yr2-2025'!$E$4:$L$4,
        _xlfn.XLOOKUP('Rate Load'!L2194, 'Wedgewood Pharm-PM-Yr2-2025'!$D$32:$D$36,
            'Wedgewood Pharm-PM-Yr2-2025'!$E$106:$L$110, 0, 0),
        0, 0)
)</f>
        <v>7.26</v>
      </c>
      <c r="K2194" t="s">
        <v>46</v>
      </c>
      <c r="L2194" t="s">
        <v>34</v>
      </c>
      <c r="M2194">
        <v>3</v>
      </c>
      <c r="N2194" t="str">
        <f t="shared" si="34"/>
        <v>INSERT INTO TNL_RATING.dbo.usps_rate_master VALUES ('USPS', '2/13/2025', '2/13/2026', 12659, 'US', 'Priority Mail', 4, 0, 'L', 7.26, 'Wedgewood_USPS_2025', 'Cubic Tier 4 (0.30 - 0.40)','3');</v>
      </c>
    </row>
    <row r="2195" spans="1:14" x14ac:dyDescent="0.3">
      <c r="A2195" t="s">
        <v>11</v>
      </c>
      <c r="B2195" s="1" t="s">
        <v>43</v>
      </c>
      <c r="C2195" s="1" t="s">
        <v>44</v>
      </c>
      <c r="D2195">
        <v>12659</v>
      </c>
      <c r="E2195" t="s">
        <v>12</v>
      </c>
      <c r="F2195" t="s">
        <v>47</v>
      </c>
      <c r="G2195">
        <v>5</v>
      </c>
      <c r="H2195">
        <v>0</v>
      </c>
      <c r="I2195" t="s">
        <v>45</v>
      </c>
      <c r="J2195" cm="1">
        <f t="array" ref="J2195">IFERROR(
    _xlfn.XLOOKUP(G2195, 'Wedgewood Pharm-PM-Yr2-2025'!$E$4:$L$4,
        _xlfn.XLOOKUP('Rate Load'!L2195, 'Wedgewood Pharm-PM-Yr2-2025'!$D$32:$D$36,
            'Wedgewood Pharm-PM-Yr2-2025'!$E$106:$L$110, 0, 0),
        0, 0),
    _xlfn.XLOOKUP(G2195, 'Wedgewood Pharm-PM-Yr2-2025'!$E$4:$L$4,
        _xlfn.XLOOKUP('Rate Load'!L2195, 'Wedgewood Pharm-PM-Yr2-2025'!$D$32:$D$36,
            'Wedgewood Pharm-PM-Yr2-2025'!$E$106:$L$110, 0, 0),
        0, 0)
)</f>
        <v>11.48</v>
      </c>
      <c r="K2195" t="s">
        <v>46</v>
      </c>
      <c r="L2195" t="s">
        <v>34</v>
      </c>
      <c r="M2195">
        <v>3</v>
      </c>
      <c r="N2195" t="str">
        <f t="shared" si="34"/>
        <v>INSERT INTO TNL_RATING.dbo.usps_rate_master VALUES ('USPS', '2/13/2025', '2/13/2026', 12659, 'US', 'Priority Mail', 5, 0, 'L', 11.48, 'Wedgewood_USPS_2025', 'Cubic Tier 4 (0.30 - 0.40)','3');</v>
      </c>
    </row>
    <row r="2196" spans="1:14" x14ac:dyDescent="0.3">
      <c r="A2196" t="s">
        <v>11</v>
      </c>
      <c r="B2196" s="1" t="s">
        <v>43</v>
      </c>
      <c r="C2196" s="1" t="s">
        <v>44</v>
      </c>
      <c r="D2196">
        <v>12659</v>
      </c>
      <c r="E2196" t="s">
        <v>12</v>
      </c>
      <c r="F2196" t="s">
        <v>47</v>
      </c>
      <c r="G2196">
        <v>6</v>
      </c>
      <c r="H2196">
        <v>0</v>
      </c>
      <c r="I2196" t="s">
        <v>45</v>
      </c>
      <c r="J2196" cm="1">
        <f t="array" ref="J2196">IFERROR(
    _xlfn.XLOOKUP(G2196, 'Wedgewood Pharm-PM-Yr2-2025'!$E$4:$L$4,
        _xlfn.XLOOKUP('Rate Load'!L2196, 'Wedgewood Pharm-PM-Yr2-2025'!$D$32:$D$36,
            'Wedgewood Pharm-PM-Yr2-2025'!$E$106:$L$110, 0, 0),
        0, 0),
    _xlfn.XLOOKUP(G2196, 'Wedgewood Pharm-PM-Yr2-2025'!$E$4:$L$4,
        _xlfn.XLOOKUP('Rate Load'!L2196, 'Wedgewood Pharm-PM-Yr2-2025'!$D$32:$D$36,
            'Wedgewood Pharm-PM-Yr2-2025'!$E$106:$L$110, 0, 0),
        0, 0)
)</f>
        <v>13.709999999999999</v>
      </c>
      <c r="K2196" t="s">
        <v>46</v>
      </c>
      <c r="L2196" t="s">
        <v>34</v>
      </c>
      <c r="M2196">
        <v>3</v>
      </c>
      <c r="N2196" t="str">
        <f t="shared" si="34"/>
        <v>INSERT INTO TNL_RATING.dbo.usps_rate_master VALUES ('USPS', '2/13/2025', '2/13/2026', 12659, 'US', 'Priority Mail', 6, 0, 'L', 13.71, 'Wedgewood_USPS_2025', 'Cubic Tier 4 (0.30 - 0.40)','3');</v>
      </c>
    </row>
    <row r="2197" spans="1:14" x14ac:dyDescent="0.3">
      <c r="A2197" t="s">
        <v>11</v>
      </c>
      <c r="B2197" s="1" t="s">
        <v>43</v>
      </c>
      <c r="C2197" s="1" t="s">
        <v>44</v>
      </c>
      <c r="D2197">
        <v>12659</v>
      </c>
      <c r="E2197" t="s">
        <v>12</v>
      </c>
      <c r="F2197" t="s">
        <v>47</v>
      </c>
      <c r="G2197">
        <v>7</v>
      </c>
      <c r="H2197">
        <v>0</v>
      </c>
      <c r="I2197" t="s">
        <v>45</v>
      </c>
      <c r="J2197" cm="1">
        <f t="array" ref="J2197">IFERROR(
    _xlfn.XLOOKUP(G2197, 'Wedgewood Pharm-PM-Yr2-2025'!$E$4:$L$4,
        _xlfn.XLOOKUP('Rate Load'!L2197, 'Wedgewood Pharm-PM-Yr2-2025'!$D$32:$D$36,
            'Wedgewood Pharm-PM-Yr2-2025'!$E$106:$L$110, 0, 0),
        0, 0),
    _xlfn.XLOOKUP(G2197, 'Wedgewood Pharm-PM-Yr2-2025'!$E$4:$L$4,
        _xlfn.XLOOKUP('Rate Load'!L2197, 'Wedgewood Pharm-PM-Yr2-2025'!$D$32:$D$36,
            'Wedgewood Pharm-PM-Yr2-2025'!$E$106:$L$110, 0, 0),
        0, 0)
)</f>
        <v>16.23</v>
      </c>
      <c r="K2197" t="s">
        <v>46</v>
      </c>
      <c r="L2197" t="s">
        <v>34</v>
      </c>
      <c r="M2197">
        <v>3</v>
      </c>
      <c r="N2197" t="str">
        <f t="shared" si="34"/>
        <v>INSERT INTO TNL_RATING.dbo.usps_rate_master VALUES ('USPS', '2/13/2025', '2/13/2026', 12659, 'US', 'Priority Mail', 7, 0, 'L', 16.23, 'Wedgewood_USPS_2025', 'Cubic Tier 4 (0.30 - 0.40)','3');</v>
      </c>
    </row>
    <row r="2198" spans="1:14" x14ac:dyDescent="0.3">
      <c r="A2198" t="s">
        <v>11</v>
      </c>
      <c r="B2198" s="1" t="s">
        <v>43</v>
      </c>
      <c r="C2198" s="1" t="s">
        <v>44</v>
      </c>
      <c r="D2198">
        <v>12659</v>
      </c>
      <c r="E2198" t="s">
        <v>12</v>
      </c>
      <c r="F2198" t="s">
        <v>47</v>
      </c>
      <c r="G2198">
        <v>8</v>
      </c>
      <c r="H2198">
        <v>0</v>
      </c>
      <c r="I2198" t="s">
        <v>45</v>
      </c>
      <c r="J2198" cm="1">
        <f t="array" ref="J2198">IFERROR(
    _xlfn.XLOOKUP(G2198, 'Wedgewood Pharm-PM-Yr2-2025'!$E$4:$L$4,
        _xlfn.XLOOKUP('Rate Load'!L2198, 'Wedgewood Pharm-PM-Yr2-2025'!$D$32:$D$36,
            'Wedgewood Pharm-PM-Yr2-2025'!$E$106:$L$110, 0, 0),
        0, 0),
    _xlfn.XLOOKUP(G2198, 'Wedgewood Pharm-PM-Yr2-2025'!$E$4:$L$4,
        _xlfn.XLOOKUP('Rate Load'!L2198, 'Wedgewood Pharm-PM-Yr2-2025'!$D$32:$D$36,
            'Wedgewood Pharm-PM-Yr2-2025'!$E$106:$L$110, 0, 0),
        0, 0)
)</f>
        <v>18.21</v>
      </c>
      <c r="K2198" t="s">
        <v>46</v>
      </c>
      <c r="L2198" t="s">
        <v>34</v>
      </c>
      <c r="M2198">
        <v>3</v>
      </c>
      <c r="N2198" t="str">
        <f t="shared" si="34"/>
        <v>INSERT INTO TNL_RATING.dbo.usps_rate_master VALUES ('USPS', '2/13/2025', '2/13/2026', 12659, 'US', 'Priority Mail', 8, 0, 'L', 18.21, 'Wedgewood_USPS_2025', 'Cubic Tier 4 (0.30 - 0.40)','3');</v>
      </c>
    </row>
    <row r="2199" spans="1:14" x14ac:dyDescent="0.3">
      <c r="A2199" t="s">
        <v>11</v>
      </c>
      <c r="B2199" s="1" t="s">
        <v>43</v>
      </c>
      <c r="C2199" s="1" t="s">
        <v>44</v>
      </c>
      <c r="D2199">
        <v>12659</v>
      </c>
      <c r="E2199" t="s">
        <v>12</v>
      </c>
      <c r="F2199" t="s">
        <v>47</v>
      </c>
      <c r="G2199">
        <v>1</v>
      </c>
      <c r="H2199">
        <v>0</v>
      </c>
      <c r="I2199" t="s">
        <v>45</v>
      </c>
      <c r="J2199" cm="1">
        <f t="array" ref="J2199">IFERROR(
    _xlfn.XLOOKUP(G2199, 'Wedgewood Pharm-PM-Yr2-2025'!$E$4:$L$4,
        _xlfn.XLOOKUP('Rate Load'!L2199, 'Wedgewood Pharm-PM-Yr2-2025'!$D$32:$D$36,
            'Wedgewood Pharm-PM-Yr2-2025'!$E$106:$L$110, 0, 0),
        0, 0),
    _xlfn.XLOOKUP(G2199, 'Wedgewood Pharm-PM-Yr2-2025'!$E$4:$L$4,
        _xlfn.XLOOKUP('Rate Load'!L2199, 'Wedgewood Pharm-PM-Yr2-2025'!$D$32:$D$36,
            'Wedgewood Pharm-PM-Yr2-2025'!$E$106:$L$110, 0, 0),
        0, 0)
)</f>
        <v>7.1099999999999994</v>
      </c>
      <c r="K2199" t="s">
        <v>46</v>
      </c>
      <c r="L2199" t="s">
        <v>35</v>
      </c>
      <c r="M2199">
        <v>3</v>
      </c>
      <c r="N2199" t="str">
        <f t="shared" si="34"/>
        <v>INSERT INTO TNL_RATING.dbo.usps_rate_master VALUES ('USPS', '2/13/2025', '2/13/2026', 12659, 'US', 'Priority Mail', 1, 0, 'L', 7.11, 'Wedgewood_USPS_2025', 'Cubic Tier 5 (0.40 - 0.50)','3');</v>
      </c>
    </row>
    <row r="2200" spans="1:14" x14ac:dyDescent="0.3">
      <c r="A2200" t="s">
        <v>11</v>
      </c>
      <c r="B2200" s="1" t="s">
        <v>43</v>
      </c>
      <c r="C2200" s="1" t="s">
        <v>44</v>
      </c>
      <c r="D2200">
        <v>12659</v>
      </c>
      <c r="E2200" t="s">
        <v>12</v>
      </c>
      <c r="F2200" t="s">
        <v>47</v>
      </c>
      <c r="G2200">
        <v>2</v>
      </c>
      <c r="H2200">
        <v>0</v>
      </c>
      <c r="I2200" t="s">
        <v>45</v>
      </c>
      <c r="J2200" cm="1">
        <f t="array" ref="J2200">IFERROR(
    _xlfn.XLOOKUP(G2200, 'Wedgewood Pharm-PM-Yr2-2025'!$E$4:$L$4,
        _xlfn.XLOOKUP('Rate Load'!L2200, 'Wedgewood Pharm-PM-Yr2-2025'!$D$32:$D$36,
            'Wedgewood Pharm-PM-Yr2-2025'!$E$106:$L$110, 0, 0),
        0, 0),
    _xlfn.XLOOKUP(G2200, 'Wedgewood Pharm-PM-Yr2-2025'!$E$4:$L$4,
        _xlfn.XLOOKUP('Rate Load'!L2200, 'Wedgewood Pharm-PM-Yr2-2025'!$D$32:$D$36,
            'Wedgewood Pharm-PM-Yr2-2025'!$E$106:$L$110, 0, 0),
        0, 0)
)</f>
        <v>7.2299999999999995</v>
      </c>
      <c r="K2200" t="s">
        <v>46</v>
      </c>
      <c r="L2200" t="s">
        <v>35</v>
      </c>
      <c r="M2200">
        <v>3</v>
      </c>
      <c r="N2200" t="str">
        <f t="shared" si="34"/>
        <v>INSERT INTO TNL_RATING.dbo.usps_rate_master VALUES ('USPS', '2/13/2025', '2/13/2026', 12659, 'US', 'Priority Mail', 2, 0, 'L', 7.23, 'Wedgewood_USPS_2025', 'Cubic Tier 5 (0.40 - 0.50)','3');</v>
      </c>
    </row>
    <row r="2201" spans="1:14" x14ac:dyDescent="0.3">
      <c r="A2201" t="s">
        <v>11</v>
      </c>
      <c r="B2201" s="1" t="s">
        <v>43</v>
      </c>
      <c r="C2201" s="1" t="s">
        <v>44</v>
      </c>
      <c r="D2201">
        <v>12659</v>
      </c>
      <c r="E2201" t="s">
        <v>12</v>
      </c>
      <c r="F2201" t="s">
        <v>47</v>
      </c>
      <c r="G2201">
        <v>3</v>
      </c>
      <c r="H2201">
        <v>0</v>
      </c>
      <c r="I2201" t="s">
        <v>45</v>
      </c>
      <c r="J2201" cm="1">
        <f t="array" ref="J2201">IFERROR(
    _xlfn.XLOOKUP(G2201, 'Wedgewood Pharm-PM-Yr2-2025'!$E$4:$L$4,
        _xlfn.XLOOKUP('Rate Load'!L2201, 'Wedgewood Pharm-PM-Yr2-2025'!$D$32:$D$36,
            'Wedgewood Pharm-PM-Yr2-2025'!$E$106:$L$110, 0, 0),
        0, 0),
    _xlfn.XLOOKUP(G2201, 'Wedgewood Pharm-PM-Yr2-2025'!$E$4:$L$4,
        _xlfn.XLOOKUP('Rate Load'!L2201, 'Wedgewood Pharm-PM-Yr2-2025'!$D$32:$D$36,
            'Wedgewood Pharm-PM-Yr2-2025'!$E$106:$L$110, 0, 0),
        0, 0)
)</f>
        <v>7.26</v>
      </c>
      <c r="K2201" t="s">
        <v>46</v>
      </c>
      <c r="L2201" t="s">
        <v>35</v>
      </c>
      <c r="M2201">
        <v>3</v>
      </c>
      <c r="N2201" t="str">
        <f t="shared" si="34"/>
        <v>INSERT INTO TNL_RATING.dbo.usps_rate_master VALUES ('USPS', '2/13/2025', '2/13/2026', 12659, 'US', 'Priority Mail', 3, 0, 'L', 7.26, 'Wedgewood_USPS_2025', 'Cubic Tier 5 (0.40 - 0.50)','3');</v>
      </c>
    </row>
    <row r="2202" spans="1:14" x14ac:dyDescent="0.3">
      <c r="A2202" t="s">
        <v>11</v>
      </c>
      <c r="B2202" s="1" t="s">
        <v>43</v>
      </c>
      <c r="C2202" s="1" t="s">
        <v>44</v>
      </c>
      <c r="D2202">
        <v>12659</v>
      </c>
      <c r="E2202" t="s">
        <v>12</v>
      </c>
      <c r="F2202" t="s">
        <v>47</v>
      </c>
      <c r="G2202">
        <v>4</v>
      </c>
      <c r="H2202">
        <v>0</v>
      </c>
      <c r="I2202" t="s">
        <v>45</v>
      </c>
      <c r="J2202" cm="1">
        <f t="array" ref="J2202">IFERROR(
    _xlfn.XLOOKUP(G2202, 'Wedgewood Pharm-PM-Yr2-2025'!$E$4:$L$4,
        _xlfn.XLOOKUP('Rate Load'!L2202, 'Wedgewood Pharm-PM-Yr2-2025'!$D$32:$D$36,
            'Wedgewood Pharm-PM-Yr2-2025'!$E$106:$L$110, 0, 0),
        0, 0),
    _xlfn.XLOOKUP(G2202, 'Wedgewood Pharm-PM-Yr2-2025'!$E$4:$L$4,
        _xlfn.XLOOKUP('Rate Load'!L2202, 'Wedgewood Pharm-PM-Yr2-2025'!$D$32:$D$36,
            'Wedgewood Pharm-PM-Yr2-2025'!$E$106:$L$110, 0, 0),
        0, 0)
)</f>
        <v>7.3999999999999995</v>
      </c>
      <c r="K2202" t="s">
        <v>46</v>
      </c>
      <c r="L2202" t="s">
        <v>35</v>
      </c>
      <c r="M2202">
        <v>3</v>
      </c>
      <c r="N2202" t="str">
        <f t="shared" si="34"/>
        <v>INSERT INTO TNL_RATING.dbo.usps_rate_master VALUES ('USPS', '2/13/2025', '2/13/2026', 12659, 'US', 'Priority Mail', 4, 0, 'L', 7.4, 'Wedgewood_USPS_2025', 'Cubic Tier 5 (0.40 - 0.50)','3');</v>
      </c>
    </row>
    <row r="2203" spans="1:14" x14ac:dyDescent="0.3">
      <c r="A2203" t="s">
        <v>11</v>
      </c>
      <c r="B2203" s="1" t="s">
        <v>43</v>
      </c>
      <c r="C2203" s="1" t="s">
        <v>44</v>
      </c>
      <c r="D2203">
        <v>12659</v>
      </c>
      <c r="E2203" t="s">
        <v>12</v>
      </c>
      <c r="F2203" t="s">
        <v>47</v>
      </c>
      <c r="G2203">
        <v>5</v>
      </c>
      <c r="H2203">
        <v>0</v>
      </c>
      <c r="I2203" t="s">
        <v>45</v>
      </c>
      <c r="J2203" cm="1">
        <f t="array" ref="J2203">IFERROR(
    _xlfn.XLOOKUP(G2203, 'Wedgewood Pharm-PM-Yr2-2025'!$E$4:$L$4,
        _xlfn.XLOOKUP('Rate Load'!L2203, 'Wedgewood Pharm-PM-Yr2-2025'!$D$32:$D$36,
            'Wedgewood Pharm-PM-Yr2-2025'!$E$106:$L$110, 0, 0),
        0, 0),
    _xlfn.XLOOKUP(G2203, 'Wedgewood Pharm-PM-Yr2-2025'!$E$4:$L$4,
        _xlfn.XLOOKUP('Rate Load'!L2203, 'Wedgewood Pharm-PM-Yr2-2025'!$D$32:$D$36,
            'Wedgewood Pharm-PM-Yr2-2025'!$E$106:$L$110, 0, 0),
        0, 0)
)</f>
        <v>13.1</v>
      </c>
      <c r="K2203" t="s">
        <v>46</v>
      </c>
      <c r="L2203" t="s">
        <v>35</v>
      </c>
      <c r="M2203">
        <v>3</v>
      </c>
      <c r="N2203" t="str">
        <f t="shared" si="34"/>
        <v>INSERT INTO TNL_RATING.dbo.usps_rate_master VALUES ('USPS', '2/13/2025', '2/13/2026', 12659, 'US', 'Priority Mail', 5, 0, 'L', 13.1, 'Wedgewood_USPS_2025', 'Cubic Tier 5 (0.40 - 0.50)','3');</v>
      </c>
    </row>
    <row r="2204" spans="1:14" x14ac:dyDescent="0.3">
      <c r="A2204" t="s">
        <v>11</v>
      </c>
      <c r="B2204" s="1" t="s">
        <v>43</v>
      </c>
      <c r="C2204" s="1" t="s">
        <v>44</v>
      </c>
      <c r="D2204">
        <v>12659</v>
      </c>
      <c r="E2204" t="s">
        <v>12</v>
      </c>
      <c r="F2204" t="s">
        <v>47</v>
      </c>
      <c r="G2204">
        <v>6</v>
      </c>
      <c r="H2204">
        <v>0</v>
      </c>
      <c r="I2204" t="s">
        <v>45</v>
      </c>
      <c r="J2204" cm="1">
        <f t="array" ref="J2204">IFERROR(
    _xlfn.XLOOKUP(G2204, 'Wedgewood Pharm-PM-Yr2-2025'!$E$4:$L$4,
        _xlfn.XLOOKUP('Rate Load'!L2204, 'Wedgewood Pharm-PM-Yr2-2025'!$D$32:$D$36,
            'Wedgewood Pharm-PM-Yr2-2025'!$E$106:$L$110, 0, 0),
        0, 0),
    _xlfn.XLOOKUP(G2204, 'Wedgewood Pharm-PM-Yr2-2025'!$E$4:$L$4,
        _xlfn.XLOOKUP('Rate Load'!L2204, 'Wedgewood Pharm-PM-Yr2-2025'!$D$32:$D$36,
            'Wedgewood Pharm-PM-Yr2-2025'!$E$106:$L$110, 0, 0),
        0, 0)
)</f>
        <v>15.62</v>
      </c>
      <c r="K2204" t="s">
        <v>46</v>
      </c>
      <c r="L2204" t="s">
        <v>35</v>
      </c>
      <c r="M2204">
        <v>3</v>
      </c>
      <c r="N2204" t="str">
        <f t="shared" si="34"/>
        <v>INSERT INTO TNL_RATING.dbo.usps_rate_master VALUES ('USPS', '2/13/2025', '2/13/2026', 12659, 'US', 'Priority Mail', 6, 0, 'L', 15.62, 'Wedgewood_USPS_2025', 'Cubic Tier 5 (0.40 - 0.50)','3');</v>
      </c>
    </row>
    <row r="2205" spans="1:14" x14ac:dyDescent="0.3">
      <c r="A2205" t="s">
        <v>11</v>
      </c>
      <c r="B2205" s="1" t="s">
        <v>43</v>
      </c>
      <c r="C2205" s="1" t="s">
        <v>44</v>
      </c>
      <c r="D2205">
        <v>12659</v>
      </c>
      <c r="E2205" t="s">
        <v>12</v>
      </c>
      <c r="F2205" t="s">
        <v>47</v>
      </c>
      <c r="G2205">
        <v>7</v>
      </c>
      <c r="H2205">
        <v>0</v>
      </c>
      <c r="I2205" t="s">
        <v>45</v>
      </c>
      <c r="J2205" cm="1">
        <f t="array" ref="J2205">IFERROR(
    _xlfn.XLOOKUP(G2205, 'Wedgewood Pharm-PM-Yr2-2025'!$E$4:$L$4,
        _xlfn.XLOOKUP('Rate Load'!L2205, 'Wedgewood Pharm-PM-Yr2-2025'!$D$32:$D$36,
            'Wedgewood Pharm-PM-Yr2-2025'!$E$106:$L$110, 0, 0),
        0, 0),
    _xlfn.XLOOKUP(G2205, 'Wedgewood Pharm-PM-Yr2-2025'!$E$4:$L$4,
        _xlfn.XLOOKUP('Rate Load'!L2205, 'Wedgewood Pharm-PM-Yr2-2025'!$D$32:$D$36,
            'Wedgewood Pharm-PM-Yr2-2025'!$E$106:$L$110, 0, 0),
        0, 0)
)</f>
        <v>19.28</v>
      </c>
      <c r="K2205" t="s">
        <v>46</v>
      </c>
      <c r="L2205" t="s">
        <v>35</v>
      </c>
      <c r="M2205">
        <v>3</v>
      </c>
      <c r="N2205" t="str">
        <f t="shared" si="34"/>
        <v>INSERT INTO TNL_RATING.dbo.usps_rate_master VALUES ('USPS', '2/13/2025', '2/13/2026', 12659, 'US', 'Priority Mail', 7, 0, 'L', 19.28, 'Wedgewood_USPS_2025', 'Cubic Tier 5 (0.40 - 0.50)','3');</v>
      </c>
    </row>
    <row r="2206" spans="1:14" x14ac:dyDescent="0.3">
      <c r="A2206" t="s">
        <v>11</v>
      </c>
      <c r="B2206" s="1" t="s">
        <v>43</v>
      </c>
      <c r="C2206" s="1" t="s">
        <v>44</v>
      </c>
      <c r="D2206">
        <v>12659</v>
      </c>
      <c r="E2206" t="s">
        <v>12</v>
      </c>
      <c r="F2206" t="s">
        <v>47</v>
      </c>
      <c r="G2206">
        <v>8</v>
      </c>
      <c r="H2206">
        <v>0</v>
      </c>
      <c r="I2206" t="s">
        <v>45</v>
      </c>
      <c r="J2206" cm="1">
        <f t="array" ref="J2206">IFERROR(
    _xlfn.XLOOKUP(G2206, 'Wedgewood Pharm-PM-Yr2-2025'!$E$4:$L$4,
        _xlfn.XLOOKUP('Rate Load'!L2206, 'Wedgewood Pharm-PM-Yr2-2025'!$D$32:$D$36,
            'Wedgewood Pharm-PM-Yr2-2025'!$E$106:$L$110, 0, 0),
        0, 0),
    _xlfn.XLOOKUP(G2206, 'Wedgewood Pharm-PM-Yr2-2025'!$E$4:$L$4,
        _xlfn.XLOOKUP('Rate Load'!L2206, 'Wedgewood Pharm-PM-Yr2-2025'!$D$32:$D$36,
            'Wedgewood Pharm-PM-Yr2-2025'!$E$106:$L$110, 0, 0),
        0, 0)
)</f>
        <v>21.67</v>
      </c>
      <c r="K2206" t="s">
        <v>46</v>
      </c>
      <c r="L2206" t="s">
        <v>35</v>
      </c>
      <c r="M2206">
        <v>3</v>
      </c>
      <c r="N2206" t="str">
        <f t="shared" si="34"/>
        <v>INSERT INTO TNL_RATING.dbo.usps_rate_master VALUES ('USPS', '2/13/2025', '2/13/2026', 12659, 'US', 'Priority Mail', 8, 0, 'L', 21.67, 'Wedgewood_USPS_2025', 'Cubic Tier 5 (0.40 - 0.50)','3');</v>
      </c>
    </row>
    <row r="2207" spans="1:14" x14ac:dyDescent="0.3">
      <c r="A2207" t="s">
        <v>11</v>
      </c>
      <c r="B2207" s="1" t="s">
        <v>43</v>
      </c>
      <c r="C2207" s="1" t="s">
        <v>44</v>
      </c>
      <c r="D2207">
        <v>12659</v>
      </c>
      <c r="E2207" t="s">
        <v>12</v>
      </c>
      <c r="F2207" t="s">
        <v>51</v>
      </c>
      <c r="G2207">
        <v>1</v>
      </c>
      <c r="H2207">
        <v>0</v>
      </c>
      <c r="I2207" t="s">
        <v>45</v>
      </c>
      <c r="J2207" cm="1">
        <f t="array" ref="J2207">IFERROR(
    _xlfn.XLOOKUP(G2207, 'Wedgewood Pharm-GA-Yr2-2025'!$E$4:$L$4,
        _xlfn.XLOOKUP('Rate Load'!L2207, 'Wedgewood Pharm-GA-Yr2-2025'!$D$41:$D$50,
            'Wedgewood Pharm-GA-Yr2-2025'!$E$41:$L$50, 0, 0),
        0, 0),
    _xlfn.XLOOKUP(G2207, 'Wedgewood Pharm-GA-Yr2-2025'!$E$4:$L$4,
        _xlfn.XLOOKUP('Rate Load'!L2207, 'Wedgewood Pharm-GA-Yr2-2025'!$D$41:$D$50,
            'Wedgewood Pharm-GA-Yr2-2025'!$E$41:$L$50, 0, 0),
        0, 0)
)</f>
        <v>4.8899999999999997</v>
      </c>
      <c r="K2207" t="s">
        <v>46</v>
      </c>
      <c r="L2207" t="s">
        <v>31</v>
      </c>
      <c r="M2207">
        <v>1</v>
      </c>
      <c r="N2207" t="str">
        <f t="shared" ref="N2207:N2211" si="35">"INSERT INTO TNL_RATING.dbo.usps_rate_master VALUES ('" &amp; A2207 &amp; "', '" &amp; B2207 &amp; "', '" &amp; C2207 &amp; "', " &amp; D2207 &amp; ", '" &amp; E2207 &amp; "', '" &amp; F2207 &amp; "', " &amp; G2207 &amp; ", " &amp; H2207 &amp; ", '" &amp; I2207 &amp; "', " &amp; J2207 &amp; ", '" &amp; K2207 &amp; "', '" &amp; L2207 &amp; "','" &amp; M2207 &amp; "');"</f>
        <v>INSERT INTO TNL_RATING.dbo.usps_rate_master VALUES ('USPS', '2/13/2025', '2/13/2026', 12659, 'US', 'USPS Ground Advantage', 1, 0, 'L', 4.89, 'Wedgewood_USPS_2025', 'Cubic Tier 1 (0.00 - 0.10)','1');</v>
      </c>
    </row>
    <row r="2208" spans="1:14" x14ac:dyDescent="0.3">
      <c r="A2208" t="s">
        <v>11</v>
      </c>
      <c r="B2208" s="1" t="s">
        <v>43</v>
      </c>
      <c r="C2208" s="1" t="s">
        <v>44</v>
      </c>
      <c r="D2208">
        <v>12659</v>
      </c>
      <c r="E2208" t="s">
        <v>12</v>
      </c>
      <c r="F2208" t="s">
        <v>51</v>
      </c>
      <c r="G2208">
        <v>2</v>
      </c>
      <c r="H2208">
        <v>0</v>
      </c>
      <c r="I2208" t="s">
        <v>45</v>
      </c>
      <c r="J2208" cm="1">
        <f t="array" ref="J2208">IFERROR(
    _xlfn.XLOOKUP(G2208, 'Wedgewood Pharm-GA-Yr2-2025'!$E$4:$L$4,
        _xlfn.XLOOKUP('Rate Load'!L2208, 'Wedgewood Pharm-GA-Yr2-2025'!$D$41:$D$50,
            'Wedgewood Pharm-GA-Yr2-2025'!$E$41:$L$50, 0, 0),
        0, 0),
    _xlfn.XLOOKUP(G2208, 'Wedgewood Pharm-GA-Yr2-2025'!$E$4:$L$4,
        _xlfn.XLOOKUP('Rate Load'!L2208, 'Wedgewood Pharm-GA-Yr2-2025'!$D$41:$D$50,
            'Wedgewood Pharm-GA-Yr2-2025'!$E$41:$L$50, 0, 0),
        0, 0)
)</f>
        <v>4.8899999999999997</v>
      </c>
      <c r="K2208" t="s">
        <v>46</v>
      </c>
      <c r="L2208" t="s">
        <v>31</v>
      </c>
      <c r="M2208">
        <v>1</v>
      </c>
      <c r="N2208" t="str">
        <f t="shared" si="35"/>
        <v>INSERT INTO TNL_RATING.dbo.usps_rate_master VALUES ('USPS', '2/13/2025', '2/13/2026', 12659, 'US', 'USPS Ground Advantage', 2, 0, 'L', 4.89, 'Wedgewood_USPS_2025', 'Cubic Tier 1 (0.00 - 0.10)','1');</v>
      </c>
    </row>
    <row r="2209" spans="1:14" x14ac:dyDescent="0.3">
      <c r="A2209" t="s">
        <v>11</v>
      </c>
      <c r="B2209" s="1" t="s">
        <v>43</v>
      </c>
      <c r="C2209" s="1" t="s">
        <v>44</v>
      </c>
      <c r="D2209">
        <v>12659</v>
      </c>
      <c r="E2209" t="s">
        <v>12</v>
      </c>
      <c r="F2209" t="s">
        <v>51</v>
      </c>
      <c r="G2209">
        <v>3</v>
      </c>
      <c r="H2209">
        <v>0</v>
      </c>
      <c r="I2209" t="s">
        <v>45</v>
      </c>
      <c r="J2209" cm="1">
        <f t="array" ref="J2209">IFERROR(
    _xlfn.XLOOKUP(G2209, 'Wedgewood Pharm-GA-Yr2-2025'!$E$4:$L$4,
        _xlfn.XLOOKUP('Rate Load'!L2209, 'Wedgewood Pharm-GA-Yr2-2025'!$D$41:$D$50,
            'Wedgewood Pharm-GA-Yr2-2025'!$E$41:$L$50, 0, 0),
        0, 0),
    _xlfn.XLOOKUP(G2209, 'Wedgewood Pharm-GA-Yr2-2025'!$E$4:$L$4,
        _xlfn.XLOOKUP('Rate Load'!L2209, 'Wedgewood Pharm-GA-Yr2-2025'!$D$41:$D$50,
            'Wedgewood Pharm-GA-Yr2-2025'!$E$41:$L$50, 0, 0),
        0, 0)
)</f>
        <v>4.92</v>
      </c>
      <c r="K2209" t="s">
        <v>46</v>
      </c>
      <c r="L2209" t="s">
        <v>31</v>
      </c>
      <c r="M2209">
        <v>1</v>
      </c>
      <c r="N2209" t="str">
        <f t="shared" si="35"/>
        <v>INSERT INTO TNL_RATING.dbo.usps_rate_master VALUES ('USPS', '2/13/2025', '2/13/2026', 12659, 'US', 'USPS Ground Advantage', 3, 0, 'L', 4.92, 'Wedgewood_USPS_2025', 'Cubic Tier 1 (0.00 - 0.10)','1');</v>
      </c>
    </row>
    <row r="2210" spans="1:14" x14ac:dyDescent="0.3">
      <c r="A2210" t="s">
        <v>11</v>
      </c>
      <c r="B2210" s="1" t="s">
        <v>43</v>
      </c>
      <c r="C2210" s="1" t="s">
        <v>44</v>
      </c>
      <c r="D2210">
        <v>12659</v>
      </c>
      <c r="E2210" t="s">
        <v>12</v>
      </c>
      <c r="F2210" t="s">
        <v>51</v>
      </c>
      <c r="G2210">
        <v>4</v>
      </c>
      <c r="H2210">
        <v>0</v>
      </c>
      <c r="I2210" t="s">
        <v>45</v>
      </c>
      <c r="J2210" cm="1">
        <f t="array" ref="J2210">IFERROR(
    _xlfn.XLOOKUP(G2210, 'Wedgewood Pharm-GA-Yr2-2025'!$E$4:$L$4,
        _xlfn.XLOOKUP('Rate Load'!L2210, 'Wedgewood Pharm-GA-Yr2-2025'!$D$41:$D$50,
            'Wedgewood Pharm-GA-Yr2-2025'!$E$41:$L$50, 0, 0),
        0, 0),
    _xlfn.XLOOKUP(G2210, 'Wedgewood Pharm-GA-Yr2-2025'!$E$4:$L$4,
        _xlfn.XLOOKUP('Rate Load'!L2210, 'Wedgewood Pharm-GA-Yr2-2025'!$D$41:$D$50,
            'Wedgewood Pharm-GA-Yr2-2025'!$E$41:$L$50, 0, 0),
        0, 0)
)</f>
        <v>5.1099999999999994</v>
      </c>
      <c r="K2210" t="s">
        <v>46</v>
      </c>
      <c r="L2210" t="s">
        <v>31</v>
      </c>
      <c r="M2210">
        <v>1</v>
      </c>
      <c r="N2210" t="str">
        <f t="shared" si="35"/>
        <v>INSERT INTO TNL_RATING.dbo.usps_rate_master VALUES ('USPS', '2/13/2025', '2/13/2026', 12659, 'US', 'USPS Ground Advantage', 4, 0, 'L', 5.11, 'Wedgewood_USPS_2025', 'Cubic Tier 1 (0.00 - 0.10)','1');</v>
      </c>
    </row>
    <row r="2211" spans="1:14" x14ac:dyDescent="0.3">
      <c r="A2211" t="s">
        <v>11</v>
      </c>
      <c r="B2211" s="1" t="s">
        <v>43</v>
      </c>
      <c r="C2211" s="1" t="s">
        <v>44</v>
      </c>
      <c r="D2211">
        <v>12659</v>
      </c>
      <c r="E2211" t="s">
        <v>12</v>
      </c>
      <c r="F2211" t="s">
        <v>51</v>
      </c>
      <c r="G2211">
        <v>5</v>
      </c>
      <c r="H2211">
        <v>0</v>
      </c>
      <c r="I2211" t="s">
        <v>45</v>
      </c>
      <c r="J2211" cm="1">
        <f t="array" ref="J2211">IFERROR(
    _xlfn.XLOOKUP(G2211, 'Wedgewood Pharm-GA-Yr2-2025'!$E$4:$L$4,
        _xlfn.XLOOKUP('Rate Load'!L2211, 'Wedgewood Pharm-GA-Yr2-2025'!$D$41:$D$50,
            'Wedgewood Pharm-GA-Yr2-2025'!$E$41:$L$50, 0, 0),
        0, 0),
    _xlfn.XLOOKUP(G2211, 'Wedgewood Pharm-GA-Yr2-2025'!$E$4:$L$4,
        _xlfn.XLOOKUP('Rate Load'!L2211, 'Wedgewood Pharm-GA-Yr2-2025'!$D$41:$D$50,
            'Wedgewood Pharm-GA-Yr2-2025'!$E$41:$L$50, 0, 0),
        0, 0)
)</f>
        <v>5.34</v>
      </c>
      <c r="K2211" t="s">
        <v>46</v>
      </c>
      <c r="L2211" t="s">
        <v>31</v>
      </c>
      <c r="M2211">
        <v>1</v>
      </c>
      <c r="N2211" t="str">
        <f t="shared" si="35"/>
        <v>INSERT INTO TNL_RATING.dbo.usps_rate_master VALUES ('USPS', '2/13/2025', '2/13/2026', 12659, 'US', 'USPS Ground Advantage', 5, 0, 'L', 5.34, 'Wedgewood_USPS_2025', 'Cubic Tier 1 (0.00 - 0.10)','1');</v>
      </c>
    </row>
    <row r="2212" spans="1:14" x14ac:dyDescent="0.3">
      <c r="A2212" t="s">
        <v>11</v>
      </c>
      <c r="B2212" s="1" t="s">
        <v>43</v>
      </c>
      <c r="C2212" s="1" t="s">
        <v>44</v>
      </c>
      <c r="D2212">
        <v>12659</v>
      </c>
      <c r="E2212" t="s">
        <v>12</v>
      </c>
      <c r="F2212" t="s">
        <v>51</v>
      </c>
      <c r="G2212">
        <v>6</v>
      </c>
      <c r="H2212">
        <v>0</v>
      </c>
      <c r="I2212" t="s">
        <v>45</v>
      </c>
      <c r="J2212" cm="1">
        <f t="array" ref="J2212">IFERROR(
    _xlfn.XLOOKUP(G2212, 'Wedgewood Pharm-GA-Yr2-2025'!$E$4:$L$4,
        _xlfn.XLOOKUP('Rate Load'!L2212, 'Wedgewood Pharm-GA-Yr2-2025'!$D$41:$D$50,
            'Wedgewood Pharm-GA-Yr2-2025'!$E$41:$L$50, 0, 0),
        0, 0),
    _xlfn.XLOOKUP(G2212, 'Wedgewood Pharm-GA-Yr2-2025'!$E$4:$L$4,
        _xlfn.XLOOKUP('Rate Load'!L2212, 'Wedgewood Pharm-GA-Yr2-2025'!$D$41:$D$50,
            'Wedgewood Pharm-GA-Yr2-2025'!$E$41:$L$50, 0, 0),
        0, 0)
)</f>
        <v>5.52</v>
      </c>
      <c r="K2212" t="s">
        <v>46</v>
      </c>
      <c r="L2212" t="s">
        <v>31</v>
      </c>
      <c r="M2212">
        <v>1</v>
      </c>
      <c r="N2212" t="str">
        <f>"INSERT INTO TNL_RATING.dbo.usps_rate_master VALUES ('" &amp; A2212 &amp; "', '" &amp; B2212 &amp; "', '" &amp; C2212 &amp; "', " &amp; D2212 &amp; ", '" &amp; E2212 &amp; "', '" &amp; F2212 &amp; "', " &amp; G2212 &amp; ", " &amp; H2212 &amp; ", '" &amp; I2212 &amp; "', " &amp; J2212 &amp; ", '" &amp; K2212 &amp; "', '" &amp; L2212 &amp; "','" &amp; M2212 &amp; "');"</f>
        <v>INSERT INTO TNL_RATING.dbo.usps_rate_master VALUES ('USPS', '2/13/2025', '2/13/2026', 12659, 'US', 'USPS Ground Advantage', 6, 0, 'L', 5.52, 'Wedgewood_USPS_2025', 'Cubic Tier 1 (0.00 - 0.10)','1');</v>
      </c>
    </row>
    <row r="2213" spans="1:14" x14ac:dyDescent="0.3">
      <c r="A2213" t="s">
        <v>11</v>
      </c>
      <c r="B2213" s="1" t="s">
        <v>43</v>
      </c>
      <c r="C2213" s="1" t="s">
        <v>44</v>
      </c>
      <c r="D2213">
        <v>12659</v>
      </c>
      <c r="E2213" t="s">
        <v>12</v>
      </c>
      <c r="F2213" t="s">
        <v>51</v>
      </c>
      <c r="G2213">
        <v>7</v>
      </c>
      <c r="H2213">
        <v>0</v>
      </c>
      <c r="I2213" t="s">
        <v>45</v>
      </c>
      <c r="J2213" cm="1">
        <f t="array" ref="J2213">IFERROR(
    _xlfn.XLOOKUP(G2213, 'Wedgewood Pharm-GA-Yr2-2025'!$E$4:$L$4,
        _xlfn.XLOOKUP('Rate Load'!L2213, 'Wedgewood Pharm-GA-Yr2-2025'!$D$41:$D$50,
            'Wedgewood Pharm-GA-Yr2-2025'!$E$41:$L$50, 0, 0),
        0, 0),
    _xlfn.XLOOKUP(G2213, 'Wedgewood Pharm-GA-Yr2-2025'!$E$4:$L$4,
        _xlfn.XLOOKUP('Rate Load'!L2213, 'Wedgewood Pharm-GA-Yr2-2025'!$D$41:$D$50,
            'Wedgewood Pharm-GA-Yr2-2025'!$E$41:$L$50, 0, 0),
        0, 0)
)</f>
        <v>5.8199999999999994</v>
      </c>
      <c r="K2213" t="s">
        <v>46</v>
      </c>
      <c r="L2213" t="s">
        <v>31</v>
      </c>
      <c r="M2213">
        <v>1</v>
      </c>
      <c r="N2213" t="str">
        <f t="shared" ref="N2213:N2275" si="36">"INSERT INTO TNL_RATING.dbo.usps_rate_master VALUES ('" &amp; A2213 &amp; "', '" &amp; B2213 &amp; "', '" &amp; C2213 &amp; "', " &amp; D2213 &amp; ", '" &amp; E2213 &amp; "', '" &amp; F2213 &amp; "', " &amp; G2213 &amp; ", " &amp; H2213 &amp; ", '" &amp; I2213 &amp; "', " &amp; J2213 &amp; ", '" &amp; K2213 &amp; "', '" &amp; L2213 &amp; "','" &amp; M2213 &amp; "');"</f>
        <v>INSERT INTO TNL_RATING.dbo.usps_rate_master VALUES ('USPS', '2/13/2025', '2/13/2026', 12659, 'US', 'USPS Ground Advantage', 7, 0, 'L', 5.82, 'Wedgewood_USPS_2025', 'Cubic Tier 1 (0.00 - 0.10)','1');</v>
      </c>
    </row>
    <row r="2214" spans="1:14" x14ac:dyDescent="0.3">
      <c r="A2214" t="s">
        <v>11</v>
      </c>
      <c r="B2214" s="1" t="s">
        <v>43</v>
      </c>
      <c r="C2214" s="1" t="s">
        <v>44</v>
      </c>
      <c r="D2214">
        <v>12659</v>
      </c>
      <c r="E2214" t="s">
        <v>12</v>
      </c>
      <c r="F2214" t="s">
        <v>51</v>
      </c>
      <c r="G2214">
        <v>8</v>
      </c>
      <c r="H2214">
        <v>0</v>
      </c>
      <c r="I2214" t="s">
        <v>45</v>
      </c>
      <c r="J2214" cm="1">
        <f t="array" ref="J2214">IFERROR(
    _xlfn.XLOOKUP(G2214, 'Wedgewood Pharm-GA-Yr2-2025'!$E$4:$L$4,
        _xlfn.XLOOKUP('Rate Load'!L2214, 'Wedgewood Pharm-GA-Yr2-2025'!$D$41:$D$50,
            'Wedgewood Pharm-GA-Yr2-2025'!$E$41:$L$50, 0, 0),
        0, 0),
    _xlfn.XLOOKUP(G2214, 'Wedgewood Pharm-GA-Yr2-2025'!$E$4:$L$4,
        _xlfn.XLOOKUP('Rate Load'!L2214, 'Wedgewood Pharm-GA-Yr2-2025'!$D$41:$D$50,
            'Wedgewood Pharm-GA-Yr2-2025'!$E$41:$L$50, 0, 0),
        0, 0)
)</f>
        <v>6.14</v>
      </c>
      <c r="K2214" t="s">
        <v>46</v>
      </c>
      <c r="L2214" t="s">
        <v>31</v>
      </c>
      <c r="M2214">
        <v>1</v>
      </c>
      <c r="N2214" t="str">
        <f t="shared" si="36"/>
        <v>INSERT INTO TNL_RATING.dbo.usps_rate_master VALUES ('USPS', '2/13/2025', '2/13/2026', 12659, 'US', 'USPS Ground Advantage', 8, 0, 'L', 6.14, 'Wedgewood_USPS_2025', 'Cubic Tier 1 (0.00 - 0.10)','1');</v>
      </c>
    </row>
    <row r="2215" spans="1:14" x14ac:dyDescent="0.3">
      <c r="A2215" t="s">
        <v>11</v>
      </c>
      <c r="B2215" s="1" t="s">
        <v>43</v>
      </c>
      <c r="C2215" s="1" t="s">
        <v>44</v>
      </c>
      <c r="D2215">
        <v>12659</v>
      </c>
      <c r="E2215" t="s">
        <v>12</v>
      </c>
      <c r="F2215" t="s">
        <v>51</v>
      </c>
      <c r="G2215">
        <v>1</v>
      </c>
      <c r="H2215">
        <v>0</v>
      </c>
      <c r="I2215" t="s">
        <v>45</v>
      </c>
      <c r="J2215" cm="1">
        <f t="array" ref="J2215">IFERROR(
    _xlfn.XLOOKUP(G2215, 'Wedgewood Pharm-GA-Yr2-2025'!$E$4:$L$4,
        _xlfn.XLOOKUP('Rate Load'!L2215, 'Wedgewood Pharm-GA-Yr2-2025'!$D$41:$D$50,
            'Wedgewood Pharm-GA-Yr2-2025'!$E$41:$L$50, 0, 0),
        0, 0),
    _xlfn.XLOOKUP(G2215, 'Wedgewood Pharm-GA-Yr2-2025'!$E$4:$L$4,
        _xlfn.XLOOKUP('Rate Load'!L2215, 'Wedgewood Pharm-GA-Yr2-2025'!$D$41:$D$50,
            'Wedgewood Pharm-GA-Yr2-2025'!$E$41:$L$50, 0, 0),
        0, 0)
)</f>
        <v>6.18</v>
      </c>
      <c r="K2215" t="s">
        <v>46</v>
      </c>
      <c r="L2215" t="s">
        <v>32</v>
      </c>
      <c r="M2215">
        <v>1</v>
      </c>
      <c r="N2215" t="str">
        <f t="shared" si="36"/>
        <v>INSERT INTO TNL_RATING.dbo.usps_rate_master VALUES ('USPS', '2/13/2025', '2/13/2026', 12659, 'US', 'USPS Ground Advantage', 1, 0, 'L', 6.18, 'Wedgewood_USPS_2025', 'Cubic Tier 2 (0.10 - 0.20)','1');</v>
      </c>
    </row>
    <row r="2216" spans="1:14" x14ac:dyDescent="0.3">
      <c r="A2216" t="s">
        <v>11</v>
      </c>
      <c r="B2216" s="1" t="s">
        <v>43</v>
      </c>
      <c r="C2216" s="1" t="s">
        <v>44</v>
      </c>
      <c r="D2216">
        <v>12659</v>
      </c>
      <c r="E2216" t="s">
        <v>12</v>
      </c>
      <c r="F2216" t="s">
        <v>51</v>
      </c>
      <c r="G2216">
        <v>2</v>
      </c>
      <c r="H2216">
        <v>0</v>
      </c>
      <c r="I2216" t="s">
        <v>45</v>
      </c>
      <c r="J2216" cm="1">
        <f t="array" ref="J2216">IFERROR(
    _xlfn.XLOOKUP(G2216, 'Wedgewood Pharm-GA-Yr2-2025'!$E$4:$L$4,
        _xlfn.XLOOKUP('Rate Load'!L2216, 'Wedgewood Pharm-GA-Yr2-2025'!$D$41:$D$50,
            'Wedgewood Pharm-GA-Yr2-2025'!$E$41:$L$50, 0, 0),
        0, 0),
    _xlfn.XLOOKUP(G2216, 'Wedgewood Pharm-GA-Yr2-2025'!$E$4:$L$4,
        _xlfn.XLOOKUP('Rate Load'!L2216, 'Wedgewood Pharm-GA-Yr2-2025'!$D$41:$D$50,
            'Wedgewood Pharm-GA-Yr2-2025'!$E$41:$L$50, 0, 0),
        0, 0)
)</f>
        <v>6.27</v>
      </c>
      <c r="K2216" t="s">
        <v>46</v>
      </c>
      <c r="L2216" t="s">
        <v>32</v>
      </c>
      <c r="M2216">
        <v>1</v>
      </c>
      <c r="N2216" t="str">
        <f t="shared" si="36"/>
        <v>INSERT INTO TNL_RATING.dbo.usps_rate_master VALUES ('USPS', '2/13/2025', '2/13/2026', 12659, 'US', 'USPS Ground Advantage', 2, 0, 'L', 6.27, 'Wedgewood_USPS_2025', 'Cubic Tier 2 (0.10 - 0.20)','1');</v>
      </c>
    </row>
    <row r="2217" spans="1:14" x14ac:dyDescent="0.3">
      <c r="A2217" t="s">
        <v>11</v>
      </c>
      <c r="B2217" s="1" t="s">
        <v>43</v>
      </c>
      <c r="C2217" s="1" t="s">
        <v>44</v>
      </c>
      <c r="D2217">
        <v>12659</v>
      </c>
      <c r="E2217" t="s">
        <v>12</v>
      </c>
      <c r="F2217" t="s">
        <v>51</v>
      </c>
      <c r="G2217">
        <v>3</v>
      </c>
      <c r="H2217">
        <v>0</v>
      </c>
      <c r="I2217" t="s">
        <v>45</v>
      </c>
      <c r="J2217" cm="1">
        <f t="array" ref="J2217">IFERROR(
    _xlfn.XLOOKUP(G2217, 'Wedgewood Pharm-GA-Yr2-2025'!$E$4:$L$4,
        _xlfn.XLOOKUP('Rate Load'!L2217, 'Wedgewood Pharm-GA-Yr2-2025'!$D$41:$D$50,
            'Wedgewood Pharm-GA-Yr2-2025'!$E$41:$L$50, 0, 0),
        0, 0),
    _xlfn.XLOOKUP(G2217, 'Wedgewood Pharm-GA-Yr2-2025'!$E$4:$L$4,
        _xlfn.XLOOKUP('Rate Load'!L2217, 'Wedgewood Pharm-GA-Yr2-2025'!$D$41:$D$50,
            'Wedgewood Pharm-GA-Yr2-2025'!$E$41:$L$50, 0, 0),
        0, 0)
)</f>
        <v>6.38</v>
      </c>
      <c r="K2217" t="s">
        <v>46</v>
      </c>
      <c r="L2217" t="s">
        <v>32</v>
      </c>
      <c r="M2217">
        <v>1</v>
      </c>
      <c r="N2217" t="str">
        <f t="shared" si="36"/>
        <v>INSERT INTO TNL_RATING.dbo.usps_rate_master VALUES ('USPS', '2/13/2025', '2/13/2026', 12659, 'US', 'USPS Ground Advantage', 3, 0, 'L', 6.38, 'Wedgewood_USPS_2025', 'Cubic Tier 2 (0.10 - 0.20)','1');</v>
      </c>
    </row>
    <row r="2218" spans="1:14" x14ac:dyDescent="0.3">
      <c r="A2218" t="s">
        <v>11</v>
      </c>
      <c r="B2218" s="1" t="s">
        <v>43</v>
      </c>
      <c r="C2218" s="1" t="s">
        <v>44</v>
      </c>
      <c r="D2218">
        <v>12659</v>
      </c>
      <c r="E2218" t="s">
        <v>12</v>
      </c>
      <c r="F2218" t="s">
        <v>51</v>
      </c>
      <c r="G2218">
        <v>4</v>
      </c>
      <c r="H2218">
        <v>0</v>
      </c>
      <c r="I2218" t="s">
        <v>45</v>
      </c>
      <c r="J2218" cm="1">
        <f t="array" ref="J2218">IFERROR(
    _xlfn.XLOOKUP(G2218, 'Wedgewood Pharm-GA-Yr2-2025'!$E$4:$L$4,
        _xlfn.XLOOKUP('Rate Load'!L2218, 'Wedgewood Pharm-GA-Yr2-2025'!$D$41:$D$50,
            'Wedgewood Pharm-GA-Yr2-2025'!$E$41:$L$50, 0, 0),
        0, 0),
    _xlfn.XLOOKUP(G2218, 'Wedgewood Pharm-GA-Yr2-2025'!$E$4:$L$4,
        _xlfn.XLOOKUP('Rate Load'!L2218, 'Wedgewood Pharm-GA-Yr2-2025'!$D$41:$D$50,
            'Wedgewood Pharm-GA-Yr2-2025'!$E$41:$L$50, 0, 0),
        0, 0)
)</f>
        <v>6.6899999999999995</v>
      </c>
      <c r="K2218" t="s">
        <v>46</v>
      </c>
      <c r="L2218" t="s">
        <v>32</v>
      </c>
      <c r="M2218">
        <v>1</v>
      </c>
      <c r="N2218" t="str">
        <f t="shared" si="36"/>
        <v>INSERT INTO TNL_RATING.dbo.usps_rate_master VALUES ('USPS', '2/13/2025', '2/13/2026', 12659, 'US', 'USPS Ground Advantage', 4, 0, 'L', 6.69, 'Wedgewood_USPS_2025', 'Cubic Tier 2 (0.10 - 0.20)','1');</v>
      </c>
    </row>
    <row r="2219" spans="1:14" x14ac:dyDescent="0.3">
      <c r="A2219" t="s">
        <v>11</v>
      </c>
      <c r="B2219" s="1" t="s">
        <v>43</v>
      </c>
      <c r="C2219" s="1" t="s">
        <v>44</v>
      </c>
      <c r="D2219">
        <v>12659</v>
      </c>
      <c r="E2219" t="s">
        <v>12</v>
      </c>
      <c r="F2219" t="s">
        <v>51</v>
      </c>
      <c r="G2219">
        <v>5</v>
      </c>
      <c r="H2219">
        <v>0</v>
      </c>
      <c r="I2219" t="s">
        <v>45</v>
      </c>
      <c r="J2219" cm="1">
        <f t="array" ref="J2219">IFERROR(
    _xlfn.XLOOKUP(G2219, 'Wedgewood Pharm-GA-Yr2-2025'!$E$4:$L$4,
        _xlfn.XLOOKUP('Rate Load'!L2219, 'Wedgewood Pharm-GA-Yr2-2025'!$D$41:$D$50,
            'Wedgewood Pharm-GA-Yr2-2025'!$E$41:$L$50, 0, 0),
        0, 0),
    _xlfn.XLOOKUP(G2219, 'Wedgewood Pharm-GA-Yr2-2025'!$E$4:$L$4,
        _xlfn.XLOOKUP('Rate Load'!L2219, 'Wedgewood Pharm-GA-Yr2-2025'!$D$41:$D$50,
            'Wedgewood Pharm-GA-Yr2-2025'!$E$41:$L$50, 0, 0),
        0, 0)
)</f>
        <v>6.99</v>
      </c>
      <c r="K2219" t="s">
        <v>46</v>
      </c>
      <c r="L2219" t="s">
        <v>32</v>
      </c>
      <c r="M2219">
        <v>1</v>
      </c>
      <c r="N2219" t="str">
        <f t="shared" si="36"/>
        <v>INSERT INTO TNL_RATING.dbo.usps_rate_master VALUES ('USPS', '2/13/2025', '2/13/2026', 12659, 'US', 'USPS Ground Advantage', 5, 0, 'L', 6.99, 'Wedgewood_USPS_2025', 'Cubic Tier 2 (0.10 - 0.20)','1');</v>
      </c>
    </row>
    <row r="2220" spans="1:14" x14ac:dyDescent="0.3">
      <c r="A2220" t="s">
        <v>11</v>
      </c>
      <c r="B2220" s="1" t="s">
        <v>43</v>
      </c>
      <c r="C2220" s="1" t="s">
        <v>44</v>
      </c>
      <c r="D2220">
        <v>12659</v>
      </c>
      <c r="E2220" t="s">
        <v>12</v>
      </c>
      <c r="F2220" t="s">
        <v>51</v>
      </c>
      <c r="G2220">
        <v>6</v>
      </c>
      <c r="H2220">
        <v>0</v>
      </c>
      <c r="I2220" t="s">
        <v>45</v>
      </c>
      <c r="J2220" cm="1">
        <f t="array" ref="J2220">IFERROR(
    _xlfn.XLOOKUP(G2220, 'Wedgewood Pharm-GA-Yr2-2025'!$E$4:$L$4,
        _xlfn.XLOOKUP('Rate Load'!L2220, 'Wedgewood Pharm-GA-Yr2-2025'!$D$41:$D$50,
            'Wedgewood Pharm-GA-Yr2-2025'!$E$41:$L$50, 0, 0),
        0, 0),
    _xlfn.XLOOKUP(G2220, 'Wedgewood Pharm-GA-Yr2-2025'!$E$4:$L$4,
        _xlfn.XLOOKUP('Rate Load'!L2220, 'Wedgewood Pharm-GA-Yr2-2025'!$D$41:$D$50,
            'Wedgewood Pharm-GA-Yr2-2025'!$E$41:$L$50, 0, 0),
        0, 0)
)</f>
        <v>7.6</v>
      </c>
      <c r="K2220" t="s">
        <v>46</v>
      </c>
      <c r="L2220" t="s">
        <v>32</v>
      </c>
      <c r="M2220">
        <v>1</v>
      </c>
      <c r="N2220" t="str">
        <f t="shared" si="36"/>
        <v>INSERT INTO TNL_RATING.dbo.usps_rate_master VALUES ('USPS', '2/13/2025', '2/13/2026', 12659, 'US', 'USPS Ground Advantage', 6, 0, 'L', 7.6, 'Wedgewood_USPS_2025', 'Cubic Tier 2 (0.10 - 0.20)','1');</v>
      </c>
    </row>
    <row r="2221" spans="1:14" x14ac:dyDescent="0.3">
      <c r="A2221" t="s">
        <v>11</v>
      </c>
      <c r="B2221" s="1" t="s">
        <v>43</v>
      </c>
      <c r="C2221" s="1" t="s">
        <v>44</v>
      </c>
      <c r="D2221">
        <v>12659</v>
      </c>
      <c r="E2221" t="s">
        <v>12</v>
      </c>
      <c r="F2221" t="s">
        <v>51</v>
      </c>
      <c r="G2221">
        <v>7</v>
      </c>
      <c r="H2221">
        <v>0</v>
      </c>
      <c r="I2221" t="s">
        <v>45</v>
      </c>
      <c r="J2221" cm="1">
        <f t="array" ref="J2221">IFERROR(
    _xlfn.XLOOKUP(G2221, 'Wedgewood Pharm-GA-Yr2-2025'!$E$4:$L$4,
        _xlfn.XLOOKUP('Rate Load'!L2221, 'Wedgewood Pharm-GA-Yr2-2025'!$D$41:$D$50,
            'Wedgewood Pharm-GA-Yr2-2025'!$E$41:$L$50, 0, 0),
        0, 0),
    _xlfn.XLOOKUP(G2221, 'Wedgewood Pharm-GA-Yr2-2025'!$E$4:$L$4,
        _xlfn.XLOOKUP('Rate Load'!L2221, 'Wedgewood Pharm-GA-Yr2-2025'!$D$41:$D$50,
            'Wedgewood Pharm-GA-Yr2-2025'!$E$41:$L$50, 0, 0),
        0, 0)
)</f>
        <v>8.06</v>
      </c>
      <c r="K2221" t="s">
        <v>46</v>
      </c>
      <c r="L2221" t="s">
        <v>32</v>
      </c>
      <c r="M2221">
        <v>1</v>
      </c>
      <c r="N2221" t="str">
        <f t="shared" si="36"/>
        <v>INSERT INTO TNL_RATING.dbo.usps_rate_master VALUES ('USPS', '2/13/2025', '2/13/2026', 12659, 'US', 'USPS Ground Advantage', 7, 0, 'L', 8.06, 'Wedgewood_USPS_2025', 'Cubic Tier 2 (0.10 - 0.20)','1');</v>
      </c>
    </row>
    <row r="2222" spans="1:14" x14ac:dyDescent="0.3">
      <c r="A2222" t="s">
        <v>11</v>
      </c>
      <c r="B2222" s="1" t="s">
        <v>43</v>
      </c>
      <c r="C2222" s="1" t="s">
        <v>44</v>
      </c>
      <c r="D2222">
        <v>12659</v>
      </c>
      <c r="E2222" t="s">
        <v>12</v>
      </c>
      <c r="F2222" t="s">
        <v>51</v>
      </c>
      <c r="G2222">
        <v>8</v>
      </c>
      <c r="H2222">
        <v>0</v>
      </c>
      <c r="I2222" t="s">
        <v>45</v>
      </c>
      <c r="J2222" cm="1">
        <f t="array" ref="J2222">IFERROR(
    _xlfn.XLOOKUP(G2222, 'Wedgewood Pharm-GA-Yr2-2025'!$E$4:$L$4,
        _xlfn.XLOOKUP('Rate Load'!L2222, 'Wedgewood Pharm-GA-Yr2-2025'!$D$41:$D$50,
            'Wedgewood Pharm-GA-Yr2-2025'!$E$41:$L$50, 0, 0),
        0, 0),
    _xlfn.XLOOKUP(G2222, 'Wedgewood Pharm-GA-Yr2-2025'!$E$4:$L$4,
        _xlfn.XLOOKUP('Rate Load'!L2222, 'Wedgewood Pharm-GA-Yr2-2025'!$D$41:$D$50,
            'Wedgewood Pharm-GA-Yr2-2025'!$E$41:$L$50, 0, 0),
        0, 0)
)</f>
        <v>8.58</v>
      </c>
      <c r="K2222" t="s">
        <v>46</v>
      </c>
      <c r="L2222" t="s">
        <v>32</v>
      </c>
      <c r="M2222">
        <v>1</v>
      </c>
      <c r="N2222" t="str">
        <f t="shared" si="36"/>
        <v>INSERT INTO TNL_RATING.dbo.usps_rate_master VALUES ('USPS', '2/13/2025', '2/13/2026', 12659, 'US', 'USPS Ground Advantage', 8, 0, 'L', 8.58, 'Wedgewood_USPS_2025', 'Cubic Tier 2 (0.10 - 0.20)','1');</v>
      </c>
    </row>
    <row r="2223" spans="1:14" x14ac:dyDescent="0.3">
      <c r="A2223" t="s">
        <v>11</v>
      </c>
      <c r="B2223" s="1" t="s">
        <v>43</v>
      </c>
      <c r="C2223" s="1" t="s">
        <v>44</v>
      </c>
      <c r="D2223">
        <v>12659</v>
      </c>
      <c r="E2223" t="s">
        <v>12</v>
      </c>
      <c r="F2223" t="s">
        <v>51</v>
      </c>
      <c r="G2223">
        <v>1</v>
      </c>
      <c r="H2223">
        <v>0</v>
      </c>
      <c r="I2223" t="s">
        <v>45</v>
      </c>
      <c r="J2223" cm="1">
        <f t="array" ref="J2223">IFERROR(
    _xlfn.XLOOKUP(G2223, 'Wedgewood Pharm-GA-Yr2-2025'!$E$4:$L$4,
        _xlfn.XLOOKUP('Rate Load'!L2223, 'Wedgewood Pharm-GA-Yr2-2025'!$D$41:$D$50,
            'Wedgewood Pharm-GA-Yr2-2025'!$E$41:$L$50, 0, 0),
        0, 0),
    _xlfn.XLOOKUP(G2223, 'Wedgewood Pharm-GA-Yr2-2025'!$E$4:$L$4,
        _xlfn.XLOOKUP('Rate Load'!L2223, 'Wedgewood Pharm-GA-Yr2-2025'!$D$41:$D$50,
            'Wedgewood Pharm-GA-Yr2-2025'!$E$41:$L$50, 0, 0),
        0, 0)
)</f>
        <v>6.38</v>
      </c>
      <c r="K2223" t="s">
        <v>46</v>
      </c>
      <c r="L2223" t="s">
        <v>33</v>
      </c>
      <c r="M2223">
        <v>1</v>
      </c>
      <c r="N2223" t="str">
        <f t="shared" si="36"/>
        <v>INSERT INTO TNL_RATING.dbo.usps_rate_master VALUES ('USPS', '2/13/2025', '2/13/2026', 12659, 'US', 'USPS Ground Advantage', 1, 0, 'L', 6.38, 'Wedgewood_USPS_2025', 'Cubic Tier 3 (0.20 - 0.30)','1');</v>
      </c>
    </row>
    <row r="2224" spans="1:14" x14ac:dyDescent="0.3">
      <c r="A2224" t="s">
        <v>11</v>
      </c>
      <c r="B2224" s="1" t="s">
        <v>43</v>
      </c>
      <c r="C2224" s="1" t="s">
        <v>44</v>
      </c>
      <c r="D2224">
        <v>12659</v>
      </c>
      <c r="E2224" t="s">
        <v>12</v>
      </c>
      <c r="F2224" t="s">
        <v>51</v>
      </c>
      <c r="G2224">
        <v>2</v>
      </c>
      <c r="H2224">
        <v>0</v>
      </c>
      <c r="I2224" t="s">
        <v>45</v>
      </c>
      <c r="J2224" cm="1">
        <f t="array" ref="J2224">IFERROR(
    _xlfn.XLOOKUP(G2224, 'Wedgewood Pharm-GA-Yr2-2025'!$E$4:$L$4,
        _xlfn.XLOOKUP('Rate Load'!L2224, 'Wedgewood Pharm-GA-Yr2-2025'!$D$41:$D$50,
            'Wedgewood Pharm-GA-Yr2-2025'!$E$41:$L$50, 0, 0),
        0, 0),
    _xlfn.XLOOKUP(G2224, 'Wedgewood Pharm-GA-Yr2-2025'!$E$4:$L$4,
        _xlfn.XLOOKUP('Rate Load'!L2224, 'Wedgewood Pharm-GA-Yr2-2025'!$D$41:$D$50,
            'Wedgewood Pharm-GA-Yr2-2025'!$E$41:$L$50, 0, 0),
        0, 0)
)</f>
        <v>6.58</v>
      </c>
      <c r="K2224" t="s">
        <v>46</v>
      </c>
      <c r="L2224" t="s">
        <v>33</v>
      </c>
      <c r="M2224">
        <v>1</v>
      </c>
      <c r="N2224" t="str">
        <f t="shared" si="36"/>
        <v>INSERT INTO TNL_RATING.dbo.usps_rate_master VALUES ('USPS', '2/13/2025', '2/13/2026', 12659, 'US', 'USPS Ground Advantage', 2, 0, 'L', 6.58, 'Wedgewood_USPS_2025', 'Cubic Tier 3 (0.20 - 0.30)','1');</v>
      </c>
    </row>
    <row r="2225" spans="1:14" x14ac:dyDescent="0.3">
      <c r="A2225" t="s">
        <v>11</v>
      </c>
      <c r="B2225" s="1" t="s">
        <v>43</v>
      </c>
      <c r="C2225" s="1" t="s">
        <v>44</v>
      </c>
      <c r="D2225">
        <v>12659</v>
      </c>
      <c r="E2225" t="s">
        <v>12</v>
      </c>
      <c r="F2225" t="s">
        <v>51</v>
      </c>
      <c r="G2225">
        <v>3</v>
      </c>
      <c r="H2225">
        <v>0</v>
      </c>
      <c r="I2225" t="s">
        <v>45</v>
      </c>
      <c r="J2225" cm="1">
        <f t="array" ref="J2225">IFERROR(
    _xlfn.XLOOKUP(G2225, 'Wedgewood Pharm-GA-Yr2-2025'!$E$4:$L$4,
        _xlfn.XLOOKUP('Rate Load'!L2225, 'Wedgewood Pharm-GA-Yr2-2025'!$D$41:$D$50,
            'Wedgewood Pharm-GA-Yr2-2025'!$E$41:$L$50, 0, 0),
        0, 0),
    _xlfn.XLOOKUP(G2225, 'Wedgewood Pharm-GA-Yr2-2025'!$E$4:$L$4,
        _xlfn.XLOOKUP('Rate Load'!L2225, 'Wedgewood Pharm-GA-Yr2-2025'!$D$41:$D$50,
            'Wedgewood Pharm-GA-Yr2-2025'!$E$41:$L$50, 0, 0),
        0, 0)
)</f>
        <v>6.7299999999999995</v>
      </c>
      <c r="K2225" t="s">
        <v>46</v>
      </c>
      <c r="L2225" t="s">
        <v>33</v>
      </c>
      <c r="M2225">
        <v>1</v>
      </c>
      <c r="N2225" t="str">
        <f t="shared" si="36"/>
        <v>INSERT INTO TNL_RATING.dbo.usps_rate_master VALUES ('USPS', '2/13/2025', '2/13/2026', 12659, 'US', 'USPS Ground Advantage', 3, 0, 'L', 6.73, 'Wedgewood_USPS_2025', 'Cubic Tier 3 (0.20 - 0.30)','1');</v>
      </c>
    </row>
    <row r="2226" spans="1:14" x14ac:dyDescent="0.3">
      <c r="A2226" t="s">
        <v>11</v>
      </c>
      <c r="B2226" s="1" t="s">
        <v>43</v>
      </c>
      <c r="C2226" s="1" t="s">
        <v>44</v>
      </c>
      <c r="D2226">
        <v>12659</v>
      </c>
      <c r="E2226" t="s">
        <v>12</v>
      </c>
      <c r="F2226" t="s">
        <v>51</v>
      </c>
      <c r="G2226">
        <v>4</v>
      </c>
      <c r="H2226">
        <v>0</v>
      </c>
      <c r="I2226" t="s">
        <v>45</v>
      </c>
      <c r="J2226" cm="1">
        <f t="array" ref="J2226">IFERROR(
    _xlfn.XLOOKUP(G2226, 'Wedgewood Pharm-GA-Yr2-2025'!$E$4:$L$4,
        _xlfn.XLOOKUP('Rate Load'!L2226, 'Wedgewood Pharm-GA-Yr2-2025'!$D$41:$D$50,
            'Wedgewood Pharm-GA-Yr2-2025'!$E$41:$L$50, 0, 0),
        0, 0),
    _xlfn.XLOOKUP(G2226, 'Wedgewood Pharm-GA-Yr2-2025'!$E$4:$L$4,
        _xlfn.XLOOKUP('Rate Load'!L2226, 'Wedgewood Pharm-GA-Yr2-2025'!$D$41:$D$50,
            'Wedgewood Pharm-GA-Yr2-2025'!$E$41:$L$50, 0, 0),
        0, 0)
)</f>
        <v>7.0699999999999994</v>
      </c>
      <c r="K2226" t="s">
        <v>46</v>
      </c>
      <c r="L2226" t="s">
        <v>33</v>
      </c>
      <c r="M2226">
        <v>1</v>
      </c>
      <c r="N2226" t="str">
        <f t="shared" si="36"/>
        <v>INSERT INTO TNL_RATING.dbo.usps_rate_master VALUES ('USPS', '2/13/2025', '2/13/2026', 12659, 'US', 'USPS Ground Advantage', 4, 0, 'L', 7.07, 'Wedgewood_USPS_2025', 'Cubic Tier 3 (0.20 - 0.30)','1');</v>
      </c>
    </row>
    <row r="2227" spans="1:14" x14ac:dyDescent="0.3">
      <c r="A2227" t="s">
        <v>11</v>
      </c>
      <c r="B2227" s="1" t="s">
        <v>43</v>
      </c>
      <c r="C2227" s="1" t="s">
        <v>44</v>
      </c>
      <c r="D2227">
        <v>12659</v>
      </c>
      <c r="E2227" t="s">
        <v>12</v>
      </c>
      <c r="F2227" t="s">
        <v>51</v>
      </c>
      <c r="G2227">
        <v>5</v>
      </c>
      <c r="H2227">
        <v>0</v>
      </c>
      <c r="I2227" t="s">
        <v>45</v>
      </c>
      <c r="J2227" cm="1">
        <f t="array" ref="J2227">IFERROR(
    _xlfn.XLOOKUP(G2227, 'Wedgewood Pharm-GA-Yr2-2025'!$E$4:$L$4,
        _xlfn.XLOOKUP('Rate Load'!L2227, 'Wedgewood Pharm-GA-Yr2-2025'!$D$41:$D$50,
            'Wedgewood Pharm-GA-Yr2-2025'!$E$41:$L$50, 0, 0),
        0, 0),
    _xlfn.XLOOKUP(G2227, 'Wedgewood Pharm-GA-Yr2-2025'!$E$4:$L$4,
        _xlfn.XLOOKUP('Rate Load'!L2227, 'Wedgewood Pharm-GA-Yr2-2025'!$D$41:$D$50,
            'Wedgewood Pharm-GA-Yr2-2025'!$E$41:$L$50, 0, 0),
        0, 0)
)</f>
        <v>7.52</v>
      </c>
      <c r="K2227" t="s">
        <v>46</v>
      </c>
      <c r="L2227" t="s">
        <v>33</v>
      </c>
      <c r="M2227">
        <v>1</v>
      </c>
      <c r="N2227" t="str">
        <f t="shared" si="36"/>
        <v>INSERT INTO TNL_RATING.dbo.usps_rate_master VALUES ('USPS', '2/13/2025', '2/13/2026', 12659, 'US', 'USPS Ground Advantage', 5, 0, 'L', 7.52, 'Wedgewood_USPS_2025', 'Cubic Tier 3 (0.20 - 0.30)','1');</v>
      </c>
    </row>
    <row r="2228" spans="1:14" x14ac:dyDescent="0.3">
      <c r="A2228" t="s">
        <v>11</v>
      </c>
      <c r="B2228" s="1" t="s">
        <v>43</v>
      </c>
      <c r="C2228" s="1" t="s">
        <v>44</v>
      </c>
      <c r="D2228">
        <v>12659</v>
      </c>
      <c r="E2228" t="s">
        <v>12</v>
      </c>
      <c r="F2228" t="s">
        <v>51</v>
      </c>
      <c r="G2228">
        <v>6</v>
      </c>
      <c r="H2228">
        <v>0</v>
      </c>
      <c r="I2228" t="s">
        <v>45</v>
      </c>
      <c r="J2228" cm="1">
        <f t="array" ref="J2228">IFERROR(
    _xlfn.XLOOKUP(G2228, 'Wedgewood Pharm-GA-Yr2-2025'!$E$4:$L$4,
        _xlfn.XLOOKUP('Rate Load'!L2228, 'Wedgewood Pharm-GA-Yr2-2025'!$D$41:$D$50,
            'Wedgewood Pharm-GA-Yr2-2025'!$E$41:$L$50, 0, 0),
        0, 0),
    _xlfn.XLOOKUP(G2228, 'Wedgewood Pharm-GA-Yr2-2025'!$E$4:$L$4,
        _xlfn.XLOOKUP('Rate Load'!L2228, 'Wedgewood Pharm-GA-Yr2-2025'!$D$41:$D$50,
            'Wedgewood Pharm-GA-Yr2-2025'!$E$41:$L$50, 0, 0),
        0, 0)
)</f>
        <v>8.75</v>
      </c>
      <c r="K2228" t="s">
        <v>46</v>
      </c>
      <c r="L2228" t="s">
        <v>33</v>
      </c>
      <c r="M2228">
        <v>1</v>
      </c>
      <c r="N2228" t="str">
        <f t="shared" si="36"/>
        <v>INSERT INTO TNL_RATING.dbo.usps_rate_master VALUES ('USPS', '2/13/2025', '2/13/2026', 12659, 'US', 'USPS Ground Advantage', 6, 0, 'L', 8.75, 'Wedgewood_USPS_2025', 'Cubic Tier 3 (0.20 - 0.30)','1');</v>
      </c>
    </row>
    <row r="2229" spans="1:14" x14ac:dyDescent="0.3">
      <c r="A2229" t="s">
        <v>11</v>
      </c>
      <c r="B2229" s="1" t="s">
        <v>43</v>
      </c>
      <c r="C2229" s="1" t="s">
        <v>44</v>
      </c>
      <c r="D2229">
        <v>12659</v>
      </c>
      <c r="E2229" t="s">
        <v>12</v>
      </c>
      <c r="F2229" t="s">
        <v>51</v>
      </c>
      <c r="G2229">
        <v>7</v>
      </c>
      <c r="H2229">
        <v>0</v>
      </c>
      <c r="I2229" t="s">
        <v>45</v>
      </c>
      <c r="J2229" cm="1">
        <f t="array" ref="J2229">IFERROR(
    _xlfn.XLOOKUP(G2229, 'Wedgewood Pharm-GA-Yr2-2025'!$E$4:$L$4,
        _xlfn.XLOOKUP('Rate Load'!L2229, 'Wedgewood Pharm-GA-Yr2-2025'!$D$41:$D$50,
            'Wedgewood Pharm-GA-Yr2-2025'!$E$41:$L$50, 0, 0),
        0, 0),
    _xlfn.XLOOKUP(G2229, 'Wedgewood Pharm-GA-Yr2-2025'!$E$4:$L$4,
        _xlfn.XLOOKUP('Rate Load'!L2229, 'Wedgewood Pharm-GA-Yr2-2025'!$D$41:$D$50,
            'Wedgewood Pharm-GA-Yr2-2025'!$E$41:$L$50, 0, 0),
        0, 0)
)</f>
        <v>9.23</v>
      </c>
      <c r="K2229" t="s">
        <v>46</v>
      </c>
      <c r="L2229" t="s">
        <v>33</v>
      </c>
      <c r="M2229">
        <v>1</v>
      </c>
      <c r="N2229" t="str">
        <f t="shared" si="36"/>
        <v>INSERT INTO TNL_RATING.dbo.usps_rate_master VALUES ('USPS', '2/13/2025', '2/13/2026', 12659, 'US', 'USPS Ground Advantage', 7, 0, 'L', 9.23, 'Wedgewood_USPS_2025', 'Cubic Tier 3 (0.20 - 0.30)','1');</v>
      </c>
    </row>
    <row r="2230" spans="1:14" x14ac:dyDescent="0.3">
      <c r="A2230" t="s">
        <v>11</v>
      </c>
      <c r="B2230" s="1" t="s">
        <v>43</v>
      </c>
      <c r="C2230" s="1" t="s">
        <v>44</v>
      </c>
      <c r="D2230">
        <v>12659</v>
      </c>
      <c r="E2230" t="s">
        <v>12</v>
      </c>
      <c r="F2230" t="s">
        <v>51</v>
      </c>
      <c r="G2230">
        <v>8</v>
      </c>
      <c r="H2230">
        <v>0</v>
      </c>
      <c r="I2230" t="s">
        <v>45</v>
      </c>
      <c r="J2230" cm="1">
        <f t="array" ref="J2230">IFERROR(
    _xlfn.XLOOKUP(G2230, 'Wedgewood Pharm-GA-Yr2-2025'!$E$4:$L$4,
        _xlfn.XLOOKUP('Rate Load'!L2230, 'Wedgewood Pharm-GA-Yr2-2025'!$D$41:$D$50,
            'Wedgewood Pharm-GA-Yr2-2025'!$E$41:$L$50, 0, 0),
        0, 0),
    _xlfn.XLOOKUP(G2230, 'Wedgewood Pharm-GA-Yr2-2025'!$E$4:$L$4,
        _xlfn.XLOOKUP('Rate Load'!L2230, 'Wedgewood Pharm-GA-Yr2-2025'!$D$41:$D$50,
            'Wedgewood Pharm-GA-Yr2-2025'!$E$41:$L$50, 0, 0),
        0, 0)
)</f>
        <v>9.9</v>
      </c>
      <c r="K2230" t="s">
        <v>46</v>
      </c>
      <c r="L2230" t="s">
        <v>33</v>
      </c>
      <c r="M2230">
        <v>1</v>
      </c>
      <c r="N2230" t="str">
        <f t="shared" si="36"/>
        <v>INSERT INTO TNL_RATING.dbo.usps_rate_master VALUES ('USPS', '2/13/2025', '2/13/2026', 12659, 'US', 'USPS Ground Advantage', 8, 0, 'L', 9.9, 'Wedgewood_USPS_2025', 'Cubic Tier 3 (0.20 - 0.30)','1');</v>
      </c>
    </row>
    <row r="2231" spans="1:14" x14ac:dyDescent="0.3">
      <c r="A2231" t="s">
        <v>11</v>
      </c>
      <c r="B2231" s="1" t="s">
        <v>43</v>
      </c>
      <c r="C2231" s="1" t="s">
        <v>44</v>
      </c>
      <c r="D2231">
        <v>12659</v>
      </c>
      <c r="E2231" t="s">
        <v>12</v>
      </c>
      <c r="F2231" t="s">
        <v>51</v>
      </c>
      <c r="G2231">
        <v>1</v>
      </c>
      <c r="H2231">
        <v>0</v>
      </c>
      <c r="I2231" t="s">
        <v>45</v>
      </c>
      <c r="J2231" cm="1">
        <f t="array" ref="J2231">IFERROR(
    _xlfn.XLOOKUP(G2231, 'Wedgewood Pharm-GA-Yr2-2025'!$E$4:$L$4,
        _xlfn.XLOOKUP('Rate Load'!L2231, 'Wedgewood Pharm-GA-Yr2-2025'!$D$41:$D$50,
            'Wedgewood Pharm-GA-Yr2-2025'!$E$41:$L$50, 0, 0),
        0, 0),
    _xlfn.XLOOKUP(G2231, 'Wedgewood Pharm-GA-Yr2-2025'!$E$4:$L$4,
        _xlfn.XLOOKUP('Rate Load'!L2231, 'Wedgewood Pharm-GA-Yr2-2025'!$D$41:$D$50,
            'Wedgewood Pharm-GA-Yr2-2025'!$E$41:$L$50, 0, 0),
        0, 0)
)</f>
        <v>6.64</v>
      </c>
      <c r="K2231" t="s">
        <v>46</v>
      </c>
      <c r="L2231" t="s">
        <v>34</v>
      </c>
      <c r="M2231">
        <v>1</v>
      </c>
      <c r="N2231" t="str">
        <f t="shared" si="36"/>
        <v>INSERT INTO TNL_RATING.dbo.usps_rate_master VALUES ('USPS', '2/13/2025', '2/13/2026', 12659, 'US', 'USPS Ground Advantage', 1, 0, 'L', 6.64, 'Wedgewood_USPS_2025', 'Cubic Tier 4 (0.30 - 0.40)','1');</v>
      </c>
    </row>
    <row r="2232" spans="1:14" x14ac:dyDescent="0.3">
      <c r="A2232" t="s">
        <v>11</v>
      </c>
      <c r="B2232" s="1" t="s">
        <v>43</v>
      </c>
      <c r="C2232" s="1" t="s">
        <v>44</v>
      </c>
      <c r="D2232">
        <v>12659</v>
      </c>
      <c r="E2232" t="s">
        <v>12</v>
      </c>
      <c r="F2232" t="s">
        <v>51</v>
      </c>
      <c r="G2232">
        <v>2</v>
      </c>
      <c r="H2232">
        <v>0</v>
      </c>
      <c r="I2232" t="s">
        <v>45</v>
      </c>
      <c r="J2232" cm="1">
        <f t="array" ref="J2232">IFERROR(
    _xlfn.XLOOKUP(G2232, 'Wedgewood Pharm-GA-Yr2-2025'!$E$4:$L$4,
        _xlfn.XLOOKUP('Rate Load'!L2232, 'Wedgewood Pharm-GA-Yr2-2025'!$D$41:$D$50,
            'Wedgewood Pharm-GA-Yr2-2025'!$E$41:$L$50, 0, 0),
        0, 0),
    _xlfn.XLOOKUP(G2232, 'Wedgewood Pharm-GA-Yr2-2025'!$E$4:$L$4,
        _xlfn.XLOOKUP('Rate Load'!L2232, 'Wedgewood Pharm-GA-Yr2-2025'!$D$41:$D$50,
            'Wedgewood Pharm-GA-Yr2-2025'!$E$41:$L$50, 0, 0),
        0, 0)
)</f>
        <v>6.88</v>
      </c>
      <c r="K2232" t="s">
        <v>46</v>
      </c>
      <c r="L2232" t="s">
        <v>34</v>
      </c>
      <c r="M2232">
        <v>1</v>
      </c>
      <c r="N2232" t="str">
        <f t="shared" si="36"/>
        <v>INSERT INTO TNL_RATING.dbo.usps_rate_master VALUES ('USPS', '2/13/2025', '2/13/2026', 12659, 'US', 'USPS Ground Advantage', 2, 0, 'L', 6.88, 'Wedgewood_USPS_2025', 'Cubic Tier 4 (0.30 - 0.40)','1');</v>
      </c>
    </row>
    <row r="2233" spans="1:14" x14ac:dyDescent="0.3">
      <c r="A2233" t="s">
        <v>11</v>
      </c>
      <c r="B2233" s="1" t="s">
        <v>43</v>
      </c>
      <c r="C2233" s="1" t="s">
        <v>44</v>
      </c>
      <c r="D2233">
        <v>12659</v>
      </c>
      <c r="E2233" t="s">
        <v>12</v>
      </c>
      <c r="F2233" t="s">
        <v>51</v>
      </c>
      <c r="G2233">
        <v>3</v>
      </c>
      <c r="H2233">
        <v>0</v>
      </c>
      <c r="I2233" t="s">
        <v>45</v>
      </c>
      <c r="J2233" cm="1">
        <f t="array" ref="J2233">IFERROR(
    _xlfn.XLOOKUP(G2233, 'Wedgewood Pharm-GA-Yr2-2025'!$E$4:$L$4,
        _xlfn.XLOOKUP('Rate Load'!L2233, 'Wedgewood Pharm-GA-Yr2-2025'!$D$41:$D$50,
            'Wedgewood Pharm-GA-Yr2-2025'!$E$41:$L$50, 0, 0),
        0, 0),
    _xlfn.XLOOKUP(G2233, 'Wedgewood Pharm-GA-Yr2-2025'!$E$4:$L$4,
        _xlfn.XLOOKUP('Rate Load'!L2233, 'Wedgewood Pharm-GA-Yr2-2025'!$D$41:$D$50,
            'Wedgewood Pharm-GA-Yr2-2025'!$E$41:$L$50, 0, 0),
        0, 0)
)</f>
        <v>7.08</v>
      </c>
      <c r="K2233" t="s">
        <v>46</v>
      </c>
      <c r="L2233" t="s">
        <v>34</v>
      </c>
      <c r="M2233">
        <v>1</v>
      </c>
      <c r="N2233" t="str">
        <f t="shared" si="36"/>
        <v>INSERT INTO TNL_RATING.dbo.usps_rate_master VALUES ('USPS', '2/13/2025', '2/13/2026', 12659, 'US', 'USPS Ground Advantage', 3, 0, 'L', 7.08, 'Wedgewood_USPS_2025', 'Cubic Tier 4 (0.30 - 0.40)','1');</v>
      </c>
    </row>
    <row r="2234" spans="1:14" x14ac:dyDescent="0.3">
      <c r="A2234" t="s">
        <v>11</v>
      </c>
      <c r="B2234" s="1" t="s">
        <v>43</v>
      </c>
      <c r="C2234" s="1" t="s">
        <v>44</v>
      </c>
      <c r="D2234">
        <v>12659</v>
      </c>
      <c r="E2234" t="s">
        <v>12</v>
      </c>
      <c r="F2234" t="s">
        <v>51</v>
      </c>
      <c r="G2234">
        <v>4</v>
      </c>
      <c r="H2234">
        <v>0</v>
      </c>
      <c r="I2234" t="s">
        <v>45</v>
      </c>
      <c r="J2234" cm="1">
        <f t="array" ref="J2234">IFERROR(
    _xlfn.XLOOKUP(G2234, 'Wedgewood Pharm-GA-Yr2-2025'!$E$4:$L$4,
        _xlfn.XLOOKUP('Rate Load'!L2234, 'Wedgewood Pharm-GA-Yr2-2025'!$D$41:$D$50,
            'Wedgewood Pharm-GA-Yr2-2025'!$E$41:$L$50, 0, 0),
        0, 0),
    _xlfn.XLOOKUP(G2234, 'Wedgewood Pharm-GA-Yr2-2025'!$E$4:$L$4,
        _xlfn.XLOOKUP('Rate Load'!L2234, 'Wedgewood Pharm-GA-Yr2-2025'!$D$41:$D$50,
            'Wedgewood Pharm-GA-Yr2-2025'!$E$41:$L$50, 0, 0),
        0, 0)
)</f>
        <v>7.52</v>
      </c>
      <c r="K2234" t="s">
        <v>46</v>
      </c>
      <c r="L2234" t="s">
        <v>34</v>
      </c>
      <c r="M2234">
        <v>1</v>
      </c>
      <c r="N2234" t="str">
        <f t="shared" si="36"/>
        <v>INSERT INTO TNL_RATING.dbo.usps_rate_master VALUES ('USPS', '2/13/2025', '2/13/2026', 12659, 'US', 'USPS Ground Advantage', 4, 0, 'L', 7.52, 'Wedgewood_USPS_2025', 'Cubic Tier 4 (0.30 - 0.40)','1');</v>
      </c>
    </row>
    <row r="2235" spans="1:14" x14ac:dyDescent="0.3">
      <c r="A2235" t="s">
        <v>11</v>
      </c>
      <c r="B2235" s="1" t="s">
        <v>43</v>
      </c>
      <c r="C2235" s="1" t="s">
        <v>44</v>
      </c>
      <c r="D2235">
        <v>12659</v>
      </c>
      <c r="E2235" t="s">
        <v>12</v>
      </c>
      <c r="F2235" t="s">
        <v>51</v>
      </c>
      <c r="G2235">
        <v>5</v>
      </c>
      <c r="H2235">
        <v>0</v>
      </c>
      <c r="I2235" t="s">
        <v>45</v>
      </c>
      <c r="J2235" cm="1">
        <f t="array" ref="J2235">IFERROR(
    _xlfn.XLOOKUP(G2235, 'Wedgewood Pharm-GA-Yr2-2025'!$E$4:$L$4,
        _xlfn.XLOOKUP('Rate Load'!L2235, 'Wedgewood Pharm-GA-Yr2-2025'!$D$41:$D$50,
            'Wedgewood Pharm-GA-Yr2-2025'!$E$41:$L$50, 0, 0),
        0, 0),
    _xlfn.XLOOKUP(G2235, 'Wedgewood Pharm-GA-Yr2-2025'!$E$4:$L$4,
        _xlfn.XLOOKUP('Rate Load'!L2235, 'Wedgewood Pharm-GA-Yr2-2025'!$D$41:$D$50,
            'Wedgewood Pharm-GA-Yr2-2025'!$E$41:$L$50, 0, 0),
        0, 0)
)</f>
        <v>8.32</v>
      </c>
      <c r="K2235" t="s">
        <v>46</v>
      </c>
      <c r="L2235" t="s">
        <v>34</v>
      </c>
      <c r="M2235">
        <v>1</v>
      </c>
      <c r="N2235" t="str">
        <f t="shared" si="36"/>
        <v>INSERT INTO TNL_RATING.dbo.usps_rate_master VALUES ('USPS', '2/13/2025', '2/13/2026', 12659, 'US', 'USPS Ground Advantage', 5, 0, 'L', 8.32, 'Wedgewood_USPS_2025', 'Cubic Tier 4 (0.30 - 0.40)','1');</v>
      </c>
    </row>
    <row r="2236" spans="1:14" x14ac:dyDescent="0.3">
      <c r="A2236" t="s">
        <v>11</v>
      </c>
      <c r="B2236" s="1" t="s">
        <v>43</v>
      </c>
      <c r="C2236" s="1" t="s">
        <v>44</v>
      </c>
      <c r="D2236">
        <v>12659</v>
      </c>
      <c r="E2236" t="s">
        <v>12</v>
      </c>
      <c r="F2236" t="s">
        <v>51</v>
      </c>
      <c r="G2236">
        <v>6</v>
      </c>
      <c r="H2236">
        <v>0</v>
      </c>
      <c r="I2236" t="s">
        <v>45</v>
      </c>
      <c r="J2236" cm="1">
        <f t="array" ref="J2236">IFERROR(
    _xlfn.XLOOKUP(G2236, 'Wedgewood Pharm-GA-Yr2-2025'!$E$4:$L$4,
        _xlfn.XLOOKUP('Rate Load'!L2236, 'Wedgewood Pharm-GA-Yr2-2025'!$D$41:$D$50,
            'Wedgewood Pharm-GA-Yr2-2025'!$E$41:$L$50, 0, 0),
        0, 0),
    _xlfn.XLOOKUP(G2236, 'Wedgewood Pharm-GA-Yr2-2025'!$E$4:$L$4,
        _xlfn.XLOOKUP('Rate Load'!L2236, 'Wedgewood Pharm-GA-Yr2-2025'!$D$41:$D$50,
            'Wedgewood Pharm-GA-Yr2-2025'!$E$41:$L$50, 0, 0),
        0, 0)
)</f>
        <v>9.6</v>
      </c>
      <c r="K2236" t="s">
        <v>46</v>
      </c>
      <c r="L2236" t="s">
        <v>34</v>
      </c>
      <c r="M2236">
        <v>1</v>
      </c>
      <c r="N2236" t="str">
        <f t="shared" si="36"/>
        <v>INSERT INTO TNL_RATING.dbo.usps_rate_master VALUES ('USPS', '2/13/2025', '2/13/2026', 12659, 'US', 'USPS Ground Advantage', 6, 0, 'L', 9.6, 'Wedgewood_USPS_2025', 'Cubic Tier 4 (0.30 - 0.40)','1');</v>
      </c>
    </row>
    <row r="2237" spans="1:14" x14ac:dyDescent="0.3">
      <c r="A2237" t="s">
        <v>11</v>
      </c>
      <c r="B2237" s="1" t="s">
        <v>43</v>
      </c>
      <c r="C2237" s="1" t="s">
        <v>44</v>
      </c>
      <c r="D2237">
        <v>12659</v>
      </c>
      <c r="E2237" t="s">
        <v>12</v>
      </c>
      <c r="F2237" t="s">
        <v>51</v>
      </c>
      <c r="G2237">
        <v>7</v>
      </c>
      <c r="H2237">
        <v>0</v>
      </c>
      <c r="I2237" t="s">
        <v>45</v>
      </c>
      <c r="J2237" cm="1">
        <f t="array" ref="J2237">IFERROR(
    _xlfn.XLOOKUP(G2237, 'Wedgewood Pharm-GA-Yr2-2025'!$E$4:$L$4,
        _xlfn.XLOOKUP('Rate Load'!L2237, 'Wedgewood Pharm-GA-Yr2-2025'!$D$41:$D$50,
            'Wedgewood Pharm-GA-Yr2-2025'!$E$41:$L$50, 0, 0),
        0, 0),
    _xlfn.XLOOKUP(G2237, 'Wedgewood Pharm-GA-Yr2-2025'!$E$4:$L$4,
        _xlfn.XLOOKUP('Rate Load'!L2237, 'Wedgewood Pharm-GA-Yr2-2025'!$D$41:$D$50,
            'Wedgewood Pharm-GA-Yr2-2025'!$E$41:$L$50, 0, 0),
        0, 0)
)</f>
        <v>10.23</v>
      </c>
      <c r="K2237" t="s">
        <v>46</v>
      </c>
      <c r="L2237" t="s">
        <v>34</v>
      </c>
      <c r="M2237">
        <v>1</v>
      </c>
      <c r="N2237" t="str">
        <f t="shared" si="36"/>
        <v>INSERT INTO TNL_RATING.dbo.usps_rate_master VALUES ('USPS', '2/13/2025', '2/13/2026', 12659, 'US', 'USPS Ground Advantage', 7, 0, 'L', 10.23, 'Wedgewood_USPS_2025', 'Cubic Tier 4 (0.30 - 0.40)','1');</v>
      </c>
    </row>
    <row r="2238" spans="1:14" x14ac:dyDescent="0.3">
      <c r="A2238" t="s">
        <v>11</v>
      </c>
      <c r="B2238" s="1" t="s">
        <v>43</v>
      </c>
      <c r="C2238" s="1" t="s">
        <v>44</v>
      </c>
      <c r="D2238">
        <v>12659</v>
      </c>
      <c r="E2238" t="s">
        <v>12</v>
      </c>
      <c r="F2238" t="s">
        <v>51</v>
      </c>
      <c r="G2238">
        <v>8</v>
      </c>
      <c r="H2238">
        <v>0</v>
      </c>
      <c r="I2238" t="s">
        <v>45</v>
      </c>
      <c r="J2238" cm="1">
        <f t="array" ref="J2238">IFERROR(
    _xlfn.XLOOKUP(G2238, 'Wedgewood Pharm-GA-Yr2-2025'!$E$4:$L$4,
        _xlfn.XLOOKUP('Rate Load'!L2238, 'Wedgewood Pharm-GA-Yr2-2025'!$D$41:$D$50,
            'Wedgewood Pharm-GA-Yr2-2025'!$E$41:$L$50, 0, 0),
        0, 0),
    _xlfn.XLOOKUP(G2238, 'Wedgewood Pharm-GA-Yr2-2025'!$E$4:$L$4,
        _xlfn.XLOOKUP('Rate Load'!L2238, 'Wedgewood Pharm-GA-Yr2-2025'!$D$41:$D$50,
            'Wedgewood Pharm-GA-Yr2-2025'!$E$41:$L$50, 0, 0),
        0, 0)
)</f>
        <v>11.02</v>
      </c>
      <c r="K2238" t="s">
        <v>46</v>
      </c>
      <c r="L2238" t="s">
        <v>34</v>
      </c>
      <c r="M2238">
        <v>1</v>
      </c>
      <c r="N2238" t="str">
        <f t="shared" si="36"/>
        <v>INSERT INTO TNL_RATING.dbo.usps_rate_master VALUES ('USPS', '2/13/2025', '2/13/2026', 12659, 'US', 'USPS Ground Advantage', 8, 0, 'L', 11.02, 'Wedgewood_USPS_2025', 'Cubic Tier 4 (0.30 - 0.40)','1');</v>
      </c>
    </row>
    <row r="2239" spans="1:14" x14ac:dyDescent="0.3">
      <c r="A2239" t="s">
        <v>11</v>
      </c>
      <c r="B2239" s="1" t="s">
        <v>43</v>
      </c>
      <c r="C2239" s="1" t="s">
        <v>44</v>
      </c>
      <c r="D2239">
        <v>12659</v>
      </c>
      <c r="E2239" t="s">
        <v>12</v>
      </c>
      <c r="F2239" t="s">
        <v>51</v>
      </c>
      <c r="G2239">
        <v>1</v>
      </c>
      <c r="H2239">
        <v>0</v>
      </c>
      <c r="I2239" t="s">
        <v>45</v>
      </c>
      <c r="J2239" cm="1">
        <f t="array" ref="J2239">IFERROR(
    _xlfn.XLOOKUP(G2239, 'Wedgewood Pharm-GA-Yr2-2025'!$E$4:$L$4,
        _xlfn.XLOOKUP('Rate Load'!L2239, 'Wedgewood Pharm-GA-Yr2-2025'!$D$41:$D$50,
            'Wedgewood Pharm-GA-Yr2-2025'!$E$41:$L$50, 0, 0),
        0, 0),
    _xlfn.XLOOKUP(G2239, 'Wedgewood Pharm-GA-Yr2-2025'!$E$4:$L$4,
        _xlfn.XLOOKUP('Rate Load'!L2239, 'Wedgewood Pharm-GA-Yr2-2025'!$D$41:$D$50,
            'Wedgewood Pharm-GA-Yr2-2025'!$E$41:$L$50, 0, 0),
        0, 0)
)</f>
        <v>6.8199999999999994</v>
      </c>
      <c r="K2239" t="s">
        <v>46</v>
      </c>
      <c r="L2239" t="s">
        <v>35</v>
      </c>
      <c r="M2239">
        <v>1</v>
      </c>
      <c r="N2239" t="str">
        <f t="shared" si="36"/>
        <v>INSERT INTO TNL_RATING.dbo.usps_rate_master VALUES ('USPS', '2/13/2025', '2/13/2026', 12659, 'US', 'USPS Ground Advantage', 1, 0, 'L', 6.82, 'Wedgewood_USPS_2025', 'Cubic Tier 5 (0.40 - 0.50)','1');</v>
      </c>
    </row>
    <row r="2240" spans="1:14" x14ac:dyDescent="0.3">
      <c r="A2240" t="s">
        <v>11</v>
      </c>
      <c r="B2240" s="1" t="s">
        <v>43</v>
      </c>
      <c r="C2240" s="1" t="s">
        <v>44</v>
      </c>
      <c r="D2240">
        <v>12659</v>
      </c>
      <c r="E2240" t="s">
        <v>12</v>
      </c>
      <c r="F2240" t="s">
        <v>51</v>
      </c>
      <c r="G2240">
        <v>2</v>
      </c>
      <c r="H2240">
        <v>0</v>
      </c>
      <c r="I2240" t="s">
        <v>45</v>
      </c>
      <c r="J2240" cm="1">
        <f t="array" ref="J2240">IFERROR(
    _xlfn.XLOOKUP(G2240, 'Wedgewood Pharm-GA-Yr2-2025'!$E$4:$L$4,
        _xlfn.XLOOKUP('Rate Load'!L2240, 'Wedgewood Pharm-GA-Yr2-2025'!$D$41:$D$50,
            'Wedgewood Pharm-GA-Yr2-2025'!$E$41:$L$50, 0, 0),
        0, 0),
    _xlfn.XLOOKUP(G2240, 'Wedgewood Pharm-GA-Yr2-2025'!$E$4:$L$4,
        _xlfn.XLOOKUP('Rate Load'!L2240, 'Wedgewood Pharm-GA-Yr2-2025'!$D$41:$D$50,
            'Wedgewood Pharm-GA-Yr2-2025'!$E$41:$L$50, 0, 0),
        0, 0)
)</f>
        <v>7.06</v>
      </c>
      <c r="K2240" t="s">
        <v>46</v>
      </c>
      <c r="L2240" t="s">
        <v>35</v>
      </c>
      <c r="M2240">
        <v>1</v>
      </c>
      <c r="N2240" t="str">
        <f t="shared" si="36"/>
        <v>INSERT INTO TNL_RATING.dbo.usps_rate_master VALUES ('USPS', '2/13/2025', '2/13/2026', 12659, 'US', 'USPS Ground Advantage', 2, 0, 'L', 7.06, 'Wedgewood_USPS_2025', 'Cubic Tier 5 (0.40 - 0.50)','1');</v>
      </c>
    </row>
    <row r="2241" spans="1:14" x14ac:dyDescent="0.3">
      <c r="A2241" t="s">
        <v>11</v>
      </c>
      <c r="B2241" s="1" t="s">
        <v>43</v>
      </c>
      <c r="C2241" s="1" t="s">
        <v>44</v>
      </c>
      <c r="D2241">
        <v>12659</v>
      </c>
      <c r="E2241" t="s">
        <v>12</v>
      </c>
      <c r="F2241" t="s">
        <v>51</v>
      </c>
      <c r="G2241">
        <v>3</v>
      </c>
      <c r="H2241">
        <v>0</v>
      </c>
      <c r="I2241" t="s">
        <v>45</v>
      </c>
      <c r="J2241" cm="1">
        <f t="array" ref="J2241">IFERROR(
    _xlfn.XLOOKUP(G2241, 'Wedgewood Pharm-GA-Yr2-2025'!$E$4:$L$4,
        _xlfn.XLOOKUP('Rate Load'!L2241, 'Wedgewood Pharm-GA-Yr2-2025'!$D$41:$D$50,
            'Wedgewood Pharm-GA-Yr2-2025'!$E$41:$L$50, 0, 0),
        0, 0),
    _xlfn.XLOOKUP(G2241, 'Wedgewood Pharm-GA-Yr2-2025'!$E$4:$L$4,
        _xlfn.XLOOKUP('Rate Load'!L2241, 'Wedgewood Pharm-GA-Yr2-2025'!$D$41:$D$50,
            'Wedgewood Pharm-GA-Yr2-2025'!$E$41:$L$50, 0, 0),
        0, 0)
)</f>
        <v>7.33</v>
      </c>
      <c r="K2241" t="s">
        <v>46</v>
      </c>
      <c r="L2241" t="s">
        <v>35</v>
      </c>
      <c r="M2241">
        <v>1</v>
      </c>
      <c r="N2241" t="str">
        <f t="shared" si="36"/>
        <v>INSERT INTO TNL_RATING.dbo.usps_rate_master VALUES ('USPS', '2/13/2025', '2/13/2026', 12659, 'US', 'USPS Ground Advantage', 3, 0, 'L', 7.33, 'Wedgewood_USPS_2025', 'Cubic Tier 5 (0.40 - 0.50)','1');</v>
      </c>
    </row>
    <row r="2242" spans="1:14" x14ac:dyDescent="0.3">
      <c r="A2242" t="s">
        <v>11</v>
      </c>
      <c r="B2242" s="1" t="s">
        <v>43</v>
      </c>
      <c r="C2242" s="1" t="s">
        <v>44</v>
      </c>
      <c r="D2242">
        <v>12659</v>
      </c>
      <c r="E2242" t="s">
        <v>12</v>
      </c>
      <c r="F2242" t="s">
        <v>51</v>
      </c>
      <c r="G2242">
        <v>4</v>
      </c>
      <c r="H2242">
        <v>0</v>
      </c>
      <c r="I2242" t="s">
        <v>45</v>
      </c>
      <c r="J2242" cm="1">
        <f t="array" ref="J2242">IFERROR(
    _xlfn.XLOOKUP(G2242, 'Wedgewood Pharm-GA-Yr2-2025'!$E$4:$L$4,
        _xlfn.XLOOKUP('Rate Load'!L2242, 'Wedgewood Pharm-GA-Yr2-2025'!$D$41:$D$50,
            'Wedgewood Pharm-GA-Yr2-2025'!$E$41:$L$50, 0, 0),
        0, 0),
    _xlfn.XLOOKUP(G2242, 'Wedgewood Pharm-GA-Yr2-2025'!$E$4:$L$4,
        _xlfn.XLOOKUP('Rate Load'!L2242, 'Wedgewood Pharm-GA-Yr2-2025'!$D$41:$D$50,
            'Wedgewood Pharm-GA-Yr2-2025'!$E$41:$L$50, 0, 0),
        0, 0)
)</f>
        <v>7.88</v>
      </c>
      <c r="K2242" t="s">
        <v>46</v>
      </c>
      <c r="L2242" t="s">
        <v>35</v>
      </c>
      <c r="M2242">
        <v>1</v>
      </c>
      <c r="N2242" t="str">
        <f t="shared" si="36"/>
        <v>INSERT INTO TNL_RATING.dbo.usps_rate_master VALUES ('USPS', '2/13/2025', '2/13/2026', 12659, 'US', 'USPS Ground Advantage', 4, 0, 'L', 7.88, 'Wedgewood_USPS_2025', 'Cubic Tier 5 (0.40 - 0.50)','1');</v>
      </c>
    </row>
    <row r="2243" spans="1:14" x14ac:dyDescent="0.3">
      <c r="A2243" t="s">
        <v>11</v>
      </c>
      <c r="B2243" s="1" t="s">
        <v>43</v>
      </c>
      <c r="C2243" s="1" t="s">
        <v>44</v>
      </c>
      <c r="D2243">
        <v>12659</v>
      </c>
      <c r="E2243" t="s">
        <v>12</v>
      </c>
      <c r="F2243" t="s">
        <v>51</v>
      </c>
      <c r="G2243">
        <v>5</v>
      </c>
      <c r="H2243">
        <v>0</v>
      </c>
      <c r="I2243" t="s">
        <v>45</v>
      </c>
      <c r="J2243" cm="1">
        <f t="array" ref="J2243">IFERROR(
    _xlfn.XLOOKUP(G2243, 'Wedgewood Pharm-GA-Yr2-2025'!$E$4:$L$4,
        _xlfn.XLOOKUP('Rate Load'!L2243, 'Wedgewood Pharm-GA-Yr2-2025'!$D$41:$D$50,
            'Wedgewood Pharm-GA-Yr2-2025'!$E$41:$L$50, 0, 0),
        0, 0),
    _xlfn.XLOOKUP(G2243, 'Wedgewood Pharm-GA-Yr2-2025'!$E$4:$L$4,
        _xlfn.XLOOKUP('Rate Load'!L2243, 'Wedgewood Pharm-GA-Yr2-2025'!$D$41:$D$50,
            'Wedgewood Pharm-GA-Yr2-2025'!$E$41:$L$50, 0, 0),
        0, 0)
)</f>
        <v>8.89</v>
      </c>
      <c r="K2243" t="s">
        <v>46</v>
      </c>
      <c r="L2243" t="s">
        <v>35</v>
      </c>
      <c r="M2243">
        <v>1</v>
      </c>
      <c r="N2243" t="str">
        <f t="shared" si="36"/>
        <v>INSERT INTO TNL_RATING.dbo.usps_rate_master VALUES ('USPS', '2/13/2025', '2/13/2026', 12659, 'US', 'USPS Ground Advantage', 5, 0, 'L', 8.89, 'Wedgewood_USPS_2025', 'Cubic Tier 5 (0.40 - 0.50)','1');</v>
      </c>
    </row>
    <row r="2244" spans="1:14" x14ac:dyDescent="0.3">
      <c r="A2244" t="s">
        <v>11</v>
      </c>
      <c r="B2244" s="1" t="s">
        <v>43</v>
      </c>
      <c r="C2244" s="1" t="s">
        <v>44</v>
      </c>
      <c r="D2244">
        <v>12659</v>
      </c>
      <c r="E2244" t="s">
        <v>12</v>
      </c>
      <c r="F2244" t="s">
        <v>51</v>
      </c>
      <c r="G2244">
        <v>6</v>
      </c>
      <c r="H2244">
        <v>0</v>
      </c>
      <c r="I2244" t="s">
        <v>45</v>
      </c>
      <c r="J2244" cm="1">
        <f t="array" ref="J2244">IFERROR(
    _xlfn.XLOOKUP(G2244, 'Wedgewood Pharm-GA-Yr2-2025'!$E$4:$L$4,
        _xlfn.XLOOKUP('Rate Load'!L2244, 'Wedgewood Pharm-GA-Yr2-2025'!$D$41:$D$50,
            'Wedgewood Pharm-GA-Yr2-2025'!$E$41:$L$50, 0, 0),
        0, 0),
    _xlfn.XLOOKUP(G2244, 'Wedgewood Pharm-GA-Yr2-2025'!$E$4:$L$4,
        _xlfn.XLOOKUP('Rate Load'!L2244, 'Wedgewood Pharm-GA-Yr2-2025'!$D$41:$D$50,
            'Wedgewood Pharm-GA-Yr2-2025'!$E$41:$L$50, 0, 0),
        0, 0)
)</f>
        <v>10.209999999999999</v>
      </c>
      <c r="K2244" t="s">
        <v>46</v>
      </c>
      <c r="L2244" t="s">
        <v>35</v>
      </c>
      <c r="M2244">
        <v>1</v>
      </c>
      <c r="N2244" t="str">
        <f t="shared" si="36"/>
        <v>INSERT INTO TNL_RATING.dbo.usps_rate_master VALUES ('USPS', '2/13/2025', '2/13/2026', 12659, 'US', 'USPS Ground Advantage', 6, 0, 'L', 10.21, 'Wedgewood_USPS_2025', 'Cubic Tier 5 (0.40 - 0.50)','1');</v>
      </c>
    </row>
    <row r="2245" spans="1:14" x14ac:dyDescent="0.3">
      <c r="A2245" t="s">
        <v>11</v>
      </c>
      <c r="B2245" s="1" t="s">
        <v>43</v>
      </c>
      <c r="C2245" s="1" t="s">
        <v>44</v>
      </c>
      <c r="D2245">
        <v>12659</v>
      </c>
      <c r="E2245" t="s">
        <v>12</v>
      </c>
      <c r="F2245" t="s">
        <v>51</v>
      </c>
      <c r="G2245">
        <v>7</v>
      </c>
      <c r="H2245">
        <v>0</v>
      </c>
      <c r="I2245" t="s">
        <v>45</v>
      </c>
      <c r="J2245" cm="1">
        <f t="array" ref="J2245">IFERROR(
    _xlfn.XLOOKUP(G2245, 'Wedgewood Pharm-GA-Yr2-2025'!$E$4:$L$4,
        _xlfn.XLOOKUP('Rate Load'!L2245, 'Wedgewood Pharm-GA-Yr2-2025'!$D$41:$D$50,
            'Wedgewood Pharm-GA-Yr2-2025'!$E$41:$L$50, 0, 0),
        0, 0),
    _xlfn.XLOOKUP(G2245, 'Wedgewood Pharm-GA-Yr2-2025'!$E$4:$L$4,
        _xlfn.XLOOKUP('Rate Load'!L2245, 'Wedgewood Pharm-GA-Yr2-2025'!$D$41:$D$50,
            'Wedgewood Pharm-GA-Yr2-2025'!$E$41:$L$50, 0, 0),
        0, 0)
)</f>
        <v>10.93</v>
      </c>
      <c r="K2245" t="s">
        <v>46</v>
      </c>
      <c r="L2245" t="s">
        <v>35</v>
      </c>
      <c r="M2245">
        <v>1</v>
      </c>
      <c r="N2245" t="str">
        <f t="shared" si="36"/>
        <v>INSERT INTO TNL_RATING.dbo.usps_rate_master VALUES ('USPS', '2/13/2025', '2/13/2026', 12659, 'US', 'USPS Ground Advantage', 7, 0, 'L', 10.93, 'Wedgewood_USPS_2025', 'Cubic Tier 5 (0.40 - 0.50)','1');</v>
      </c>
    </row>
    <row r="2246" spans="1:14" x14ac:dyDescent="0.3">
      <c r="A2246" t="s">
        <v>11</v>
      </c>
      <c r="B2246" s="1" t="s">
        <v>43</v>
      </c>
      <c r="C2246" s="1" t="s">
        <v>44</v>
      </c>
      <c r="D2246">
        <v>12659</v>
      </c>
      <c r="E2246" t="s">
        <v>12</v>
      </c>
      <c r="F2246" t="s">
        <v>51</v>
      </c>
      <c r="G2246">
        <v>1</v>
      </c>
      <c r="H2246">
        <v>0</v>
      </c>
      <c r="I2246" t="s">
        <v>45</v>
      </c>
      <c r="J2246" cm="1">
        <f t="array" ref="J2246">IFERROR(
    _xlfn.XLOOKUP(G2246, 'Wedgewood Pharm-GA-Yr2-2025'!$E$4:$L$4,
        _xlfn.XLOOKUP('Rate Load'!L2246, 'Wedgewood Pharm-GA-Yr2-2025'!$D$41:$D$50,
            'Wedgewood Pharm-GA-Yr2-2025'!$E$92:$L$101, 0, 0),
        0, 0),
    _xlfn.XLOOKUP(G2246, 'Wedgewood Pharm-GA-Yr2-2025'!$E$4:$L$4,
        _xlfn.XLOOKUP('Rate Load'!L2246, 'Wedgewood Pharm-GA-Yr2-2025'!$D$41:$D$50,
            'Wedgewood Pharm-GA-Yr2-2025'!$E$92:$L$101, 0, 0),
        0, 0)
)</f>
        <v>4.76</v>
      </c>
      <c r="K2246" t="s">
        <v>46</v>
      </c>
      <c r="L2246" t="s">
        <v>31</v>
      </c>
      <c r="M2246">
        <v>2</v>
      </c>
      <c r="N2246" t="str">
        <f t="shared" si="36"/>
        <v>INSERT INTO TNL_RATING.dbo.usps_rate_master VALUES ('USPS', '2/13/2025', '2/13/2026', 12659, 'US', 'USPS Ground Advantage', 1, 0, 'L', 4.76, 'Wedgewood_USPS_2025', 'Cubic Tier 1 (0.00 - 0.10)','2');</v>
      </c>
    </row>
    <row r="2247" spans="1:14" x14ac:dyDescent="0.3">
      <c r="A2247" t="s">
        <v>11</v>
      </c>
      <c r="B2247" s="1" t="s">
        <v>43</v>
      </c>
      <c r="C2247" s="1" t="s">
        <v>44</v>
      </c>
      <c r="D2247">
        <v>12659</v>
      </c>
      <c r="E2247" t="s">
        <v>12</v>
      </c>
      <c r="F2247" t="s">
        <v>51</v>
      </c>
      <c r="G2247">
        <v>2</v>
      </c>
      <c r="H2247">
        <v>0</v>
      </c>
      <c r="I2247" t="s">
        <v>45</v>
      </c>
      <c r="J2247" cm="1">
        <f t="array" ref="J2247">IFERROR(
    _xlfn.XLOOKUP(G2247, 'Wedgewood Pharm-GA-Yr2-2025'!$E$4:$L$4,
        _xlfn.XLOOKUP('Rate Load'!L2247, 'Wedgewood Pharm-GA-Yr2-2025'!$D$41:$D$50,
            'Wedgewood Pharm-GA-Yr2-2025'!$E$92:$L$101, 0, 0),
        0, 0),
    _xlfn.XLOOKUP(G2247, 'Wedgewood Pharm-GA-Yr2-2025'!$E$4:$L$4,
        _xlfn.XLOOKUP('Rate Load'!L2247, 'Wedgewood Pharm-GA-Yr2-2025'!$D$41:$D$50,
            'Wedgewood Pharm-GA-Yr2-2025'!$E$92:$L$101, 0, 0),
        0, 0)
)</f>
        <v>4.76</v>
      </c>
      <c r="K2247" t="s">
        <v>46</v>
      </c>
      <c r="L2247" t="s">
        <v>31</v>
      </c>
      <c r="M2247">
        <v>2</v>
      </c>
      <c r="N2247" t="str">
        <f t="shared" si="36"/>
        <v>INSERT INTO TNL_RATING.dbo.usps_rate_master VALUES ('USPS', '2/13/2025', '2/13/2026', 12659, 'US', 'USPS Ground Advantage', 2, 0, 'L', 4.76, 'Wedgewood_USPS_2025', 'Cubic Tier 1 (0.00 - 0.10)','2');</v>
      </c>
    </row>
    <row r="2248" spans="1:14" x14ac:dyDescent="0.3">
      <c r="A2248" t="s">
        <v>11</v>
      </c>
      <c r="B2248" s="1" t="s">
        <v>43</v>
      </c>
      <c r="C2248" s="1" t="s">
        <v>44</v>
      </c>
      <c r="D2248">
        <v>12659</v>
      </c>
      <c r="E2248" t="s">
        <v>12</v>
      </c>
      <c r="F2248" t="s">
        <v>51</v>
      </c>
      <c r="G2248">
        <v>3</v>
      </c>
      <c r="H2248">
        <v>0</v>
      </c>
      <c r="I2248" t="s">
        <v>45</v>
      </c>
      <c r="J2248" cm="1">
        <f t="array" ref="J2248">IFERROR(
    _xlfn.XLOOKUP(G2248, 'Wedgewood Pharm-GA-Yr2-2025'!$E$4:$L$4,
        _xlfn.XLOOKUP('Rate Load'!L2248, 'Wedgewood Pharm-GA-Yr2-2025'!$D$41:$D$50,
            'Wedgewood Pharm-GA-Yr2-2025'!$E$92:$L$101, 0, 0),
        0, 0),
    _xlfn.XLOOKUP(G2248, 'Wedgewood Pharm-GA-Yr2-2025'!$E$4:$L$4,
        _xlfn.XLOOKUP('Rate Load'!L2248, 'Wedgewood Pharm-GA-Yr2-2025'!$D$41:$D$50,
            'Wedgewood Pharm-GA-Yr2-2025'!$E$92:$L$101, 0, 0),
        0, 0)
)</f>
        <v>4.79</v>
      </c>
      <c r="K2248" t="s">
        <v>46</v>
      </c>
      <c r="L2248" t="s">
        <v>31</v>
      </c>
      <c r="M2248">
        <v>2</v>
      </c>
      <c r="N2248" t="str">
        <f t="shared" si="36"/>
        <v>INSERT INTO TNL_RATING.dbo.usps_rate_master VALUES ('USPS', '2/13/2025', '2/13/2026', 12659, 'US', 'USPS Ground Advantage', 3, 0, 'L', 4.79, 'Wedgewood_USPS_2025', 'Cubic Tier 1 (0.00 - 0.10)','2');</v>
      </c>
    </row>
    <row r="2249" spans="1:14" x14ac:dyDescent="0.3">
      <c r="A2249" t="s">
        <v>11</v>
      </c>
      <c r="B2249" s="1" t="s">
        <v>43</v>
      </c>
      <c r="C2249" s="1" t="s">
        <v>44</v>
      </c>
      <c r="D2249">
        <v>12659</v>
      </c>
      <c r="E2249" t="s">
        <v>12</v>
      </c>
      <c r="F2249" t="s">
        <v>51</v>
      </c>
      <c r="G2249">
        <v>4</v>
      </c>
      <c r="H2249">
        <v>0</v>
      </c>
      <c r="I2249" t="s">
        <v>45</v>
      </c>
      <c r="J2249" cm="1">
        <f t="array" ref="J2249">IFERROR(
    _xlfn.XLOOKUP(G2249, 'Wedgewood Pharm-GA-Yr2-2025'!$E$4:$L$4,
        _xlfn.XLOOKUP('Rate Load'!L2249, 'Wedgewood Pharm-GA-Yr2-2025'!$D$41:$D$50,
            'Wedgewood Pharm-GA-Yr2-2025'!$E$92:$L$101, 0, 0),
        0, 0),
    _xlfn.XLOOKUP(G2249, 'Wedgewood Pharm-GA-Yr2-2025'!$E$4:$L$4,
        _xlfn.XLOOKUP('Rate Load'!L2249, 'Wedgewood Pharm-GA-Yr2-2025'!$D$41:$D$50,
            'Wedgewood Pharm-GA-Yr2-2025'!$E$92:$L$101, 0, 0),
        0, 0)
)</f>
        <v>4.9799999999999995</v>
      </c>
      <c r="K2249" t="s">
        <v>46</v>
      </c>
      <c r="L2249" t="s">
        <v>31</v>
      </c>
      <c r="M2249">
        <v>2</v>
      </c>
      <c r="N2249" t="str">
        <f t="shared" si="36"/>
        <v>INSERT INTO TNL_RATING.dbo.usps_rate_master VALUES ('USPS', '2/13/2025', '2/13/2026', 12659, 'US', 'USPS Ground Advantage', 4, 0, 'L', 4.98, 'Wedgewood_USPS_2025', 'Cubic Tier 1 (0.00 - 0.10)','2');</v>
      </c>
    </row>
    <row r="2250" spans="1:14" x14ac:dyDescent="0.3">
      <c r="A2250" t="s">
        <v>11</v>
      </c>
      <c r="B2250" s="1" t="s">
        <v>43</v>
      </c>
      <c r="C2250" s="1" t="s">
        <v>44</v>
      </c>
      <c r="D2250">
        <v>12659</v>
      </c>
      <c r="E2250" t="s">
        <v>12</v>
      </c>
      <c r="F2250" t="s">
        <v>51</v>
      </c>
      <c r="G2250">
        <v>5</v>
      </c>
      <c r="H2250">
        <v>0</v>
      </c>
      <c r="I2250" t="s">
        <v>45</v>
      </c>
      <c r="J2250" cm="1">
        <f t="array" ref="J2250">IFERROR(
    _xlfn.XLOOKUP(G2250, 'Wedgewood Pharm-GA-Yr2-2025'!$E$4:$L$4,
        _xlfn.XLOOKUP('Rate Load'!L2250, 'Wedgewood Pharm-GA-Yr2-2025'!$D$41:$D$50,
            'Wedgewood Pharm-GA-Yr2-2025'!$E$92:$L$101, 0, 0),
        0, 0),
    _xlfn.XLOOKUP(G2250, 'Wedgewood Pharm-GA-Yr2-2025'!$E$4:$L$4,
        _xlfn.XLOOKUP('Rate Load'!L2250, 'Wedgewood Pharm-GA-Yr2-2025'!$D$41:$D$50,
            'Wedgewood Pharm-GA-Yr2-2025'!$E$92:$L$101, 0, 0),
        0, 0)
)</f>
        <v>5.21</v>
      </c>
      <c r="K2250" t="s">
        <v>46</v>
      </c>
      <c r="L2250" t="s">
        <v>31</v>
      </c>
      <c r="M2250">
        <v>2</v>
      </c>
      <c r="N2250" t="str">
        <f t="shared" si="36"/>
        <v>INSERT INTO TNL_RATING.dbo.usps_rate_master VALUES ('USPS', '2/13/2025', '2/13/2026', 12659, 'US', 'USPS Ground Advantage', 5, 0, 'L', 5.21, 'Wedgewood_USPS_2025', 'Cubic Tier 1 (0.00 - 0.10)','2');</v>
      </c>
    </row>
    <row r="2251" spans="1:14" x14ac:dyDescent="0.3">
      <c r="A2251" t="s">
        <v>11</v>
      </c>
      <c r="B2251" s="1" t="s">
        <v>43</v>
      </c>
      <c r="C2251" s="1" t="s">
        <v>44</v>
      </c>
      <c r="D2251">
        <v>12659</v>
      </c>
      <c r="E2251" t="s">
        <v>12</v>
      </c>
      <c r="F2251" t="s">
        <v>51</v>
      </c>
      <c r="G2251">
        <v>6</v>
      </c>
      <c r="H2251">
        <v>0</v>
      </c>
      <c r="I2251" t="s">
        <v>45</v>
      </c>
      <c r="J2251" cm="1">
        <f t="array" ref="J2251">IFERROR(
    _xlfn.XLOOKUP(G2251, 'Wedgewood Pharm-GA-Yr2-2025'!$E$4:$L$4,
        _xlfn.XLOOKUP('Rate Load'!L2251, 'Wedgewood Pharm-GA-Yr2-2025'!$D$41:$D$50,
            'Wedgewood Pharm-GA-Yr2-2025'!$E$92:$L$101, 0, 0),
        0, 0),
    _xlfn.XLOOKUP(G2251, 'Wedgewood Pharm-GA-Yr2-2025'!$E$4:$L$4,
        _xlfn.XLOOKUP('Rate Load'!L2251, 'Wedgewood Pharm-GA-Yr2-2025'!$D$41:$D$50,
            'Wedgewood Pharm-GA-Yr2-2025'!$E$92:$L$101, 0, 0),
        0, 0)
)</f>
        <v>5.37</v>
      </c>
      <c r="K2251" t="s">
        <v>46</v>
      </c>
      <c r="L2251" t="s">
        <v>31</v>
      </c>
      <c r="M2251">
        <v>2</v>
      </c>
      <c r="N2251" t="str">
        <f t="shared" si="36"/>
        <v>INSERT INTO TNL_RATING.dbo.usps_rate_master VALUES ('USPS', '2/13/2025', '2/13/2026', 12659, 'US', 'USPS Ground Advantage', 6, 0, 'L', 5.37, 'Wedgewood_USPS_2025', 'Cubic Tier 1 (0.00 - 0.10)','2');</v>
      </c>
    </row>
    <row r="2252" spans="1:14" x14ac:dyDescent="0.3">
      <c r="A2252" t="s">
        <v>11</v>
      </c>
      <c r="B2252" s="1" t="s">
        <v>43</v>
      </c>
      <c r="C2252" s="1" t="s">
        <v>44</v>
      </c>
      <c r="D2252">
        <v>12659</v>
      </c>
      <c r="E2252" t="s">
        <v>12</v>
      </c>
      <c r="F2252" t="s">
        <v>51</v>
      </c>
      <c r="G2252">
        <v>7</v>
      </c>
      <c r="H2252">
        <v>0</v>
      </c>
      <c r="I2252" t="s">
        <v>45</v>
      </c>
      <c r="J2252" cm="1">
        <f t="array" ref="J2252">IFERROR(
    _xlfn.XLOOKUP(G2252, 'Wedgewood Pharm-GA-Yr2-2025'!$E$4:$L$4,
        _xlfn.XLOOKUP('Rate Load'!L2252, 'Wedgewood Pharm-GA-Yr2-2025'!$D$41:$D$50,
            'Wedgewood Pharm-GA-Yr2-2025'!$E$92:$L$101, 0, 0),
        0, 0),
    _xlfn.XLOOKUP(G2252, 'Wedgewood Pharm-GA-Yr2-2025'!$E$4:$L$4,
        _xlfn.XLOOKUP('Rate Load'!L2252, 'Wedgewood Pharm-GA-Yr2-2025'!$D$41:$D$50,
            'Wedgewood Pharm-GA-Yr2-2025'!$E$92:$L$101, 0, 0),
        0, 0)
)</f>
        <v>5.66</v>
      </c>
      <c r="K2252" t="s">
        <v>46</v>
      </c>
      <c r="L2252" t="s">
        <v>31</v>
      </c>
      <c r="M2252">
        <v>2</v>
      </c>
      <c r="N2252" t="str">
        <f t="shared" si="36"/>
        <v>INSERT INTO TNL_RATING.dbo.usps_rate_master VALUES ('USPS', '2/13/2025', '2/13/2026', 12659, 'US', 'USPS Ground Advantage', 7, 0, 'L', 5.66, 'Wedgewood_USPS_2025', 'Cubic Tier 1 (0.00 - 0.10)','2');</v>
      </c>
    </row>
    <row r="2253" spans="1:14" x14ac:dyDescent="0.3">
      <c r="A2253" t="s">
        <v>11</v>
      </c>
      <c r="B2253" s="1" t="s">
        <v>43</v>
      </c>
      <c r="C2253" s="1" t="s">
        <v>44</v>
      </c>
      <c r="D2253">
        <v>12659</v>
      </c>
      <c r="E2253" t="s">
        <v>12</v>
      </c>
      <c r="F2253" t="s">
        <v>51</v>
      </c>
      <c r="G2253">
        <v>8</v>
      </c>
      <c r="H2253">
        <v>0</v>
      </c>
      <c r="I2253" t="s">
        <v>45</v>
      </c>
      <c r="J2253" cm="1">
        <f t="array" ref="J2253">IFERROR(
    _xlfn.XLOOKUP(G2253, 'Wedgewood Pharm-GA-Yr2-2025'!$E$4:$L$4,
        _xlfn.XLOOKUP('Rate Load'!L2253, 'Wedgewood Pharm-GA-Yr2-2025'!$D$41:$D$50,
            'Wedgewood Pharm-GA-Yr2-2025'!$E$92:$L$101, 0, 0),
        0, 0),
    _xlfn.XLOOKUP(G2253, 'Wedgewood Pharm-GA-Yr2-2025'!$E$4:$L$4,
        _xlfn.XLOOKUP('Rate Load'!L2253, 'Wedgewood Pharm-GA-Yr2-2025'!$D$41:$D$50,
            'Wedgewood Pharm-GA-Yr2-2025'!$E$92:$L$101, 0, 0),
        0, 0)
)</f>
        <v>5.9799999999999995</v>
      </c>
      <c r="K2253" t="s">
        <v>46</v>
      </c>
      <c r="L2253" t="s">
        <v>31</v>
      </c>
      <c r="M2253">
        <v>2</v>
      </c>
      <c r="N2253" t="str">
        <f t="shared" si="36"/>
        <v>INSERT INTO TNL_RATING.dbo.usps_rate_master VALUES ('USPS', '2/13/2025', '2/13/2026', 12659, 'US', 'USPS Ground Advantage', 8, 0, 'L', 5.98, 'Wedgewood_USPS_2025', 'Cubic Tier 1 (0.00 - 0.10)','2');</v>
      </c>
    </row>
    <row r="2254" spans="1:14" x14ac:dyDescent="0.3">
      <c r="A2254" t="s">
        <v>11</v>
      </c>
      <c r="B2254" s="1" t="s">
        <v>43</v>
      </c>
      <c r="C2254" s="1" t="s">
        <v>44</v>
      </c>
      <c r="D2254">
        <v>12659</v>
      </c>
      <c r="E2254" t="s">
        <v>12</v>
      </c>
      <c r="F2254" t="s">
        <v>51</v>
      </c>
      <c r="G2254">
        <v>1</v>
      </c>
      <c r="H2254">
        <v>0</v>
      </c>
      <c r="I2254" t="s">
        <v>45</v>
      </c>
      <c r="J2254" cm="1">
        <f t="array" ref="J2254">IFERROR(
    _xlfn.XLOOKUP(G2254, 'Wedgewood Pharm-GA-Yr2-2025'!$E$4:$L$4,
        _xlfn.XLOOKUP('Rate Load'!L2254, 'Wedgewood Pharm-GA-Yr2-2025'!$D$41:$D$50,
            'Wedgewood Pharm-GA-Yr2-2025'!$E$92:$L$101, 0, 0),
        0, 0),
    _xlfn.XLOOKUP(G2254, 'Wedgewood Pharm-GA-Yr2-2025'!$E$4:$L$4,
        _xlfn.XLOOKUP('Rate Load'!L2254, 'Wedgewood Pharm-GA-Yr2-2025'!$D$41:$D$50,
            'Wedgewood Pharm-GA-Yr2-2025'!$E$92:$L$101, 0, 0),
        0, 0)
)</f>
        <v>6.02</v>
      </c>
      <c r="K2254" t="s">
        <v>46</v>
      </c>
      <c r="L2254" t="s">
        <v>32</v>
      </c>
      <c r="M2254">
        <v>2</v>
      </c>
      <c r="N2254" t="str">
        <f t="shared" si="36"/>
        <v>INSERT INTO TNL_RATING.dbo.usps_rate_master VALUES ('USPS', '2/13/2025', '2/13/2026', 12659, 'US', 'USPS Ground Advantage', 1, 0, 'L', 6.02, 'Wedgewood_USPS_2025', 'Cubic Tier 2 (0.10 - 0.20)','2');</v>
      </c>
    </row>
    <row r="2255" spans="1:14" x14ac:dyDescent="0.3">
      <c r="A2255" t="s">
        <v>11</v>
      </c>
      <c r="B2255" s="1" t="s">
        <v>43</v>
      </c>
      <c r="C2255" s="1" t="s">
        <v>44</v>
      </c>
      <c r="D2255">
        <v>12659</v>
      </c>
      <c r="E2255" t="s">
        <v>12</v>
      </c>
      <c r="F2255" t="s">
        <v>51</v>
      </c>
      <c r="G2255">
        <v>2</v>
      </c>
      <c r="H2255">
        <v>0</v>
      </c>
      <c r="I2255" t="s">
        <v>45</v>
      </c>
      <c r="J2255" cm="1">
        <f t="array" ref="J2255">IFERROR(
    _xlfn.XLOOKUP(G2255, 'Wedgewood Pharm-GA-Yr2-2025'!$E$4:$L$4,
        _xlfn.XLOOKUP('Rate Load'!L2255, 'Wedgewood Pharm-GA-Yr2-2025'!$D$41:$D$50,
            'Wedgewood Pharm-GA-Yr2-2025'!$E$92:$L$101, 0, 0),
        0, 0),
    _xlfn.XLOOKUP(G2255, 'Wedgewood Pharm-GA-Yr2-2025'!$E$4:$L$4,
        _xlfn.XLOOKUP('Rate Load'!L2255, 'Wedgewood Pharm-GA-Yr2-2025'!$D$41:$D$50,
            'Wedgewood Pharm-GA-Yr2-2025'!$E$92:$L$101, 0, 0),
        0, 0)
)</f>
        <v>6.1099999999999994</v>
      </c>
      <c r="K2255" t="s">
        <v>46</v>
      </c>
      <c r="L2255" t="s">
        <v>32</v>
      </c>
      <c r="M2255">
        <v>2</v>
      </c>
      <c r="N2255" t="str">
        <f t="shared" si="36"/>
        <v>INSERT INTO TNL_RATING.dbo.usps_rate_master VALUES ('USPS', '2/13/2025', '2/13/2026', 12659, 'US', 'USPS Ground Advantage', 2, 0, 'L', 6.11, 'Wedgewood_USPS_2025', 'Cubic Tier 2 (0.10 - 0.20)','2');</v>
      </c>
    </row>
    <row r="2256" spans="1:14" x14ac:dyDescent="0.3">
      <c r="A2256" t="s">
        <v>11</v>
      </c>
      <c r="B2256" s="1" t="s">
        <v>43</v>
      </c>
      <c r="C2256" s="1" t="s">
        <v>44</v>
      </c>
      <c r="D2256">
        <v>12659</v>
      </c>
      <c r="E2256" t="s">
        <v>12</v>
      </c>
      <c r="F2256" t="s">
        <v>51</v>
      </c>
      <c r="G2256">
        <v>3</v>
      </c>
      <c r="H2256">
        <v>0</v>
      </c>
      <c r="I2256" t="s">
        <v>45</v>
      </c>
      <c r="J2256" cm="1">
        <f t="array" ref="J2256">IFERROR(
    _xlfn.XLOOKUP(G2256, 'Wedgewood Pharm-GA-Yr2-2025'!$E$4:$L$4,
        _xlfn.XLOOKUP('Rate Load'!L2256, 'Wedgewood Pharm-GA-Yr2-2025'!$D$41:$D$50,
            'Wedgewood Pharm-GA-Yr2-2025'!$E$92:$L$101, 0, 0),
        0, 0),
    _xlfn.XLOOKUP(G2256, 'Wedgewood Pharm-GA-Yr2-2025'!$E$4:$L$4,
        _xlfn.XLOOKUP('Rate Load'!L2256, 'Wedgewood Pharm-GA-Yr2-2025'!$D$41:$D$50,
            'Wedgewood Pharm-GA-Yr2-2025'!$E$92:$L$101, 0, 0),
        0, 0)
)</f>
        <v>6.22</v>
      </c>
      <c r="K2256" t="s">
        <v>46</v>
      </c>
      <c r="L2256" t="s">
        <v>32</v>
      </c>
      <c r="M2256">
        <v>2</v>
      </c>
      <c r="N2256" t="str">
        <f t="shared" si="36"/>
        <v>INSERT INTO TNL_RATING.dbo.usps_rate_master VALUES ('USPS', '2/13/2025', '2/13/2026', 12659, 'US', 'USPS Ground Advantage', 3, 0, 'L', 6.22, 'Wedgewood_USPS_2025', 'Cubic Tier 2 (0.10 - 0.20)','2');</v>
      </c>
    </row>
    <row r="2257" spans="1:14" x14ac:dyDescent="0.3">
      <c r="A2257" t="s">
        <v>11</v>
      </c>
      <c r="B2257" s="1" t="s">
        <v>43</v>
      </c>
      <c r="C2257" s="1" t="s">
        <v>44</v>
      </c>
      <c r="D2257">
        <v>12659</v>
      </c>
      <c r="E2257" t="s">
        <v>12</v>
      </c>
      <c r="F2257" t="s">
        <v>51</v>
      </c>
      <c r="G2257">
        <v>4</v>
      </c>
      <c r="H2257">
        <v>0</v>
      </c>
      <c r="I2257" t="s">
        <v>45</v>
      </c>
      <c r="J2257" cm="1">
        <f t="array" ref="J2257">IFERROR(
    _xlfn.XLOOKUP(G2257, 'Wedgewood Pharm-GA-Yr2-2025'!$E$4:$L$4,
        _xlfn.XLOOKUP('Rate Load'!L2257, 'Wedgewood Pharm-GA-Yr2-2025'!$D$41:$D$50,
            'Wedgewood Pharm-GA-Yr2-2025'!$E$92:$L$101, 0, 0),
        0, 0),
    _xlfn.XLOOKUP(G2257, 'Wedgewood Pharm-GA-Yr2-2025'!$E$4:$L$4,
        _xlfn.XLOOKUP('Rate Load'!L2257, 'Wedgewood Pharm-GA-Yr2-2025'!$D$41:$D$50,
            'Wedgewood Pharm-GA-Yr2-2025'!$E$92:$L$101, 0, 0),
        0, 0)
)</f>
        <v>6.52</v>
      </c>
      <c r="K2257" t="s">
        <v>46</v>
      </c>
      <c r="L2257" t="s">
        <v>32</v>
      </c>
      <c r="M2257">
        <v>2</v>
      </c>
      <c r="N2257" t="str">
        <f t="shared" si="36"/>
        <v>INSERT INTO TNL_RATING.dbo.usps_rate_master VALUES ('USPS', '2/13/2025', '2/13/2026', 12659, 'US', 'USPS Ground Advantage', 4, 0, 'L', 6.52, 'Wedgewood_USPS_2025', 'Cubic Tier 2 (0.10 - 0.20)','2');</v>
      </c>
    </row>
    <row r="2258" spans="1:14" x14ac:dyDescent="0.3">
      <c r="A2258" t="s">
        <v>11</v>
      </c>
      <c r="B2258" s="1" t="s">
        <v>43</v>
      </c>
      <c r="C2258" s="1" t="s">
        <v>44</v>
      </c>
      <c r="D2258">
        <v>12659</v>
      </c>
      <c r="E2258" t="s">
        <v>12</v>
      </c>
      <c r="F2258" t="s">
        <v>51</v>
      </c>
      <c r="G2258">
        <v>5</v>
      </c>
      <c r="H2258">
        <v>0</v>
      </c>
      <c r="I2258" t="s">
        <v>45</v>
      </c>
      <c r="J2258" cm="1">
        <f t="array" ref="J2258">IFERROR(
    _xlfn.XLOOKUP(G2258, 'Wedgewood Pharm-GA-Yr2-2025'!$E$4:$L$4,
        _xlfn.XLOOKUP('Rate Load'!L2258, 'Wedgewood Pharm-GA-Yr2-2025'!$D$41:$D$50,
            'Wedgewood Pharm-GA-Yr2-2025'!$E$92:$L$101, 0, 0),
        0, 0),
    _xlfn.XLOOKUP(G2258, 'Wedgewood Pharm-GA-Yr2-2025'!$E$4:$L$4,
        _xlfn.XLOOKUP('Rate Load'!L2258, 'Wedgewood Pharm-GA-Yr2-2025'!$D$41:$D$50,
            'Wedgewood Pharm-GA-Yr2-2025'!$E$92:$L$101, 0, 0),
        0, 0)
)</f>
        <v>6.8199999999999994</v>
      </c>
      <c r="K2258" t="s">
        <v>46</v>
      </c>
      <c r="L2258" t="s">
        <v>32</v>
      </c>
      <c r="M2258">
        <v>2</v>
      </c>
      <c r="N2258" t="str">
        <f t="shared" si="36"/>
        <v>INSERT INTO TNL_RATING.dbo.usps_rate_master VALUES ('USPS', '2/13/2025', '2/13/2026', 12659, 'US', 'USPS Ground Advantage', 5, 0, 'L', 6.82, 'Wedgewood_USPS_2025', 'Cubic Tier 2 (0.10 - 0.20)','2');</v>
      </c>
    </row>
    <row r="2259" spans="1:14" x14ac:dyDescent="0.3">
      <c r="A2259" t="s">
        <v>11</v>
      </c>
      <c r="B2259" s="1" t="s">
        <v>43</v>
      </c>
      <c r="C2259" s="1" t="s">
        <v>44</v>
      </c>
      <c r="D2259">
        <v>12659</v>
      </c>
      <c r="E2259" t="s">
        <v>12</v>
      </c>
      <c r="F2259" t="s">
        <v>51</v>
      </c>
      <c r="G2259">
        <v>6</v>
      </c>
      <c r="H2259">
        <v>0</v>
      </c>
      <c r="I2259" t="s">
        <v>45</v>
      </c>
      <c r="J2259" cm="1">
        <f t="array" ref="J2259">IFERROR(
    _xlfn.XLOOKUP(G2259, 'Wedgewood Pharm-GA-Yr2-2025'!$E$4:$L$4,
        _xlfn.XLOOKUP('Rate Load'!L2259, 'Wedgewood Pharm-GA-Yr2-2025'!$D$41:$D$50,
            'Wedgewood Pharm-GA-Yr2-2025'!$E$92:$L$101, 0, 0),
        0, 0),
    _xlfn.XLOOKUP(G2259, 'Wedgewood Pharm-GA-Yr2-2025'!$E$4:$L$4,
        _xlfn.XLOOKUP('Rate Load'!L2259, 'Wedgewood Pharm-GA-Yr2-2025'!$D$41:$D$50,
            'Wedgewood Pharm-GA-Yr2-2025'!$E$92:$L$101, 0, 0),
        0, 0)
)</f>
        <v>7.3999999999999995</v>
      </c>
      <c r="K2259" t="s">
        <v>46</v>
      </c>
      <c r="L2259" t="s">
        <v>32</v>
      </c>
      <c r="M2259">
        <v>2</v>
      </c>
      <c r="N2259" t="str">
        <f t="shared" si="36"/>
        <v>INSERT INTO TNL_RATING.dbo.usps_rate_master VALUES ('USPS', '2/13/2025', '2/13/2026', 12659, 'US', 'USPS Ground Advantage', 6, 0, 'L', 7.4, 'Wedgewood_USPS_2025', 'Cubic Tier 2 (0.10 - 0.20)','2');</v>
      </c>
    </row>
    <row r="2260" spans="1:14" x14ac:dyDescent="0.3">
      <c r="A2260" t="s">
        <v>11</v>
      </c>
      <c r="B2260" s="1" t="s">
        <v>43</v>
      </c>
      <c r="C2260" s="1" t="s">
        <v>44</v>
      </c>
      <c r="D2260">
        <v>12659</v>
      </c>
      <c r="E2260" t="s">
        <v>12</v>
      </c>
      <c r="F2260" t="s">
        <v>51</v>
      </c>
      <c r="G2260">
        <v>7</v>
      </c>
      <c r="H2260">
        <v>0</v>
      </c>
      <c r="I2260" t="s">
        <v>45</v>
      </c>
      <c r="J2260" cm="1">
        <f t="array" ref="J2260">IFERROR(
    _xlfn.XLOOKUP(G2260, 'Wedgewood Pharm-GA-Yr2-2025'!$E$4:$L$4,
        _xlfn.XLOOKUP('Rate Load'!L2260, 'Wedgewood Pharm-GA-Yr2-2025'!$D$41:$D$50,
            'Wedgewood Pharm-GA-Yr2-2025'!$E$92:$L$101, 0, 0),
        0, 0),
    _xlfn.XLOOKUP(G2260, 'Wedgewood Pharm-GA-Yr2-2025'!$E$4:$L$4,
        _xlfn.XLOOKUP('Rate Load'!L2260, 'Wedgewood Pharm-GA-Yr2-2025'!$D$41:$D$50,
            'Wedgewood Pharm-GA-Yr2-2025'!$E$92:$L$101, 0, 0),
        0, 0)
)</f>
        <v>7.8599999999999994</v>
      </c>
      <c r="K2260" t="s">
        <v>46</v>
      </c>
      <c r="L2260" t="s">
        <v>32</v>
      </c>
      <c r="M2260">
        <v>2</v>
      </c>
      <c r="N2260" t="str">
        <f t="shared" si="36"/>
        <v>INSERT INTO TNL_RATING.dbo.usps_rate_master VALUES ('USPS', '2/13/2025', '2/13/2026', 12659, 'US', 'USPS Ground Advantage', 7, 0, 'L', 7.86, 'Wedgewood_USPS_2025', 'Cubic Tier 2 (0.10 - 0.20)','2');</v>
      </c>
    </row>
    <row r="2261" spans="1:14" x14ac:dyDescent="0.3">
      <c r="A2261" t="s">
        <v>11</v>
      </c>
      <c r="B2261" s="1" t="s">
        <v>43</v>
      </c>
      <c r="C2261" s="1" t="s">
        <v>44</v>
      </c>
      <c r="D2261">
        <v>12659</v>
      </c>
      <c r="E2261" t="s">
        <v>12</v>
      </c>
      <c r="F2261" t="s">
        <v>51</v>
      </c>
      <c r="G2261">
        <v>8</v>
      </c>
      <c r="H2261">
        <v>0</v>
      </c>
      <c r="I2261" t="s">
        <v>45</v>
      </c>
      <c r="J2261" cm="1">
        <f t="array" ref="J2261">IFERROR(
    _xlfn.XLOOKUP(G2261, 'Wedgewood Pharm-GA-Yr2-2025'!$E$4:$L$4,
        _xlfn.XLOOKUP('Rate Load'!L2261, 'Wedgewood Pharm-GA-Yr2-2025'!$D$41:$D$50,
            'Wedgewood Pharm-GA-Yr2-2025'!$E$92:$L$101, 0, 0),
        0, 0),
    _xlfn.XLOOKUP(G2261, 'Wedgewood Pharm-GA-Yr2-2025'!$E$4:$L$4,
        _xlfn.XLOOKUP('Rate Load'!L2261, 'Wedgewood Pharm-GA-Yr2-2025'!$D$41:$D$50,
            'Wedgewood Pharm-GA-Yr2-2025'!$E$92:$L$101, 0, 0),
        0, 0)
)</f>
        <v>8.35</v>
      </c>
      <c r="K2261" t="s">
        <v>46</v>
      </c>
      <c r="L2261" t="s">
        <v>32</v>
      </c>
      <c r="M2261">
        <v>2</v>
      </c>
      <c r="N2261" t="str">
        <f t="shared" si="36"/>
        <v>INSERT INTO TNL_RATING.dbo.usps_rate_master VALUES ('USPS', '2/13/2025', '2/13/2026', 12659, 'US', 'USPS Ground Advantage', 8, 0, 'L', 8.35, 'Wedgewood_USPS_2025', 'Cubic Tier 2 (0.10 - 0.20)','2');</v>
      </c>
    </row>
    <row r="2262" spans="1:14" x14ac:dyDescent="0.3">
      <c r="A2262" t="s">
        <v>11</v>
      </c>
      <c r="B2262" s="1" t="s">
        <v>43</v>
      </c>
      <c r="C2262" s="1" t="s">
        <v>44</v>
      </c>
      <c r="D2262">
        <v>12659</v>
      </c>
      <c r="E2262" t="s">
        <v>12</v>
      </c>
      <c r="F2262" t="s">
        <v>51</v>
      </c>
      <c r="G2262">
        <v>1</v>
      </c>
      <c r="H2262">
        <v>0</v>
      </c>
      <c r="I2262" t="s">
        <v>45</v>
      </c>
      <c r="J2262" cm="1">
        <f t="array" ref="J2262">IFERROR(
    _xlfn.XLOOKUP(G2262, 'Wedgewood Pharm-GA-Yr2-2025'!$E$4:$L$4,
        _xlfn.XLOOKUP('Rate Load'!L2262, 'Wedgewood Pharm-GA-Yr2-2025'!$D$41:$D$50,
            'Wedgewood Pharm-GA-Yr2-2025'!$E$92:$L$101, 0, 0),
        0, 0),
    _xlfn.XLOOKUP(G2262, 'Wedgewood Pharm-GA-Yr2-2025'!$E$4:$L$4,
        _xlfn.XLOOKUP('Rate Load'!L2262, 'Wedgewood Pharm-GA-Yr2-2025'!$D$41:$D$50,
            'Wedgewood Pharm-GA-Yr2-2025'!$E$92:$L$101, 0, 0),
        0, 0)
)</f>
        <v>6.22</v>
      </c>
      <c r="K2262" t="s">
        <v>46</v>
      </c>
      <c r="L2262" t="s">
        <v>33</v>
      </c>
      <c r="M2262">
        <v>2</v>
      </c>
      <c r="N2262" t="str">
        <f t="shared" si="36"/>
        <v>INSERT INTO TNL_RATING.dbo.usps_rate_master VALUES ('USPS', '2/13/2025', '2/13/2026', 12659, 'US', 'USPS Ground Advantage', 1, 0, 'L', 6.22, 'Wedgewood_USPS_2025', 'Cubic Tier 3 (0.20 - 0.30)','2');</v>
      </c>
    </row>
    <row r="2263" spans="1:14" x14ac:dyDescent="0.3">
      <c r="A2263" t="s">
        <v>11</v>
      </c>
      <c r="B2263" s="1" t="s">
        <v>43</v>
      </c>
      <c r="C2263" s="1" t="s">
        <v>44</v>
      </c>
      <c r="D2263">
        <v>12659</v>
      </c>
      <c r="E2263" t="s">
        <v>12</v>
      </c>
      <c r="F2263" t="s">
        <v>51</v>
      </c>
      <c r="G2263">
        <v>2</v>
      </c>
      <c r="H2263">
        <v>0</v>
      </c>
      <c r="I2263" t="s">
        <v>45</v>
      </c>
      <c r="J2263" cm="1">
        <f t="array" ref="J2263">IFERROR(
    _xlfn.XLOOKUP(G2263, 'Wedgewood Pharm-GA-Yr2-2025'!$E$4:$L$4,
        _xlfn.XLOOKUP('Rate Load'!L2263, 'Wedgewood Pharm-GA-Yr2-2025'!$D$41:$D$50,
            'Wedgewood Pharm-GA-Yr2-2025'!$E$92:$L$101, 0, 0),
        0, 0),
    _xlfn.XLOOKUP(G2263, 'Wedgewood Pharm-GA-Yr2-2025'!$E$4:$L$4,
        _xlfn.XLOOKUP('Rate Load'!L2263, 'Wedgewood Pharm-GA-Yr2-2025'!$D$41:$D$50,
            'Wedgewood Pharm-GA-Yr2-2025'!$E$92:$L$101, 0, 0),
        0, 0)
)</f>
        <v>6.41</v>
      </c>
      <c r="K2263" t="s">
        <v>46</v>
      </c>
      <c r="L2263" t="s">
        <v>33</v>
      </c>
      <c r="M2263">
        <v>2</v>
      </c>
      <c r="N2263" t="str">
        <f t="shared" si="36"/>
        <v>INSERT INTO TNL_RATING.dbo.usps_rate_master VALUES ('USPS', '2/13/2025', '2/13/2026', 12659, 'US', 'USPS Ground Advantage', 2, 0, 'L', 6.41, 'Wedgewood_USPS_2025', 'Cubic Tier 3 (0.20 - 0.30)','2');</v>
      </c>
    </row>
    <row r="2264" spans="1:14" x14ac:dyDescent="0.3">
      <c r="A2264" t="s">
        <v>11</v>
      </c>
      <c r="B2264" s="1" t="s">
        <v>43</v>
      </c>
      <c r="C2264" s="1" t="s">
        <v>44</v>
      </c>
      <c r="D2264">
        <v>12659</v>
      </c>
      <c r="E2264" t="s">
        <v>12</v>
      </c>
      <c r="F2264" t="s">
        <v>51</v>
      </c>
      <c r="G2264">
        <v>3</v>
      </c>
      <c r="H2264">
        <v>0</v>
      </c>
      <c r="I2264" t="s">
        <v>45</v>
      </c>
      <c r="J2264" cm="1">
        <f t="array" ref="J2264">IFERROR(
    _xlfn.XLOOKUP(G2264, 'Wedgewood Pharm-GA-Yr2-2025'!$E$4:$L$4,
        _xlfn.XLOOKUP('Rate Load'!L2264, 'Wedgewood Pharm-GA-Yr2-2025'!$D$41:$D$50,
            'Wedgewood Pharm-GA-Yr2-2025'!$E$92:$L$101, 0, 0),
        0, 0),
    _xlfn.XLOOKUP(G2264, 'Wedgewood Pharm-GA-Yr2-2025'!$E$4:$L$4,
        _xlfn.XLOOKUP('Rate Load'!L2264, 'Wedgewood Pharm-GA-Yr2-2025'!$D$41:$D$50,
            'Wedgewood Pharm-GA-Yr2-2025'!$E$92:$L$101, 0, 0),
        0, 0)
)</f>
        <v>6.56</v>
      </c>
      <c r="K2264" t="s">
        <v>46</v>
      </c>
      <c r="L2264" t="s">
        <v>33</v>
      </c>
      <c r="M2264">
        <v>2</v>
      </c>
      <c r="N2264" t="str">
        <f t="shared" si="36"/>
        <v>INSERT INTO TNL_RATING.dbo.usps_rate_master VALUES ('USPS', '2/13/2025', '2/13/2026', 12659, 'US', 'USPS Ground Advantage', 3, 0, 'L', 6.56, 'Wedgewood_USPS_2025', 'Cubic Tier 3 (0.20 - 0.30)','2');</v>
      </c>
    </row>
    <row r="2265" spans="1:14" x14ac:dyDescent="0.3">
      <c r="A2265" t="s">
        <v>11</v>
      </c>
      <c r="B2265" s="1" t="s">
        <v>43</v>
      </c>
      <c r="C2265" s="1" t="s">
        <v>44</v>
      </c>
      <c r="D2265">
        <v>12659</v>
      </c>
      <c r="E2265" t="s">
        <v>12</v>
      </c>
      <c r="F2265" t="s">
        <v>51</v>
      </c>
      <c r="G2265">
        <v>4</v>
      </c>
      <c r="H2265">
        <v>0</v>
      </c>
      <c r="I2265" t="s">
        <v>45</v>
      </c>
      <c r="J2265" cm="1">
        <f t="array" ref="J2265">IFERROR(
    _xlfn.XLOOKUP(G2265, 'Wedgewood Pharm-GA-Yr2-2025'!$E$4:$L$4,
        _xlfn.XLOOKUP('Rate Load'!L2265, 'Wedgewood Pharm-GA-Yr2-2025'!$D$41:$D$50,
            'Wedgewood Pharm-GA-Yr2-2025'!$E$92:$L$101, 0, 0),
        0, 0),
    _xlfn.XLOOKUP(G2265, 'Wedgewood Pharm-GA-Yr2-2025'!$E$4:$L$4,
        _xlfn.XLOOKUP('Rate Load'!L2265, 'Wedgewood Pharm-GA-Yr2-2025'!$D$41:$D$50,
            'Wedgewood Pharm-GA-Yr2-2025'!$E$92:$L$101, 0, 0),
        0, 0)
)</f>
        <v>6.8999999999999995</v>
      </c>
      <c r="K2265" t="s">
        <v>46</v>
      </c>
      <c r="L2265" t="s">
        <v>33</v>
      </c>
      <c r="M2265">
        <v>2</v>
      </c>
      <c r="N2265" t="str">
        <f t="shared" si="36"/>
        <v>INSERT INTO TNL_RATING.dbo.usps_rate_master VALUES ('USPS', '2/13/2025', '2/13/2026', 12659, 'US', 'USPS Ground Advantage', 4, 0, 'L', 6.9, 'Wedgewood_USPS_2025', 'Cubic Tier 3 (0.20 - 0.30)','2');</v>
      </c>
    </row>
    <row r="2266" spans="1:14" x14ac:dyDescent="0.3">
      <c r="A2266" t="s">
        <v>11</v>
      </c>
      <c r="B2266" s="1" t="s">
        <v>43</v>
      </c>
      <c r="C2266" s="1" t="s">
        <v>44</v>
      </c>
      <c r="D2266">
        <v>12659</v>
      </c>
      <c r="E2266" t="s">
        <v>12</v>
      </c>
      <c r="F2266" t="s">
        <v>51</v>
      </c>
      <c r="G2266">
        <v>5</v>
      </c>
      <c r="H2266">
        <v>0</v>
      </c>
      <c r="I2266" t="s">
        <v>45</v>
      </c>
      <c r="J2266" cm="1">
        <f t="array" ref="J2266">IFERROR(
    _xlfn.XLOOKUP(G2266, 'Wedgewood Pharm-GA-Yr2-2025'!$E$4:$L$4,
        _xlfn.XLOOKUP('Rate Load'!L2266, 'Wedgewood Pharm-GA-Yr2-2025'!$D$41:$D$50,
            'Wedgewood Pharm-GA-Yr2-2025'!$E$92:$L$101, 0, 0),
        0, 0),
    _xlfn.XLOOKUP(G2266, 'Wedgewood Pharm-GA-Yr2-2025'!$E$4:$L$4,
        _xlfn.XLOOKUP('Rate Load'!L2266, 'Wedgewood Pharm-GA-Yr2-2025'!$D$41:$D$50,
            'Wedgewood Pharm-GA-Yr2-2025'!$E$92:$L$101, 0, 0),
        0, 0)
)</f>
        <v>7.3199999999999994</v>
      </c>
      <c r="K2266" t="s">
        <v>46</v>
      </c>
      <c r="L2266" t="s">
        <v>33</v>
      </c>
      <c r="M2266">
        <v>2</v>
      </c>
      <c r="N2266" t="str">
        <f t="shared" si="36"/>
        <v>INSERT INTO TNL_RATING.dbo.usps_rate_master VALUES ('USPS', '2/13/2025', '2/13/2026', 12659, 'US', 'USPS Ground Advantage', 5, 0, 'L', 7.32, 'Wedgewood_USPS_2025', 'Cubic Tier 3 (0.20 - 0.30)','2');</v>
      </c>
    </row>
    <row r="2267" spans="1:14" x14ac:dyDescent="0.3">
      <c r="A2267" t="s">
        <v>11</v>
      </c>
      <c r="B2267" s="1" t="s">
        <v>43</v>
      </c>
      <c r="C2267" s="1" t="s">
        <v>44</v>
      </c>
      <c r="D2267">
        <v>12659</v>
      </c>
      <c r="E2267" t="s">
        <v>12</v>
      </c>
      <c r="F2267" t="s">
        <v>51</v>
      </c>
      <c r="G2267">
        <v>6</v>
      </c>
      <c r="H2267">
        <v>0</v>
      </c>
      <c r="I2267" t="s">
        <v>45</v>
      </c>
      <c r="J2267" cm="1">
        <f t="array" ref="J2267">IFERROR(
    _xlfn.XLOOKUP(G2267, 'Wedgewood Pharm-GA-Yr2-2025'!$E$4:$L$4,
        _xlfn.XLOOKUP('Rate Load'!L2267, 'Wedgewood Pharm-GA-Yr2-2025'!$D$41:$D$50,
            'Wedgewood Pharm-GA-Yr2-2025'!$E$92:$L$101, 0, 0),
        0, 0),
    _xlfn.XLOOKUP(G2267, 'Wedgewood Pharm-GA-Yr2-2025'!$E$4:$L$4,
        _xlfn.XLOOKUP('Rate Load'!L2267, 'Wedgewood Pharm-GA-Yr2-2025'!$D$41:$D$50,
            'Wedgewood Pharm-GA-Yr2-2025'!$E$92:$L$101, 0, 0),
        0, 0)
)</f>
        <v>8.5299999999999994</v>
      </c>
      <c r="K2267" t="s">
        <v>46</v>
      </c>
      <c r="L2267" t="s">
        <v>33</v>
      </c>
      <c r="M2267">
        <v>2</v>
      </c>
      <c r="N2267" t="str">
        <f t="shared" si="36"/>
        <v>INSERT INTO TNL_RATING.dbo.usps_rate_master VALUES ('USPS', '2/13/2025', '2/13/2026', 12659, 'US', 'USPS Ground Advantage', 6, 0, 'L', 8.53, 'Wedgewood_USPS_2025', 'Cubic Tier 3 (0.20 - 0.30)','2');</v>
      </c>
    </row>
    <row r="2268" spans="1:14" x14ac:dyDescent="0.3">
      <c r="A2268" t="s">
        <v>11</v>
      </c>
      <c r="B2268" s="1" t="s">
        <v>43</v>
      </c>
      <c r="C2268" s="1" t="s">
        <v>44</v>
      </c>
      <c r="D2268">
        <v>12659</v>
      </c>
      <c r="E2268" t="s">
        <v>12</v>
      </c>
      <c r="F2268" t="s">
        <v>51</v>
      </c>
      <c r="G2268">
        <v>7</v>
      </c>
      <c r="H2268">
        <v>0</v>
      </c>
      <c r="I2268" t="s">
        <v>45</v>
      </c>
      <c r="J2268" cm="1">
        <f t="array" ref="J2268">IFERROR(
    _xlfn.XLOOKUP(G2268, 'Wedgewood Pharm-GA-Yr2-2025'!$E$4:$L$4,
        _xlfn.XLOOKUP('Rate Load'!L2268, 'Wedgewood Pharm-GA-Yr2-2025'!$D$41:$D$50,
            'Wedgewood Pharm-GA-Yr2-2025'!$E$92:$L$101, 0, 0),
        0, 0),
    _xlfn.XLOOKUP(G2268, 'Wedgewood Pharm-GA-Yr2-2025'!$E$4:$L$4,
        _xlfn.XLOOKUP('Rate Load'!L2268, 'Wedgewood Pharm-GA-Yr2-2025'!$D$41:$D$50,
            'Wedgewood Pharm-GA-Yr2-2025'!$E$92:$L$101, 0, 0),
        0, 0)
)</f>
        <v>8.99</v>
      </c>
      <c r="K2268" t="s">
        <v>46</v>
      </c>
      <c r="L2268" t="s">
        <v>33</v>
      </c>
      <c r="M2268">
        <v>2</v>
      </c>
      <c r="N2268" t="str">
        <f t="shared" si="36"/>
        <v>INSERT INTO TNL_RATING.dbo.usps_rate_master VALUES ('USPS', '2/13/2025', '2/13/2026', 12659, 'US', 'USPS Ground Advantage', 7, 0, 'L', 8.99, 'Wedgewood_USPS_2025', 'Cubic Tier 3 (0.20 - 0.30)','2');</v>
      </c>
    </row>
    <row r="2269" spans="1:14" x14ac:dyDescent="0.3">
      <c r="A2269" t="s">
        <v>11</v>
      </c>
      <c r="B2269" s="1" t="s">
        <v>43</v>
      </c>
      <c r="C2269" s="1" t="s">
        <v>44</v>
      </c>
      <c r="D2269">
        <v>12659</v>
      </c>
      <c r="E2269" t="s">
        <v>12</v>
      </c>
      <c r="F2269" t="s">
        <v>51</v>
      </c>
      <c r="G2269">
        <v>8</v>
      </c>
      <c r="H2269">
        <v>0</v>
      </c>
      <c r="I2269" t="s">
        <v>45</v>
      </c>
      <c r="J2269" cm="1">
        <f t="array" ref="J2269">IFERROR(
    _xlfn.XLOOKUP(G2269, 'Wedgewood Pharm-GA-Yr2-2025'!$E$4:$L$4,
        _xlfn.XLOOKUP('Rate Load'!L2269, 'Wedgewood Pharm-GA-Yr2-2025'!$D$41:$D$50,
            'Wedgewood Pharm-GA-Yr2-2025'!$E$92:$L$101, 0, 0),
        0, 0),
    _xlfn.XLOOKUP(G2269, 'Wedgewood Pharm-GA-Yr2-2025'!$E$4:$L$4,
        _xlfn.XLOOKUP('Rate Load'!L2269, 'Wedgewood Pharm-GA-Yr2-2025'!$D$41:$D$50,
            'Wedgewood Pharm-GA-Yr2-2025'!$E$92:$L$101, 0, 0),
        0, 0)
)</f>
        <v>9.65</v>
      </c>
      <c r="K2269" t="s">
        <v>46</v>
      </c>
      <c r="L2269" t="s">
        <v>33</v>
      </c>
      <c r="M2269">
        <v>2</v>
      </c>
      <c r="N2269" t="str">
        <f t="shared" si="36"/>
        <v>INSERT INTO TNL_RATING.dbo.usps_rate_master VALUES ('USPS', '2/13/2025', '2/13/2026', 12659, 'US', 'USPS Ground Advantage', 8, 0, 'L', 9.65, 'Wedgewood_USPS_2025', 'Cubic Tier 3 (0.20 - 0.30)','2');</v>
      </c>
    </row>
    <row r="2270" spans="1:14" x14ac:dyDescent="0.3">
      <c r="A2270" t="s">
        <v>11</v>
      </c>
      <c r="B2270" s="1" t="s">
        <v>43</v>
      </c>
      <c r="C2270" s="1" t="s">
        <v>44</v>
      </c>
      <c r="D2270">
        <v>12659</v>
      </c>
      <c r="E2270" t="s">
        <v>12</v>
      </c>
      <c r="F2270" t="s">
        <v>51</v>
      </c>
      <c r="G2270">
        <v>1</v>
      </c>
      <c r="H2270">
        <v>0</v>
      </c>
      <c r="I2270" t="s">
        <v>45</v>
      </c>
      <c r="J2270" cm="1">
        <f t="array" ref="J2270">IFERROR(
    _xlfn.XLOOKUP(G2270, 'Wedgewood Pharm-GA-Yr2-2025'!$E$4:$L$4,
        _xlfn.XLOOKUP('Rate Load'!L2270, 'Wedgewood Pharm-GA-Yr2-2025'!$D$41:$D$50,
            'Wedgewood Pharm-GA-Yr2-2025'!$E$92:$L$101, 0, 0),
        0, 0),
    _xlfn.XLOOKUP(G2270, 'Wedgewood Pharm-GA-Yr2-2025'!$E$4:$L$4,
        _xlfn.XLOOKUP('Rate Load'!L2270, 'Wedgewood Pharm-GA-Yr2-2025'!$D$41:$D$50,
            'Wedgewood Pharm-GA-Yr2-2025'!$E$92:$L$101, 0, 0),
        0, 0)
)</f>
        <v>6.47</v>
      </c>
      <c r="K2270" t="s">
        <v>46</v>
      </c>
      <c r="L2270" t="s">
        <v>34</v>
      </c>
      <c r="M2270">
        <v>2</v>
      </c>
      <c r="N2270" t="str">
        <f t="shared" si="36"/>
        <v>INSERT INTO TNL_RATING.dbo.usps_rate_master VALUES ('USPS', '2/13/2025', '2/13/2026', 12659, 'US', 'USPS Ground Advantage', 1, 0, 'L', 6.47, 'Wedgewood_USPS_2025', 'Cubic Tier 4 (0.30 - 0.40)','2');</v>
      </c>
    </row>
    <row r="2271" spans="1:14" x14ac:dyDescent="0.3">
      <c r="A2271" t="s">
        <v>11</v>
      </c>
      <c r="B2271" s="1" t="s">
        <v>43</v>
      </c>
      <c r="C2271" s="1" t="s">
        <v>44</v>
      </c>
      <c r="D2271">
        <v>12659</v>
      </c>
      <c r="E2271" t="s">
        <v>12</v>
      </c>
      <c r="F2271" t="s">
        <v>51</v>
      </c>
      <c r="G2271">
        <v>2</v>
      </c>
      <c r="H2271">
        <v>0</v>
      </c>
      <c r="I2271" t="s">
        <v>45</v>
      </c>
      <c r="J2271" cm="1">
        <f t="array" ref="J2271">IFERROR(
    _xlfn.XLOOKUP(G2271, 'Wedgewood Pharm-GA-Yr2-2025'!$E$4:$L$4,
        _xlfn.XLOOKUP('Rate Load'!L2271, 'Wedgewood Pharm-GA-Yr2-2025'!$D$41:$D$50,
            'Wedgewood Pharm-GA-Yr2-2025'!$E$92:$L$101, 0, 0),
        0, 0),
    _xlfn.XLOOKUP(G2271, 'Wedgewood Pharm-GA-Yr2-2025'!$E$4:$L$4,
        _xlfn.XLOOKUP('Rate Load'!L2271, 'Wedgewood Pharm-GA-Yr2-2025'!$D$41:$D$50,
            'Wedgewood Pharm-GA-Yr2-2025'!$E$92:$L$101, 0, 0),
        0, 0)
)</f>
        <v>6.71</v>
      </c>
      <c r="K2271" t="s">
        <v>46</v>
      </c>
      <c r="L2271" t="s">
        <v>34</v>
      </c>
      <c r="M2271">
        <v>2</v>
      </c>
      <c r="N2271" t="str">
        <f t="shared" si="36"/>
        <v>INSERT INTO TNL_RATING.dbo.usps_rate_master VALUES ('USPS', '2/13/2025', '2/13/2026', 12659, 'US', 'USPS Ground Advantage', 2, 0, 'L', 6.71, 'Wedgewood_USPS_2025', 'Cubic Tier 4 (0.30 - 0.40)','2');</v>
      </c>
    </row>
    <row r="2272" spans="1:14" x14ac:dyDescent="0.3">
      <c r="A2272" t="s">
        <v>11</v>
      </c>
      <c r="B2272" s="1" t="s">
        <v>43</v>
      </c>
      <c r="C2272" s="1" t="s">
        <v>44</v>
      </c>
      <c r="D2272">
        <v>12659</v>
      </c>
      <c r="E2272" t="s">
        <v>12</v>
      </c>
      <c r="F2272" t="s">
        <v>51</v>
      </c>
      <c r="G2272">
        <v>3</v>
      </c>
      <c r="H2272">
        <v>0</v>
      </c>
      <c r="I2272" t="s">
        <v>45</v>
      </c>
      <c r="J2272" cm="1">
        <f t="array" ref="J2272">IFERROR(
    _xlfn.XLOOKUP(G2272, 'Wedgewood Pharm-GA-Yr2-2025'!$E$4:$L$4,
        _xlfn.XLOOKUP('Rate Load'!L2272, 'Wedgewood Pharm-GA-Yr2-2025'!$D$41:$D$50,
            'Wedgewood Pharm-GA-Yr2-2025'!$E$92:$L$101, 0, 0),
        0, 0),
    _xlfn.XLOOKUP(G2272, 'Wedgewood Pharm-GA-Yr2-2025'!$E$4:$L$4,
        _xlfn.XLOOKUP('Rate Load'!L2272, 'Wedgewood Pharm-GA-Yr2-2025'!$D$41:$D$50,
            'Wedgewood Pharm-GA-Yr2-2025'!$E$92:$L$101, 0, 0),
        0, 0)
)</f>
        <v>6.91</v>
      </c>
      <c r="K2272" t="s">
        <v>46</v>
      </c>
      <c r="L2272" t="s">
        <v>34</v>
      </c>
      <c r="M2272">
        <v>2</v>
      </c>
      <c r="N2272" t="str">
        <f t="shared" si="36"/>
        <v>INSERT INTO TNL_RATING.dbo.usps_rate_master VALUES ('USPS', '2/13/2025', '2/13/2026', 12659, 'US', 'USPS Ground Advantage', 3, 0, 'L', 6.91, 'Wedgewood_USPS_2025', 'Cubic Tier 4 (0.30 - 0.40)','2');</v>
      </c>
    </row>
    <row r="2273" spans="1:14" x14ac:dyDescent="0.3">
      <c r="A2273" t="s">
        <v>11</v>
      </c>
      <c r="B2273" s="1" t="s">
        <v>43</v>
      </c>
      <c r="C2273" s="1" t="s">
        <v>44</v>
      </c>
      <c r="D2273">
        <v>12659</v>
      </c>
      <c r="E2273" t="s">
        <v>12</v>
      </c>
      <c r="F2273" t="s">
        <v>51</v>
      </c>
      <c r="G2273">
        <v>4</v>
      </c>
      <c r="H2273">
        <v>0</v>
      </c>
      <c r="I2273" t="s">
        <v>45</v>
      </c>
      <c r="J2273" cm="1">
        <f t="array" ref="J2273">IFERROR(
    _xlfn.XLOOKUP(G2273, 'Wedgewood Pharm-GA-Yr2-2025'!$E$4:$L$4,
        _xlfn.XLOOKUP('Rate Load'!L2273, 'Wedgewood Pharm-GA-Yr2-2025'!$D$41:$D$50,
            'Wedgewood Pharm-GA-Yr2-2025'!$E$92:$L$101, 0, 0),
        0, 0),
    _xlfn.XLOOKUP(G2273, 'Wedgewood Pharm-GA-Yr2-2025'!$E$4:$L$4,
        _xlfn.XLOOKUP('Rate Load'!L2273, 'Wedgewood Pharm-GA-Yr2-2025'!$D$41:$D$50,
            'Wedgewood Pharm-GA-Yr2-2025'!$E$92:$L$101, 0, 0),
        0, 0)
)</f>
        <v>7.3199999999999994</v>
      </c>
      <c r="K2273" t="s">
        <v>46</v>
      </c>
      <c r="L2273" t="s">
        <v>34</v>
      </c>
      <c r="M2273">
        <v>2</v>
      </c>
      <c r="N2273" t="str">
        <f t="shared" si="36"/>
        <v>INSERT INTO TNL_RATING.dbo.usps_rate_master VALUES ('USPS', '2/13/2025', '2/13/2026', 12659, 'US', 'USPS Ground Advantage', 4, 0, 'L', 7.32, 'Wedgewood_USPS_2025', 'Cubic Tier 4 (0.30 - 0.40)','2');</v>
      </c>
    </row>
    <row r="2274" spans="1:14" x14ac:dyDescent="0.3">
      <c r="A2274" t="s">
        <v>11</v>
      </c>
      <c r="B2274" s="1" t="s">
        <v>43</v>
      </c>
      <c r="C2274" s="1" t="s">
        <v>44</v>
      </c>
      <c r="D2274">
        <v>12659</v>
      </c>
      <c r="E2274" t="s">
        <v>12</v>
      </c>
      <c r="F2274" t="s">
        <v>51</v>
      </c>
      <c r="G2274">
        <v>5</v>
      </c>
      <c r="H2274">
        <v>0</v>
      </c>
      <c r="I2274" t="s">
        <v>45</v>
      </c>
      <c r="J2274" cm="1">
        <f t="array" ref="J2274">IFERROR(
    _xlfn.XLOOKUP(G2274, 'Wedgewood Pharm-GA-Yr2-2025'!$E$4:$L$4,
        _xlfn.XLOOKUP('Rate Load'!L2274, 'Wedgewood Pharm-GA-Yr2-2025'!$D$41:$D$50,
            'Wedgewood Pharm-GA-Yr2-2025'!$E$92:$L$101, 0, 0),
        0, 0),
    _xlfn.XLOOKUP(G2274, 'Wedgewood Pharm-GA-Yr2-2025'!$E$4:$L$4,
        _xlfn.XLOOKUP('Rate Load'!L2274, 'Wedgewood Pharm-GA-Yr2-2025'!$D$41:$D$50,
            'Wedgewood Pharm-GA-Yr2-2025'!$E$92:$L$101, 0, 0),
        0, 0)
)</f>
        <v>8.11</v>
      </c>
      <c r="K2274" t="s">
        <v>46</v>
      </c>
      <c r="L2274" t="s">
        <v>34</v>
      </c>
      <c r="M2274">
        <v>2</v>
      </c>
      <c r="N2274" t="str">
        <f t="shared" si="36"/>
        <v>INSERT INTO TNL_RATING.dbo.usps_rate_master VALUES ('USPS', '2/13/2025', '2/13/2026', 12659, 'US', 'USPS Ground Advantage', 5, 0, 'L', 8.11, 'Wedgewood_USPS_2025', 'Cubic Tier 4 (0.30 - 0.40)','2');</v>
      </c>
    </row>
    <row r="2275" spans="1:14" x14ac:dyDescent="0.3">
      <c r="A2275" t="s">
        <v>11</v>
      </c>
      <c r="B2275" s="1" t="s">
        <v>43</v>
      </c>
      <c r="C2275" s="1" t="s">
        <v>44</v>
      </c>
      <c r="D2275">
        <v>12659</v>
      </c>
      <c r="E2275" t="s">
        <v>12</v>
      </c>
      <c r="F2275" t="s">
        <v>51</v>
      </c>
      <c r="G2275">
        <v>6</v>
      </c>
      <c r="H2275">
        <v>0</v>
      </c>
      <c r="I2275" t="s">
        <v>45</v>
      </c>
      <c r="J2275" cm="1">
        <f t="array" ref="J2275">IFERROR(
    _xlfn.XLOOKUP(G2275, 'Wedgewood Pharm-GA-Yr2-2025'!$E$4:$L$4,
        _xlfn.XLOOKUP('Rate Load'!L2275, 'Wedgewood Pharm-GA-Yr2-2025'!$D$41:$D$50,
            'Wedgewood Pharm-GA-Yr2-2025'!$E$92:$L$101, 0, 0),
        0, 0),
    _xlfn.XLOOKUP(G2275, 'Wedgewood Pharm-GA-Yr2-2025'!$E$4:$L$4,
        _xlfn.XLOOKUP('Rate Load'!L2275, 'Wedgewood Pharm-GA-Yr2-2025'!$D$41:$D$50,
            'Wedgewood Pharm-GA-Yr2-2025'!$E$92:$L$101, 0, 0),
        0, 0)
)</f>
        <v>9.3699999999999992</v>
      </c>
      <c r="K2275" t="s">
        <v>46</v>
      </c>
      <c r="L2275" t="s">
        <v>34</v>
      </c>
      <c r="M2275">
        <v>2</v>
      </c>
      <c r="N2275" t="str">
        <f t="shared" si="36"/>
        <v>INSERT INTO TNL_RATING.dbo.usps_rate_master VALUES ('USPS', '2/13/2025', '2/13/2026', 12659, 'US', 'USPS Ground Advantage', 6, 0, 'L', 9.37, 'Wedgewood_USPS_2025', 'Cubic Tier 4 (0.30 - 0.40)','2');</v>
      </c>
    </row>
    <row r="2276" spans="1:14" x14ac:dyDescent="0.3">
      <c r="A2276" t="s">
        <v>11</v>
      </c>
      <c r="B2276" s="1" t="s">
        <v>43</v>
      </c>
      <c r="C2276" s="1" t="s">
        <v>44</v>
      </c>
      <c r="D2276">
        <v>12659</v>
      </c>
      <c r="E2276" t="s">
        <v>12</v>
      </c>
      <c r="F2276" t="s">
        <v>51</v>
      </c>
      <c r="G2276">
        <v>7</v>
      </c>
      <c r="H2276">
        <v>0</v>
      </c>
      <c r="I2276" t="s">
        <v>45</v>
      </c>
      <c r="J2276" cm="1">
        <f t="array" ref="J2276">IFERROR(
    _xlfn.XLOOKUP(G2276, 'Wedgewood Pharm-GA-Yr2-2025'!$E$4:$L$4,
        _xlfn.XLOOKUP('Rate Load'!L2276, 'Wedgewood Pharm-GA-Yr2-2025'!$D$41:$D$50,
            'Wedgewood Pharm-GA-Yr2-2025'!$E$92:$L$101, 0, 0),
        0, 0),
    _xlfn.XLOOKUP(G2276, 'Wedgewood Pharm-GA-Yr2-2025'!$E$4:$L$4,
        _xlfn.XLOOKUP('Rate Load'!L2276, 'Wedgewood Pharm-GA-Yr2-2025'!$D$41:$D$50,
            'Wedgewood Pharm-GA-Yr2-2025'!$E$92:$L$101, 0, 0),
        0, 0)
)</f>
        <v>9.9599999999999991</v>
      </c>
      <c r="K2276" t="s">
        <v>46</v>
      </c>
      <c r="L2276" t="s">
        <v>34</v>
      </c>
      <c r="M2276">
        <v>2</v>
      </c>
      <c r="N2276" t="str">
        <f t="shared" ref="N2276:N2325" si="37">"INSERT INTO TNL_RATING.dbo.usps_rate_master VALUES ('" &amp; A2276 &amp; "', '" &amp; B2276 &amp; "', '" &amp; C2276 &amp; "', " &amp; D2276 &amp; ", '" &amp; E2276 &amp; "', '" &amp; F2276 &amp; "', " &amp; G2276 &amp; ", " &amp; H2276 &amp; ", '" &amp; I2276 &amp; "', " &amp; J2276 &amp; ", '" &amp; K2276 &amp; "', '" &amp; L2276 &amp; "','" &amp; M2276 &amp; "');"</f>
        <v>INSERT INTO TNL_RATING.dbo.usps_rate_master VALUES ('USPS', '2/13/2025', '2/13/2026', 12659, 'US', 'USPS Ground Advantage', 7, 0, 'L', 9.96, 'Wedgewood_USPS_2025', 'Cubic Tier 4 (0.30 - 0.40)','2');</v>
      </c>
    </row>
    <row r="2277" spans="1:14" x14ac:dyDescent="0.3">
      <c r="A2277" t="s">
        <v>11</v>
      </c>
      <c r="B2277" s="1" t="s">
        <v>43</v>
      </c>
      <c r="C2277" s="1" t="s">
        <v>44</v>
      </c>
      <c r="D2277">
        <v>12659</v>
      </c>
      <c r="E2277" t="s">
        <v>12</v>
      </c>
      <c r="F2277" t="s">
        <v>51</v>
      </c>
      <c r="G2277">
        <v>8</v>
      </c>
      <c r="H2277">
        <v>0</v>
      </c>
      <c r="I2277" t="s">
        <v>45</v>
      </c>
      <c r="J2277" cm="1">
        <f t="array" ref="J2277">IFERROR(
    _xlfn.XLOOKUP(G2277, 'Wedgewood Pharm-GA-Yr2-2025'!$E$4:$L$4,
        _xlfn.XLOOKUP('Rate Load'!L2277, 'Wedgewood Pharm-GA-Yr2-2025'!$D$41:$D$50,
            'Wedgewood Pharm-GA-Yr2-2025'!$E$92:$L$101, 0, 0),
        0, 0),
    _xlfn.XLOOKUP(G2277, 'Wedgewood Pharm-GA-Yr2-2025'!$E$4:$L$4,
        _xlfn.XLOOKUP('Rate Load'!L2277, 'Wedgewood Pharm-GA-Yr2-2025'!$D$41:$D$50,
            'Wedgewood Pharm-GA-Yr2-2025'!$E$92:$L$101, 0, 0),
        0, 0)
)</f>
        <v>10.73</v>
      </c>
      <c r="K2277" t="s">
        <v>46</v>
      </c>
      <c r="L2277" t="s">
        <v>34</v>
      </c>
      <c r="M2277">
        <v>2</v>
      </c>
      <c r="N2277" t="str">
        <f t="shared" si="37"/>
        <v>INSERT INTO TNL_RATING.dbo.usps_rate_master VALUES ('USPS', '2/13/2025', '2/13/2026', 12659, 'US', 'USPS Ground Advantage', 8, 0, 'L', 10.73, 'Wedgewood_USPS_2025', 'Cubic Tier 4 (0.30 - 0.40)','2');</v>
      </c>
    </row>
    <row r="2278" spans="1:14" x14ac:dyDescent="0.3">
      <c r="A2278" t="s">
        <v>11</v>
      </c>
      <c r="B2278" s="1" t="s">
        <v>43</v>
      </c>
      <c r="C2278" s="1" t="s">
        <v>44</v>
      </c>
      <c r="D2278">
        <v>12659</v>
      </c>
      <c r="E2278" t="s">
        <v>12</v>
      </c>
      <c r="F2278" t="s">
        <v>51</v>
      </c>
      <c r="G2278">
        <v>1</v>
      </c>
      <c r="H2278">
        <v>0</v>
      </c>
      <c r="I2278" t="s">
        <v>45</v>
      </c>
      <c r="J2278" cm="1">
        <f t="array" ref="J2278">IFERROR(
    _xlfn.XLOOKUP(G2278, 'Wedgewood Pharm-GA-Yr2-2025'!$E$4:$L$4,
        _xlfn.XLOOKUP('Rate Load'!L2278, 'Wedgewood Pharm-GA-Yr2-2025'!$D$41:$D$50,
            'Wedgewood Pharm-GA-Yr2-2025'!$E$92:$L$101, 0, 0),
        0, 0),
    _xlfn.XLOOKUP(G2278, 'Wedgewood Pharm-GA-Yr2-2025'!$E$4:$L$4,
        _xlfn.XLOOKUP('Rate Load'!L2278, 'Wedgewood Pharm-GA-Yr2-2025'!$D$41:$D$50,
            'Wedgewood Pharm-GA-Yr2-2025'!$E$92:$L$101, 0, 0),
        0, 0)
)</f>
        <v>6.64</v>
      </c>
      <c r="K2278" t="s">
        <v>46</v>
      </c>
      <c r="L2278" t="s">
        <v>35</v>
      </c>
      <c r="M2278">
        <v>2</v>
      </c>
      <c r="N2278" t="str">
        <f t="shared" si="37"/>
        <v>INSERT INTO TNL_RATING.dbo.usps_rate_master VALUES ('USPS', '2/13/2025', '2/13/2026', 12659, 'US', 'USPS Ground Advantage', 1, 0, 'L', 6.64, 'Wedgewood_USPS_2025', 'Cubic Tier 5 (0.40 - 0.50)','2');</v>
      </c>
    </row>
    <row r="2279" spans="1:14" x14ac:dyDescent="0.3">
      <c r="A2279" t="s">
        <v>11</v>
      </c>
      <c r="B2279" s="1" t="s">
        <v>43</v>
      </c>
      <c r="C2279" s="1" t="s">
        <v>44</v>
      </c>
      <c r="D2279">
        <v>12659</v>
      </c>
      <c r="E2279" t="s">
        <v>12</v>
      </c>
      <c r="F2279" t="s">
        <v>51</v>
      </c>
      <c r="G2279">
        <v>2</v>
      </c>
      <c r="H2279">
        <v>0</v>
      </c>
      <c r="I2279" t="s">
        <v>45</v>
      </c>
      <c r="J2279" cm="1">
        <f t="array" ref="J2279">IFERROR(
    _xlfn.XLOOKUP(G2279, 'Wedgewood Pharm-GA-Yr2-2025'!$E$4:$L$4,
        _xlfn.XLOOKUP('Rate Load'!L2279, 'Wedgewood Pharm-GA-Yr2-2025'!$D$41:$D$50,
            'Wedgewood Pharm-GA-Yr2-2025'!$E$92:$L$101, 0, 0),
        0, 0),
    _xlfn.XLOOKUP(G2279, 'Wedgewood Pharm-GA-Yr2-2025'!$E$4:$L$4,
        _xlfn.XLOOKUP('Rate Load'!L2279, 'Wedgewood Pharm-GA-Yr2-2025'!$D$41:$D$50,
            'Wedgewood Pharm-GA-Yr2-2025'!$E$92:$L$101, 0, 0),
        0, 0)
)</f>
        <v>6.89</v>
      </c>
      <c r="K2279" t="s">
        <v>46</v>
      </c>
      <c r="L2279" t="s">
        <v>35</v>
      </c>
      <c r="M2279">
        <v>2</v>
      </c>
      <c r="N2279" t="str">
        <f t="shared" si="37"/>
        <v>INSERT INTO TNL_RATING.dbo.usps_rate_master VALUES ('USPS', '2/13/2025', '2/13/2026', 12659, 'US', 'USPS Ground Advantage', 2, 0, 'L', 6.89, 'Wedgewood_USPS_2025', 'Cubic Tier 5 (0.40 - 0.50)','2');</v>
      </c>
    </row>
    <row r="2280" spans="1:14" x14ac:dyDescent="0.3">
      <c r="A2280" t="s">
        <v>11</v>
      </c>
      <c r="B2280" s="1" t="s">
        <v>43</v>
      </c>
      <c r="C2280" s="1" t="s">
        <v>44</v>
      </c>
      <c r="D2280">
        <v>12659</v>
      </c>
      <c r="E2280" t="s">
        <v>12</v>
      </c>
      <c r="F2280" t="s">
        <v>51</v>
      </c>
      <c r="G2280">
        <v>3</v>
      </c>
      <c r="H2280">
        <v>0</v>
      </c>
      <c r="I2280" t="s">
        <v>45</v>
      </c>
      <c r="J2280" cm="1">
        <f t="array" ref="J2280">IFERROR(
    _xlfn.XLOOKUP(G2280, 'Wedgewood Pharm-GA-Yr2-2025'!$E$4:$L$4,
        _xlfn.XLOOKUP('Rate Load'!L2280, 'Wedgewood Pharm-GA-Yr2-2025'!$D$41:$D$50,
            'Wedgewood Pharm-GA-Yr2-2025'!$E$92:$L$101, 0, 0),
        0, 0),
    _xlfn.XLOOKUP(G2280, 'Wedgewood Pharm-GA-Yr2-2025'!$E$4:$L$4,
        _xlfn.XLOOKUP('Rate Load'!L2280, 'Wedgewood Pharm-GA-Yr2-2025'!$D$41:$D$50,
            'Wedgewood Pharm-GA-Yr2-2025'!$E$92:$L$101, 0, 0),
        0, 0)
)</f>
        <v>7.1499999999999995</v>
      </c>
      <c r="K2280" t="s">
        <v>46</v>
      </c>
      <c r="L2280" t="s">
        <v>35</v>
      </c>
      <c r="M2280">
        <v>2</v>
      </c>
      <c r="N2280" t="str">
        <f t="shared" si="37"/>
        <v>INSERT INTO TNL_RATING.dbo.usps_rate_master VALUES ('USPS', '2/13/2025', '2/13/2026', 12659, 'US', 'USPS Ground Advantage', 3, 0, 'L', 7.15, 'Wedgewood_USPS_2025', 'Cubic Tier 5 (0.40 - 0.50)','2');</v>
      </c>
    </row>
    <row r="2281" spans="1:14" x14ac:dyDescent="0.3">
      <c r="A2281" t="s">
        <v>11</v>
      </c>
      <c r="B2281" s="1" t="s">
        <v>43</v>
      </c>
      <c r="C2281" s="1" t="s">
        <v>44</v>
      </c>
      <c r="D2281">
        <v>12659</v>
      </c>
      <c r="E2281" t="s">
        <v>12</v>
      </c>
      <c r="F2281" t="s">
        <v>51</v>
      </c>
      <c r="G2281">
        <v>4</v>
      </c>
      <c r="H2281">
        <v>0</v>
      </c>
      <c r="I2281" t="s">
        <v>45</v>
      </c>
      <c r="J2281" cm="1">
        <f t="array" ref="J2281">IFERROR(
    _xlfn.XLOOKUP(G2281, 'Wedgewood Pharm-GA-Yr2-2025'!$E$4:$L$4,
        _xlfn.XLOOKUP('Rate Load'!L2281, 'Wedgewood Pharm-GA-Yr2-2025'!$D$41:$D$50,
            'Wedgewood Pharm-GA-Yr2-2025'!$E$92:$L$101, 0, 0),
        0, 0),
    _xlfn.XLOOKUP(G2281, 'Wedgewood Pharm-GA-Yr2-2025'!$E$4:$L$4,
        _xlfn.XLOOKUP('Rate Load'!L2281, 'Wedgewood Pharm-GA-Yr2-2025'!$D$41:$D$50,
            'Wedgewood Pharm-GA-Yr2-2025'!$E$92:$L$101, 0, 0),
        0, 0)
)</f>
        <v>7.68</v>
      </c>
      <c r="K2281" t="s">
        <v>46</v>
      </c>
      <c r="L2281" t="s">
        <v>35</v>
      </c>
      <c r="M2281">
        <v>2</v>
      </c>
      <c r="N2281" t="str">
        <f t="shared" si="37"/>
        <v>INSERT INTO TNL_RATING.dbo.usps_rate_master VALUES ('USPS', '2/13/2025', '2/13/2026', 12659, 'US', 'USPS Ground Advantage', 4, 0, 'L', 7.68, 'Wedgewood_USPS_2025', 'Cubic Tier 5 (0.40 - 0.50)','2');</v>
      </c>
    </row>
    <row r="2282" spans="1:14" x14ac:dyDescent="0.3">
      <c r="A2282" t="s">
        <v>11</v>
      </c>
      <c r="B2282" s="1" t="s">
        <v>43</v>
      </c>
      <c r="C2282" s="1" t="s">
        <v>44</v>
      </c>
      <c r="D2282">
        <v>12659</v>
      </c>
      <c r="E2282" t="s">
        <v>12</v>
      </c>
      <c r="F2282" t="s">
        <v>51</v>
      </c>
      <c r="G2282">
        <v>5</v>
      </c>
      <c r="H2282">
        <v>0</v>
      </c>
      <c r="I2282" t="s">
        <v>45</v>
      </c>
      <c r="J2282" cm="1">
        <f t="array" ref="J2282">IFERROR(
    _xlfn.XLOOKUP(G2282, 'Wedgewood Pharm-GA-Yr2-2025'!$E$4:$L$4,
        _xlfn.XLOOKUP('Rate Load'!L2282, 'Wedgewood Pharm-GA-Yr2-2025'!$D$41:$D$50,
            'Wedgewood Pharm-GA-Yr2-2025'!$E$92:$L$101, 0, 0),
        0, 0),
    _xlfn.XLOOKUP(G2282, 'Wedgewood Pharm-GA-Yr2-2025'!$E$4:$L$4,
        _xlfn.XLOOKUP('Rate Load'!L2282, 'Wedgewood Pharm-GA-Yr2-2025'!$D$41:$D$50,
            'Wedgewood Pharm-GA-Yr2-2025'!$E$92:$L$101, 0, 0),
        0, 0)
)</f>
        <v>8.66</v>
      </c>
      <c r="K2282" t="s">
        <v>46</v>
      </c>
      <c r="L2282" t="s">
        <v>35</v>
      </c>
      <c r="M2282">
        <v>2</v>
      </c>
      <c r="N2282" t="str">
        <f t="shared" si="37"/>
        <v>INSERT INTO TNL_RATING.dbo.usps_rate_master VALUES ('USPS', '2/13/2025', '2/13/2026', 12659, 'US', 'USPS Ground Advantage', 5, 0, 'L', 8.66, 'Wedgewood_USPS_2025', 'Cubic Tier 5 (0.40 - 0.50)','2');</v>
      </c>
    </row>
    <row r="2283" spans="1:14" x14ac:dyDescent="0.3">
      <c r="A2283" t="s">
        <v>11</v>
      </c>
      <c r="B2283" s="1" t="s">
        <v>43</v>
      </c>
      <c r="C2283" s="1" t="s">
        <v>44</v>
      </c>
      <c r="D2283">
        <v>12659</v>
      </c>
      <c r="E2283" t="s">
        <v>12</v>
      </c>
      <c r="F2283" t="s">
        <v>51</v>
      </c>
      <c r="G2283">
        <v>6</v>
      </c>
      <c r="H2283">
        <v>0</v>
      </c>
      <c r="I2283" t="s">
        <v>45</v>
      </c>
      <c r="J2283" cm="1">
        <f t="array" ref="J2283">IFERROR(
    _xlfn.XLOOKUP(G2283, 'Wedgewood Pharm-GA-Yr2-2025'!$E$4:$L$4,
        _xlfn.XLOOKUP('Rate Load'!L2283, 'Wedgewood Pharm-GA-Yr2-2025'!$D$41:$D$50,
            'Wedgewood Pharm-GA-Yr2-2025'!$E$92:$L$101, 0, 0),
        0, 0),
    _xlfn.XLOOKUP(G2283, 'Wedgewood Pharm-GA-Yr2-2025'!$E$4:$L$4,
        _xlfn.XLOOKUP('Rate Load'!L2283, 'Wedgewood Pharm-GA-Yr2-2025'!$D$41:$D$50,
            'Wedgewood Pharm-GA-Yr2-2025'!$E$92:$L$101, 0, 0),
        0, 0)
)</f>
        <v>9.94</v>
      </c>
      <c r="K2283" t="s">
        <v>46</v>
      </c>
      <c r="L2283" t="s">
        <v>35</v>
      </c>
      <c r="M2283">
        <v>2</v>
      </c>
      <c r="N2283" t="str">
        <f t="shared" si="37"/>
        <v>INSERT INTO TNL_RATING.dbo.usps_rate_master VALUES ('USPS', '2/13/2025', '2/13/2026', 12659, 'US', 'USPS Ground Advantage', 6, 0, 'L', 9.94, 'Wedgewood_USPS_2025', 'Cubic Tier 5 (0.40 - 0.50)','2');</v>
      </c>
    </row>
    <row r="2284" spans="1:14" x14ac:dyDescent="0.3">
      <c r="A2284" t="s">
        <v>11</v>
      </c>
      <c r="B2284" s="1" t="s">
        <v>43</v>
      </c>
      <c r="C2284" s="1" t="s">
        <v>44</v>
      </c>
      <c r="D2284">
        <v>12659</v>
      </c>
      <c r="E2284" t="s">
        <v>12</v>
      </c>
      <c r="F2284" t="s">
        <v>51</v>
      </c>
      <c r="G2284">
        <v>7</v>
      </c>
      <c r="H2284">
        <v>0</v>
      </c>
      <c r="I2284" t="s">
        <v>45</v>
      </c>
      <c r="J2284" cm="1">
        <f t="array" ref="J2284">IFERROR(
    _xlfn.XLOOKUP(G2284, 'Wedgewood Pharm-GA-Yr2-2025'!$E$4:$L$4,
        _xlfn.XLOOKUP('Rate Load'!L2284, 'Wedgewood Pharm-GA-Yr2-2025'!$D$41:$D$50,
            'Wedgewood Pharm-GA-Yr2-2025'!$E$92:$L$101, 0, 0),
        0, 0),
    _xlfn.XLOOKUP(G2284, 'Wedgewood Pharm-GA-Yr2-2025'!$E$4:$L$4,
        _xlfn.XLOOKUP('Rate Load'!L2284, 'Wedgewood Pharm-GA-Yr2-2025'!$D$41:$D$50,
            'Wedgewood Pharm-GA-Yr2-2025'!$E$92:$L$101, 0, 0),
        0, 0)
)</f>
        <v>10.66</v>
      </c>
      <c r="K2284" t="s">
        <v>46</v>
      </c>
      <c r="L2284" t="s">
        <v>35</v>
      </c>
      <c r="M2284">
        <v>2</v>
      </c>
      <c r="N2284" t="str">
        <f t="shared" si="37"/>
        <v>INSERT INTO TNL_RATING.dbo.usps_rate_master VALUES ('USPS', '2/13/2025', '2/13/2026', 12659, 'US', 'USPS Ground Advantage', 7, 0, 'L', 10.66, 'Wedgewood_USPS_2025', 'Cubic Tier 5 (0.40 - 0.50)','2');</v>
      </c>
    </row>
    <row r="2285" spans="1:14" x14ac:dyDescent="0.3">
      <c r="A2285" t="s">
        <v>11</v>
      </c>
      <c r="B2285" s="1" t="s">
        <v>43</v>
      </c>
      <c r="C2285" s="1" t="s">
        <v>44</v>
      </c>
      <c r="D2285">
        <v>12659</v>
      </c>
      <c r="E2285" t="s">
        <v>12</v>
      </c>
      <c r="F2285" t="s">
        <v>51</v>
      </c>
      <c r="G2285">
        <v>8</v>
      </c>
      <c r="H2285">
        <v>0</v>
      </c>
      <c r="I2285" t="s">
        <v>45</v>
      </c>
      <c r="J2285" cm="1">
        <f t="array" ref="J2285">IFERROR(
    _xlfn.XLOOKUP(G2285, 'Wedgewood Pharm-GA-Yr2-2025'!$E$4:$L$4,
        _xlfn.XLOOKUP('Rate Load'!L2285, 'Wedgewood Pharm-GA-Yr2-2025'!$D$41:$D$50,
            'Wedgewood Pharm-GA-Yr2-2025'!$E$92:$L$101, 0, 0),
        0, 0),
    _xlfn.XLOOKUP(G2285, 'Wedgewood Pharm-GA-Yr2-2025'!$E$4:$L$4,
        _xlfn.XLOOKUP('Rate Load'!L2285, 'Wedgewood Pharm-GA-Yr2-2025'!$D$41:$D$50,
            'Wedgewood Pharm-GA-Yr2-2025'!$E$92:$L$101, 0, 0),
        0, 0)
)</f>
        <v>11.54</v>
      </c>
      <c r="K2285" t="s">
        <v>46</v>
      </c>
      <c r="L2285" t="s">
        <v>35</v>
      </c>
      <c r="M2285">
        <v>2</v>
      </c>
      <c r="N2285" t="str">
        <f t="shared" si="37"/>
        <v>INSERT INTO TNL_RATING.dbo.usps_rate_master VALUES ('USPS', '2/13/2025', '2/13/2026', 12659, 'US', 'USPS Ground Advantage', 8, 0, 'L', 11.54, 'Wedgewood_USPS_2025', 'Cubic Tier 5 (0.40 - 0.50)','2');</v>
      </c>
    </row>
    <row r="2286" spans="1:14" x14ac:dyDescent="0.3">
      <c r="A2286" t="s">
        <v>11</v>
      </c>
      <c r="B2286" s="1" t="s">
        <v>43</v>
      </c>
      <c r="C2286" s="1" t="s">
        <v>44</v>
      </c>
      <c r="D2286">
        <v>12659</v>
      </c>
      <c r="E2286" t="s">
        <v>12</v>
      </c>
      <c r="F2286" t="s">
        <v>51</v>
      </c>
      <c r="G2286">
        <v>1</v>
      </c>
      <c r="H2286">
        <v>0</v>
      </c>
      <c r="I2286" t="s">
        <v>45</v>
      </c>
      <c r="J2286" cm="1">
        <f t="array" ref="J2286">IFERROR(
    _xlfn.XLOOKUP(G2286, 'Wedgewood Pharm-GA-Yr2-2025'!$E$4:$L$4,
        _xlfn.XLOOKUP('Rate Load'!L2286, 'Wedgewood Pharm-GA-Yr2-2025'!$D$41:$D$50,
            'Wedgewood Pharm-GA-Yr2-2025'!$E$143:$L$152, 0, 0),
        0, 0),
    _xlfn.XLOOKUP(G2286, 'Wedgewood Pharm-GA-Yr2-2025'!$E$4:$L$4,
        _xlfn.XLOOKUP('Rate Load'!L2286, 'Wedgewood Pharm-GA-Yr2-2025'!$D$41:$D$50,
            'Wedgewood Pharm-GA-Yr2-2025'!$E$143:$L$152, 0, 0),
        0, 0)
)</f>
        <v>4.6399999999999997</v>
      </c>
      <c r="K2286" t="s">
        <v>46</v>
      </c>
      <c r="L2286" t="s">
        <v>31</v>
      </c>
      <c r="M2286">
        <v>3</v>
      </c>
      <c r="N2286" t="str">
        <f t="shared" si="37"/>
        <v>INSERT INTO TNL_RATING.dbo.usps_rate_master VALUES ('USPS', '2/13/2025', '2/13/2026', 12659, 'US', 'USPS Ground Advantage', 1, 0, 'L', 4.64, 'Wedgewood_USPS_2025', 'Cubic Tier 1 (0.00 - 0.10)','3');</v>
      </c>
    </row>
    <row r="2287" spans="1:14" x14ac:dyDescent="0.3">
      <c r="A2287" t="s">
        <v>11</v>
      </c>
      <c r="B2287" s="1" t="s">
        <v>43</v>
      </c>
      <c r="C2287" s="1" t="s">
        <v>44</v>
      </c>
      <c r="D2287">
        <v>12659</v>
      </c>
      <c r="E2287" t="s">
        <v>12</v>
      </c>
      <c r="F2287" t="s">
        <v>51</v>
      </c>
      <c r="G2287">
        <v>2</v>
      </c>
      <c r="H2287">
        <v>0</v>
      </c>
      <c r="I2287" t="s">
        <v>45</v>
      </c>
      <c r="J2287" cm="1">
        <f t="array" ref="J2287">IFERROR(
    _xlfn.XLOOKUP(G2287, 'Wedgewood Pharm-GA-Yr2-2025'!$E$4:$L$4,
        _xlfn.XLOOKUP('Rate Load'!L2287, 'Wedgewood Pharm-GA-Yr2-2025'!$D$41:$D$50,
            'Wedgewood Pharm-GA-Yr2-2025'!$E$143:$L$152, 0, 0),
        0, 0),
    _xlfn.XLOOKUP(G2287, 'Wedgewood Pharm-GA-Yr2-2025'!$E$4:$L$4,
        _xlfn.XLOOKUP('Rate Load'!L2287, 'Wedgewood Pharm-GA-Yr2-2025'!$D$41:$D$50,
            'Wedgewood Pharm-GA-Yr2-2025'!$E$143:$L$152, 0, 0),
        0, 0)
)</f>
        <v>4.6399999999999997</v>
      </c>
      <c r="K2287" t="s">
        <v>46</v>
      </c>
      <c r="L2287" t="s">
        <v>31</v>
      </c>
      <c r="M2287">
        <v>3</v>
      </c>
      <c r="N2287" t="str">
        <f t="shared" si="37"/>
        <v>INSERT INTO TNL_RATING.dbo.usps_rate_master VALUES ('USPS', '2/13/2025', '2/13/2026', 12659, 'US', 'USPS Ground Advantage', 2, 0, 'L', 4.64, 'Wedgewood_USPS_2025', 'Cubic Tier 1 (0.00 - 0.10)','3');</v>
      </c>
    </row>
    <row r="2288" spans="1:14" x14ac:dyDescent="0.3">
      <c r="A2288" t="s">
        <v>11</v>
      </c>
      <c r="B2288" s="1" t="s">
        <v>43</v>
      </c>
      <c r="C2288" s="1" t="s">
        <v>44</v>
      </c>
      <c r="D2288">
        <v>12659</v>
      </c>
      <c r="E2288" t="s">
        <v>12</v>
      </c>
      <c r="F2288" t="s">
        <v>51</v>
      </c>
      <c r="G2288">
        <v>3</v>
      </c>
      <c r="H2288">
        <v>0</v>
      </c>
      <c r="I2288" t="s">
        <v>45</v>
      </c>
      <c r="J2288" cm="1">
        <f t="array" ref="J2288">IFERROR(
    _xlfn.XLOOKUP(G2288, 'Wedgewood Pharm-GA-Yr2-2025'!$E$4:$L$4,
        _xlfn.XLOOKUP('Rate Load'!L2288, 'Wedgewood Pharm-GA-Yr2-2025'!$D$41:$D$50,
            'Wedgewood Pharm-GA-Yr2-2025'!$E$143:$L$152, 0, 0),
        0, 0),
    _xlfn.XLOOKUP(G2288, 'Wedgewood Pharm-GA-Yr2-2025'!$E$4:$L$4,
        _xlfn.XLOOKUP('Rate Load'!L2288, 'Wedgewood Pharm-GA-Yr2-2025'!$D$41:$D$50,
            'Wedgewood Pharm-GA-Yr2-2025'!$E$143:$L$152, 0, 0),
        0, 0)
)</f>
        <v>4.67</v>
      </c>
      <c r="K2288" t="s">
        <v>46</v>
      </c>
      <c r="L2288" t="s">
        <v>31</v>
      </c>
      <c r="M2288">
        <v>3</v>
      </c>
      <c r="N2288" t="str">
        <f t="shared" si="37"/>
        <v>INSERT INTO TNL_RATING.dbo.usps_rate_master VALUES ('USPS', '2/13/2025', '2/13/2026', 12659, 'US', 'USPS Ground Advantage', 3, 0, 'L', 4.67, 'Wedgewood_USPS_2025', 'Cubic Tier 1 (0.00 - 0.10)','3');</v>
      </c>
    </row>
    <row r="2289" spans="1:14" x14ac:dyDescent="0.3">
      <c r="A2289" t="s">
        <v>11</v>
      </c>
      <c r="B2289" s="1" t="s">
        <v>43</v>
      </c>
      <c r="C2289" s="1" t="s">
        <v>44</v>
      </c>
      <c r="D2289">
        <v>12659</v>
      </c>
      <c r="E2289" t="s">
        <v>12</v>
      </c>
      <c r="F2289" t="s">
        <v>51</v>
      </c>
      <c r="G2289">
        <v>4</v>
      </c>
      <c r="H2289">
        <v>0</v>
      </c>
      <c r="I2289" t="s">
        <v>45</v>
      </c>
      <c r="J2289" cm="1">
        <f t="array" ref="J2289">IFERROR(
    _xlfn.XLOOKUP(G2289, 'Wedgewood Pharm-GA-Yr2-2025'!$E$4:$L$4,
        _xlfn.XLOOKUP('Rate Load'!L2289, 'Wedgewood Pharm-GA-Yr2-2025'!$D$41:$D$50,
            'Wedgewood Pharm-GA-Yr2-2025'!$E$143:$L$152, 0, 0),
        0, 0),
    _xlfn.XLOOKUP(G2289, 'Wedgewood Pharm-GA-Yr2-2025'!$E$4:$L$4,
        _xlfn.XLOOKUP('Rate Load'!L2289, 'Wedgewood Pharm-GA-Yr2-2025'!$D$41:$D$50,
            'Wedgewood Pharm-GA-Yr2-2025'!$E$143:$L$152, 0, 0),
        0, 0)
)</f>
        <v>4.8499999999999996</v>
      </c>
      <c r="K2289" t="s">
        <v>46</v>
      </c>
      <c r="L2289" t="s">
        <v>31</v>
      </c>
      <c r="M2289">
        <v>3</v>
      </c>
      <c r="N2289" t="str">
        <f t="shared" si="37"/>
        <v>INSERT INTO TNL_RATING.dbo.usps_rate_master VALUES ('USPS', '2/13/2025', '2/13/2026', 12659, 'US', 'USPS Ground Advantage', 4, 0, 'L', 4.85, 'Wedgewood_USPS_2025', 'Cubic Tier 1 (0.00 - 0.10)','3');</v>
      </c>
    </row>
    <row r="2290" spans="1:14" x14ac:dyDescent="0.3">
      <c r="A2290" t="s">
        <v>11</v>
      </c>
      <c r="B2290" s="1" t="s">
        <v>43</v>
      </c>
      <c r="C2290" s="1" t="s">
        <v>44</v>
      </c>
      <c r="D2290">
        <v>12659</v>
      </c>
      <c r="E2290" t="s">
        <v>12</v>
      </c>
      <c r="F2290" t="s">
        <v>51</v>
      </c>
      <c r="G2290">
        <v>5</v>
      </c>
      <c r="H2290">
        <v>0</v>
      </c>
      <c r="I2290" t="s">
        <v>45</v>
      </c>
      <c r="J2290" cm="1">
        <f t="array" ref="J2290">IFERROR(
    _xlfn.XLOOKUP(G2290, 'Wedgewood Pharm-GA-Yr2-2025'!$E$4:$L$4,
        _xlfn.XLOOKUP('Rate Load'!L2290, 'Wedgewood Pharm-GA-Yr2-2025'!$D$41:$D$50,
            'Wedgewood Pharm-GA-Yr2-2025'!$E$143:$L$152, 0, 0),
        0, 0),
    _xlfn.XLOOKUP(G2290, 'Wedgewood Pharm-GA-Yr2-2025'!$E$4:$L$4,
        _xlfn.XLOOKUP('Rate Load'!L2290, 'Wedgewood Pharm-GA-Yr2-2025'!$D$41:$D$50,
            'Wedgewood Pharm-GA-Yr2-2025'!$E$143:$L$152, 0, 0),
        0, 0)
)</f>
        <v>5.0599999999999996</v>
      </c>
      <c r="K2290" t="s">
        <v>46</v>
      </c>
      <c r="L2290" t="s">
        <v>31</v>
      </c>
      <c r="M2290">
        <v>3</v>
      </c>
      <c r="N2290" t="str">
        <f t="shared" si="37"/>
        <v>INSERT INTO TNL_RATING.dbo.usps_rate_master VALUES ('USPS', '2/13/2025', '2/13/2026', 12659, 'US', 'USPS Ground Advantage', 5, 0, 'L', 5.06, 'Wedgewood_USPS_2025', 'Cubic Tier 1 (0.00 - 0.10)','3');</v>
      </c>
    </row>
    <row r="2291" spans="1:14" x14ac:dyDescent="0.3">
      <c r="A2291" t="s">
        <v>11</v>
      </c>
      <c r="B2291" s="1" t="s">
        <v>43</v>
      </c>
      <c r="C2291" s="1" t="s">
        <v>44</v>
      </c>
      <c r="D2291">
        <v>12659</v>
      </c>
      <c r="E2291" t="s">
        <v>12</v>
      </c>
      <c r="F2291" t="s">
        <v>51</v>
      </c>
      <c r="G2291">
        <v>6</v>
      </c>
      <c r="H2291">
        <v>0</v>
      </c>
      <c r="I2291" t="s">
        <v>45</v>
      </c>
      <c r="J2291" cm="1">
        <f t="array" ref="J2291">IFERROR(
    _xlfn.XLOOKUP(G2291, 'Wedgewood Pharm-GA-Yr2-2025'!$E$4:$L$4,
        _xlfn.XLOOKUP('Rate Load'!L2291, 'Wedgewood Pharm-GA-Yr2-2025'!$D$41:$D$50,
            'Wedgewood Pharm-GA-Yr2-2025'!$E$143:$L$152, 0, 0),
        0, 0),
    _xlfn.XLOOKUP(G2291, 'Wedgewood Pharm-GA-Yr2-2025'!$E$4:$L$4,
        _xlfn.XLOOKUP('Rate Load'!L2291, 'Wedgewood Pharm-GA-Yr2-2025'!$D$41:$D$50,
            'Wedgewood Pharm-GA-Yr2-2025'!$E$143:$L$152, 0, 0),
        0, 0)
)</f>
        <v>5.2299999999999995</v>
      </c>
      <c r="K2291" t="s">
        <v>46</v>
      </c>
      <c r="L2291" t="s">
        <v>31</v>
      </c>
      <c r="M2291">
        <v>3</v>
      </c>
      <c r="N2291" t="str">
        <f t="shared" si="37"/>
        <v>INSERT INTO TNL_RATING.dbo.usps_rate_master VALUES ('USPS', '2/13/2025', '2/13/2026', 12659, 'US', 'USPS Ground Advantage', 6, 0, 'L', 5.23, 'Wedgewood_USPS_2025', 'Cubic Tier 1 (0.00 - 0.10)','3');</v>
      </c>
    </row>
    <row r="2292" spans="1:14" x14ac:dyDescent="0.3">
      <c r="A2292" t="s">
        <v>11</v>
      </c>
      <c r="B2292" s="1" t="s">
        <v>43</v>
      </c>
      <c r="C2292" s="1" t="s">
        <v>44</v>
      </c>
      <c r="D2292">
        <v>12659</v>
      </c>
      <c r="E2292" t="s">
        <v>12</v>
      </c>
      <c r="F2292" t="s">
        <v>51</v>
      </c>
      <c r="G2292">
        <v>7</v>
      </c>
      <c r="H2292">
        <v>0</v>
      </c>
      <c r="I2292" t="s">
        <v>45</v>
      </c>
      <c r="J2292" cm="1">
        <f t="array" ref="J2292">IFERROR(
    _xlfn.XLOOKUP(G2292, 'Wedgewood Pharm-GA-Yr2-2025'!$E$4:$L$4,
        _xlfn.XLOOKUP('Rate Load'!L2292, 'Wedgewood Pharm-GA-Yr2-2025'!$D$41:$D$50,
            'Wedgewood Pharm-GA-Yr2-2025'!$E$143:$L$152, 0, 0),
        0, 0),
    _xlfn.XLOOKUP(G2292, 'Wedgewood Pharm-GA-Yr2-2025'!$E$4:$L$4,
        _xlfn.XLOOKUP('Rate Load'!L2292, 'Wedgewood Pharm-GA-Yr2-2025'!$D$41:$D$50,
            'Wedgewood Pharm-GA-Yr2-2025'!$E$143:$L$152, 0, 0),
        0, 0)
)</f>
        <v>5.51</v>
      </c>
      <c r="K2292" t="s">
        <v>46</v>
      </c>
      <c r="L2292" t="s">
        <v>31</v>
      </c>
      <c r="M2292">
        <v>3</v>
      </c>
      <c r="N2292" t="str">
        <f t="shared" si="37"/>
        <v>INSERT INTO TNL_RATING.dbo.usps_rate_master VALUES ('USPS', '2/13/2025', '2/13/2026', 12659, 'US', 'USPS Ground Advantage', 7, 0, 'L', 5.51, 'Wedgewood_USPS_2025', 'Cubic Tier 1 (0.00 - 0.10)','3');</v>
      </c>
    </row>
    <row r="2293" spans="1:14" x14ac:dyDescent="0.3">
      <c r="A2293" t="s">
        <v>11</v>
      </c>
      <c r="B2293" s="1" t="s">
        <v>43</v>
      </c>
      <c r="C2293" s="1" t="s">
        <v>44</v>
      </c>
      <c r="D2293">
        <v>12659</v>
      </c>
      <c r="E2293" t="s">
        <v>12</v>
      </c>
      <c r="F2293" t="s">
        <v>51</v>
      </c>
      <c r="G2293">
        <v>8</v>
      </c>
      <c r="H2293">
        <v>0</v>
      </c>
      <c r="I2293" t="s">
        <v>45</v>
      </c>
      <c r="J2293" cm="1">
        <f t="array" ref="J2293">IFERROR(
    _xlfn.XLOOKUP(G2293, 'Wedgewood Pharm-GA-Yr2-2025'!$E$4:$L$4,
        _xlfn.XLOOKUP('Rate Load'!L2293, 'Wedgewood Pharm-GA-Yr2-2025'!$D$41:$D$50,
            'Wedgewood Pharm-GA-Yr2-2025'!$E$143:$L$152, 0, 0),
        0, 0),
    _xlfn.XLOOKUP(G2293, 'Wedgewood Pharm-GA-Yr2-2025'!$E$4:$L$4,
        _xlfn.XLOOKUP('Rate Load'!L2293, 'Wedgewood Pharm-GA-Yr2-2025'!$D$41:$D$50,
            'Wedgewood Pharm-GA-Yr2-2025'!$E$143:$L$152, 0, 0),
        0, 0)
)</f>
        <v>5.8199999999999994</v>
      </c>
      <c r="K2293" t="s">
        <v>46</v>
      </c>
      <c r="L2293" t="s">
        <v>31</v>
      </c>
      <c r="M2293">
        <v>3</v>
      </c>
      <c r="N2293" t="str">
        <f t="shared" si="37"/>
        <v>INSERT INTO TNL_RATING.dbo.usps_rate_master VALUES ('USPS', '2/13/2025', '2/13/2026', 12659, 'US', 'USPS Ground Advantage', 8, 0, 'L', 5.82, 'Wedgewood_USPS_2025', 'Cubic Tier 1 (0.00 - 0.10)','3');</v>
      </c>
    </row>
    <row r="2294" spans="1:14" x14ac:dyDescent="0.3">
      <c r="A2294" t="s">
        <v>11</v>
      </c>
      <c r="B2294" s="1" t="s">
        <v>43</v>
      </c>
      <c r="C2294" s="1" t="s">
        <v>44</v>
      </c>
      <c r="D2294">
        <v>12659</v>
      </c>
      <c r="E2294" t="s">
        <v>12</v>
      </c>
      <c r="F2294" t="s">
        <v>51</v>
      </c>
      <c r="G2294">
        <v>1</v>
      </c>
      <c r="H2294">
        <v>0</v>
      </c>
      <c r="I2294" t="s">
        <v>45</v>
      </c>
      <c r="J2294" cm="1">
        <f t="array" ref="J2294">IFERROR(
    _xlfn.XLOOKUP(G2294, 'Wedgewood Pharm-GA-Yr2-2025'!$E$4:$L$4,
        _xlfn.XLOOKUP('Rate Load'!L2294, 'Wedgewood Pharm-GA-Yr2-2025'!$D$41:$D$50,
            'Wedgewood Pharm-GA-Yr2-2025'!$E$143:$L$152, 0, 0),
        0, 0),
    _xlfn.XLOOKUP(G2294, 'Wedgewood Pharm-GA-Yr2-2025'!$E$4:$L$4,
        _xlfn.XLOOKUP('Rate Load'!L2294, 'Wedgewood Pharm-GA-Yr2-2025'!$D$41:$D$50,
            'Wedgewood Pharm-GA-Yr2-2025'!$E$143:$L$152, 0, 0),
        0, 0)
)</f>
        <v>5.8599999999999994</v>
      </c>
      <c r="K2294" t="s">
        <v>46</v>
      </c>
      <c r="L2294" t="s">
        <v>32</v>
      </c>
      <c r="M2294">
        <v>3</v>
      </c>
      <c r="N2294" t="str">
        <f t="shared" si="37"/>
        <v>INSERT INTO TNL_RATING.dbo.usps_rate_master VALUES ('USPS', '2/13/2025', '2/13/2026', 12659, 'US', 'USPS Ground Advantage', 1, 0, 'L', 5.86, 'Wedgewood_USPS_2025', 'Cubic Tier 2 (0.10 - 0.20)','3');</v>
      </c>
    </row>
    <row r="2295" spans="1:14" x14ac:dyDescent="0.3">
      <c r="A2295" t="s">
        <v>11</v>
      </c>
      <c r="B2295" s="1" t="s">
        <v>43</v>
      </c>
      <c r="C2295" s="1" t="s">
        <v>44</v>
      </c>
      <c r="D2295">
        <v>12659</v>
      </c>
      <c r="E2295" t="s">
        <v>12</v>
      </c>
      <c r="F2295" t="s">
        <v>51</v>
      </c>
      <c r="G2295">
        <v>2</v>
      </c>
      <c r="H2295">
        <v>0</v>
      </c>
      <c r="I2295" t="s">
        <v>45</v>
      </c>
      <c r="J2295" cm="1">
        <f t="array" ref="J2295">IFERROR(
    _xlfn.XLOOKUP(G2295, 'Wedgewood Pharm-GA-Yr2-2025'!$E$4:$L$4,
        _xlfn.XLOOKUP('Rate Load'!L2295, 'Wedgewood Pharm-GA-Yr2-2025'!$D$41:$D$50,
            'Wedgewood Pharm-GA-Yr2-2025'!$E$143:$L$152, 0, 0),
        0, 0),
    _xlfn.XLOOKUP(G2295, 'Wedgewood Pharm-GA-Yr2-2025'!$E$4:$L$4,
        _xlfn.XLOOKUP('Rate Load'!L2295, 'Wedgewood Pharm-GA-Yr2-2025'!$D$41:$D$50,
            'Wedgewood Pharm-GA-Yr2-2025'!$E$143:$L$152, 0, 0),
        0, 0)
)</f>
        <v>5.95</v>
      </c>
      <c r="K2295" t="s">
        <v>46</v>
      </c>
      <c r="L2295" t="s">
        <v>32</v>
      </c>
      <c r="M2295">
        <v>3</v>
      </c>
      <c r="N2295" t="str">
        <f t="shared" si="37"/>
        <v>INSERT INTO TNL_RATING.dbo.usps_rate_master VALUES ('USPS', '2/13/2025', '2/13/2026', 12659, 'US', 'USPS Ground Advantage', 2, 0, 'L', 5.95, 'Wedgewood_USPS_2025', 'Cubic Tier 2 (0.10 - 0.20)','3');</v>
      </c>
    </row>
    <row r="2296" spans="1:14" x14ac:dyDescent="0.3">
      <c r="A2296" t="s">
        <v>11</v>
      </c>
      <c r="B2296" s="1" t="s">
        <v>43</v>
      </c>
      <c r="C2296" s="1" t="s">
        <v>44</v>
      </c>
      <c r="D2296">
        <v>12659</v>
      </c>
      <c r="E2296" t="s">
        <v>12</v>
      </c>
      <c r="F2296" t="s">
        <v>51</v>
      </c>
      <c r="G2296">
        <v>3</v>
      </c>
      <c r="H2296">
        <v>0</v>
      </c>
      <c r="I2296" t="s">
        <v>45</v>
      </c>
      <c r="J2296" cm="1">
        <f t="array" ref="J2296">IFERROR(
    _xlfn.XLOOKUP(G2296, 'Wedgewood Pharm-GA-Yr2-2025'!$E$4:$L$4,
        _xlfn.XLOOKUP('Rate Load'!L2296, 'Wedgewood Pharm-GA-Yr2-2025'!$D$41:$D$50,
            'Wedgewood Pharm-GA-Yr2-2025'!$E$143:$L$152, 0, 0),
        0, 0),
    _xlfn.XLOOKUP(G2296, 'Wedgewood Pharm-GA-Yr2-2025'!$E$4:$L$4,
        _xlfn.XLOOKUP('Rate Load'!L2296, 'Wedgewood Pharm-GA-Yr2-2025'!$D$41:$D$50,
            'Wedgewood Pharm-GA-Yr2-2025'!$E$143:$L$152, 0, 0),
        0, 0)
)</f>
        <v>6.05</v>
      </c>
      <c r="K2296" t="s">
        <v>46</v>
      </c>
      <c r="L2296" t="s">
        <v>32</v>
      </c>
      <c r="M2296">
        <v>3</v>
      </c>
      <c r="N2296" t="str">
        <f t="shared" si="37"/>
        <v>INSERT INTO TNL_RATING.dbo.usps_rate_master VALUES ('USPS', '2/13/2025', '2/13/2026', 12659, 'US', 'USPS Ground Advantage', 3, 0, 'L', 6.05, 'Wedgewood_USPS_2025', 'Cubic Tier 2 (0.10 - 0.20)','3');</v>
      </c>
    </row>
    <row r="2297" spans="1:14" x14ac:dyDescent="0.3">
      <c r="A2297" t="s">
        <v>11</v>
      </c>
      <c r="B2297" s="1" t="s">
        <v>43</v>
      </c>
      <c r="C2297" s="1" t="s">
        <v>44</v>
      </c>
      <c r="D2297">
        <v>12659</v>
      </c>
      <c r="E2297" t="s">
        <v>12</v>
      </c>
      <c r="F2297" t="s">
        <v>51</v>
      </c>
      <c r="G2297">
        <v>4</v>
      </c>
      <c r="H2297">
        <v>0</v>
      </c>
      <c r="I2297" t="s">
        <v>45</v>
      </c>
      <c r="J2297" cm="1">
        <f t="array" ref="J2297">IFERROR(
    _xlfn.XLOOKUP(G2297, 'Wedgewood Pharm-GA-Yr2-2025'!$E$4:$L$4,
        _xlfn.XLOOKUP('Rate Load'!L2297, 'Wedgewood Pharm-GA-Yr2-2025'!$D$41:$D$50,
            'Wedgewood Pharm-GA-Yr2-2025'!$E$143:$L$152, 0, 0),
        0, 0),
    _xlfn.XLOOKUP(G2297, 'Wedgewood Pharm-GA-Yr2-2025'!$E$4:$L$4,
        _xlfn.XLOOKUP('Rate Load'!L2297, 'Wedgewood Pharm-GA-Yr2-2025'!$D$41:$D$50,
            'Wedgewood Pharm-GA-Yr2-2025'!$E$143:$L$152, 0, 0),
        0, 0)
)</f>
        <v>6.34</v>
      </c>
      <c r="K2297" t="s">
        <v>46</v>
      </c>
      <c r="L2297" t="s">
        <v>32</v>
      </c>
      <c r="M2297">
        <v>3</v>
      </c>
      <c r="N2297" t="str">
        <f t="shared" si="37"/>
        <v>INSERT INTO TNL_RATING.dbo.usps_rate_master VALUES ('USPS', '2/13/2025', '2/13/2026', 12659, 'US', 'USPS Ground Advantage', 4, 0, 'L', 6.34, 'Wedgewood_USPS_2025', 'Cubic Tier 2 (0.10 - 0.20)','3');</v>
      </c>
    </row>
    <row r="2298" spans="1:14" x14ac:dyDescent="0.3">
      <c r="A2298" t="s">
        <v>11</v>
      </c>
      <c r="B2298" s="1" t="s">
        <v>43</v>
      </c>
      <c r="C2298" s="1" t="s">
        <v>44</v>
      </c>
      <c r="D2298">
        <v>12659</v>
      </c>
      <c r="E2298" t="s">
        <v>12</v>
      </c>
      <c r="F2298" t="s">
        <v>51</v>
      </c>
      <c r="G2298">
        <v>5</v>
      </c>
      <c r="H2298">
        <v>0</v>
      </c>
      <c r="I2298" t="s">
        <v>45</v>
      </c>
      <c r="J2298" cm="1">
        <f t="array" ref="J2298">IFERROR(
    _xlfn.XLOOKUP(G2298, 'Wedgewood Pharm-GA-Yr2-2025'!$E$4:$L$4,
        _xlfn.XLOOKUP('Rate Load'!L2298, 'Wedgewood Pharm-GA-Yr2-2025'!$D$41:$D$50,
            'Wedgewood Pharm-GA-Yr2-2025'!$E$143:$L$152, 0, 0),
        0, 0),
    _xlfn.XLOOKUP(G2298, 'Wedgewood Pharm-GA-Yr2-2025'!$E$4:$L$4,
        _xlfn.XLOOKUP('Rate Load'!L2298, 'Wedgewood Pharm-GA-Yr2-2025'!$D$41:$D$50,
            'Wedgewood Pharm-GA-Yr2-2025'!$E$143:$L$152, 0, 0),
        0, 0)
)</f>
        <v>6.63</v>
      </c>
      <c r="K2298" t="s">
        <v>46</v>
      </c>
      <c r="L2298" t="s">
        <v>32</v>
      </c>
      <c r="M2298">
        <v>3</v>
      </c>
      <c r="N2298" t="str">
        <f t="shared" si="37"/>
        <v>INSERT INTO TNL_RATING.dbo.usps_rate_master VALUES ('USPS', '2/13/2025', '2/13/2026', 12659, 'US', 'USPS Ground Advantage', 5, 0, 'L', 6.63, 'Wedgewood_USPS_2025', 'Cubic Tier 2 (0.10 - 0.20)','3');</v>
      </c>
    </row>
    <row r="2299" spans="1:14" x14ac:dyDescent="0.3">
      <c r="A2299" t="s">
        <v>11</v>
      </c>
      <c r="B2299" s="1" t="s">
        <v>43</v>
      </c>
      <c r="C2299" s="1" t="s">
        <v>44</v>
      </c>
      <c r="D2299">
        <v>12659</v>
      </c>
      <c r="E2299" t="s">
        <v>12</v>
      </c>
      <c r="F2299" t="s">
        <v>51</v>
      </c>
      <c r="G2299">
        <v>6</v>
      </c>
      <c r="H2299">
        <v>0</v>
      </c>
      <c r="I2299" t="s">
        <v>45</v>
      </c>
      <c r="J2299" cm="1">
        <f t="array" ref="J2299">IFERROR(
    _xlfn.XLOOKUP(G2299, 'Wedgewood Pharm-GA-Yr2-2025'!$E$4:$L$4,
        _xlfn.XLOOKUP('Rate Load'!L2299, 'Wedgewood Pharm-GA-Yr2-2025'!$D$41:$D$50,
            'Wedgewood Pharm-GA-Yr2-2025'!$E$143:$L$152, 0, 0),
        0, 0),
    _xlfn.XLOOKUP(G2299, 'Wedgewood Pharm-GA-Yr2-2025'!$E$4:$L$4,
        _xlfn.XLOOKUP('Rate Load'!L2299, 'Wedgewood Pharm-GA-Yr2-2025'!$D$41:$D$50,
            'Wedgewood Pharm-GA-Yr2-2025'!$E$143:$L$152, 0, 0),
        0, 0)
)</f>
        <v>7.21</v>
      </c>
      <c r="K2299" t="s">
        <v>46</v>
      </c>
      <c r="L2299" t="s">
        <v>32</v>
      </c>
      <c r="M2299">
        <v>3</v>
      </c>
      <c r="N2299" t="str">
        <f t="shared" si="37"/>
        <v>INSERT INTO TNL_RATING.dbo.usps_rate_master VALUES ('USPS', '2/13/2025', '2/13/2026', 12659, 'US', 'USPS Ground Advantage', 6, 0, 'L', 7.21, 'Wedgewood_USPS_2025', 'Cubic Tier 2 (0.10 - 0.20)','3');</v>
      </c>
    </row>
    <row r="2300" spans="1:14" x14ac:dyDescent="0.3">
      <c r="A2300" t="s">
        <v>11</v>
      </c>
      <c r="B2300" s="1" t="s">
        <v>43</v>
      </c>
      <c r="C2300" s="1" t="s">
        <v>44</v>
      </c>
      <c r="D2300">
        <v>12659</v>
      </c>
      <c r="E2300" t="s">
        <v>12</v>
      </c>
      <c r="F2300" t="s">
        <v>51</v>
      </c>
      <c r="G2300">
        <v>7</v>
      </c>
      <c r="H2300">
        <v>0</v>
      </c>
      <c r="I2300" t="s">
        <v>45</v>
      </c>
      <c r="J2300" cm="1">
        <f t="array" ref="J2300">IFERROR(
    _xlfn.XLOOKUP(G2300, 'Wedgewood Pharm-GA-Yr2-2025'!$E$4:$L$4,
        _xlfn.XLOOKUP('Rate Load'!L2300, 'Wedgewood Pharm-GA-Yr2-2025'!$D$41:$D$50,
            'Wedgewood Pharm-GA-Yr2-2025'!$E$143:$L$152, 0, 0),
        0, 0),
    _xlfn.XLOOKUP(G2300, 'Wedgewood Pharm-GA-Yr2-2025'!$E$4:$L$4,
        _xlfn.XLOOKUP('Rate Load'!L2300, 'Wedgewood Pharm-GA-Yr2-2025'!$D$41:$D$50,
            'Wedgewood Pharm-GA-Yr2-2025'!$E$143:$L$152, 0, 0),
        0, 0)
)</f>
        <v>7.64</v>
      </c>
      <c r="K2300" t="s">
        <v>46</v>
      </c>
      <c r="L2300" t="s">
        <v>32</v>
      </c>
      <c r="M2300">
        <v>3</v>
      </c>
      <c r="N2300" t="str">
        <f t="shared" si="37"/>
        <v>INSERT INTO TNL_RATING.dbo.usps_rate_master VALUES ('USPS', '2/13/2025', '2/13/2026', 12659, 'US', 'USPS Ground Advantage', 7, 0, 'L', 7.64, 'Wedgewood_USPS_2025', 'Cubic Tier 2 (0.10 - 0.20)','3');</v>
      </c>
    </row>
    <row r="2301" spans="1:14" x14ac:dyDescent="0.3">
      <c r="A2301" t="s">
        <v>11</v>
      </c>
      <c r="B2301" s="1" t="s">
        <v>43</v>
      </c>
      <c r="C2301" s="1" t="s">
        <v>44</v>
      </c>
      <c r="D2301">
        <v>12659</v>
      </c>
      <c r="E2301" t="s">
        <v>12</v>
      </c>
      <c r="F2301" t="s">
        <v>51</v>
      </c>
      <c r="G2301">
        <v>8</v>
      </c>
      <c r="H2301">
        <v>0</v>
      </c>
      <c r="I2301" t="s">
        <v>45</v>
      </c>
      <c r="J2301" cm="1">
        <f t="array" ref="J2301">IFERROR(
    _xlfn.XLOOKUP(G2301, 'Wedgewood Pharm-GA-Yr2-2025'!$E$4:$L$4,
        _xlfn.XLOOKUP('Rate Load'!L2301, 'Wedgewood Pharm-GA-Yr2-2025'!$D$41:$D$50,
            'Wedgewood Pharm-GA-Yr2-2025'!$E$143:$L$152, 0, 0),
        0, 0),
    _xlfn.XLOOKUP(G2301, 'Wedgewood Pharm-GA-Yr2-2025'!$E$4:$L$4,
        _xlfn.XLOOKUP('Rate Load'!L2301, 'Wedgewood Pharm-GA-Yr2-2025'!$D$41:$D$50,
            'Wedgewood Pharm-GA-Yr2-2025'!$E$143:$L$152, 0, 0),
        0, 0)
)</f>
        <v>8.14</v>
      </c>
      <c r="K2301" t="s">
        <v>46</v>
      </c>
      <c r="L2301" t="s">
        <v>32</v>
      </c>
      <c r="M2301">
        <v>3</v>
      </c>
      <c r="N2301" t="str">
        <f t="shared" si="37"/>
        <v>INSERT INTO TNL_RATING.dbo.usps_rate_master VALUES ('USPS', '2/13/2025', '2/13/2026', 12659, 'US', 'USPS Ground Advantage', 8, 0, 'L', 8.14, 'Wedgewood_USPS_2025', 'Cubic Tier 2 (0.10 - 0.20)','3');</v>
      </c>
    </row>
    <row r="2302" spans="1:14" x14ac:dyDescent="0.3">
      <c r="A2302" t="s">
        <v>11</v>
      </c>
      <c r="B2302" s="1" t="s">
        <v>43</v>
      </c>
      <c r="C2302" s="1" t="s">
        <v>44</v>
      </c>
      <c r="D2302">
        <v>12659</v>
      </c>
      <c r="E2302" t="s">
        <v>12</v>
      </c>
      <c r="F2302" t="s">
        <v>51</v>
      </c>
      <c r="G2302">
        <v>1</v>
      </c>
      <c r="H2302">
        <v>0</v>
      </c>
      <c r="I2302" t="s">
        <v>45</v>
      </c>
      <c r="J2302" cm="1">
        <f t="array" ref="J2302">IFERROR(
    _xlfn.XLOOKUP(G2302, 'Wedgewood Pharm-GA-Yr2-2025'!$E$4:$L$4,
        _xlfn.XLOOKUP('Rate Load'!L2302, 'Wedgewood Pharm-GA-Yr2-2025'!$D$41:$D$50,
            'Wedgewood Pharm-GA-Yr2-2025'!$E$143:$L$152, 0, 0),
        0, 0),
    _xlfn.XLOOKUP(G2302, 'Wedgewood Pharm-GA-Yr2-2025'!$E$4:$L$4,
        _xlfn.XLOOKUP('Rate Load'!L2302, 'Wedgewood Pharm-GA-Yr2-2025'!$D$41:$D$50,
            'Wedgewood Pharm-GA-Yr2-2025'!$E$143:$L$152, 0, 0),
        0, 0)
)</f>
        <v>6.05</v>
      </c>
      <c r="K2302" t="s">
        <v>46</v>
      </c>
      <c r="L2302" t="s">
        <v>33</v>
      </c>
      <c r="M2302">
        <v>3</v>
      </c>
      <c r="N2302" t="str">
        <f t="shared" si="37"/>
        <v>INSERT INTO TNL_RATING.dbo.usps_rate_master VALUES ('USPS', '2/13/2025', '2/13/2026', 12659, 'US', 'USPS Ground Advantage', 1, 0, 'L', 6.05, 'Wedgewood_USPS_2025', 'Cubic Tier 3 (0.20 - 0.30)','3');</v>
      </c>
    </row>
    <row r="2303" spans="1:14" x14ac:dyDescent="0.3">
      <c r="A2303" t="s">
        <v>11</v>
      </c>
      <c r="B2303" s="1" t="s">
        <v>43</v>
      </c>
      <c r="C2303" s="1" t="s">
        <v>44</v>
      </c>
      <c r="D2303">
        <v>12659</v>
      </c>
      <c r="E2303" t="s">
        <v>12</v>
      </c>
      <c r="F2303" t="s">
        <v>51</v>
      </c>
      <c r="G2303">
        <v>2</v>
      </c>
      <c r="H2303">
        <v>0</v>
      </c>
      <c r="I2303" t="s">
        <v>45</v>
      </c>
      <c r="J2303" cm="1">
        <f t="array" ref="J2303">IFERROR(
    _xlfn.XLOOKUP(G2303, 'Wedgewood Pharm-GA-Yr2-2025'!$E$4:$L$4,
        _xlfn.XLOOKUP('Rate Load'!L2303, 'Wedgewood Pharm-GA-Yr2-2025'!$D$41:$D$50,
            'Wedgewood Pharm-GA-Yr2-2025'!$E$143:$L$152, 0, 0),
        0, 0),
    _xlfn.XLOOKUP(G2303, 'Wedgewood Pharm-GA-Yr2-2025'!$E$4:$L$4,
        _xlfn.XLOOKUP('Rate Load'!L2303, 'Wedgewood Pharm-GA-Yr2-2025'!$D$41:$D$50,
            'Wedgewood Pharm-GA-Yr2-2025'!$E$143:$L$152, 0, 0),
        0, 0)
)</f>
        <v>6.24</v>
      </c>
      <c r="K2303" t="s">
        <v>46</v>
      </c>
      <c r="L2303" t="s">
        <v>33</v>
      </c>
      <c r="M2303">
        <v>3</v>
      </c>
      <c r="N2303" t="str">
        <f t="shared" si="37"/>
        <v>INSERT INTO TNL_RATING.dbo.usps_rate_master VALUES ('USPS', '2/13/2025', '2/13/2026', 12659, 'US', 'USPS Ground Advantage', 2, 0, 'L', 6.24, 'Wedgewood_USPS_2025', 'Cubic Tier 3 (0.20 - 0.30)','3');</v>
      </c>
    </row>
    <row r="2304" spans="1:14" x14ac:dyDescent="0.3">
      <c r="A2304" t="s">
        <v>11</v>
      </c>
      <c r="B2304" s="1" t="s">
        <v>43</v>
      </c>
      <c r="C2304" s="1" t="s">
        <v>44</v>
      </c>
      <c r="D2304">
        <v>12659</v>
      </c>
      <c r="E2304" t="s">
        <v>12</v>
      </c>
      <c r="F2304" t="s">
        <v>51</v>
      </c>
      <c r="G2304">
        <v>3</v>
      </c>
      <c r="H2304">
        <v>0</v>
      </c>
      <c r="I2304" t="s">
        <v>45</v>
      </c>
      <c r="J2304" cm="1">
        <f t="array" ref="J2304">IFERROR(
    _xlfn.XLOOKUP(G2304, 'Wedgewood Pharm-GA-Yr2-2025'!$E$4:$L$4,
        _xlfn.XLOOKUP('Rate Load'!L2304, 'Wedgewood Pharm-GA-Yr2-2025'!$D$41:$D$50,
            'Wedgewood Pharm-GA-Yr2-2025'!$E$143:$L$152, 0, 0),
        0, 0),
    _xlfn.XLOOKUP(G2304, 'Wedgewood Pharm-GA-Yr2-2025'!$E$4:$L$4,
        _xlfn.XLOOKUP('Rate Load'!L2304, 'Wedgewood Pharm-GA-Yr2-2025'!$D$41:$D$50,
            'Wedgewood Pharm-GA-Yr2-2025'!$E$143:$L$152, 0, 0),
        0, 0)
)</f>
        <v>6.38</v>
      </c>
      <c r="K2304" t="s">
        <v>46</v>
      </c>
      <c r="L2304" t="s">
        <v>33</v>
      </c>
      <c r="M2304">
        <v>3</v>
      </c>
      <c r="N2304" t="str">
        <f t="shared" si="37"/>
        <v>INSERT INTO TNL_RATING.dbo.usps_rate_master VALUES ('USPS', '2/13/2025', '2/13/2026', 12659, 'US', 'USPS Ground Advantage', 3, 0, 'L', 6.38, 'Wedgewood_USPS_2025', 'Cubic Tier 3 (0.20 - 0.30)','3');</v>
      </c>
    </row>
    <row r="2305" spans="1:14" x14ac:dyDescent="0.3">
      <c r="A2305" t="s">
        <v>11</v>
      </c>
      <c r="B2305" s="1" t="s">
        <v>43</v>
      </c>
      <c r="C2305" s="1" t="s">
        <v>44</v>
      </c>
      <c r="D2305">
        <v>12659</v>
      </c>
      <c r="E2305" t="s">
        <v>12</v>
      </c>
      <c r="F2305" t="s">
        <v>51</v>
      </c>
      <c r="G2305">
        <v>4</v>
      </c>
      <c r="H2305">
        <v>0</v>
      </c>
      <c r="I2305" t="s">
        <v>45</v>
      </c>
      <c r="J2305" cm="1">
        <f t="array" ref="J2305">IFERROR(
    _xlfn.XLOOKUP(G2305, 'Wedgewood Pharm-GA-Yr2-2025'!$E$4:$L$4,
        _xlfn.XLOOKUP('Rate Load'!L2305, 'Wedgewood Pharm-GA-Yr2-2025'!$D$41:$D$50,
            'Wedgewood Pharm-GA-Yr2-2025'!$E$143:$L$152, 0, 0),
        0, 0),
    _xlfn.XLOOKUP(G2305, 'Wedgewood Pharm-GA-Yr2-2025'!$E$4:$L$4,
        _xlfn.XLOOKUP('Rate Load'!L2305, 'Wedgewood Pharm-GA-Yr2-2025'!$D$41:$D$50,
            'Wedgewood Pharm-GA-Yr2-2025'!$E$143:$L$152, 0, 0),
        0, 0)
)</f>
        <v>6.71</v>
      </c>
      <c r="K2305" t="s">
        <v>46</v>
      </c>
      <c r="L2305" t="s">
        <v>33</v>
      </c>
      <c r="M2305">
        <v>3</v>
      </c>
      <c r="N2305" t="str">
        <f t="shared" si="37"/>
        <v>INSERT INTO TNL_RATING.dbo.usps_rate_master VALUES ('USPS', '2/13/2025', '2/13/2026', 12659, 'US', 'USPS Ground Advantage', 4, 0, 'L', 6.71, 'Wedgewood_USPS_2025', 'Cubic Tier 3 (0.20 - 0.30)','3');</v>
      </c>
    </row>
    <row r="2306" spans="1:14" x14ac:dyDescent="0.3">
      <c r="A2306" t="s">
        <v>11</v>
      </c>
      <c r="B2306" s="1" t="s">
        <v>43</v>
      </c>
      <c r="C2306" s="1" t="s">
        <v>44</v>
      </c>
      <c r="D2306">
        <v>12659</v>
      </c>
      <c r="E2306" t="s">
        <v>12</v>
      </c>
      <c r="F2306" t="s">
        <v>51</v>
      </c>
      <c r="G2306">
        <v>5</v>
      </c>
      <c r="H2306">
        <v>0</v>
      </c>
      <c r="I2306" t="s">
        <v>45</v>
      </c>
      <c r="J2306" cm="1">
        <f t="array" ref="J2306">IFERROR(
    _xlfn.XLOOKUP(G2306, 'Wedgewood Pharm-GA-Yr2-2025'!$E$4:$L$4,
        _xlfn.XLOOKUP('Rate Load'!L2306, 'Wedgewood Pharm-GA-Yr2-2025'!$D$41:$D$50,
            'Wedgewood Pharm-GA-Yr2-2025'!$E$143:$L$152, 0, 0),
        0, 0),
    _xlfn.XLOOKUP(G2306, 'Wedgewood Pharm-GA-Yr2-2025'!$E$4:$L$4,
        _xlfn.XLOOKUP('Rate Load'!L2306, 'Wedgewood Pharm-GA-Yr2-2025'!$D$41:$D$50,
            'Wedgewood Pharm-GA-Yr2-2025'!$E$143:$L$152, 0, 0),
        0, 0)
)</f>
        <v>7.13</v>
      </c>
      <c r="K2306" t="s">
        <v>46</v>
      </c>
      <c r="L2306" t="s">
        <v>33</v>
      </c>
      <c r="M2306">
        <v>3</v>
      </c>
      <c r="N2306" t="str">
        <f t="shared" si="37"/>
        <v>INSERT INTO TNL_RATING.dbo.usps_rate_master VALUES ('USPS', '2/13/2025', '2/13/2026', 12659, 'US', 'USPS Ground Advantage', 5, 0, 'L', 7.13, 'Wedgewood_USPS_2025', 'Cubic Tier 3 (0.20 - 0.30)','3');</v>
      </c>
    </row>
    <row r="2307" spans="1:14" x14ac:dyDescent="0.3">
      <c r="A2307" t="s">
        <v>11</v>
      </c>
      <c r="B2307" s="1" t="s">
        <v>43</v>
      </c>
      <c r="C2307" s="1" t="s">
        <v>44</v>
      </c>
      <c r="D2307">
        <v>12659</v>
      </c>
      <c r="E2307" t="s">
        <v>12</v>
      </c>
      <c r="F2307" t="s">
        <v>51</v>
      </c>
      <c r="G2307">
        <v>6</v>
      </c>
      <c r="H2307">
        <v>0</v>
      </c>
      <c r="I2307" t="s">
        <v>45</v>
      </c>
      <c r="J2307" cm="1">
        <f t="array" ref="J2307">IFERROR(
    _xlfn.XLOOKUP(G2307, 'Wedgewood Pharm-GA-Yr2-2025'!$E$4:$L$4,
        _xlfn.XLOOKUP('Rate Load'!L2307, 'Wedgewood Pharm-GA-Yr2-2025'!$D$41:$D$50,
            'Wedgewood Pharm-GA-Yr2-2025'!$E$143:$L$152, 0, 0),
        0, 0),
    _xlfn.XLOOKUP(G2307, 'Wedgewood Pharm-GA-Yr2-2025'!$E$4:$L$4,
        _xlfn.XLOOKUP('Rate Load'!L2307, 'Wedgewood Pharm-GA-Yr2-2025'!$D$41:$D$50,
            'Wedgewood Pharm-GA-Yr2-2025'!$E$143:$L$152, 0, 0),
        0, 0)
)</f>
        <v>8.2899999999999991</v>
      </c>
      <c r="K2307" t="s">
        <v>46</v>
      </c>
      <c r="L2307" t="s">
        <v>33</v>
      </c>
      <c r="M2307">
        <v>3</v>
      </c>
      <c r="N2307" t="str">
        <f t="shared" si="37"/>
        <v>INSERT INTO TNL_RATING.dbo.usps_rate_master VALUES ('USPS', '2/13/2025', '2/13/2026', 12659, 'US', 'USPS Ground Advantage', 6, 0, 'L', 8.29, 'Wedgewood_USPS_2025', 'Cubic Tier 3 (0.20 - 0.30)','3');</v>
      </c>
    </row>
    <row r="2308" spans="1:14" x14ac:dyDescent="0.3">
      <c r="A2308" t="s">
        <v>11</v>
      </c>
      <c r="B2308" s="1" t="s">
        <v>43</v>
      </c>
      <c r="C2308" s="1" t="s">
        <v>44</v>
      </c>
      <c r="D2308">
        <v>12659</v>
      </c>
      <c r="E2308" t="s">
        <v>12</v>
      </c>
      <c r="F2308" t="s">
        <v>51</v>
      </c>
      <c r="G2308">
        <v>7</v>
      </c>
      <c r="H2308">
        <v>0</v>
      </c>
      <c r="I2308" t="s">
        <v>45</v>
      </c>
      <c r="J2308" cm="1">
        <f t="array" ref="J2308">IFERROR(
    _xlfn.XLOOKUP(G2308, 'Wedgewood Pharm-GA-Yr2-2025'!$E$4:$L$4,
        _xlfn.XLOOKUP('Rate Load'!L2308, 'Wedgewood Pharm-GA-Yr2-2025'!$D$41:$D$50,
            'Wedgewood Pharm-GA-Yr2-2025'!$E$143:$L$152, 0, 0),
        0, 0),
    _xlfn.XLOOKUP(G2308, 'Wedgewood Pharm-GA-Yr2-2025'!$E$4:$L$4,
        _xlfn.XLOOKUP('Rate Load'!L2308, 'Wedgewood Pharm-GA-Yr2-2025'!$D$41:$D$50,
            'Wedgewood Pharm-GA-Yr2-2025'!$E$143:$L$152, 0, 0),
        0, 0)
)</f>
        <v>8.76</v>
      </c>
      <c r="K2308" t="s">
        <v>46</v>
      </c>
      <c r="L2308" t="s">
        <v>33</v>
      </c>
      <c r="M2308">
        <v>3</v>
      </c>
      <c r="N2308" t="str">
        <f t="shared" si="37"/>
        <v>INSERT INTO TNL_RATING.dbo.usps_rate_master VALUES ('USPS', '2/13/2025', '2/13/2026', 12659, 'US', 'USPS Ground Advantage', 7, 0, 'L', 8.76, 'Wedgewood_USPS_2025', 'Cubic Tier 3 (0.20 - 0.30)','3');</v>
      </c>
    </row>
    <row r="2309" spans="1:14" x14ac:dyDescent="0.3">
      <c r="A2309" t="s">
        <v>11</v>
      </c>
      <c r="B2309" s="1" t="s">
        <v>43</v>
      </c>
      <c r="C2309" s="1" t="s">
        <v>44</v>
      </c>
      <c r="D2309">
        <v>12659</v>
      </c>
      <c r="E2309" t="s">
        <v>12</v>
      </c>
      <c r="F2309" t="s">
        <v>51</v>
      </c>
      <c r="G2309">
        <v>8</v>
      </c>
      <c r="H2309">
        <v>0</v>
      </c>
      <c r="I2309" t="s">
        <v>45</v>
      </c>
      <c r="J2309" cm="1">
        <f t="array" ref="J2309">IFERROR(
    _xlfn.XLOOKUP(G2309, 'Wedgewood Pharm-GA-Yr2-2025'!$E$4:$L$4,
        _xlfn.XLOOKUP('Rate Load'!L2309, 'Wedgewood Pharm-GA-Yr2-2025'!$D$41:$D$50,
            'Wedgewood Pharm-GA-Yr2-2025'!$E$143:$L$152, 0, 0),
        0, 0),
    _xlfn.XLOOKUP(G2309, 'Wedgewood Pharm-GA-Yr2-2025'!$E$4:$L$4,
        _xlfn.XLOOKUP('Rate Load'!L2309, 'Wedgewood Pharm-GA-Yr2-2025'!$D$41:$D$50,
            'Wedgewood Pharm-GA-Yr2-2025'!$E$143:$L$152, 0, 0),
        0, 0)
)</f>
        <v>9.4</v>
      </c>
      <c r="K2309" t="s">
        <v>46</v>
      </c>
      <c r="L2309" t="s">
        <v>33</v>
      </c>
      <c r="M2309">
        <v>3</v>
      </c>
      <c r="N2309" t="str">
        <f t="shared" si="37"/>
        <v>INSERT INTO TNL_RATING.dbo.usps_rate_master VALUES ('USPS', '2/13/2025', '2/13/2026', 12659, 'US', 'USPS Ground Advantage', 8, 0, 'L', 9.4, 'Wedgewood_USPS_2025', 'Cubic Tier 3 (0.20 - 0.30)','3');</v>
      </c>
    </row>
    <row r="2310" spans="1:14" x14ac:dyDescent="0.3">
      <c r="A2310" t="s">
        <v>11</v>
      </c>
      <c r="B2310" s="1" t="s">
        <v>43</v>
      </c>
      <c r="C2310" s="1" t="s">
        <v>44</v>
      </c>
      <c r="D2310">
        <v>12659</v>
      </c>
      <c r="E2310" t="s">
        <v>12</v>
      </c>
      <c r="F2310" t="s">
        <v>51</v>
      </c>
      <c r="G2310">
        <v>1</v>
      </c>
      <c r="H2310">
        <v>0</v>
      </c>
      <c r="I2310" t="s">
        <v>45</v>
      </c>
      <c r="J2310" cm="1">
        <f t="array" ref="J2310">IFERROR(
    _xlfn.XLOOKUP(G2310, 'Wedgewood Pharm-GA-Yr2-2025'!$E$4:$L$4,
        _xlfn.XLOOKUP('Rate Load'!L2310, 'Wedgewood Pharm-GA-Yr2-2025'!$D$41:$D$50,
            'Wedgewood Pharm-GA-Yr2-2025'!$E$143:$L$152, 0, 0),
        0, 0),
    _xlfn.XLOOKUP(G2310, 'Wedgewood Pharm-GA-Yr2-2025'!$E$4:$L$4,
        _xlfn.XLOOKUP('Rate Load'!L2310, 'Wedgewood Pharm-GA-Yr2-2025'!$D$41:$D$50,
            'Wedgewood Pharm-GA-Yr2-2025'!$E$143:$L$152, 0, 0),
        0, 0)
)</f>
        <v>6.29</v>
      </c>
      <c r="K2310" t="s">
        <v>46</v>
      </c>
      <c r="L2310" t="s">
        <v>34</v>
      </c>
      <c r="M2310">
        <v>3</v>
      </c>
      <c r="N2310" t="str">
        <f t="shared" si="37"/>
        <v>INSERT INTO TNL_RATING.dbo.usps_rate_master VALUES ('USPS', '2/13/2025', '2/13/2026', 12659, 'US', 'USPS Ground Advantage', 1, 0, 'L', 6.29, 'Wedgewood_USPS_2025', 'Cubic Tier 4 (0.30 - 0.40)','3');</v>
      </c>
    </row>
    <row r="2311" spans="1:14" x14ac:dyDescent="0.3">
      <c r="A2311" t="s">
        <v>11</v>
      </c>
      <c r="B2311" s="1" t="s">
        <v>43</v>
      </c>
      <c r="C2311" s="1" t="s">
        <v>44</v>
      </c>
      <c r="D2311">
        <v>12659</v>
      </c>
      <c r="E2311" t="s">
        <v>12</v>
      </c>
      <c r="F2311" t="s">
        <v>51</v>
      </c>
      <c r="G2311">
        <v>2</v>
      </c>
      <c r="H2311">
        <v>0</v>
      </c>
      <c r="I2311" t="s">
        <v>45</v>
      </c>
      <c r="J2311" cm="1">
        <f t="array" ref="J2311">IFERROR(
    _xlfn.XLOOKUP(G2311, 'Wedgewood Pharm-GA-Yr2-2025'!$E$4:$L$4,
        _xlfn.XLOOKUP('Rate Load'!L2311, 'Wedgewood Pharm-GA-Yr2-2025'!$D$41:$D$50,
            'Wedgewood Pharm-GA-Yr2-2025'!$E$143:$L$152, 0, 0),
        0, 0),
    _xlfn.XLOOKUP(G2311, 'Wedgewood Pharm-GA-Yr2-2025'!$E$4:$L$4,
        _xlfn.XLOOKUP('Rate Load'!L2311, 'Wedgewood Pharm-GA-Yr2-2025'!$D$41:$D$50,
            'Wedgewood Pharm-GA-Yr2-2025'!$E$143:$L$152, 0, 0),
        0, 0)
)</f>
        <v>6.5299999999999994</v>
      </c>
      <c r="K2311" t="s">
        <v>46</v>
      </c>
      <c r="L2311" t="s">
        <v>34</v>
      </c>
      <c r="M2311">
        <v>3</v>
      </c>
      <c r="N2311" t="str">
        <f t="shared" si="37"/>
        <v>INSERT INTO TNL_RATING.dbo.usps_rate_master VALUES ('USPS', '2/13/2025', '2/13/2026', 12659, 'US', 'USPS Ground Advantage', 2, 0, 'L', 6.53, 'Wedgewood_USPS_2025', 'Cubic Tier 4 (0.30 - 0.40)','3');</v>
      </c>
    </row>
    <row r="2312" spans="1:14" x14ac:dyDescent="0.3">
      <c r="A2312" t="s">
        <v>11</v>
      </c>
      <c r="B2312" s="1" t="s">
        <v>43</v>
      </c>
      <c r="C2312" s="1" t="s">
        <v>44</v>
      </c>
      <c r="D2312">
        <v>12659</v>
      </c>
      <c r="E2312" t="s">
        <v>12</v>
      </c>
      <c r="F2312" t="s">
        <v>51</v>
      </c>
      <c r="G2312">
        <v>3</v>
      </c>
      <c r="H2312">
        <v>0</v>
      </c>
      <c r="I2312" t="s">
        <v>45</v>
      </c>
      <c r="J2312" cm="1">
        <f t="array" ref="J2312">IFERROR(
    _xlfn.XLOOKUP(G2312, 'Wedgewood Pharm-GA-Yr2-2025'!$E$4:$L$4,
        _xlfn.XLOOKUP('Rate Load'!L2312, 'Wedgewood Pharm-GA-Yr2-2025'!$D$41:$D$50,
            'Wedgewood Pharm-GA-Yr2-2025'!$E$143:$L$152, 0, 0),
        0, 0),
    _xlfn.XLOOKUP(G2312, 'Wedgewood Pharm-GA-Yr2-2025'!$E$4:$L$4,
        _xlfn.XLOOKUP('Rate Load'!L2312, 'Wedgewood Pharm-GA-Yr2-2025'!$D$41:$D$50,
            'Wedgewood Pharm-GA-Yr2-2025'!$E$143:$L$152, 0, 0),
        0, 0)
)</f>
        <v>6.72</v>
      </c>
      <c r="K2312" t="s">
        <v>46</v>
      </c>
      <c r="L2312" t="s">
        <v>34</v>
      </c>
      <c r="M2312">
        <v>3</v>
      </c>
      <c r="N2312" t="str">
        <f t="shared" si="37"/>
        <v>INSERT INTO TNL_RATING.dbo.usps_rate_master VALUES ('USPS', '2/13/2025', '2/13/2026', 12659, 'US', 'USPS Ground Advantage', 3, 0, 'L', 6.72, 'Wedgewood_USPS_2025', 'Cubic Tier 4 (0.30 - 0.40)','3');</v>
      </c>
    </row>
    <row r="2313" spans="1:14" x14ac:dyDescent="0.3">
      <c r="A2313" t="s">
        <v>11</v>
      </c>
      <c r="B2313" s="1" t="s">
        <v>43</v>
      </c>
      <c r="C2313" s="1" t="s">
        <v>44</v>
      </c>
      <c r="D2313">
        <v>12659</v>
      </c>
      <c r="E2313" t="s">
        <v>12</v>
      </c>
      <c r="F2313" t="s">
        <v>51</v>
      </c>
      <c r="G2313">
        <v>4</v>
      </c>
      <c r="H2313">
        <v>0</v>
      </c>
      <c r="I2313" t="s">
        <v>45</v>
      </c>
      <c r="J2313" cm="1">
        <f t="array" ref="J2313">IFERROR(
    _xlfn.XLOOKUP(G2313, 'Wedgewood Pharm-GA-Yr2-2025'!$E$4:$L$4,
        _xlfn.XLOOKUP('Rate Load'!L2313, 'Wedgewood Pharm-GA-Yr2-2025'!$D$41:$D$50,
            'Wedgewood Pharm-GA-Yr2-2025'!$E$143:$L$152, 0, 0),
        0, 0),
    _xlfn.XLOOKUP(G2313, 'Wedgewood Pharm-GA-Yr2-2025'!$E$4:$L$4,
        _xlfn.XLOOKUP('Rate Load'!L2313, 'Wedgewood Pharm-GA-Yr2-2025'!$D$41:$D$50,
            'Wedgewood Pharm-GA-Yr2-2025'!$E$143:$L$152, 0, 0),
        0, 0)
)</f>
        <v>7.13</v>
      </c>
      <c r="K2313" t="s">
        <v>46</v>
      </c>
      <c r="L2313" t="s">
        <v>34</v>
      </c>
      <c r="M2313">
        <v>3</v>
      </c>
      <c r="N2313" t="str">
        <f t="shared" si="37"/>
        <v>INSERT INTO TNL_RATING.dbo.usps_rate_master VALUES ('USPS', '2/13/2025', '2/13/2026', 12659, 'US', 'USPS Ground Advantage', 4, 0, 'L', 7.13, 'Wedgewood_USPS_2025', 'Cubic Tier 4 (0.30 - 0.40)','3');</v>
      </c>
    </row>
    <row r="2314" spans="1:14" x14ac:dyDescent="0.3">
      <c r="A2314" t="s">
        <v>11</v>
      </c>
      <c r="B2314" s="1" t="s">
        <v>43</v>
      </c>
      <c r="C2314" s="1" t="s">
        <v>44</v>
      </c>
      <c r="D2314">
        <v>12659</v>
      </c>
      <c r="E2314" t="s">
        <v>12</v>
      </c>
      <c r="F2314" t="s">
        <v>51</v>
      </c>
      <c r="G2314">
        <v>5</v>
      </c>
      <c r="H2314">
        <v>0</v>
      </c>
      <c r="I2314" t="s">
        <v>45</v>
      </c>
      <c r="J2314" cm="1">
        <f t="array" ref="J2314">IFERROR(
    _xlfn.XLOOKUP(G2314, 'Wedgewood Pharm-GA-Yr2-2025'!$E$4:$L$4,
        _xlfn.XLOOKUP('Rate Load'!L2314, 'Wedgewood Pharm-GA-Yr2-2025'!$D$41:$D$50,
            'Wedgewood Pharm-GA-Yr2-2025'!$E$143:$L$152, 0, 0),
        0, 0),
    _xlfn.XLOOKUP(G2314, 'Wedgewood Pharm-GA-Yr2-2025'!$E$4:$L$4,
        _xlfn.XLOOKUP('Rate Load'!L2314, 'Wedgewood Pharm-GA-Yr2-2025'!$D$41:$D$50,
            'Wedgewood Pharm-GA-Yr2-2025'!$E$143:$L$152, 0, 0),
        0, 0)
)</f>
        <v>7.89</v>
      </c>
      <c r="K2314" t="s">
        <v>46</v>
      </c>
      <c r="L2314" t="s">
        <v>34</v>
      </c>
      <c r="M2314">
        <v>3</v>
      </c>
      <c r="N2314" t="str">
        <f t="shared" si="37"/>
        <v>INSERT INTO TNL_RATING.dbo.usps_rate_master VALUES ('USPS', '2/13/2025', '2/13/2026', 12659, 'US', 'USPS Ground Advantage', 5, 0, 'L', 7.89, 'Wedgewood_USPS_2025', 'Cubic Tier 4 (0.30 - 0.40)','3');</v>
      </c>
    </row>
    <row r="2315" spans="1:14" x14ac:dyDescent="0.3">
      <c r="A2315" t="s">
        <v>11</v>
      </c>
      <c r="B2315" s="1" t="s">
        <v>43</v>
      </c>
      <c r="C2315" s="1" t="s">
        <v>44</v>
      </c>
      <c r="D2315">
        <v>12659</v>
      </c>
      <c r="E2315" t="s">
        <v>12</v>
      </c>
      <c r="F2315" t="s">
        <v>51</v>
      </c>
      <c r="G2315">
        <v>6</v>
      </c>
      <c r="H2315">
        <v>0</v>
      </c>
      <c r="I2315" t="s">
        <v>45</v>
      </c>
      <c r="J2315" cm="1">
        <f t="array" ref="J2315">IFERROR(
    _xlfn.XLOOKUP(G2315, 'Wedgewood Pharm-GA-Yr2-2025'!$E$4:$L$4,
        _xlfn.XLOOKUP('Rate Load'!L2315, 'Wedgewood Pharm-GA-Yr2-2025'!$D$41:$D$50,
            'Wedgewood Pharm-GA-Yr2-2025'!$E$143:$L$152, 0, 0),
        0, 0),
    _xlfn.XLOOKUP(G2315, 'Wedgewood Pharm-GA-Yr2-2025'!$E$4:$L$4,
        _xlfn.XLOOKUP('Rate Load'!L2315, 'Wedgewood Pharm-GA-Yr2-2025'!$D$41:$D$50,
            'Wedgewood Pharm-GA-Yr2-2025'!$E$143:$L$152, 0, 0),
        0, 0)
)</f>
        <v>9.11</v>
      </c>
      <c r="K2315" t="s">
        <v>46</v>
      </c>
      <c r="L2315" t="s">
        <v>34</v>
      </c>
      <c r="M2315">
        <v>3</v>
      </c>
      <c r="N2315" t="str">
        <f t="shared" si="37"/>
        <v>INSERT INTO TNL_RATING.dbo.usps_rate_master VALUES ('USPS', '2/13/2025', '2/13/2026', 12659, 'US', 'USPS Ground Advantage', 6, 0, 'L', 9.11, 'Wedgewood_USPS_2025', 'Cubic Tier 4 (0.30 - 0.40)','3');</v>
      </c>
    </row>
    <row r="2316" spans="1:14" x14ac:dyDescent="0.3">
      <c r="A2316" t="s">
        <v>11</v>
      </c>
      <c r="B2316" s="1" t="s">
        <v>43</v>
      </c>
      <c r="C2316" s="1" t="s">
        <v>44</v>
      </c>
      <c r="D2316">
        <v>12659</v>
      </c>
      <c r="E2316" t="s">
        <v>12</v>
      </c>
      <c r="F2316" t="s">
        <v>51</v>
      </c>
      <c r="G2316">
        <v>7</v>
      </c>
      <c r="H2316">
        <v>0</v>
      </c>
      <c r="I2316" t="s">
        <v>45</v>
      </c>
      <c r="J2316" cm="1">
        <f t="array" ref="J2316">IFERROR(
    _xlfn.XLOOKUP(G2316, 'Wedgewood Pharm-GA-Yr2-2025'!$E$4:$L$4,
        _xlfn.XLOOKUP('Rate Load'!L2316, 'Wedgewood Pharm-GA-Yr2-2025'!$D$41:$D$50,
            'Wedgewood Pharm-GA-Yr2-2025'!$E$143:$L$152, 0, 0),
        0, 0),
    _xlfn.XLOOKUP(G2316, 'Wedgewood Pharm-GA-Yr2-2025'!$E$4:$L$4,
        _xlfn.XLOOKUP('Rate Load'!L2316, 'Wedgewood Pharm-GA-Yr2-2025'!$D$41:$D$50,
            'Wedgewood Pharm-GA-Yr2-2025'!$E$143:$L$152, 0, 0),
        0, 0)
)</f>
        <v>9.6999999999999993</v>
      </c>
      <c r="K2316" t="s">
        <v>46</v>
      </c>
      <c r="L2316" t="s">
        <v>34</v>
      </c>
      <c r="M2316">
        <v>3</v>
      </c>
      <c r="N2316" t="str">
        <f t="shared" si="37"/>
        <v>INSERT INTO TNL_RATING.dbo.usps_rate_master VALUES ('USPS', '2/13/2025', '2/13/2026', 12659, 'US', 'USPS Ground Advantage', 7, 0, 'L', 9.7, 'Wedgewood_USPS_2025', 'Cubic Tier 4 (0.30 - 0.40)','3');</v>
      </c>
    </row>
    <row r="2317" spans="1:14" x14ac:dyDescent="0.3">
      <c r="A2317" t="s">
        <v>11</v>
      </c>
      <c r="B2317" s="1" t="s">
        <v>43</v>
      </c>
      <c r="C2317" s="1" t="s">
        <v>44</v>
      </c>
      <c r="D2317">
        <v>12659</v>
      </c>
      <c r="E2317" t="s">
        <v>12</v>
      </c>
      <c r="F2317" t="s">
        <v>51</v>
      </c>
      <c r="G2317">
        <v>8</v>
      </c>
      <c r="H2317">
        <v>0</v>
      </c>
      <c r="I2317" t="s">
        <v>45</v>
      </c>
      <c r="J2317" cm="1">
        <f t="array" ref="J2317">IFERROR(
    _xlfn.XLOOKUP(G2317, 'Wedgewood Pharm-GA-Yr2-2025'!$E$4:$L$4,
        _xlfn.XLOOKUP('Rate Load'!L2317, 'Wedgewood Pharm-GA-Yr2-2025'!$D$41:$D$50,
            'Wedgewood Pharm-GA-Yr2-2025'!$E$143:$L$152, 0, 0),
        0, 0),
    _xlfn.XLOOKUP(G2317, 'Wedgewood Pharm-GA-Yr2-2025'!$E$4:$L$4,
        _xlfn.XLOOKUP('Rate Load'!L2317, 'Wedgewood Pharm-GA-Yr2-2025'!$D$41:$D$50,
            'Wedgewood Pharm-GA-Yr2-2025'!$E$143:$L$152, 0, 0),
        0, 0)
)</f>
        <v>10.44</v>
      </c>
      <c r="K2317" t="s">
        <v>46</v>
      </c>
      <c r="L2317" t="s">
        <v>34</v>
      </c>
      <c r="M2317">
        <v>3</v>
      </c>
      <c r="N2317" t="str">
        <f t="shared" si="37"/>
        <v>INSERT INTO TNL_RATING.dbo.usps_rate_master VALUES ('USPS', '2/13/2025', '2/13/2026', 12659, 'US', 'USPS Ground Advantage', 8, 0, 'L', 10.44, 'Wedgewood_USPS_2025', 'Cubic Tier 4 (0.30 - 0.40)','3');</v>
      </c>
    </row>
    <row r="2318" spans="1:14" x14ac:dyDescent="0.3">
      <c r="A2318" t="s">
        <v>11</v>
      </c>
      <c r="B2318" s="1" t="s">
        <v>43</v>
      </c>
      <c r="C2318" s="1" t="s">
        <v>44</v>
      </c>
      <c r="D2318">
        <v>12659</v>
      </c>
      <c r="E2318" t="s">
        <v>12</v>
      </c>
      <c r="F2318" t="s">
        <v>51</v>
      </c>
      <c r="G2318">
        <v>1</v>
      </c>
      <c r="H2318">
        <v>0</v>
      </c>
      <c r="I2318" t="s">
        <v>45</v>
      </c>
      <c r="J2318" cm="1">
        <f t="array" ref="J2318">IFERROR(
    _xlfn.XLOOKUP(G2318, 'Wedgewood Pharm-GA-Yr2-2025'!$E$4:$L$4,
        _xlfn.XLOOKUP('Rate Load'!L2318, 'Wedgewood Pharm-GA-Yr2-2025'!$D$41:$D$50,
            'Wedgewood Pharm-GA-Yr2-2025'!$E$143:$L$152, 0, 0),
        0, 0),
    _xlfn.XLOOKUP(G2318, 'Wedgewood Pharm-GA-Yr2-2025'!$E$4:$L$4,
        _xlfn.XLOOKUP('Rate Load'!L2318, 'Wedgewood Pharm-GA-Yr2-2025'!$D$41:$D$50,
            'Wedgewood Pharm-GA-Yr2-2025'!$E$143:$L$152, 0, 0),
        0, 0)
)</f>
        <v>6.47</v>
      </c>
      <c r="K2318" t="s">
        <v>46</v>
      </c>
      <c r="L2318" t="s">
        <v>35</v>
      </c>
      <c r="M2318">
        <v>3</v>
      </c>
      <c r="N2318" t="str">
        <f t="shared" si="37"/>
        <v>INSERT INTO TNL_RATING.dbo.usps_rate_master VALUES ('USPS', '2/13/2025', '2/13/2026', 12659, 'US', 'USPS Ground Advantage', 1, 0, 'L', 6.47, 'Wedgewood_USPS_2025', 'Cubic Tier 5 (0.40 - 0.50)','3');</v>
      </c>
    </row>
    <row r="2319" spans="1:14" x14ac:dyDescent="0.3">
      <c r="A2319" t="s">
        <v>11</v>
      </c>
      <c r="B2319" s="1" t="s">
        <v>43</v>
      </c>
      <c r="C2319" s="1" t="s">
        <v>44</v>
      </c>
      <c r="D2319">
        <v>12659</v>
      </c>
      <c r="E2319" t="s">
        <v>12</v>
      </c>
      <c r="F2319" t="s">
        <v>51</v>
      </c>
      <c r="G2319">
        <v>2</v>
      </c>
      <c r="H2319">
        <v>0</v>
      </c>
      <c r="I2319" t="s">
        <v>45</v>
      </c>
      <c r="J2319" cm="1">
        <f t="array" ref="J2319">IFERROR(
    _xlfn.XLOOKUP(G2319, 'Wedgewood Pharm-GA-Yr2-2025'!$E$4:$L$4,
        _xlfn.XLOOKUP('Rate Load'!L2319, 'Wedgewood Pharm-GA-Yr2-2025'!$D$41:$D$50,
            'Wedgewood Pharm-GA-Yr2-2025'!$E$143:$L$152, 0, 0),
        0, 0),
    _xlfn.XLOOKUP(G2319, 'Wedgewood Pharm-GA-Yr2-2025'!$E$4:$L$4,
        _xlfn.XLOOKUP('Rate Load'!L2319, 'Wedgewood Pharm-GA-Yr2-2025'!$D$41:$D$50,
            'Wedgewood Pharm-GA-Yr2-2025'!$E$143:$L$152, 0, 0),
        0, 0)
)</f>
        <v>6.7</v>
      </c>
      <c r="K2319" t="s">
        <v>46</v>
      </c>
      <c r="L2319" t="s">
        <v>35</v>
      </c>
      <c r="M2319">
        <v>3</v>
      </c>
      <c r="N2319" t="str">
        <f t="shared" si="37"/>
        <v>INSERT INTO TNL_RATING.dbo.usps_rate_master VALUES ('USPS', '2/13/2025', '2/13/2026', 12659, 'US', 'USPS Ground Advantage', 2, 0, 'L', 6.7, 'Wedgewood_USPS_2025', 'Cubic Tier 5 (0.40 - 0.50)','3');</v>
      </c>
    </row>
    <row r="2320" spans="1:14" x14ac:dyDescent="0.3">
      <c r="A2320" t="s">
        <v>11</v>
      </c>
      <c r="B2320" s="1" t="s">
        <v>43</v>
      </c>
      <c r="C2320" s="1" t="s">
        <v>44</v>
      </c>
      <c r="D2320">
        <v>12659</v>
      </c>
      <c r="E2320" t="s">
        <v>12</v>
      </c>
      <c r="F2320" t="s">
        <v>51</v>
      </c>
      <c r="G2320">
        <v>3</v>
      </c>
      <c r="H2320">
        <v>0</v>
      </c>
      <c r="I2320" t="s">
        <v>45</v>
      </c>
      <c r="J2320" cm="1">
        <f t="array" ref="J2320">IFERROR(
    _xlfn.XLOOKUP(G2320, 'Wedgewood Pharm-GA-Yr2-2025'!$E$4:$L$4,
        _xlfn.XLOOKUP('Rate Load'!L2320, 'Wedgewood Pharm-GA-Yr2-2025'!$D$41:$D$50,
            'Wedgewood Pharm-GA-Yr2-2025'!$E$143:$L$152, 0, 0),
        0, 0),
    _xlfn.XLOOKUP(G2320, 'Wedgewood Pharm-GA-Yr2-2025'!$E$4:$L$4,
        _xlfn.XLOOKUP('Rate Load'!L2320, 'Wedgewood Pharm-GA-Yr2-2025'!$D$41:$D$50,
            'Wedgewood Pharm-GA-Yr2-2025'!$E$143:$L$152, 0, 0),
        0, 0)
)</f>
        <v>6.95</v>
      </c>
      <c r="K2320" t="s">
        <v>46</v>
      </c>
      <c r="L2320" t="s">
        <v>35</v>
      </c>
      <c r="M2320">
        <v>3</v>
      </c>
      <c r="N2320" t="str">
        <f t="shared" si="37"/>
        <v>INSERT INTO TNL_RATING.dbo.usps_rate_master VALUES ('USPS', '2/13/2025', '2/13/2026', 12659, 'US', 'USPS Ground Advantage', 3, 0, 'L', 6.95, 'Wedgewood_USPS_2025', 'Cubic Tier 5 (0.40 - 0.50)','3');</v>
      </c>
    </row>
    <row r="2321" spans="1:14" x14ac:dyDescent="0.3">
      <c r="A2321" t="s">
        <v>11</v>
      </c>
      <c r="B2321" s="1" t="s">
        <v>43</v>
      </c>
      <c r="C2321" s="1" t="s">
        <v>44</v>
      </c>
      <c r="D2321">
        <v>12659</v>
      </c>
      <c r="E2321" t="s">
        <v>12</v>
      </c>
      <c r="F2321" t="s">
        <v>51</v>
      </c>
      <c r="G2321">
        <v>4</v>
      </c>
      <c r="H2321">
        <v>0</v>
      </c>
      <c r="I2321" t="s">
        <v>45</v>
      </c>
      <c r="J2321" cm="1">
        <f t="array" ref="J2321">IFERROR(
    _xlfn.XLOOKUP(G2321, 'Wedgewood Pharm-GA-Yr2-2025'!$E$4:$L$4,
        _xlfn.XLOOKUP('Rate Load'!L2321, 'Wedgewood Pharm-GA-Yr2-2025'!$D$41:$D$50,
            'Wedgewood Pharm-GA-Yr2-2025'!$E$143:$L$152, 0, 0),
        0, 0),
    _xlfn.XLOOKUP(G2321, 'Wedgewood Pharm-GA-Yr2-2025'!$E$4:$L$4,
        _xlfn.XLOOKUP('Rate Load'!L2321, 'Wedgewood Pharm-GA-Yr2-2025'!$D$41:$D$50,
            'Wedgewood Pharm-GA-Yr2-2025'!$E$143:$L$152, 0, 0),
        0, 0)
)</f>
        <v>7.47</v>
      </c>
      <c r="K2321" t="s">
        <v>46</v>
      </c>
      <c r="L2321" t="s">
        <v>35</v>
      </c>
      <c r="M2321">
        <v>3</v>
      </c>
      <c r="N2321" t="str">
        <f t="shared" si="37"/>
        <v>INSERT INTO TNL_RATING.dbo.usps_rate_master VALUES ('USPS', '2/13/2025', '2/13/2026', 12659, 'US', 'USPS Ground Advantage', 4, 0, 'L', 7.47, 'Wedgewood_USPS_2025', 'Cubic Tier 5 (0.40 - 0.50)','3');</v>
      </c>
    </row>
    <row r="2322" spans="1:14" x14ac:dyDescent="0.3">
      <c r="A2322" t="s">
        <v>11</v>
      </c>
      <c r="B2322" s="1" t="s">
        <v>43</v>
      </c>
      <c r="C2322" s="1" t="s">
        <v>44</v>
      </c>
      <c r="D2322">
        <v>12659</v>
      </c>
      <c r="E2322" t="s">
        <v>12</v>
      </c>
      <c r="F2322" t="s">
        <v>51</v>
      </c>
      <c r="G2322">
        <v>5</v>
      </c>
      <c r="H2322">
        <v>0</v>
      </c>
      <c r="I2322" t="s">
        <v>45</v>
      </c>
      <c r="J2322" cm="1">
        <f t="array" ref="J2322">IFERROR(
    _xlfn.XLOOKUP(G2322, 'Wedgewood Pharm-GA-Yr2-2025'!$E$4:$L$4,
        _xlfn.XLOOKUP('Rate Load'!L2322, 'Wedgewood Pharm-GA-Yr2-2025'!$D$41:$D$50,
            'Wedgewood Pharm-GA-Yr2-2025'!$E$143:$L$152, 0, 0),
        0, 0),
    _xlfn.XLOOKUP(G2322, 'Wedgewood Pharm-GA-Yr2-2025'!$E$4:$L$4,
        _xlfn.XLOOKUP('Rate Load'!L2322, 'Wedgewood Pharm-GA-Yr2-2025'!$D$41:$D$50,
            'Wedgewood Pharm-GA-Yr2-2025'!$E$143:$L$152, 0, 0),
        0, 0)
)</f>
        <v>8.43</v>
      </c>
      <c r="K2322" t="s">
        <v>46</v>
      </c>
      <c r="L2322" t="s">
        <v>35</v>
      </c>
      <c r="M2322">
        <v>3</v>
      </c>
      <c r="N2322" t="str">
        <f t="shared" si="37"/>
        <v>INSERT INTO TNL_RATING.dbo.usps_rate_master VALUES ('USPS', '2/13/2025', '2/13/2026', 12659, 'US', 'USPS Ground Advantage', 5, 0, 'L', 8.43, 'Wedgewood_USPS_2025', 'Cubic Tier 5 (0.40 - 0.50)','3');</v>
      </c>
    </row>
    <row r="2323" spans="1:14" x14ac:dyDescent="0.3">
      <c r="A2323" t="s">
        <v>11</v>
      </c>
      <c r="B2323" s="1" t="s">
        <v>43</v>
      </c>
      <c r="C2323" s="1" t="s">
        <v>44</v>
      </c>
      <c r="D2323">
        <v>12659</v>
      </c>
      <c r="E2323" t="s">
        <v>12</v>
      </c>
      <c r="F2323" t="s">
        <v>51</v>
      </c>
      <c r="G2323">
        <v>6</v>
      </c>
      <c r="H2323">
        <v>0</v>
      </c>
      <c r="I2323" t="s">
        <v>45</v>
      </c>
      <c r="J2323" cm="1">
        <f t="array" ref="J2323">IFERROR(
    _xlfn.XLOOKUP(G2323, 'Wedgewood Pharm-GA-Yr2-2025'!$E$4:$L$4,
        _xlfn.XLOOKUP('Rate Load'!L2323, 'Wedgewood Pharm-GA-Yr2-2025'!$D$41:$D$50,
            'Wedgewood Pharm-GA-Yr2-2025'!$E$143:$L$152, 0, 0),
        0, 0),
    _xlfn.XLOOKUP(G2323, 'Wedgewood Pharm-GA-Yr2-2025'!$E$4:$L$4,
        _xlfn.XLOOKUP('Rate Load'!L2323, 'Wedgewood Pharm-GA-Yr2-2025'!$D$41:$D$50,
            'Wedgewood Pharm-GA-Yr2-2025'!$E$143:$L$152, 0, 0),
        0, 0)
)</f>
        <v>9.67</v>
      </c>
      <c r="K2323" t="s">
        <v>46</v>
      </c>
      <c r="L2323" t="s">
        <v>35</v>
      </c>
      <c r="M2323">
        <v>3</v>
      </c>
      <c r="N2323" t="str">
        <f t="shared" si="37"/>
        <v>INSERT INTO TNL_RATING.dbo.usps_rate_master VALUES ('USPS', '2/13/2025', '2/13/2026', 12659, 'US', 'USPS Ground Advantage', 6, 0, 'L', 9.67, 'Wedgewood_USPS_2025', 'Cubic Tier 5 (0.40 - 0.50)','3');</v>
      </c>
    </row>
    <row r="2324" spans="1:14" x14ac:dyDescent="0.3">
      <c r="A2324" t="s">
        <v>11</v>
      </c>
      <c r="B2324" s="1" t="s">
        <v>43</v>
      </c>
      <c r="C2324" s="1" t="s">
        <v>44</v>
      </c>
      <c r="D2324">
        <v>12659</v>
      </c>
      <c r="E2324" t="s">
        <v>12</v>
      </c>
      <c r="F2324" t="s">
        <v>51</v>
      </c>
      <c r="G2324">
        <v>7</v>
      </c>
      <c r="H2324">
        <v>0</v>
      </c>
      <c r="I2324" t="s">
        <v>45</v>
      </c>
      <c r="J2324" cm="1">
        <f t="array" ref="J2324">IFERROR(
    _xlfn.XLOOKUP(G2324, 'Wedgewood Pharm-GA-Yr2-2025'!$E$4:$L$4,
        _xlfn.XLOOKUP('Rate Load'!L2324, 'Wedgewood Pharm-GA-Yr2-2025'!$D$41:$D$50,
            'Wedgewood Pharm-GA-Yr2-2025'!$E$143:$L$152, 0, 0),
        0, 0),
    _xlfn.XLOOKUP(G2324, 'Wedgewood Pharm-GA-Yr2-2025'!$E$4:$L$4,
        _xlfn.XLOOKUP('Rate Load'!L2324, 'Wedgewood Pharm-GA-Yr2-2025'!$D$41:$D$50,
            'Wedgewood Pharm-GA-Yr2-2025'!$E$143:$L$152, 0, 0),
        0, 0)
)</f>
        <v>10.37</v>
      </c>
      <c r="K2324" t="s">
        <v>46</v>
      </c>
      <c r="L2324" t="s">
        <v>35</v>
      </c>
      <c r="M2324">
        <v>3</v>
      </c>
      <c r="N2324" t="str">
        <f t="shared" si="37"/>
        <v>INSERT INTO TNL_RATING.dbo.usps_rate_master VALUES ('USPS', '2/13/2025', '2/13/2026', 12659, 'US', 'USPS Ground Advantage', 7, 0, 'L', 10.37, 'Wedgewood_USPS_2025', 'Cubic Tier 5 (0.40 - 0.50)','3');</v>
      </c>
    </row>
    <row r="2325" spans="1:14" x14ac:dyDescent="0.3">
      <c r="A2325" t="s">
        <v>11</v>
      </c>
      <c r="B2325" s="1" t="s">
        <v>43</v>
      </c>
      <c r="C2325" s="1" t="s">
        <v>44</v>
      </c>
      <c r="D2325">
        <v>12659</v>
      </c>
      <c r="E2325" t="s">
        <v>12</v>
      </c>
      <c r="F2325" t="s">
        <v>51</v>
      </c>
      <c r="G2325">
        <v>8</v>
      </c>
      <c r="H2325">
        <v>0</v>
      </c>
      <c r="I2325" t="s">
        <v>45</v>
      </c>
      <c r="J2325" cm="1">
        <f t="array" ref="J2325">IFERROR(
    _xlfn.XLOOKUP(G2325, 'Wedgewood Pharm-GA-Yr2-2025'!$E$4:$L$4,
        _xlfn.XLOOKUP('Rate Load'!L2325, 'Wedgewood Pharm-GA-Yr2-2025'!$D$41:$D$50,
            'Wedgewood Pharm-GA-Yr2-2025'!$E$143:$L$152, 0, 0),
        0, 0),
    _xlfn.XLOOKUP(G2325, 'Wedgewood Pharm-GA-Yr2-2025'!$E$4:$L$4,
        _xlfn.XLOOKUP('Rate Load'!L2325, 'Wedgewood Pharm-GA-Yr2-2025'!$D$41:$D$50,
            'Wedgewood Pharm-GA-Yr2-2025'!$E$143:$L$152, 0, 0),
        0, 0)
)</f>
        <v>11.23</v>
      </c>
      <c r="K2325" t="s">
        <v>46</v>
      </c>
      <c r="L2325" t="s">
        <v>35</v>
      </c>
      <c r="M2325">
        <v>3</v>
      </c>
      <c r="N2325" t="str">
        <f t="shared" si="37"/>
        <v>INSERT INTO TNL_RATING.dbo.usps_rate_master VALUES ('USPS', '2/13/2025', '2/13/2026', 12659, 'US', 'USPS Ground Advantage', 8, 0, 'L', 11.23, 'Wedgewood_USPS_2025', 'Cubic Tier 5 (0.40 - 0.50)','3');</v>
      </c>
    </row>
    <row r="2326" spans="1:14" x14ac:dyDescent="0.3">
      <c r="A2326" t="s">
        <v>11</v>
      </c>
      <c r="B2326" s="1" t="s">
        <v>43</v>
      </c>
      <c r="C2326" s="1" t="s">
        <v>44</v>
      </c>
      <c r="D2326">
        <v>12659</v>
      </c>
      <c r="E2326" t="s">
        <v>12</v>
      </c>
      <c r="F2326" t="s">
        <v>51</v>
      </c>
      <c r="G2326">
        <v>1</v>
      </c>
      <c r="H2326">
        <v>0</v>
      </c>
      <c r="I2326" t="s">
        <v>45</v>
      </c>
      <c r="J2326" cm="1">
        <f t="array" ref="J2326">IFERROR(
    _xlfn.XLOOKUP(G2326, 'Wedgewood Pharm-GA-Yr2-2025'!$E$4:$L$4,
        _xlfn.XLOOKUP('Rate Load'!L2326, 'Wedgewood Pharm-GA-Yr2-2025'!$D$41:$D$50,
            'Wedgewood Pharm-GA-Yr2-2025'!$E$41:$L$50, 0, 0),
        0, 0),
    _xlfn.XLOOKUP(G2326, 'Wedgewood Pharm-GA-Yr2-2025'!$E$4:$L$4,
        _xlfn.XLOOKUP('Rate Load'!L2326, 'Wedgewood Pharm-GA-Yr2-2025'!$D$41:$D$50,
            'Wedgewood Pharm-GA-Yr2-2025'!$E$41:$L$50, 0, 0),
        0, 0)
)</f>
        <v>6.97</v>
      </c>
      <c r="K2326" t="s">
        <v>46</v>
      </c>
      <c r="L2326" t="s">
        <v>37</v>
      </c>
      <c r="M2326">
        <v>1</v>
      </c>
      <c r="N2326" t="str">
        <f t="shared" ref="N2326:N2330" si="38">"INSERT INTO TNL_RATING.dbo.usps_rate_master VALUES ('" &amp; A2326 &amp; "', '" &amp; B2326 &amp; "', '" &amp; C2326 &amp; "', " &amp; D2326 &amp; ", '" &amp; E2326 &amp; "', '" &amp; F2326 &amp; "', " &amp; G2326 &amp; ", " &amp; H2326 &amp; ", '" &amp; I2326 &amp; "', " &amp; J2326 &amp; ", '" &amp; K2326 &amp; "', '" &amp; L2326 &amp; "','" &amp; M2326 &amp; "');"</f>
        <v>INSERT INTO TNL_RATING.dbo.usps_rate_master VALUES ('USPS', '2/13/2025', '2/13/2026', 12659, 'US', 'USPS Ground Advantage', 1, 0, 'L', 6.97, 'Wedgewood_USPS_2025', 'Cubic Tier 6 (0.50 - 0.60)','1');</v>
      </c>
    </row>
    <row r="2327" spans="1:14" x14ac:dyDescent="0.3">
      <c r="A2327" t="s">
        <v>11</v>
      </c>
      <c r="B2327" s="1" t="s">
        <v>43</v>
      </c>
      <c r="C2327" s="1" t="s">
        <v>44</v>
      </c>
      <c r="D2327">
        <v>12659</v>
      </c>
      <c r="E2327" t="s">
        <v>12</v>
      </c>
      <c r="F2327" t="s">
        <v>51</v>
      </c>
      <c r="G2327">
        <v>2</v>
      </c>
      <c r="H2327">
        <v>0</v>
      </c>
      <c r="I2327" t="s">
        <v>45</v>
      </c>
      <c r="J2327" cm="1">
        <f t="array" ref="J2327">IFERROR(
    _xlfn.XLOOKUP(G2327, 'Wedgewood Pharm-GA-Yr2-2025'!$E$4:$L$4,
        _xlfn.XLOOKUP('Rate Load'!L2327, 'Wedgewood Pharm-GA-Yr2-2025'!$D$41:$D$50,
            'Wedgewood Pharm-GA-Yr2-2025'!$E$41:$L$50, 0, 0),
        0, 0),
    _xlfn.XLOOKUP(G2327, 'Wedgewood Pharm-GA-Yr2-2025'!$E$4:$L$4,
        _xlfn.XLOOKUP('Rate Load'!L2327, 'Wedgewood Pharm-GA-Yr2-2025'!$D$41:$D$50,
            'Wedgewood Pharm-GA-Yr2-2025'!$E$41:$L$50, 0, 0),
        0, 0)
)</f>
        <v>7.21</v>
      </c>
      <c r="K2327" t="s">
        <v>46</v>
      </c>
      <c r="L2327" t="s">
        <v>37</v>
      </c>
      <c r="M2327">
        <v>1</v>
      </c>
      <c r="N2327" t="str">
        <f t="shared" si="38"/>
        <v>INSERT INTO TNL_RATING.dbo.usps_rate_master VALUES ('USPS', '2/13/2025', '2/13/2026', 12659, 'US', 'USPS Ground Advantage', 2, 0, 'L', 7.21, 'Wedgewood_USPS_2025', 'Cubic Tier 6 (0.50 - 0.60)','1');</v>
      </c>
    </row>
    <row r="2328" spans="1:14" x14ac:dyDescent="0.3">
      <c r="A2328" t="s">
        <v>11</v>
      </c>
      <c r="B2328" s="1" t="s">
        <v>43</v>
      </c>
      <c r="C2328" s="1" t="s">
        <v>44</v>
      </c>
      <c r="D2328">
        <v>12659</v>
      </c>
      <c r="E2328" t="s">
        <v>12</v>
      </c>
      <c r="F2328" t="s">
        <v>51</v>
      </c>
      <c r="G2328">
        <v>3</v>
      </c>
      <c r="H2328">
        <v>0</v>
      </c>
      <c r="I2328" t="s">
        <v>45</v>
      </c>
      <c r="J2328" cm="1">
        <f t="array" ref="J2328">IFERROR(
    _xlfn.XLOOKUP(G2328, 'Wedgewood Pharm-GA-Yr2-2025'!$E$4:$L$4,
        _xlfn.XLOOKUP('Rate Load'!L2328, 'Wedgewood Pharm-GA-Yr2-2025'!$D$41:$D$50,
            'Wedgewood Pharm-GA-Yr2-2025'!$E$41:$L$50, 0, 0),
        0, 0),
    _xlfn.XLOOKUP(G2328, 'Wedgewood Pharm-GA-Yr2-2025'!$E$4:$L$4,
        _xlfn.XLOOKUP('Rate Load'!L2328, 'Wedgewood Pharm-GA-Yr2-2025'!$D$41:$D$50,
            'Wedgewood Pharm-GA-Yr2-2025'!$E$41:$L$50, 0, 0),
        0, 0)
)</f>
        <v>7.59</v>
      </c>
      <c r="K2328" t="s">
        <v>46</v>
      </c>
      <c r="L2328" t="s">
        <v>37</v>
      </c>
      <c r="M2328">
        <v>1</v>
      </c>
      <c r="N2328" t="str">
        <f t="shared" si="38"/>
        <v>INSERT INTO TNL_RATING.dbo.usps_rate_master VALUES ('USPS', '2/13/2025', '2/13/2026', 12659, 'US', 'USPS Ground Advantage', 3, 0, 'L', 7.59, 'Wedgewood_USPS_2025', 'Cubic Tier 6 (0.50 - 0.60)','1');</v>
      </c>
    </row>
    <row r="2329" spans="1:14" x14ac:dyDescent="0.3">
      <c r="A2329" t="s">
        <v>11</v>
      </c>
      <c r="B2329" s="1" t="s">
        <v>43</v>
      </c>
      <c r="C2329" s="1" t="s">
        <v>44</v>
      </c>
      <c r="D2329">
        <v>12659</v>
      </c>
      <c r="E2329" t="s">
        <v>12</v>
      </c>
      <c r="F2329" t="s">
        <v>51</v>
      </c>
      <c r="G2329">
        <v>4</v>
      </c>
      <c r="H2329">
        <v>0</v>
      </c>
      <c r="I2329" t="s">
        <v>45</v>
      </c>
      <c r="J2329" cm="1">
        <f t="array" ref="J2329">IFERROR(
    _xlfn.XLOOKUP(G2329, 'Wedgewood Pharm-GA-Yr2-2025'!$E$4:$L$4,
        _xlfn.XLOOKUP('Rate Load'!L2329, 'Wedgewood Pharm-GA-Yr2-2025'!$D$41:$D$50,
            'Wedgewood Pharm-GA-Yr2-2025'!$E$41:$L$50, 0, 0),
        0, 0),
    _xlfn.XLOOKUP(G2329, 'Wedgewood Pharm-GA-Yr2-2025'!$E$4:$L$4,
        _xlfn.XLOOKUP('Rate Load'!L2329, 'Wedgewood Pharm-GA-Yr2-2025'!$D$41:$D$50,
            'Wedgewood Pharm-GA-Yr2-2025'!$E$41:$L$50, 0, 0),
        0, 0)
)</f>
        <v>8.2200000000000006</v>
      </c>
      <c r="K2329" t="s">
        <v>46</v>
      </c>
      <c r="L2329" t="s">
        <v>37</v>
      </c>
      <c r="M2329">
        <v>1</v>
      </c>
      <c r="N2329" t="str">
        <f t="shared" si="38"/>
        <v>INSERT INTO TNL_RATING.dbo.usps_rate_master VALUES ('USPS', '2/13/2025', '2/13/2026', 12659, 'US', 'USPS Ground Advantage', 4, 0, 'L', 8.22, 'Wedgewood_USPS_2025', 'Cubic Tier 6 (0.50 - 0.60)','1');</v>
      </c>
    </row>
    <row r="2330" spans="1:14" x14ac:dyDescent="0.3">
      <c r="A2330" t="s">
        <v>11</v>
      </c>
      <c r="B2330" s="1" t="s">
        <v>43</v>
      </c>
      <c r="C2330" s="1" t="s">
        <v>44</v>
      </c>
      <c r="D2330">
        <v>12659</v>
      </c>
      <c r="E2330" t="s">
        <v>12</v>
      </c>
      <c r="F2330" t="s">
        <v>51</v>
      </c>
      <c r="G2330">
        <v>5</v>
      </c>
      <c r="H2330">
        <v>0</v>
      </c>
      <c r="I2330" t="s">
        <v>45</v>
      </c>
      <c r="J2330" cm="1">
        <f t="array" ref="J2330">IFERROR(
    _xlfn.XLOOKUP(G2330, 'Wedgewood Pharm-GA-Yr2-2025'!$E$4:$L$4,
        _xlfn.XLOOKUP('Rate Load'!L2330, 'Wedgewood Pharm-GA-Yr2-2025'!$D$41:$D$50,
            'Wedgewood Pharm-GA-Yr2-2025'!$E$41:$L$50, 0, 0),
        0, 0),
    _xlfn.XLOOKUP(G2330, 'Wedgewood Pharm-GA-Yr2-2025'!$E$4:$L$4,
        _xlfn.XLOOKUP('Rate Load'!L2330, 'Wedgewood Pharm-GA-Yr2-2025'!$D$41:$D$50,
            'Wedgewood Pharm-GA-Yr2-2025'!$E$41:$L$50, 0, 0),
        0, 0)
)</f>
        <v>9.82</v>
      </c>
      <c r="K2330" t="s">
        <v>46</v>
      </c>
      <c r="L2330" t="s">
        <v>37</v>
      </c>
      <c r="M2330">
        <v>1</v>
      </c>
      <c r="N2330" t="str">
        <f t="shared" si="38"/>
        <v>INSERT INTO TNL_RATING.dbo.usps_rate_master VALUES ('USPS', '2/13/2025', '2/13/2026', 12659, 'US', 'USPS Ground Advantage', 5, 0, 'L', 9.82, 'Wedgewood_USPS_2025', 'Cubic Tier 6 (0.50 - 0.60)','1');</v>
      </c>
    </row>
    <row r="2331" spans="1:14" x14ac:dyDescent="0.3">
      <c r="A2331" t="s">
        <v>11</v>
      </c>
      <c r="B2331" s="1" t="s">
        <v>43</v>
      </c>
      <c r="C2331" s="1" t="s">
        <v>44</v>
      </c>
      <c r="D2331">
        <v>12659</v>
      </c>
      <c r="E2331" t="s">
        <v>12</v>
      </c>
      <c r="F2331" t="s">
        <v>51</v>
      </c>
      <c r="G2331">
        <v>6</v>
      </c>
      <c r="H2331">
        <v>0</v>
      </c>
      <c r="I2331" t="s">
        <v>45</v>
      </c>
      <c r="J2331" cm="1">
        <f t="array" ref="J2331">IFERROR(
    _xlfn.XLOOKUP(G2331, 'Wedgewood Pharm-GA-Yr2-2025'!$E$4:$L$4,
        _xlfn.XLOOKUP('Rate Load'!L2331, 'Wedgewood Pharm-GA-Yr2-2025'!$D$41:$D$50,
            'Wedgewood Pharm-GA-Yr2-2025'!$E$41:$L$50, 0, 0),
        0, 0),
    _xlfn.XLOOKUP(G2331, 'Wedgewood Pharm-GA-Yr2-2025'!$E$4:$L$4,
        _xlfn.XLOOKUP('Rate Load'!L2331, 'Wedgewood Pharm-GA-Yr2-2025'!$D$41:$D$50,
            'Wedgewood Pharm-GA-Yr2-2025'!$E$41:$L$50, 0, 0),
        0, 0)
)</f>
        <v>10.62</v>
      </c>
      <c r="K2331" t="s">
        <v>46</v>
      </c>
      <c r="L2331" t="s">
        <v>37</v>
      </c>
      <c r="M2331">
        <v>1</v>
      </c>
      <c r="N2331" t="str">
        <f>"INSERT INTO TNL_RATING.dbo.usps_rate_master VALUES ('" &amp; A2331 &amp; "', '" &amp; B2331 &amp; "', '" &amp; C2331 &amp; "', " &amp; D2331 &amp; ", '" &amp; E2331 &amp; "', '" &amp; F2331 &amp; "', " &amp; G2331 &amp; ", " &amp; H2331 &amp; ", '" &amp; I2331 &amp; "', " &amp; J2331 &amp; ", '" &amp; K2331 &amp; "', '" &amp; L2331 &amp; "','" &amp; M2331 &amp; "');"</f>
        <v>INSERT INTO TNL_RATING.dbo.usps_rate_master VALUES ('USPS', '2/13/2025', '2/13/2026', 12659, 'US', 'USPS Ground Advantage', 6, 0, 'L', 10.62, 'Wedgewood_USPS_2025', 'Cubic Tier 6 (0.50 - 0.60)','1');</v>
      </c>
    </row>
    <row r="2332" spans="1:14" x14ac:dyDescent="0.3">
      <c r="A2332" t="s">
        <v>11</v>
      </c>
      <c r="B2332" s="1" t="s">
        <v>43</v>
      </c>
      <c r="C2332" s="1" t="s">
        <v>44</v>
      </c>
      <c r="D2332">
        <v>12659</v>
      </c>
      <c r="E2332" t="s">
        <v>12</v>
      </c>
      <c r="F2332" t="s">
        <v>51</v>
      </c>
      <c r="G2332">
        <v>7</v>
      </c>
      <c r="H2332">
        <v>0</v>
      </c>
      <c r="I2332" t="s">
        <v>45</v>
      </c>
      <c r="J2332" cm="1">
        <f t="array" ref="J2332">IFERROR(
    _xlfn.XLOOKUP(G2332, 'Wedgewood Pharm-GA-Yr2-2025'!$E$4:$L$4,
        _xlfn.XLOOKUP('Rate Load'!L2332, 'Wedgewood Pharm-GA-Yr2-2025'!$D$41:$D$50,
            'Wedgewood Pharm-GA-Yr2-2025'!$E$41:$L$50, 0, 0),
        0, 0),
    _xlfn.XLOOKUP(G2332, 'Wedgewood Pharm-GA-Yr2-2025'!$E$4:$L$4,
        _xlfn.XLOOKUP('Rate Load'!L2332, 'Wedgewood Pharm-GA-Yr2-2025'!$D$41:$D$50,
            'Wedgewood Pharm-GA-Yr2-2025'!$E$41:$L$50, 0, 0),
        0, 0)
)</f>
        <v>11.379999999999999</v>
      </c>
      <c r="K2332" t="s">
        <v>46</v>
      </c>
      <c r="L2332" t="s">
        <v>37</v>
      </c>
      <c r="M2332">
        <v>1</v>
      </c>
      <c r="N2332" t="str">
        <f t="shared" ref="N2332:N2395" si="39">"INSERT INTO TNL_RATING.dbo.usps_rate_master VALUES ('" &amp; A2332 &amp; "', '" &amp; B2332 &amp; "', '" &amp; C2332 &amp; "', " &amp; D2332 &amp; ", '" &amp; E2332 &amp; "', '" &amp; F2332 &amp; "', " &amp; G2332 &amp; ", " &amp; H2332 &amp; ", '" &amp; I2332 &amp; "', " &amp; J2332 &amp; ", '" &amp; K2332 &amp; "', '" &amp; L2332 &amp; "','" &amp; M2332 &amp; "');"</f>
        <v>INSERT INTO TNL_RATING.dbo.usps_rate_master VALUES ('USPS', '2/13/2025', '2/13/2026', 12659, 'US', 'USPS Ground Advantage', 7, 0, 'L', 11.38, 'Wedgewood_USPS_2025', 'Cubic Tier 6 (0.50 - 0.60)','1');</v>
      </c>
    </row>
    <row r="2333" spans="1:14" x14ac:dyDescent="0.3">
      <c r="A2333" t="s">
        <v>11</v>
      </c>
      <c r="B2333" s="1" t="s">
        <v>43</v>
      </c>
      <c r="C2333" s="1" t="s">
        <v>44</v>
      </c>
      <c r="D2333">
        <v>12659</v>
      </c>
      <c r="E2333" t="s">
        <v>12</v>
      </c>
      <c r="F2333" t="s">
        <v>51</v>
      </c>
      <c r="G2333">
        <v>8</v>
      </c>
      <c r="H2333">
        <v>0</v>
      </c>
      <c r="I2333" t="s">
        <v>45</v>
      </c>
      <c r="J2333" cm="1">
        <f t="array" ref="J2333">IFERROR(
    _xlfn.XLOOKUP(G2333, 'Wedgewood Pharm-GA-Yr2-2025'!$E$4:$L$4,
        _xlfn.XLOOKUP('Rate Load'!L2333, 'Wedgewood Pharm-GA-Yr2-2025'!$D$41:$D$50,
            'Wedgewood Pharm-GA-Yr2-2025'!$E$41:$L$50, 0, 0),
        0, 0),
    _xlfn.XLOOKUP(G2333, 'Wedgewood Pharm-GA-Yr2-2025'!$E$4:$L$4,
        _xlfn.XLOOKUP('Rate Load'!L2333, 'Wedgewood Pharm-GA-Yr2-2025'!$D$41:$D$50,
            'Wedgewood Pharm-GA-Yr2-2025'!$E$41:$L$50, 0, 0),
        0, 0)
)</f>
        <v>12.35</v>
      </c>
      <c r="K2333" t="s">
        <v>46</v>
      </c>
      <c r="L2333" t="s">
        <v>37</v>
      </c>
      <c r="M2333">
        <v>1</v>
      </c>
      <c r="N2333" t="str">
        <f t="shared" si="39"/>
        <v>INSERT INTO TNL_RATING.dbo.usps_rate_master VALUES ('USPS', '2/13/2025', '2/13/2026', 12659, 'US', 'USPS Ground Advantage', 8, 0, 'L', 12.35, 'Wedgewood_USPS_2025', 'Cubic Tier 6 (0.50 - 0.60)','1');</v>
      </c>
    </row>
    <row r="2334" spans="1:14" x14ac:dyDescent="0.3">
      <c r="A2334" t="s">
        <v>11</v>
      </c>
      <c r="B2334" s="1" t="s">
        <v>43</v>
      </c>
      <c r="C2334" s="1" t="s">
        <v>44</v>
      </c>
      <c r="D2334">
        <v>12659</v>
      </c>
      <c r="E2334" t="s">
        <v>12</v>
      </c>
      <c r="F2334" t="s">
        <v>51</v>
      </c>
      <c r="G2334">
        <v>1</v>
      </c>
      <c r="H2334">
        <v>0</v>
      </c>
      <c r="I2334" t="s">
        <v>45</v>
      </c>
      <c r="J2334" cm="1">
        <f t="array" ref="J2334">IFERROR(
    _xlfn.XLOOKUP(G2334, 'Wedgewood Pharm-GA-Yr2-2025'!$E$4:$L$4,
        _xlfn.XLOOKUP('Rate Load'!L2334, 'Wedgewood Pharm-GA-Yr2-2025'!$D$41:$D$50,
            'Wedgewood Pharm-GA-Yr2-2025'!$E$41:$L$50, 0, 0),
        0, 0),
    _xlfn.XLOOKUP(G2334, 'Wedgewood Pharm-GA-Yr2-2025'!$E$4:$L$4,
        _xlfn.XLOOKUP('Rate Load'!L2334, 'Wedgewood Pharm-GA-Yr2-2025'!$D$41:$D$50,
            'Wedgewood Pharm-GA-Yr2-2025'!$E$41:$L$50, 0, 0),
        0, 0)
)</f>
        <v>7.26</v>
      </c>
      <c r="K2334" t="s">
        <v>46</v>
      </c>
      <c r="L2334" t="s">
        <v>38</v>
      </c>
      <c r="M2334">
        <v>1</v>
      </c>
      <c r="N2334" t="str">
        <f t="shared" si="39"/>
        <v>INSERT INTO TNL_RATING.dbo.usps_rate_master VALUES ('USPS', '2/13/2025', '2/13/2026', 12659, 'US', 'USPS Ground Advantage', 1, 0, 'L', 7.26, 'Wedgewood_USPS_2025', 'Cubic Tier 7 (0.60 - 0.70)','1');</v>
      </c>
    </row>
    <row r="2335" spans="1:14" x14ac:dyDescent="0.3">
      <c r="A2335" t="s">
        <v>11</v>
      </c>
      <c r="B2335" s="1" t="s">
        <v>43</v>
      </c>
      <c r="C2335" s="1" t="s">
        <v>44</v>
      </c>
      <c r="D2335">
        <v>12659</v>
      </c>
      <c r="E2335" t="s">
        <v>12</v>
      </c>
      <c r="F2335" t="s">
        <v>51</v>
      </c>
      <c r="G2335">
        <v>2</v>
      </c>
      <c r="H2335">
        <v>0</v>
      </c>
      <c r="I2335" t="s">
        <v>45</v>
      </c>
      <c r="J2335" cm="1">
        <f t="array" ref="J2335">IFERROR(
    _xlfn.XLOOKUP(G2335, 'Wedgewood Pharm-GA-Yr2-2025'!$E$4:$L$4,
        _xlfn.XLOOKUP('Rate Load'!L2335, 'Wedgewood Pharm-GA-Yr2-2025'!$D$41:$D$50,
            'Wedgewood Pharm-GA-Yr2-2025'!$E$41:$L$50, 0, 0),
        0, 0),
    _xlfn.XLOOKUP(G2335, 'Wedgewood Pharm-GA-Yr2-2025'!$E$4:$L$4,
        _xlfn.XLOOKUP('Rate Load'!L2335, 'Wedgewood Pharm-GA-Yr2-2025'!$D$41:$D$50,
            'Wedgewood Pharm-GA-Yr2-2025'!$E$41:$L$50, 0, 0),
        0, 0)
)</f>
        <v>7.5</v>
      </c>
      <c r="K2335" t="s">
        <v>46</v>
      </c>
      <c r="L2335" t="s">
        <v>38</v>
      </c>
      <c r="M2335">
        <v>1</v>
      </c>
      <c r="N2335" t="str">
        <f t="shared" si="39"/>
        <v>INSERT INTO TNL_RATING.dbo.usps_rate_master VALUES ('USPS', '2/13/2025', '2/13/2026', 12659, 'US', 'USPS Ground Advantage', 2, 0, 'L', 7.5, 'Wedgewood_USPS_2025', 'Cubic Tier 7 (0.60 - 0.70)','1');</v>
      </c>
    </row>
    <row r="2336" spans="1:14" x14ac:dyDescent="0.3">
      <c r="A2336" t="s">
        <v>11</v>
      </c>
      <c r="B2336" s="1" t="s">
        <v>43</v>
      </c>
      <c r="C2336" s="1" t="s">
        <v>44</v>
      </c>
      <c r="D2336">
        <v>12659</v>
      </c>
      <c r="E2336" t="s">
        <v>12</v>
      </c>
      <c r="F2336" t="s">
        <v>51</v>
      </c>
      <c r="G2336">
        <v>3</v>
      </c>
      <c r="H2336">
        <v>0</v>
      </c>
      <c r="I2336" t="s">
        <v>45</v>
      </c>
      <c r="J2336" cm="1">
        <f t="array" ref="J2336">IFERROR(
    _xlfn.XLOOKUP(G2336, 'Wedgewood Pharm-GA-Yr2-2025'!$E$4:$L$4,
        _xlfn.XLOOKUP('Rate Load'!L2336, 'Wedgewood Pharm-GA-Yr2-2025'!$D$41:$D$50,
            'Wedgewood Pharm-GA-Yr2-2025'!$E$41:$L$50, 0, 0),
        0, 0),
    _xlfn.XLOOKUP(G2336, 'Wedgewood Pharm-GA-Yr2-2025'!$E$4:$L$4,
        _xlfn.XLOOKUP('Rate Load'!L2336, 'Wedgewood Pharm-GA-Yr2-2025'!$D$41:$D$50,
            'Wedgewood Pharm-GA-Yr2-2025'!$E$41:$L$50, 0, 0),
        0, 0)
)</f>
        <v>8.0499999999999989</v>
      </c>
      <c r="K2336" t="s">
        <v>46</v>
      </c>
      <c r="L2336" t="s">
        <v>38</v>
      </c>
      <c r="M2336">
        <v>1</v>
      </c>
      <c r="N2336" t="str">
        <f t="shared" si="39"/>
        <v>INSERT INTO TNL_RATING.dbo.usps_rate_master VALUES ('USPS', '2/13/2025', '2/13/2026', 12659, 'US', 'USPS Ground Advantage', 3, 0, 'L', 8.05, 'Wedgewood_USPS_2025', 'Cubic Tier 7 (0.60 - 0.70)','1');</v>
      </c>
    </row>
    <row r="2337" spans="1:14" x14ac:dyDescent="0.3">
      <c r="A2337" t="s">
        <v>11</v>
      </c>
      <c r="B2337" s="1" t="s">
        <v>43</v>
      </c>
      <c r="C2337" s="1" t="s">
        <v>44</v>
      </c>
      <c r="D2337">
        <v>12659</v>
      </c>
      <c r="E2337" t="s">
        <v>12</v>
      </c>
      <c r="F2337" t="s">
        <v>51</v>
      </c>
      <c r="G2337">
        <v>4</v>
      </c>
      <c r="H2337">
        <v>0</v>
      </c>
      <c r="I2337" t="s">
        <v>45</v>
      </c>
      <c r="J2337" cm="1">
        <f t="array" ref="J2337">IFERROR(
    _xlfn.XLOOKUP(G2337, 'Wedgewood Pharm-GA-Yr2-2025'!$E$4:$L$4,
        _xlfn.XLOOKUP('Rate Load'!L2337, 'Wedgewood Pharm-GA-Yr2-2025'!$D$41:$D$50,
            'Wedgewood Pharm-GA-Yr2-2025'!$E$41:$L$50, 0, 0),
        0, 0),
    _xlfn.XLOOKUP(G2337, 'Wedgewood Pharm-GA-Yr2-2025'!$E$4:$L$4,
        _xlfn.XLOOKUP('Rate Load'!L2337, 'Wedgewood Pharm-GA-Yr2-2025'!$D$41:$D$50,
            'Wedgewood Pharm-GA-Yr2-2025'!$E$41:$L$50, 0, 0),
        0, 0)
)</f>
        <v>8.59</v>
      </c>
      <c r="K2337" t="s">
        <v>46</v>
      </c>
      <c r="L2337" t="s">
        <v>38</v>
      </c>
      <c r="M2337">
        <v>1</v>
      </c>
      <c r="N2337" t="str">
        <f t="shared" si="39"/>
        <v>INSERT INTO TNL_RATING.dbo.usps_rate_master VALUES ('USPS', '2/13/2025', '2/13/2026', 12659, 'US', 'USPS Ground Advantage', 4, 0, 'L', 8.59, 'Wedgewood_USPS_2025', 'Cubic Tier 7 (0.60 - 0.70)','1');</v>
      </c>
    </row>
    <row r="2338" spans="1:14" x14ac:dyDescent="0.3">
      <c r="A2338" t="s">
        <v>11</v>
      </c>
      <c r="B2338" s="1" t="s">
        <v>43</v>
      </c>
      <c r="C2338" s="1" t="s">
        <v>44</v>
      </c>
      <c r="D2338">
        <v>12659</v>
      </c>
      <c r="E2338" t="s">
        <v>12</v>
      </c>
      <c r="F2338" t="s">
        <v>51</v>
      </c>
      <c r="G2338">
        <v>5</v>
      </c>
      <c r="H2338">
        <v>0</v>
      </c>
      <c r="I2338" t="s">
        <v>45</v>
      </c>
      <c r="J2338" cm="1">
        <f t="array" ref="J2338">IFERROR(
    _xlfn.XLOOKUP(G2338, 'Wedgewood Pharm-GA-Yr2-2025'!$E$4:$L$4,
        _xlfn.XLOOKUP('Rate Load'!L2338, 'Wedgewood Pharm-GA-Yr2-2025'!$D$41:$D$50,
            'Wedgewood Pharm-GA-Yr2-2025'!$E$41:$L$50, 0, 0),
        0, 0),
    _xlfn.XLOOKUP(G2338, 'Wedgewood Pharm-GA-Yr2-2025'!$E$4:$L$4,
        _xlfn.XLOOKUP('Rate Load'!L2338, 'Wedgewood Pharm-GA-Yr2-2025'!$D$41:$D$50,
            'Wedgewood Pharm-GA-Yr2-2025'!$E$41:$L$50, 0, 0),
        0, 0)
)</f>
        <v>10.4</v>
      </c>
      <c r="K2338" t="s">
        <v>46</v>
      </c>
      <c r="L2338" t="s">
        <v>38</v>
      </c>
      <c r="M2338">
        <v>1</v>
      </c>
      <c r="N2338" t="str">
        <f t="shared" si="39"/>
        <v>INSERT INTO TNL_RATING.dbo.usps_rate_master VALUES ('USPS', '2/13/2025', '2/13/2026', 12659, 'US', 'USPS Ground Advantage', 5, 0, 'L', 10.4, 'Wedgewood_USPS_2025', 'Cubic Tier 7 (0.60 - 0.70)','1');</v>
      </c>
    </row>
    <row r="2339" spans="1:14" x14ac:dyDescent="0.3">
      <c r="A2339" t="s">
        <v>11</v>
      </c>
      <c r="B2339" s="1" t="s">
        <v>43</v>
      </c>
      <c r="C2339" s="1" t="s">
        <v>44</v>
      </c>
      <c r="D2339">
        <v>12659</v>
      </c>
      <c r="E2339" t="s">
        <v>12</v>
      </c>
      <c r="F2339" t="s">
        <v>51</v>
      </c>
      <c r="G2339">
        <v>6</v>
      </c>
      <c r="H2339">
        <v>0</v>
      </c>
      <c r="I2339" t="s">
        <v>45</v>
      </c>
      <c r="J2339" cm="1">
        <f t="array" ref="J2339">IFERROR(
    _xlfn.XLOOKUP(G2339, 'Wedgewood Pharm-GA-Yr2-2025'!$E$4:$L$4,
        _xlfn.XLOOKUP('Rate Load'!L2339, 'Wedgewood Pharm-GA-Yr2-2025'!$D$41:$D$50,
            'Wedgewood Pharm-GA-Yr2-2025'!$E$41:$L$50, 0, 0),
        0, 0),
    _xlfn.XLOOKUP(G2339, 'Wedgewood Pharm-GA-Yr2-2025'!$E$4:$L$4,
        _xlfn.XLOOKUP('Rate Load'!L2339, 'Wedgewood Pharm-GA-Yr2-2025'!$D$41:$D$50,
            'Wedgewood Pharm-GA-Yr2-2025'!$E$41:$L$50, 0, 0),
        0, 0)
)</f>
        <v>10.94</v>
      </c>
      <c r="K2339" t="s">
        <v>46</v>
      </c>
      <c r="L2339" t="s">
        <v>38</v>
      </c>
      <c r="M2339">
        <v>1</v>
      </c>
      <c r="N2339" t="str">
        <f t="shared" si="39"/>
        <v>INSERT INTO TNL_RATING.dbo.usps_rate_master VALUES ('USPS', '2/13/2025', '2/13/2026', 12659, 'US', 'USPS Ground Advantage', 6, 0, 'L', 10.94, 'Wedgewood_USPS_2025', 'Cubic Tier 7 (0.60 - 0.70)','1');</v>
      </c>
    </row>
    <row r="2340" spans="1:14" x14ac:dyDescent="0.3">
      <c r="A2340" t="s">
        <v>11</v>
      </c>
      <c r="B2340" s="1" t="s">
        <v>43</v>
      </c>
      <c r="C2340" s="1" t="s">
        <v>44</v>
      </c>
      <c r="D2340">
        <v>12659</v>
      </c>
      <c r="E2340" t="s">
        <v>12</v>
      </c>
      <c r="F2340" t="s">
        <v>51</v>
      </c>
      <c r="G2340">
        <v>7</v>
      </c>
      <c r="H2340">
        <v>0</v>
      </c>
      <c r="I2340" t="s">
        <v>45</v>
      </c>
      <c r="J2340" cm="1">
        <f t="array" ref="J2340">IFERROR(
    _xlfn.XLOOKUP(G2340, 'Wedgewood Pharm-GA-Yr2-2025'!$E$4:$L$4,
        _xlfn.XLOOKUP('Rate Load'!L2340, 'Wedgewood Pharm-GA-Yr2-2025'!$D$41:$D$50,
            'Wedgewood Pharm-GA-Yr2-2025'!$E$41:$L$50, 0, 0),
        0, 0),
    _xlfn.XLOOKUP(G2340, 'Wedgewood Pharm-GA-Yr2-2025'!$E$4:$L$4,
        _xlfn.XLOOKUP('Rate Load'!L2340, 'Wedgewood Pharm-GA-Yr2-2025'!$D$41:$D$50,
            'Wedgewood Pharm-GA-Yr2-2025'!$E$41:$L$50, 0, 0),
        0, 0)
)</f>
        <v>11.79</v>
      </c>
      <c r="K2340" t="s">
        <v>46</v>
      </c>
      <c r="L2340" t="s">
        <v>38</v>
      </c>
      <c r="M2340">
        <v>1</v>
      </c>
      <c r="N2340" t="str">
        <f t="shared" si="39"/>
        <v>INSERT INTO TNL_RATING.dbo.usps_rate_master VALUES ('USPS', '2/13/2025', '2/13/2026', 12659, 'US', 'USPS Ground Advantage', 7, 0, 'L', 11.79, 'Wedgewood_USPS_2025', 'Cubic Tier 7 (0.60 - 0.70)','1');</v>
      </c>
    </row>
    <row r="2341" spans="1:14" x14ac:dyDescent="0.3">
      <c r="A2341" t="s">
        <v>11</v>
      </c>
      <c r="B2341" s="1" t="s">
        <v>43</v>
      </c>
      <c r="C2341" s="1" t="s">
        <v>44</v>
      </c>
      <c r="D2341">
        <v>12659</v>
      </c>
      <c r="E2341" t="s">
        <v>12</v>
      </c>
      <c r="F2341" t="s">
        <v>51</v>
      </c>
      <c r="G2341">
        <v>8</v>
      </c>
      <c r="H2341">
        <v>0</v>
      </c>
      <c r="I2341" t="s">
        <v>45</v>
      </c>
      <c r="J2341" cm="1">
        <f t="array" ref="J2341">IFERROR(
    _xlfn.XLOOKUP(G2341, 'Wedgewood Pharm-GA-Yr2-2025'!$E$4:$L$4,
        _xlfn.XLOOKUP('Rate Load'!L2341, 'Wedgewood Pharm-GA-Yr2-2025'!$D$41:$D$50,
            'Wedgewood Pharm-GA-Yr2-2025'!$E$41:$L$50, 0, 0),
        0, 0),
    _xlfn.XLOOKUP(G2341, 'Wedgewood Pharm-GA-Yr2-2025'!$E$4:$L$4,
        _xlfn.XLOOKUP('Rate Load'!L2341, 'Wedgewood Pharm-GA-Yr2-2025'!$D$41:$D$50,
            'Wedgewood Pharm-GA-Yr2-2025'!$E$41:$L$50, 0, 0),
        0, 0)
)</f>
        <v>12.92</v>
      </c>
      <c r="K2341" t="s">
        <v>46</v>
      </c>
      <c r="L2341" t="s">
        <v>38</v>
      </c>
      <c r="M2341">
        <v>1</v>
      </c>
      <c r="N2341" t="str">
        <f t="shared" si="39"/>
        <v>INSERT INTO TNL_RATING.dbo.usps_rate_master VALUES ('USPS', '2/13/2025', '2/13/2026', 12659, 'US', 'USPS Ground Advantage', 8, 0, 'L', 12.92, 'Wedgewood_USPS_2025', 'Cubic Tier 7 (0.60 - 0.70)','1');</v>
      </c>
    </row>
    <row r="2342" spans="1:14" x14ac:dyDescent="0.3">
      <c r="A2342" t="s">
        <v>11</v>
      </c>
      <c r="B2342" s="1" t="s">
        <v>43</v>
      </c>
      <c r="C2342" s="1" t="s">
        <v>44</v>
      </c>
      <c r="D2342">
        <v>12659</v>
      </c>
      <c r="E2342" t="s">
        <v>12</v>
      </c>
      <c r="F2342" t="s">
        <v>51</v>
      </c>
      <c r="G2342">
        <v>1</v>
      </c>
      <c r="H2342">
        <v>0</v>
      </c>
      <c r="I2342" t="s">
        <v>45</v>
      </c>
      <c r="J2342" cm="1">
        <f t="array" ref="J2342">IFERROR(
    _xlfn.XLOOKUP(G2342, 'Wedgewood Pharm-GA-Yr2-2025'!$E$4:$L$4,
        _xlfn.XLOOKUP('Rate Load'!L2342, 'Wedgewood Pharm-GA-Yr2-2025'!$D$41:$D$50,
            'Wedgewood Pharm-GA-Yr2-2025'!$E$41:$L$50, 0, 0),
        0, 0),
    _xlfn.XLOOKUP(G2342, 'Wedgewood Pharm-GA-Yr2-2025'!$E$4:$L$4,
        _xlfn.XLOOKUP('Rate Load'!L2342, 'Wedgewood Pharm-GA-Yr2-2025'!$D$41:$D$50,
            'Wedgewood Pharm-GA-Yr2-2025'!$E$41:$L$50, 0, 0),
        0, 0)
)</f>
        <v>7.45</v>
      </c>
      <c r="K2342" t="s">
        <v>46</v>
      </c>
      <c r="L2342" t="s">
        <v>39</v>
      </c>
      <c r="M2342">
        <v>1</v>
      </c>
      <c r="N2342" t="str">
        <f t="shared" si="39"/>
        <v>INSERT INTO TNL_RATING.dbo.usps_rate_master VALUES ('USPS', '2/13/2025', '2/13/2026', 12659, 'US', 'USPS Ground Advantage', 1, 0, 'L', 7.45, 'Wedgewood_USPS_2025', 'Cubic Tier 8 (0.70 - 0.80)','1');</v>
      </c>
    </row>
    <row r="2343" spans="1:14" x14ac:dyDescent="0.3">
      <c r="A2343" t="s">
        <v>11</v>
      </c>
      <c r="B2343" s="1" t="s">
        <v>43</v>
      </c>
      <c r="C2343" s="1" t="s">
        <v>44</v>
      </c>
      <c r="D2343">
        <v>12659</v>
      </c>
      <c r="E2343" t="s">
        <v>12</v>
      </c>
      <c r="F2343" t="s">
        <v>51</v>
      </c>
      <c r="G2343">
        <v>2</v>
      </c>
      <c r="H2343">
        <v>0</v>
      </c>
      <c r="I2343" t="s">
        <v>45</v>
      </c>
      <c r="J2343" cm="1">
        <f t="array" ref="J2343">IFERROR(
    _xlfn.XLOOKUP(G2343, 'Wedgewood Pharm-GA-Yr2-2025'!$E$4:$L$4,
        _xlfn.XLOOKUP('Rate Load'!L2343, 'Wedgewood Pharm-GA-Yr2-2025'!$D$41:$D$50,
            'Wedgewood Pharm-GA-Yr2-2025'!$E$41:$L$50, 0, 0),
        0, 0),
    _xlfn.XLOOKUP(G2343, 'Wedgewood Pharm-GA-Yr2-2025'!$E$4:$L$4,
        _xlfn.XLOOKUP('Rate Load'!L2343, 'Wedgewood Pharm-GA-Yr2-2025'!$D$41:$D$50,
            'Wedgewood Pharm-GA-Yr2-2025'!$E$41:$L$50, 0, 0),
        0, 0)
)</f>
        <v>7.67</v>
      </c>
      <c r="K2343" t="s">
        <v>46</v>
      </c>
      <c r="L2343" t="s">
        <v>39</v>
      </c>
      <c r="M2343">
        <v>1</v>
      </c>
      <c r="N2343" t="str">
        <f t="shared" si="39"/>
        <v>INSERT INTO TNL_RATING.dbo.usps_rate_master VALUES ('USPS', '2/13/2025', '2/13/2026', 12659, 'US', 'USPS Ground Advantage', 2, 0, 'L', 7.67, 'Wedgewood_USPS_2025', 'Cubic Tier 8 (0.70 - 0.80)','1');</v>
      </c>
    </row>
    <row r="2344" spans="1:14" x14ac:dyDescent="0.3">
      <c r="A2344" t="s">
        <v>11</v>
      </c>
      <c r="B2344" s="1" t="s">
        <v>43</v>
      </c>
      <c r="C2344" s="1" t="s">
        <v>44</v>
      </c>
      <c r="D2344">
        <v>12659</v>
      </c>
      <c r="E2344" t="s">
        <v>12</v>
      </c>
      <c r="F2344" t="s">
        <v>51</v>
      </c>
      <c r="G2344">
        <v>3</v>
      </c>
      <c r="H2344">
        <v>0</v>
      </c>
      <c r="I2344" t="s">
        <v>45</v>
      </c>
      <c r="J2344" cm="1">
        <f t="array" ref="J2344">IFERROR(
    _xlfn.XLOOKUP(G2344, 'Wedgewood Pharm-GA-Yr2-2025'!$E$4:$L$4,
        _xlfn.XLOOKUP('Rate Load'!L2344, 'Wedgewood Pharm-GA-Yr2-2025'!$D$41:$D$50,
            'Wedgewood Pharm-GA-Yr2-2025'!$E$41:$L$50, 0, 0),
        0, 0),
    _xlfn.XLOOKUP(G2344, 'Wedgewood Pharm-GA-Yr2-2025'!$E$4:$L$4,
        _xlfn.XLOOKUP('Rate Load'!L2344, 'Wedgewood Pharm-GA-Yr2-2025'!$D$41:$D$50,
            'Wedgewood Pharm-GA-Yr2-2025'!$E$41:$L$50, 0, 0),
        0, 0)
)</f>
        <v>8.4700000000000006</v>
      </c>
      <c r="K2344" t="s">
        <v>46</v>
      </c>
      <c r="L2344" t="s">
        <v>39</v>
      </c>
      <c r="M2344">
        <v>1</v>
      </c>
      <c r="N2344" t="str">
        <f t="shared" si="39"/>
        <v>INSERT INTO TNL_RATING.dbo.usps_rate_master VALUES ('USPS', '2/13/2025', '2/13/2026', 12659, 'US', 'USPS Ground Advantage', 3, 0, 'L', 8.47, 'Wedgewood_USPS_2025', 'Cubic Tier 8 (0.70 - 0.80)','1');</v>
      </c>
    </row>
    <row r="2345" spans="1:14" x14ac:dyDescent="0.3">
      <c r="A2345" t="s">
        <v>11</v>
      </c>
      <c r="B2345" s="1" t="s">
        <v>43</v>
      </c>
      <c r="C2345" s="1" t="s">
        <v>44</v>
      </c>
      <c r="D2345">
        <v>12659</v>
      </c>
      <c r="E2345" t="s">
        <v>12</v>
      </c>
      <c r="F2345" t="s">
        <v>51</v>
      </c>
      <c r="G2345">
        <v>4</v>
      </c>
      <c r="H2345">
        <v>0</v>
      </c>
      <c r="I2345" t="s">
        <v>45</v>
      </c>
      <c r="J2345" cm="1">
        <f t="array" ref="J2345">IFERROR(
    _xlfn.XLOOKUP(G2345, 'Wedgewood Pharm-GA-Yr2-2025'!$E$4:$L$4,
        _xlfn.XLOOKUP('Rate Load'!L2345, 'Wedgewood Pharm-GA-Yr2-2025'!$D$41:$D$50,
            'Wedgewood Pharm-GA-Yr2-2025'!$E$41:$L$50, 0, 0),
        0, 0),
    _xlfn.XLOOKUP(G2345, 'Wedgewood Pharm-GA-Yr2-2025'!$E$4:$L$4,
        _xlfn.XLOOKUP('Rate Load'!L2345, 'Wedgewood Pharm-GA-Yr2-2025'!$D$41:$D$50,
            'Wedgewood Pharm-GA-Yr2-2025'!$E$41:$L$50, 0, 0),
        0, 0)
)</f>
        <v>9.31</v>
      </c>
      <c r="K2345" t="s">
        <v>46</v>
      </c>
      <c r="L2345" t="s">
        <v>39</v>
      </c>
      <c r="M2345">
        <v>1</v>
      </c>
      <c r="N2345" t="str">
        <f t="shared" si="39"/>
        <v>INSERT INTO TNL_RATING.dbo.usps_rate_master VALUES ('USPS', '2/13/2025', '2/13/2026', 12659, 'US', 'USPS Ground Advantage', 4, 0, 'L', 9.31, 'Wedgewood_USPS_2025', 'Cubic Tier 8 (0.70 - 0.80)','1');</v>
      </c>
    </row>
    <row r="2346" spans="1:14" x14ac:dyDescent="0.3">
      <c r="A2346" t="s">
        <v>11</v>
      </c>
      <c r="B2346" s="1" t="s">
        <v>43</v>
      </c>
      <c r="C2346" s="1" t="s">
        <v>44</v>
      </c>
      <c r="D2346">
        <v>12659</v>
      </c>
      <c r="E2346" t="s">
        <v>12</v>
      </c>
      <c r="F2346" t="s">
        <v>51</v>
      </c>
      <c r="G2346">
        <v>5</v>
      </c>
      <c r="H2346">
        <v>0</v>
      </c>
      <c r="I2346" t="s">
        <v>45</v>
      </c>
      <c r="J2346" cm="1">
        <f t="array" ref="J2346">IFERROR(
    _xlfn.XLOOKUP(G2346, 'Wedgewood Pharm-GA-Yr2-2025'!$E$4:$L$4,
        _xlfn.XLOOKUP('Rate Load'!L2346, 'Wedgewood Pharm-GA-Yr2-2025'!$D$41:$D$50,
            'Wedgewood Pharm-GA-Yr2-2025'!$E$41:$L$50, 0, 0),
        0, 0),
    _xlfn.XLOOKUP(G2346, 'Wedgewood Pharm-GA-Yr2-2025'!$E$4:$L$4,
        _xlfn.XLOOKUP('Rate Load'!L2346, 'Wedgewood Pharm-GA-Yr2-2025'!$D$41:$D$50,
            'Wedgewood Pharm-GA-Yr2-2025'!$E$41:$L$50, 0, 0),
        0, 0)
)</f>
        <v>10.69</v>
      </c>
      <c r="K2346" t="s">
        <v>46</v>
      </c>
      <c r="L2346" t="s">
        <v>39</v>
      </c>
      <c r="M2346">
        <v>1</v>
      </c>
      <c r="N2346" t="str">
        <f t="shared" si="39"/>
        <v>INSERT INTO TNL_RATING.dbo.usps_rate_master VALUES ('USPS', '2/13/2025', '2/13/2026', 12659, 'US', 'USPS Ground Advantage', 5, 0, 'L', 10.69, 'Wedgewood_USPS_2025', 'Cubic Tier 8 (0.70 - 0.80)','1');</v>
      </c>
    </row>
    <row r="2347" spans="1:14" x14ac:dyDescent="0.3">
      <c r="A2347" t="s">
        <v>11</v>
      </c>
      <c r="B2347" s="1" t="s">
        <v>43</v>
      </c>
      <c r="C2347" s="1" t="s">
        <v>44</v>
      </c>
      <c r="D2347">
        <v>12659</v>
      </c>
      <c r="E2347" t="s">
        <v>12</v>
      </c>
      <c r="F2347" t="s">
        <v>51</v>
      </c>
      <c r="G2347">
        <v>6</v>
      </c>
      <c r="H2347">
        <v>0</v>
      </c>
      <c r="I2347" t="s">
        <v>45</v>
      </c>
      <c r="J2347" cm="1">
        <f t="array" ref="J2347">IFERROR(
    _xlfn.XLOOKUP(G2347, 'Wedgewood Pharm-GA-Yr2-2025'!$E$4:$L$4,
        _xlfn.XLOOKUP('Rate Load'!L2347, 'Wedgewood Pharm-GA-Yr2-2025'!$D$41:$D$50,
            'Wedgewood Pharm-GA-Yr2-2025'!$E$41:$L$50, 0, 0),
        0, 0),
    _xlfn.XLOOKUP(G2347, 'Wedgewood Pharm-GA-Yr2-2025'!$E$4:$L$4,
        _xlfn.XLOOKUP('Rate Load'!L2347, 'Wedgewood Pharm-GA-Yr2-2025'!$D$41:$D$50,
            'Wedgewood Pharm-GA-Yr2-2025'!$E$41:$L$50, 0, 0),
        0, 0)
)</f>
        <v>11.33</v>
      </c>
      <c r="K2347" t="s">
        <v>46</v>
      </c>
      <c r="L2347" t="s">
        <v>39</v>
      </c>
      <c r="M2347">
        <v>1</v>
      </c>
      <c r="N2347" t="str">
        <f t="shared" si="39"/>
        <v>INSERT INTO TNL_RATING.dbo.usps_rate_master VALUES ('USPS', '2/13/2025', '2/13/2026', 12659, 'US', 'USPS Ground Advantage', 6, 0, 'L', 11.33, 'Wedgewood_USPS_2025', 'Cubic Tier 8 (0.70 - 0.80)','1');</v>
      </c>
    </row>
    <row r="2348" spans="1:14" x14ac:dyDescent="0.3">
      <c r="A2348" t="s">
        <v>11</v>
      </c>
      <c r="B2348" s="1" t="s">
        <v>43</v>
      </c>
      <c r="C2348" s="1" t="s">
        <v>44</v>
      </c>
      <c r="D2348">
        <v>12659</v>
      </c>
      <c r="E2348" t="s">
        <v>12</v>
      </c>
      <c r="F2348" t="s">
        <v>51</v>
      </c>
      <c r="G2348">
        <v>7</v>
      </c>
      <c r="H2348">
        <v>0</v>
      </c>
      <c r="I2348" t="s">
        <v>45</v>
      </c>
      <c r="J2348" cm="1">
        <f t="array" ref="J2348">IFERROR(
    _xlfn.XLOOKUP(G2348, 'Wedgewood Pharm-GA-Yr2-2025'!$E$4:$L$4,
        _xlfn.XLOOKUP('Rate Load'!L2348, 'Wedgewood Pharm-GA-Yr2-2025'!$D$41:$D$50,
            'Wedgewood Pharm-GA-Yr2-2025'!$E$41:$L$50, 0, 0),
        0, 0),
    _xlfn.XLOOKUP(G2348, 'Wedgewood Pharm-GA-Yr2-2025'!$E$4:$L$4,
        _xlfn.XLOOKUP('Rate Load'!L2348, 'Wedgewood Pharm-GA-Yr2-2025'!$D$41:$D$50,
            'Wedgewood Pharm-GA-Yr2-2025'!$E$41:$L$50, 0, 0),
        0, 0)
)</f>
        <v>12.22</v>
      </c>
      <c r="K2348" t="s">
        <v>46</v>
      </c>
      <c r="L2348" t="s">
        <v>39</v>
      </c>
      <c r="M2348">
        <v>1</v>
      </c>
      <c r="N2348" t="str">
        <f t="shared" si="39"/>
        <v>INSERT INTO TNL_RATING.dbo.usps_rate_master VALUES ('USPS', '2/13/2025', '2/13/2026', 12659, 'US', 'USPS Ground Advantage', 7, 0, 'L', 12.22, 'Wedgewood_USPS_2025', 'Cubic Tier 8 (0.70 - 0.80)','1');</v>
      </c>
    </row>
    <row r="2349" spans="1:14" x14ac:dyDescent="0.3">
      <c r="A2349" t="s">
        <v>11</v>
      </c>
      <c r="B2349" s="1" t="s">
        <v>43</v>
      </c>
      <c r="C2349" s="1" t="s">
        <v>44</v>
      </c>
      <c r="D2349">
        <v>12659</v>
      </c>
      <c r="E2349" t="s">
        <v>12</v>
      </c>
      <c r="F2349" t="s">
        <v>51</v>
      </c>
      <c r="G2349">
        <v>8</v>
      </c>
      <c r="H2349">
        <v>0</v>
      </c>
      <c r="I2349" t="s">
        <v>45</v>
      </c>
      <c r="J2349" cm="1">
        <f t="array" ref="J2349">IFERROR(
    _xlfn.XLOOKUP(G2349, 'Wedgewood Pharm-GA-Yr2-2025'!$E$4:$L$4,
        _xlfn.XLOOKUP('Rate Load'!L2349, 'Wedgewood Pharm-GA-Yr2-2025'!$D$41:$D$50,
            'Wedgewood Pharm-GA-Yr2-2025'!$E$41:$L$50, 0, 0),
        0, 0),
    _xlfn.XLOOKUP(G2349, 'Wedgewood Pharm-GA-Yr2-2025'!$E$4:$L$4,
        _xlfn.XLOOKUP('Rate Load'!L2349, 'Wedgewood Pharm-GA-Yr2-2025'!$D$41:$D$50,
            'Wedgewood Pharm-GA-Yr2-2025'!$E$41:$L$50, 0, 0),
        0, 0)
)</f>
        <v>13.45</v>
      </c>
      <c r="K2349" t="s">
        <v>46</v>
      </c>
      <c r="L2349" t="s">
        <v>39</v>
      </c>
      <c r="M2349">
        <v>1</v>
      </c>
      <c r="N2349" t="str">
        <f t="shared" si="39"/>
        <v>INSERT INTO TNL_RATING.dbo.usps_rate_master VALUES ('USPS', '2/13/2025', '2/13/2026', 12659, 'US', 'USPS Ground Advantage', 8, 0, 'L', 13.45, 'Wedgewood_USPS_2025', 'Cubic Tier 8 (0.70 - 0.80)','1');</v>
      </c>
    </row>
    <row r="2350" spans="1:14" x14ac:dyDescent="0.3">
      <c r="A2350" t="s">
        <v>11</v>
      </c>
      <c r="B2350" s="1" t="s">
        <v>43</v>
      </c>
      <c r="C2350" s="1" t="s">
        <v>44</v>
      </c>
      <c r="D2350">
        <v>12659</v>
      </c>
      <c r="E2350" t="s">
        <v>12</v>
      </c>
      <c r="F2350" t="s">
        <v>51</v>
      </c>
      <c r="G2350">
        <v>1</v>
      </c>
      <c r="H2350">
        <v>0</v>
      </c>
      <c r="I2350" t="s">
        <v>45</v>
      </c>
      <c r="J2350" cm="1">
        <f t="array" ref="J2350">IFERROR(
    _xlfn.XLOOKUP(G2350, 'Wedgewood Pharm-GA-Yr2-2025'!$E$4:$L$4,
        _xlfn.XLOOKUP('Rate Load'!L2350, 'Wedgewood Pharm-GA-Yr2-2025'!$D$41:$D$50,
            'Wedgewood Pharm-GA-Yr2-2025'!$E$41:$L$50, 0, 0),
        0, 0),
    _xlfn.XLOOKUP(G2350, 'Wedgewood Pharm-GA-Yr2-2025'!$E$4:$L$4,
        _xlfn.XLOOKUP('Rate Load'!L2350, 'Wedgewood Pharm-GA-Yr2-2025'!$D$41:$D$50,
            'Wedgewood Pharm-GA-Yr2-2025'!$E$41:$L$50, 0, 0),
        0, 0)
)</f>
        <v>7.85</v>
      </c>
      <c r="K2350" t="s">
        <v>46</v>
      </c>
      <c r="L2350" t="s">
        <v>40</v>
      </c>
      <c r="M2350">
        <v>1</v>
      </c>
      <c r="N2350" t="str">
        <f t="shared" si="39"/>
        <v>INSERT INTO TNL_RATING.dbo.usps_rate_master VALUES ('USPS', '2/13/2025', '2/13/2026', 12659, 'US', 'USPS Ground Advantage', 1, 0, 'L', 7.85, 'Wedgewood_USPS_2025', 'Cubic Tier 9 (0.80 - 0.90)','1');</v>
      </c>
    </row>
    <row r="2351" spans="1:14" x14ac:dyDescent="0.3">
      <c r="A2351" t="s">
        <v>11</v>
      </c>
      <c r="B2351" s="1" t="s">
        <v>43</v>
      </c>
      <c r="C2351" s="1" t="s">
        <v>44</v>
      </c>
      <c r="D2351">
        <v>12659</v>
      </c>
      <c r="E2351" t="s">
        <v>12</v>
      </c>
      <c r="F2351" t="s">
        <v>51</v>
      </c>
      <c r="G2351">
        <v>2</v>
      </c>
      <c r="H2351">
        <v>0</v>
      </c>
      <c r="I2351" t="s">
        <v>45</v>
      </c>
      <c r="J2351" cm="1">
        <f t="array" ref="J2351">IFERROR(
    _xlfn.XLOOKUP(G2351, 'Wedgewood Pharm-GA-Yr2-2025'!$E$4:$L$4,
        _xlfn.XLOOKUP('Rate Load'!L2351, 'Wedgewood Pharm-GA-Yr2-2025'!$D$41:$D$50,
            'Wedgewood Pharm-GA-Yr2-2025'!$E$41:$L$50, 0, 0),
        0, 0),
    _xlfn.XLOOKUP(G2351, 'Wedgewood Pharm-GA-Yr2-2025'!$E$4:$L$4,
        _xlfn.XLOOKUP('Rate Load'!L2351, 'Wedgewood Pharm-GA-Yr2-2025'!$D$41:$D$50,
            'Wedgewood Pharm-GA-Yr2-2025'!$E$41:$L$50, 0, 0),
        0, 0)
)</f>
        <v>8.11</v>
      </c>
      <c r="K2351" t="s">
        <v>46</v>
      </c>
      <c r="L2351" t="s">
        <v>40</v>
      </c>
      <c r="M2351">
        <v>1</v>
      </c>
      <c r="N2351" t="str">
        <f t="shared" si="39"/>
        <v>INSERT INTO TNL_RATING.dbo.usps_rate_master VALUES ('USPS', '2/13/2025', '2/13/2026', 12659, 'US', 'USPS Ground Advantage', 2, 0, 'L', 8.11, 'Wedgewood_USPS_2025', 'Cubic Tier 9 (0.80 - 0.90)','1');</v>
      </c>
    </row>
    <row r="2352" spans="1:14" x14ac:dyDescent="0.3">
      <c r="A2352" t="s">
        <v>11</v>
      </c>
      <c r="B2352" s="1" t="s">
        <v>43</v>
      </c>
      <c r="C2352" s="1" t="s">
        <v>44</v>
      </c>
      <c r="D2352">
        <v>12659</v>
      </c>
      <c r="E2352" t="s">
        <v>12</v>
      </c>
      <c r="F2352" t="s">
        <v>51</v>
      </c>
      <c r="G2352">
        <v>3</v>
      </c>
      <c r="H2352">
        <v>0</v>
      </c>
      <c r="I2352" t="s">
        <v>45</v>
      </c>
      <c r="J2352" cm="1">
        <f t="array" ref="J2352">IFERROR(
    _xlfn.XLOOKUP(G2352, 'Wedgewood Pharm-GA-Yr2-2025'!$E$4:$L$4,
        _xlfn.XLOOKUP('Rate Load'!L2352, 'Wedgewood Pharm-GA-Yr2-2025'!$D$41:$D$50,
            'Wedgewood Pharm-GA-Yr2-2025'!$E$41:$L$50, 0, 0),
        0, 0),
    _xlfn.XLOOKUP(G2352, 'Wedgewood Pharm-GA-Yr2-2025'!$E$4:$L$4,
        _xlfn.XLOOKUP('Rate Load'!L2352, 'Wedgewood Pharm-GA-Yr2-2025'!$D$41:$D$50,
            'Wedgewood Pharm-GA-Yr2-2025'!$E$41:$L$50, 0, 0),
        0, 0)
)</f>
        <v>8.7899999999999991</v>
      </c>
      <c r="K2352" t="s">
        <v>46</v>
      </c>
      <c r="L2352" t="s">
        <v>40</v>
      </c>
      <c r="M2352">
        <v>1</v>
      </c>
      <c r="N2352" t="str">
        <f t="shared" si="39"/>
        <v>INSERT INTO TNL_RATING.dbo.usps_rate_master VALUES ('USPS', '2/13/2025', '2/13/2026', 12659, 'US', 'USPS Ground Advantage', 3, 0, 'L', 8.79, 'Wedgewood_USPS_2025', 'Cubic Tier 9 (0.80 - 0.90)','1');</v>
      </c>
    </row>
    <row r="2353" spans="1:14" x14ac:dyDescent="0.3">
      <c r="A2353" t="s">
        <v>11</v>
      </c>
      <c r="B2353" s="1" t="s">
        <v>43</v>
      </c>
      <c r="C2353" s="1" t="s">
        <v>44</v>
      </c>
      <c r="D2353">
        <v>12659</v>
      </c>
      <c r="E2353" t="s">
        <v>12</v>
      </c>
      <c r="F2353" t="s">
        <v>51</v>
      </c>
      <c r="G2353">
        <v>4</v>
      </c>
      <c r="H2353">
        <v>0</v>
      </c>
      <c r="I2353" t="s">
        <v>45</v>
      </c>
      <c r="J2353" cm="1">
        <f t="array" ref="J2353">IFERROR(
    _xlfn.XLOOKUP(G2353, 'Wedgewood Pharm-GA-Yr2-2025'!$E$4:$L$4,
        _xlfn.XLOOKUP('Rate Load'!L2353, 'Wedgewood Pharm-GA-Yr2-2025'!$D$41:$D$50,
            'Wedgewood Pharm-GA-Yr2-2025'!$E$41:$L$50, 0, 0),
        0, 0),
    _xlfn.XLOOKUP(G2353, 'Wedgewood Pharm-GA-Yr2-2025'!$E$4:$L$4,
        _xlfn.XLOOKUP('Rate Load'!L2353, 'Wedgewood Pharm-GA-Yr2-2025'!$D$41:$D$50,
            'Wedgewood Pharm-GA-Yr2-2025'!$E$41:$L$50, 0, 0),
        0, 0)
)</f>
        <v>9.7999999999999989</v>
      </c>
      <c r="K2353" t="s">
        <v>46</v>
      </c>
      <c r="L2353" t="s">
        <v>40</v>
      </c>
      <c r="M2353">
        <v>1</v>
      </c>
      <c r="N2353" t="str">
        <f t="shared" si="39"/>
        <v>INSERT INTO TNL_RATING.dbo.usps_rate_master VALUES ('USPS', '2/13/2025', '2/13/2026', 12659, 'US', 'USPS Ground Advantage', 4, 0, 'L', 9.8, 'Wedgewood_USPS_2025', 'Cubic Tier 9 (0.80 - 0.90)','1');</v>
      </c>
    </row>
    <row r="2354" spans="1:14" x14ac:dyDescent="0.3">
      <c r="A2354" t="s">
        <v>11</v>
      </c>
      <c r="B2354" s="1" t="s">
        <v>43</v>
      </c>
      <c r="C2354" s="1" t="s">
        <v>44</v>
      </c>
      <c r="D2354">
        <v>12659</v>
      </c>
      <c r="E2354" t="s">
        <v>12</v>
      </c>
      <c r="F2354" t="s">
        <v>51</v>
      </c>
      <c r="G2354">
        <v>5</v>
      </c>
      <c r="H2354">
        <v>0</v>
      </c>
      <c r="I2354" t="s">
        <v>45</v>
      </c>
      <c r="J2354" cm="1">
        <f t="array" ref="J2354">IFERROR(
    _xlfn.XLOOKUP(G2354, 'Wedgewood Pharm-GA-Yr2-2025'!$E$4:$L$4,
        _xlfn.XLOOKUP('Rate Load'!L2354, 'Wedgewood Pharm-GA-Yr2-2025'!$D$41:$D$50,
            'Wedgewood Pharm-GA-Yr2-2025'!$E$41:$L$50, 0, 0),
        0, 0),
    _xlfn.XLOOKUP(G2354, 'Wedgewood Pharm-GA-Yr2-2025'!$E$4:$L$4,
        _xlfn.XLOOKUP('Rate Load'!L2354, 'Wedgewood Pharm-GA-Yr2-2025'!$D$41:$D$50,
            'Wedgewood Pharm-GA-Yr2-2025'!$E$41:$L$50, 0, 0),
        0, 0)
)</f>
        <v>10.89</v>
      </c>
      <c r="K2354" t="s">
        <v>46</v>
      </c>
      <c r="L2354" t="s">
        <v>40</v>
      </c>
      <c r="M2354">
        <v>1</v>
      </c>
      <c r="N2354" t="str">
        <f t="shared" si="39"/>
        <v>INSERT INTO TNL_RATING.dbo.usps_rate_master VALUES ('USPS', '2/13/2025', '2/13/2026', 12659, 'US', 'USPS Ground Advantage', 5, 0, 'L', 10.89, 'Wedgewood_USPS_2025', 'Cubic Tier 9 (0.80 - 0.90)','1');</v>
      </c>
    </row>
    <row r="2355" spans="1:14" x14ac:dyDescent="0.3">
      <c r="A2355" t="s">
        <v>11</v>
      </c>
      <c r="B2355" s="1" t="s">
        <v>43</v>
      </c>
      <c r="C2355" s="1" t="s">
        <v>44</v>
      </c>
      <c r="D2355">
        <v>12659</v>
      </c>
      <c r="E2355" t="s">
        <v>12</v>
      </c>
      <c r="F2355" t="s">
        <v>51</v>
      </c>
      <c r="G2355">
        <v>6</v>
      </c>
      <c r="H2355">
        <v>0</v>
      </c>
      <c r="I2355" t="s">
        <v>45</v>
      </c>
      <c r="J2355" cm="1">
        <f t="array" ref="J2355">IFERROR(
    _xlfn.XLOOKUP(G2355, 'Wedgewood Pharm-GA-Yr2-2025'!$E$4:$L$4,
        _xlfn.XLOOKUP('Rate Load'!L2355, 'Wedgewood Pharm-GA-Yr2-2025'!$D$41:$D$50,
            'Wedgewood Pharm-GA-Yr2-2025'!$E$41:$L$50, 0, 0),
        0, 0),
    _xlfn.XLOOKUP(G2355, 'Wedgewood Pharm-GA-Yr2-2025'!$E$4:$L$4,
        _xlfn.XLOOKUP('Rate Load'!L2355, 'Wedgewood Pharm-GA-Yr2-2025'!$D$41:$D$50,
            'Wedgewood Pharm-GA-Yr2-2025'!$E$41:$L$50, 0, 0),
        0, 0)
)</f>
        <v>11.65</v>
      </c>
      <c r="K2355" t="s">
        <v>46</v>
      </c>
      <c r="L2355" t="s">
        <v>40</v>
      </c>
      <c r="M2355">
        <v>1</v>
      </c>
      <c r="N2355" t="str">
        <f t="shared" si="39"/>
        <v>INSERT INTO TNL_RATING.dbo.usps_rate_master VALUES ('USPS', '2/13/2025', '2/13/2026', 12659, 'US', 'USPS Ground Advantage', 6, 0, 'L', 11.65, 'Wedgewood_USPS_2025', 'Cubic Tier 9 (0.80 - 0.90)','1');</v>
      </c>
    </row>
    <row r="2356" spans="1:14" x14ac:dyDescent="0.3">
      <c r="A2356" t="s">
        <v>11</v>
      </c>
      <c r="B2356" s="1" t="s">
        <v>43</v>
      </c>
      <c r="C2356" s="1" t="s">
        <v>44</v>
      </c>
      <c r="D2356">
        <v>12659</v>
      </c>
      <c r="E2356" t="s">
        <v>12</v>
      </c>
      <c r="F2356" t="s">
        <v>51</v>
      </c>
      <c r="G2356">
        <v>7</v>
      </c>
      <c r="H2356">
        <v>0</v>
      </c>
      <c r="I2356" t="s">
        <v>45</v>
      </c>
      <c r="J2356" cm="1">
        <f t="array" ref="J2356">IFERROR(
    _xlfn.XLOOKUP(G2356, 'Wedgewood Pharm-GA-Yr2-2025'!$E$4:$L$4,
        _xlfn.XLOOKUP('Rate Load'!L2356, 'Wedgewood Pharm-GA-Yr2-2025'!$D$41:$D$50,
            'Wedgewood Pharm-GA-Yr2-2025'!$E$41:$L$50, 0, 0),
        0, 0),
    _xlfn.XLOOKUP(G2356, 'Wedgewood Pharm-GA-Yr2-2025'!$E$4:$L$4,
        _xlfn.XLOOKUP('Rate Load'!L2356, 'Wedgewood Pharm-GA-Yr2-2025'!$D$41:$D$50,
            'Wedgewood Pharm-GA-Yr2-2025'!$E$41:$L$50, 0, 0),
        0, 0)
)</f>
        <v>12.709999999999999</v>
      </c>
      <c r="K2356" t="s">
        <v>46</v>
      </c>
      <c r="L2356" t="s">
        <v>40</v>
      </c>
      <c r="M2356">
        <v>1</v>
      </c>
      <c r="N2356" t="str">
        <f t="shared" si="39"/>
        <v>INSERT INTO TNL_RATING.dbo.usps_rate_master VALUES ('USPS', '2/13/2025', '2/13/2026', 12659, 'US', 'USPS Ground Advantage', 7, 0, 'L', 12.71, 'Wedgewood_USPS_2025', 'Cubic Tier 9 (0.80 - 0.90)','1');</v>
      </c>
    </row>
    <row r="2357" spans="1:14" x14ac:dyDescent="0.3">
      <c r="A2357" t="s">
        <v>11</v>
      </c>
      <c r="B2357" s="1" t="s">
        <v>43</v>
      </c>
      <c r="C2357" s="1" t="s">
        <v>44</v>
      </c>
      <c r="D2357">
        <v>12659</v>
      </c>
      <c r="E2357" t="s">
        <v>12</v>
      </c>
      <c r="F2357" t="s">
        <v>51</v>
      </c>
      <c r="G2357">
        <v>8</v>
      </c>
      <c r="H2357">
        <v>0</v>
      </c>
      <c r="I2357" t="s">
        <v>45</v>
      </c>
      <c r="J2357" cm="1">
        <f t="array" ref="J2357">IFERROR(
    _xlfn.XLOOKUP(G2357, 'Wedgewood Pharm-GA-Yr2-2025'!$E$4:$L$4,
        _xlfn.XLOOKUP('Rate Load'!L2357, 'Wedgewood Pharm-GA-Yr2-2025'!$D$41:$D$50,
            'Wedgewood Pharm-GA-Yr2-2025'!$E$41:$L$50, 0, 0),
        0, 0),
    _xlfn.XLOOKUP(G2357, 'Wedgewood Pharm-GA-Yr2-2025'!$E$4:$L$4,
        _xlfn.XLOOKUP('Rate Load'!L2357, 'Wedgewood Pharm-GA-Yr2-2025'!$D$41:$D$50,
            'Wedgewood Pharm-GA-Yr2-2025'!$E$41:$L$50, 0, 0),
        0, 0)
)</f>
        <v>14.11</v>
      </c>
      <c r="K2357" t="s">
        <v>46</v>
      </c>
      <c r="L2357" t="s">
        <v>40</v>
      </c>
      <c r="M2357">
        <v>1</v>
      </c>
      <c r="N2357" t="str">
        <f t="shared" si="39"/>
        <v>INSERT INTO TNL_RATING.dbo.usps_rate_master VALUES ('USPS', '2/13/2025', '2/13/2026', 12659, 'US', 'USPS Ground Advantage', 8, 0, 'L', 14.11, 'Wedgewood_USPS_2025', 'Cubic Tier 9 (0.80 - 0.90)','1');</v>
      </c>
    </row>
    <row r="2358" spans="1:14" x14ac:dyDescent="0.3">
      <c r="A2358" t="s">
        <v>11</v>
      </c>
      <c r="B2358" s="1" t="s">
        <v>43</v>
      </c>
      <c r="C2358" s="1" t="s">
        <v>44</v>
      </c>
      <c r="D2358">
        <v>12659</v>
      </c>
      <c r="E2358" t="s">
        <v>12</v>
      </c>
      <c r="F2358" t="s">
        <v>51</v>
      </c>
      <c r="G2358">
        <v>1</v>
      </c>
      <c r="H2358">
        <v>0</v>
      </c>
      <c r="I2358" t="s">
        <v>45</v>
      </c>
      <c r="J2358" cm="1">
        <f t="array" ref="J2358">IFERROR(
    _xlfn.XLOOKUP(G2358, 'Wedgewood Pharm-GA-Yr2-2025'!$E$4:$L$4,
        _xlfn.XLOOKUP('Rate Load'!L2358, 'Wedgewood Pharm-GA-Yr2-2025'!$D$41:$D$50,
            'Wedgewood Pharm-GA-Yr2-2025'!$E$41:$L$50, 0, 0),
        0, 0),
    _xlfn.XLOOKUP(G2358, 'Wedgewood Pharm-GA-Yr2-2025'!$E$4:$L$4,
        _xlfn.XLOOKUP('Rate Load'!L2358, 'Wedgewood Pharm-GA-Yr2-2025'!$D$41:$D$50,
            'Wedgewood Pharm-GA-Yr2-2025'!$E$41:$L$50, 0, 0),
        0, 0)
)</f>
        <v>8.16</v>
      </c>
      <c r="K2358" t="s">
        <v>46</v>
      </c>
      <c r="L2358" t="s">
        <v>41</v>
      </c>
      <c r="M2358">
        <v>1</v>
      </c>
      <c r="N2358" t="str">
        <f t="shared" si="39"/>
        <v>INSERT INTO TNL_RATING.dbo.usps_rate_master VALUES ('USPS', '2/13/2025', '2/13/2026', 12659, 'US', 'USPS Ground Advantage', 1, 0, 'L', 8.16, 'Wedgewood_USPS_2025', 'Cubic Tier 10 (0.90 - 1.00)','1');</v>
      </c>
    </row>
    <row r="2359" spans="1:14" x14ac:dyDescent="0.3">
      <c r="A2359" t="s">
        <v>11</v>
      </c>
      <c r="B2359" s="1" t="s">
        <v>43</v>
      </c>
      <c r="C2359" s="1" t="s">
        <v>44</v>
      </c>
      <c r="D2359">
        <v>12659</v>
      </c>
      <c r="E2359" t="s">
        <v>12</v>
      </c>
      <c r="F2359" t="s">
        <v>51</v>
      </c>
      <c r="G2359">
        <v>2</v>
      </c>
      <c r="H2359">
        <v>0</v>
      </c>
      <c r="I2359" t="s">
        <v>45</v>
      </c>
      <c r="J2359" cm="1">
        <f t="array" ref="J2359">IFERROR(
    _xlfn.XLOOKUP(G2359, 'Wedgewood Pharm-GA-Yr2-2025'!$E$4:$L$4,
        _xlfn.XLOOKUP('Rate Load'!L2359, 'Wedgewood Pharm-GA-Yr2-2025'!$D$41:$D$50,
            'Wedgewood Pharm-GA-Yr2-2025'!$E$41:$L$50, 0, 0),
        0, 0),
    _xlfn.XLOOKUP(G2359, 'Wedgewood Pharm-GA-Yr2-2025'!$E$4:$L$4,
        _xlfn.XLOOKUP('Rate Load'!L2359, 'Wedgewood Pharm-GA-Yr2-2025'!$D$41:$D$50,
            'Wedgewood Pharm-GA-Yr2-2025'!$E$41:$L$50, 0, 0),
        0, 0)
)</f>
        <v>8.44</v>
      </c>
      <c r="K2359" t="s">
        <v>46</v>
      </c>
      <c r="L2359" t="s">
        <v>41</v>
      </c>
      <c r="M2359">
        <v>1</v>
      </c>
      <c r="N2359" t="str">
        <f t="shared" si="39"/>
        <v>INSERT INTO TNL_RATING.dbo.usps_rate_master VALUES ('USPS', '2/13/2025', '2/13/2026', 12659, 'US', 'USPS Ground Advantage', 2, 0, 'L', 8.44, 'Wedgewood_USPS_2025', 'Cubic Tier 10 (0.90 - 1.00)','1');</v>
      </c>
    </row>
    <row r="2360" spans="1:14" x14ac:dyDescent="0.3">
      <c r="A2360" t="s">
        <v>11</v>
      </c>
      <c r="B2360" s="1" t="s">
        <v>43</v>
      </c>
      <c r="C2360" s="1" t="s">
        <v>44</v>
      </c>
      <c r="D2360">
        <v>12659</v>
      </c>
      <c r="E2360" t="s">
        <v>12</v>
      </c>
      <c r="F2360" t="s">
        <v>51</v>
      </c>
      <c r="G2360">
        <v>3</v>
      </c>
      <c r="H2360">
        <v>0</v>
      </c>
      <c r="I2360" t="s">
        <v>45</v>
      </c>
      <c r="J2360" cm="1">
        <f t="array" ref="J2360">IFERROR(
    _xlfn.XLOOKUP(G2360, 'Wedgewood Pharm-GA-Yr2-2025'!$E$4:$L$4,
        _xlfn.XLOOKUP('Rate Load'!L2360, 'Wedgewood Pharm-GA-Yr2-2025'!$D$41:$D$50,
            'Wedgewood Pharm-GA-Yr2-2025'!$E$41:$L$50, 0, 0),
        0, 0),
    _xlfn.XLOOKUP(G2360, 'Wedgewood Pharm-GA-Yr2-2025'!$E$4:$L$4,
        _xlfn.XLOOKUP('Rate Load'!L2360, 'Wedgewood Pharm-GA-Yr2-2025'!$D$41:$D$50,
            'Wedgewood Pharm-GA-Yr2-2025'!$E$41:$L$50, 0, 0),
        0, 0)
)</f>
        <v>9.14</v>
      </c>
      <c r="K2360" t="s">
        <v>46</v>
      </c>
      <c r="L2360" t="s">
        <v>41</v>
      </c>
      <c r="M2360">
        <v>1</v>
      </c>
      <c r="N2360" t="str">
        <f t="shared" si="39"/>
        <v>INSERT INTO TNL_RATING.dbo.usps_rate_master VALUES ('USPS', '2/13/2025', '2/13/2026', 12659, 'US', 'USPS Ground Advantage', 3, 0, 'L', 9.14, 'Wedgewood_USPS_2025', 'Cubic Tier 10 (0.90 - 1.00)','1');</v>
      </c>
    </row>
    <row r="2361" spans="1:14" x14ac:dyDescent="0.3">
      <c r="A2361" t="s">
        <v>11</v>
      </c>
      <c r="B2361" s="1" t="s">
        <v>43</v>
      </c>
      <c r="C2361" s="1" t="s">
        <v>44</v>
      </c>
      <c r="D2361">
        <v>12659</v>
      </c>
      <c r="E2361" t="s">
        <v>12</v>
      </c>
      <c r="F2361" t="s">
        <v>51</v>
      </c>
      <c r="G2361">
        <v>4</v>
      </c>
      <c r="H2361">
        <v>0</v>
      </c>
      <c r="I2361" t="s">
        <v>45</v>
      </c>
      <c r="J2361" cm="1">
        <f t="array" ref="J2361">IFERROR(
    _xlfn.XLOOKUP(G2361, 'Wedgewood Pharm-GA-Yr2-2025'!$E$4:$L$4,
        _xlfn.XLOOKUP('Rate Load'!L2361, 'Wedgewood Pharm-GA-Yr2-2025'!$D$41:$D$50,
            'Wedgewood Pharm-GA-Yr2-2025'!$E$41:$L$50, 0, 0),
        0, 0),
    _xlfn.XLOOKUP(G2361, 'Wedgewood Pharm-GA-Yr2-2025'!$E$4:$L$4,
        _xlfn.XLOOKUP('Rate Load'!L2361, 'Wedgewood Pharm-GA-Yr2-2025'!$D$41:$D$50,
            'Wedgewood Pharm-GA-Yr2-2025'!$E$41:$L$50, 0, 0),
        0, 0)
)</f>
        <v>9.98</v>
      </c>
      <c r="K2361" t="s">
        <v>46</v>
      </c>
      <c r="L2361" t="s">
        <v>41</v>
      </c>
      <c r="M2361">
        <v>1</v>
      </c>
      <c r="N2361" t="str">
        <f t="shared" si="39"/>
        <v>INSERT INTO TNL_RATING.dbo.usps_rate_master VALUES ('USPS', '2/13/2025', '2/13/2026', 12659, 'US', 'USPS Ground Advantage', 4, 0, 'L', 9.98, 'Wedgewood_USPS_2025', 'Cubic Tier 10 (0.90 - 1.00)','1');</v>
      </c>
    </row>
    <row r="2362" spans="1:14" x14ac:dyDescent="0.3">
      <c r="A2362" t="s">
        <v>11</v>
      </c>
      <c r="B2362" s="1" t="s">
        <v>43</v>
      </c>
      <c r="C2362" s="1" t="s">
        <v>44</v>
      </c>
      <c r="D2362">
        <v>12659</v>
      </c>
      <c r="E2362" t="s">
        <v>12</v>
      </c>
      <c r="F2362" t="s">
        <v>51</v>
      </c>
      <c r="G2362">
        <v>5</v>
      </c>
      <c r="H2362">
        <v>0</v>
      </c>
      <c r="I2362" t="s">
        <v>45</v>
      </c>
      <c r="J2362" cm="1">
        <f t="array" ref="J2362">IFERROR(
    _xlfn.XLOOKUP(G2362, 'Wedgewood Pharm-GA-Yr2-2025'!$E$4:$L$4,
        _xlfn.XLOOKUP('Rate Load'!L2362, 'Wedgewood Pharm-GA-Yr2-2025'!$D$41:$D$50,
            'Wedgewood Pharm-GA-Yr2-2025'!$E$41:$L$50, 0, 0),
        0, 0),
    _xlfn.XLOOKUP(G2362, 'Wedgewood Pharm-GA-Yr2-2025'!$E$4:$L$4,
        _xlfn.XLOOKUP('Rate Load'!L2362, 'Wedgewood Pharm-GA-Yr2-2025'!$D$41:$D$50,
            'Wedgewood Pharm-GA-Yr2-2025'!$E$41:$L$50, 0, 0),
        0, 0)
)</f>
        <v>11.17</v>
      </c>
      <c r="K2362" t="s">
        <v>46</v>
      </c>
      <c r="L2362" t="s">
        <v>41</v>
      </c>
      <c r="M2362">
        <v>1</v>
      </c>
      <c r="N2362" t="str">
        <f t="shared" si="39"/>
        <v>INSERT INTO TNL_RATING.dbo.usps_rate_master VALUES ('USPS', '2/13/2025', '2/13/2026', 12659, 'US', 'USPS Ground Advantage', 5, 0, 'L', 11.17, 'Wedgewood_USPS_2025', 'Cubic Tier 10 (0.90 - 1.00)','1');</v>
      </c>
    </row>
    <row r="2363" spans="1:14" x14ac:dyDescent="0.3">
      <c r="A2363" t="s">
        <v>11</v>
      </c>
      <c r="B2363" s="1" t="s">
        <v>43</v>
      </c>
      <c r="C2363" s="1" t="s">
        <v>44</v>
      </c>
      <c r="D2363">
        <v>12659</v>
      </c>
      <c r="E2363" t="s">
        <v>12</v>
      </c>
      <c r="F2363" t="s">
        <v>51</v>
      </c>
      <c r="G2363">
        <v>6</v>
      </c>
      <c r="H2363">
        <v>0</v>
      </c>
      <c r="I2363" t="s">
        <v>45</v>
      </c>
      <c r="J2363" cm="1">
        <f t="array" ref="J2363">IFERROR(
    _xlfn.XLOOKUP(G2363, 'Wedgewood Pharm-GA-Yr2-2025'!$E$4:$L$4,
        _xlfn.XLOOKUP('Rate Load'!L2363, 'Wedgewood Pharm-GA-Yr2-2025'!$D$41:$D$50,
            'Wedgewood Pharm-GA-Yr2-2025'!$E$41:$L$50, 0, 0),
        0, 0),
    _xlfn.XLOOKUP(G2363, 'Wedgewood Pharm-GA-Yr2-2025'!$E$4:$L$4,
        _xlfn.XLOOKUP('Rate Load'!L2363, 'Wedgewood Pharm-GA-Yr2-2025'!$D$41:$D$50,
            'Wedgewood Pharm-GA-Yr2-2025'!$E$41:$L$50, 0, 0),
        0, 0)
)</f>
        <v>11.959999999999999</v>
      </c>
      <c r="K2363" t="s">
        <v>46</v>
      </c>
      <c r="L2363" t="s">
        <v>41</v>
      </c>
      <c r="M2363">
        <v>1</v>
      </c>
      <c r="N2363" t="str">
        <f t="shared" si="39"/>
        <v>INSERT INTO TNL_RATING.dbo.usps_rate_master VALUES ('USPS', '2/13/2025', '2/13/2026', 12659, 'US', 'USPS Ground Advantage', 6, 0, 'L', 11.96, 'Wedgewood_USPS_2025', 'Cubic Tier 10 (0.90 - 1.00)','1');</v>
      </c>
    </row>
    <row r="2364" spans="1:14" x14ac:dyDescent="0.3">
      <c r="A2364" t="s">
        <v>11</v>
      </c>
      <c r="B2364" s="1" t="s">
        <v>43</v>
      </c>
      <c r="C2364" s="1" t="s">
        <v>44</v>
      </c>
      <c r="D2364">
        <v>12659</v>
      </c>
      <c r="E2364" t="s">
        <v>12</v>
      </c>
      <c r="F2364" t="s">
        <v>51</v>
      </c>
      <c r="G2364">
        <v>7</v>
      </c>
      <c r="H2364">
        <v>0</v>
      </c>
      <c r="I2364" t="s">
        <v>45</v>
      </c>
      <c r="J2364" cm="1">
        <f t="array" ref="J2364">IFERROR(
    _xlfn.XLOOKUP(G2364, 'Wedgewood Pharm-GA-Yr2-2025'!$E$4:$L$4,
        _xlfn.XLOOKUP('Rate Load'!L2364, 'Wedgewood Pharm-GA-Yr2-2025'!$D$41:$D$50,
            'Wedgewood Pharm-GA-Yr2-2025'!$E$41:$L$50, 0, 0),
        0, 0),
    _xlfn.XLOOKUP(G2364, 'Wedgewood Pharm-GA-Yr2-2025'!$E$4:$L$4,
        _xlfn.XLOOKUP('Rate Load'!L2364, 'Wedgewood Pharm-GA-Yr2-2025'!$D$41:$D$50,
            'Wedgewood Pharm-GA-Yr2-2025'!$E$41:$L$50, 0, 0),
        0, 0)
)</f>
        <v>13.35</v>
      </c>
      <c r="K2364" t="s">
        <v>46</v>
      </c>
      <c r="L2364" t="s">
        <v>41</v>
      </c>
      <c r="M2364">
        <v>1</v>
      </c>
      <c r="N2364" t="str">
        <f t="shared" si="39"/>
        <v>INSERT INTO TNL_RATING.dbo.usps_rate_master VALUES ('USPS', '2/13/2025', '2/13/2026', 12659, 'US', 'USPS Ground Advantage', 7, 0, 'L', 13.35, 'Wedgewood_USPS_2025', 'Cubic Tier 10 (0.90 - 1.00)','1');</v>
      </c>
    </row>
    <row r="2365" spans="1:14" x14ac:dyDescent="0.3">
      <c r="A2365" t="s">
        <v>11</v>
      </c>
      <c r="B2365" s="1" t="s">
        <v>43</v>
      </c>
      <c r="C2365" s="1" t="s">
        <v>44</v>
      </c>
      <c r="D2365">
        <v>12659</v>
      </c>
      <c r="E2365" t="s">
        <v>12</v>
      </c>
      <c r="F2365" t="s">
        <v>51</v>
      </c>
      <c r="G2365">
        <v>1</v>
      </c>
      <c r="H2365">
        <v>0</v>
      </c>
      <c r="I2365" t="s">
        <v>45</v>
      </c>
      <c r="J2365" cm="1">
        <f t="array" ref="J2365">IFERROR(
    _xlfn.XLOOKUP(G2365, 'Wedgewood Pharm-GA-Yr2-2025'!$E$4:$L$4,
        _xlfn.XLOOKUP('Rate Load'!L2365, 'Wedgewood Pharm-GA-Yr2-2025'!$D$41:$D$50,
            'Wedgewood Pharm-GA-Yr2-2025'!$E$92:$L$101, 0, 0),
        0, 0),
    _xlfn.XLOOKUP(G2365, 'Wedgewood Pharm-GA-Yr2-2025'!$E$4:$L$4,
        _xlfn.XLOOKUP('Rate Load'!L2365, 'Wedgewood Pharm-GA-Yr2-2025'!$D$41:$D$50,
            'Wedgewood Pharm-GA-Yr2-2025'!$E$92:$L$101, 0, 0),
        0, 0)
)</f>
        <v>7.95</v>
      </c>
      <c r="K2365" t="s">
        <v>46</v>
      </c>
      <c r="L2365" t="s">
        <v>41</v>
      </c>
      <c r="M2365">
        <v>1</v>
      </c>
      <c r="N2365" t="str">
        <f t="shared" si="39"/>
        <v>INSERT INTO TNL_RATING.dbo.usps_rate_master VALUES ('USPS', '2/13/2025', '2/13/2026', 12659, 'US', 'USPS Ground Advantage', 1, 0, 'L', 7.95, 'Wedgewood_USPS_2025', 'Cubic Tier 10 (0.90 - 1.00)','1');</v>
      </c>
    </row>
    <row r="2366" spans="1:14" x14ac:dyDescent="0.3">
      <c r="A2366" t="s">
        <v>11</v>
      </c>
      <c r="B2366" s="1" t="s">
        <v>43</v>
      </c>
      <c r="C2366" s="1" t="s">
        <v>44</v>
      </c>
      <c r="D2366">
        <v>12659</v>
      </c>
      <c r="E2366" t="s">
        <v>12</v>
      </c>
      <c r="F2366" t="s">
        <v>51</v>
      </c>
      <c r="G2366">
        <v>2</v>
      </c>
      <c r="H2366">
        <v>0</v>
      </c>
      <c r="I2366" t="s">
        <v>45</v>
      </c>
      <c r="J2366" cm="1">
        <f t="array" ref="J2366">IFERROR(
    _xlfn.XLOOKUP(G2366, 'Wedgewood Pharm-GA-Yr2-2025'!$E$4:$L$4,
        _xlfn.XLOOKUP('Rate Load'!L2366, 'Wedgewood Pharm-GA-Yr2-2025'!$D$41:$D$50,
            'Wedgewood Pharm-GA-Yr2-2025'!$E$92:$L$101, 0, 0),
        0, 0),
    _xlfn.XLOOKUP(G2366, 'Wedgewood Pharm-GA-Yr2-2025'!$E$4:$L$4,
        _xlfn.XLOOKUP('Rate Load'!L2366, 'Wedgewood Pharm-GA-Yr2-2025'!$D$41:$D$50,
            'Wedgewood Pharm-GA-Yr2-2025'!$E$92:$L$101, 0, 0),
        0, 0)
)</f>
        <v>7.02</v>
      </c>
      <c r="K2366" t="s">
        <v>46</v>
      </c>
      <c r="L2366" t="s">
        <v>37</v>
      </c>
      <c r="M2366">
        <v>2</v>
      </c>
      <c r="N2366" t="str">
        <f t="shared" si="39"/>
        <v>INSERT INTO TNL_RATING.dbo.usps_rate_master VALUES ('USPS', '2/13/2025', '2/13/2026', 12659, 'US', 'USPS Ground Advantage', 2, 0, 'L', 7.02, 'Wedgewood_USPS_2025', 'Cubic Tier 6 (0.50 - 0.60)','2');</v>
      </c>
    </row>
    <row r="2367" spans="1:14" x14ac:dyDescent="0.3">
      <c r="A2367" t="s">
        <v>11</v>
      </c>
      <c r="B2367" s="1" t="s">
        <v>43</v>
      </c>
      <c r="C2367" s="1" t="s">
        <v>44</v>
      </c>
      <c r="D2367">
        <v>12659</v>
      </c>
      <c r="E2367" t="s">
        <v>12</v>
      </c>
      <c r="F2367" t="s">
        <v>51</v>
      </c>
      <c r="G2367">
        <v>3</v>
      </c>
      <c r="H2367">
        <v>0</v>
      </c>
      <c r="I2367" t="s">
        <v>45</v>
      </c>
      <c r="J2367" cm="1">
        <f t="array" ref="J2367">IFERROR(
    _xlfn.XLOOKUP(G2367, 'Wedgewood Pharm-GA-Yr2-2025'!$E$4:$L$4,
        _xlfn.XLOOKUP('Rate Load'!L2367, 'Wedgewood Pharm-GA-Yr2-2025'!$D$41:$D$50,
            'Wedgewood Pharm-GA-Yr2-2025'!$E$92:$L$101, 0, 0),
        0, 0),
    _xlfn.XLOOKUP(G2367, 'Wedgewood Pharm-GA-Yr2-2025'!$E$4:$L$4,
        _xlfn.XLOOKUP('Rate Load'!L2367, 'Wedgewood Pharm-GA-Yr2-2025'!$D$41:$D$50,
            'Wedgewood Pharm-GA-Yr2-2025'!$E$92:$L$101, 0, 0),
        0, 0)
)</f>
        <v>7.39</v>
      </c>
      <c r="K2367" t="s">
        <v>46</v>
      </c>
      <c r="L2367" t="s">
        <v>37</v>
      </c>
      <c r="M2367">
        <v>2</v>
      </c>
      <c r="N2367" t="str">
        <f t="shared" si="39"/>
        <v>INSERT INTO TNL_RATING.dbo.usps_rate_master VALUES ('USPS', '2/13/2025', '2/13/2026', 12659, 'US', 'USPS Ground Advantage', 3, 0, 'L', 7.39, 'Wedgewood_USPS_2025', 'Cubic Tier 6 (0.50 - 0.60)','2');</v>
      </c>
    </row>
    <row r="2368" spans="1:14" x14ac:dyDescent="0.3">
      <c r="A2368" t="s">
        <v>11</v>
      </c>
      <c r="B2368" s="1" t="s">
        <v>43</v>
      </c>
      <c r="C2368" s="1" t="s">
        <v>44</v>
      </c>
      <c r="D2368">
        <v>12659</v>
      </c>
      <c r="E2368" t="s">
        <v>12</v>
      </c>
      <c r="F2368" t="s">
        <v>51</v>
      </c>
      <c r="G2368">
        <v>4</v>
      </c>
      <c r="H2368">
        <v>0</v>
      </c>
      <c r="I2368" t="s">
        <v>45</v>
      </c>
      <c r="J2368" cm="1">
        <f t="array" ref="J2368">IFERROR(
    _xlfn.XLOOKUP(G2368, 'Wedgewood Pharm-GA-Yr2-2025'!$E$4:$L$4,
        _xlfn.XLOOKUP('Rate Load'!L2368, 'Wedgewood Pharm-GA-Yr2-2025'!$D$41:$D$50,
            'Wedgewood Pharm-GA-Yr2-2025'!$E$92:$L$101, 0, 0),
        0, 0),
    _xlfn.XLOOKUP(G2368, 'Wedgewood Pharm-GA-Yr2-2025'!$E$4:$L$4,
        _xlfn.XLOOKUP('Rate Load'!L2368, 'Wedgewood Pharm-GA-Yr2-2025'!$D$41:$D$50,
            'Wedgewood Pharm-GA-Yr2-2025'!$E$92:$L$101, 0, 0),
        0, 0)
)</f>
        <v>8.01</v>
      </c>
      <c r="K2368" t="s">
        <v>46</v>
      </c>
      <c r="L2368" t="s">
        <v>37</v>
      </c>
      <c r="M2368">
        <v>2</v>
      </c>
      <c r="N2368" t="str">
        <f t="shared" si="39"/>
        <v>INSERT INTO TNL_RATING.dbo.usps_rate_master VALUES ('USPS', '2/13/2025', '2/13/2026', 12659, 'US', 'USPS Ground Advantage', 4, 0, 'L', 8.01, 'Wedgewood_USPS_2025', 'Cubic Tier 6 (0.50 - 0.60)','2');</v>
      </c>
    </row>
    <row r="2369" spans="1:14" x14ac:dyDescent="0.3">
      <c r="A2369" t="s">
        <v>11</v>
      </c>
      <c r="B2369" s="1" t="s">
        <v>43</v>
      </c>
      <c r="C2369" s="1" t="s">
        <v>44</v>
      </c>
      <c r="D2369">
        <v>12659</v>
      </c>
      <c r="E2369" t="s">
        <v>12</v>
      </c>
      <c r="F2369" t="s">
        <v>51</v>
      </c>
      <c r="G2369">
        <v>5</v>
      </c>
      <c r="H2369">
        <v>0</v>
      </c>
      <c r="I2369" t="s">
        <v>45</v>
      </c>
      <c r="J2369" cm="1">
        <f t="array" ref="J2369">IFERROR(
    _xlfn.XLOOKUP(G2369, 'Wedgewood Pharm-GA-Yr2-2025'!$E$4:$L$4,
        _xlfn.XLOOKUP('Rate Load'!L2369, 'Wedgewood Pharm-GA-Yr2-2025'!$D$41:$D$50,
            'Wedgewood Pharm-GA-Yr2-2025'!$E$92:$L$101, 0, 0),
        0, 0),
    _xlfn.XLOOKUP(G2369, 'Wedgewood Pharm-GA-Yr2-2025'!$E$4:$L$4,
        _xlfn.XLOOKUP('Rate Load'!L2369, 'Wedgewood Pharm-GA-Yr2-2025'!$D$41:$D$50,
            'Wedgewood Pharm-GA-Yr2-2025'!$E$92:$L$101, 0, 0),
        0, 0)
)</f>
        <v>9.57</v>
      </c>
      <c r="K2369" t="s">
        <v>46</v>
      </c>
      <c r="L2369" t="s">
        <v>37</v>
      </c>
      <c r="M2369">
        <v>2</v>
      </c>
      <c r="N2369" t="str">
        <f t="shared" si="39"/>
        <v>INSERT INTO TNL_RATING.dbo.usps_rate_master VALUES ('USPS', '2/13/2025', '2/13/2026', 12659, 'US', 'USPS Ground Advantage', 5, 0, 'L', 9.57, 'Wedgewood_USPS_2025', 'Cubic Tier 6 (0.50 - 0.60)','2');</v>
      </c>
    </row>
    <row r="2370" spans="1:14" x14ac:dyDescent="0.3">
      <c r="A2370" t="s">
        <v>11</v>
      </c>
      <c r="B2370" s="1" t="s">
        <v>43</v>
      </c>
      <c r="C2370" s="1" t="s">
        <v>44</v>
      </c>
      <c r="D2370">
        <v>12659</v>
      </c>
      <c r="E2370" t="s">
        <v>12</v>
      </c>
      <c r="F2370" t="s">
        <v>51</v>
      </c>
      <c r="G2370">
        <v>6</v>
      </c>
      <c r="H2370">
        <v>0</v>
      </c>
      <c r="I2370" t="s">
        <v>45</v>
      </c>
      <c r="J2370" cm="1">
        <f t="array" ref="J2370">IFERROR(
    _xlfn.XLOOKUP(G2370, 'Wedgewood Pharm-GA-Yr2-2025'!$E$4:$L$4,
        _xlfn.XLOOKUP('Rate Load'!L2370, 'Wedgewood Pharm-GA-Yr2-2025'!$D$41:$D$50,
            'Wedgewood Pharm-GA-Yr2-2025'!$E$92:$L$101, 0, 0),
        0, 0),
    _xlfn.XLOOKUP(G2370, 'Wedgewood Pharm-GA-Yr2-2025'!$E$4:$L$4,
        _xlfn.XLOOKUP('Rate Load'!L2370, 'Wedgewood Pharm-GA-Yr2-2025'!$D$41:$D$50,
            'Wedgewood Pharm-GA-Yr2-2025'!$E$92:$L$101, 0, 0),
        0, 0)
)</f>
        <v>10.36</v>
      </c>
      <c r="K2370" t="s">
        <v>46</v>
      </c>
      <c r="L2370" t="s">
        <v>37</v>
      </c>
      <c r="M2370">
        <v>2</v>
      </c>
      <c r="N2370" t="str">
        <f t="shared" si="39"/>
        <v>INSERT INTO TNL_RATING.dbo.usps_rate_master VALUES ('USPS', '2/13/2025', '2/13/2026', 12659, 'US', 'USPS Ground Advantage', 6, 0, 'L', 10.36, 'Wedgewood_USPS_2025', 'Cubic Tier 6 (0.50 - 0.60)','2');</v>
      </c>
    </row>
    <row r="2371" spans="1:14" x14ac:dyDescent="0.3">
      <c r="A2371" t="s">
        <v>11</v>
      </c>
      <c r="B2371" s="1" t="s">
        <v>43</v>
      </c>
      <c r="C2371" s="1" t="s">
        <v>44</v>
      </c>
      <c r="D2371">
        <v>12659</v>
      </c>
      <c r="E2371" t="s">
        <v>12</v>
      </c>
      <c r="F2371" t="s">
        <v>51</v>
      </c>
      <c r="G2371">
        <v>7</v>
      </c>
      <c r="H2371">
        <v>0</v>
      </c>
      <c r="I2371" t="s">
        <v>45</v>
      </c>
      <c r="J2371" cm="1">
        <f t="array" ref="J2371">IFERROR(
    _xlfn.XLOOKUP(G2371, 'Wedgewood Pharm-GA-Yr2-2025'!$E$4:$L$4,
        _xlfn.XLOOKUP('Rate Load'!L2371, 'Wedgewood Pharm-GA-Yr2-2025'!$D$41:$D$50,
            'Wedgewood Pharm-GA-Yr2-2025'!$E$92:$L$101, 0, 0),
        0, 0),
    _xlfn.XLOOKUP(G2371, 'Wedgewood Pharm-GA-Yr2-2025'!$E$4:$L$4,
        _xlfn.XLOOKUP('Rate Load'!L2371, 'Wedgewood Pharm-GA-Yr2-2025'!$D$41:$D$50,
            'Wedgewood Pharm-GA-Yr2-2025'!$E$92:$L$101, 0, 0),
        0, 0)
)</f>
        <v>11.09</v>
      </c>
      <c r="K2371" t="s">
        <v>46</v>
      </c>
      <c r="L2371" t="s">
        <v>37</v>
      </c>
      <c r="M2371">
        <v>2</v>
      </c>
      <c r="N2371" t="str">
        <f t="shared" si="39"/>
        <v>INSERT INTO TNL_RATING.dbo.usps_rate_master VALUES ('USPS', '2/13/2025', '2/13/2026', 12659, 'US', 'USPS Ground Advantage', 7, 0, 'L', 11.09, 'Wedgewood_USPS_2025', 'Cubic Tier 6 (0.50 - 0.60)','2');</v>
      </c>
    </row>
    <row r="2372" spans="1:14" x14ac:dyDescent="0.3">
      <c r="A2372" t="s">
        <v>11</v>
      </c>
      <c r="B2372" s="1" t="s">
        <v>43</v>
      </c>
      <c r="C2372" s="1" t="s">
        <v>44</v>
      </c>
      <c r="D2372">
        <v>12659</v>
      </c>
      <c r="E2372" t="s">
        <v>12</v>
      </c>
      <c r="F2372" t="s">
        <v>51</v>
      </c>
      <c r="G2372">
        <v>8</v>
      </c>
      <c r="H2372">
        <v>0</v>
      </c>
      <c r="I2372" t="s">
        <v>45</v>
      </c>
      <c r="J2372" cm="1">
        <f t="array" ref="J2372">IFERROR(
    _xlfn.XLOOKUP(G2372, 'Wedgewood Pharm-GA-Yr2-2025'!$E$4:$L$4,
        _xlfn.XLOOKUP('Rate Load'!L2372, 'Wedgewood Pharm-GA-Yr2-2025'!$D$41:$D$50,
            'Wedgewood Pharm-GA-Yr2-2025'!$E$92:$L$101, 0, 0),
        0, 0),
    _xlfn.XLOOKUP(G2372, 'Wedgewood Pharm-GA-Yr2-2025'!$E$4:$L$4,
        _xlfn.XLOOKUP('Rate Load'!L2372, 'Wedgewood Pharm-GA-Yr2-2025'!$D$41:$D$50,
            'Wedgewood Pharm-GA-Yr2-2025'!$E$92:$L$101, 0, 0),
        0, 0)
)</f>
        <v>12.04</v>
      </c>
      <c r="K2372" t="s">
        <v>46</v>
      </c>
      <c r="L2372" t="s">
        <v>37</v>
      </c>
      <c r="M2372">
        <v>2</v>
      </c>
      <c r="N2372" t="str">
        <f t="shared" si="39"/>
        <v>INSERT INTO TNL_RATING.dbo.usps_rate_master VALUES ('USPS', '2/13/2025', '2/13/2026', 12659, 'US', 'USPS Ground Advantage', 8, 0, 'L', 12.04, 'Wedgewood_USPS_2025', 'Cubic Tier 6 (0.50 - 0.60)','2');</v>
      </c>
    </row>
    <row r="2373" spans="1:14" x14ac:dyDescent="0.3">
      <c r="A2373" t="s">
        <v>11</v>
      </c>
      <c r="B2373" s="1" t="s">
        <v>43</v>
      </c>
      <c r="C2373" s="1" t="s">
        <v>44</v>
      </c>
      <c r="D2373">
        <v>12659</v>
      </c>
      <c r="E2373" t="s">
        <v>12</v>
      </c>
      <c r="F2373" t="s">
        <v>51</v>
      </c>
      <c r="G2373">
        <v>1</v>
      </c>
      <c r="H2373">
        <v>0</v>
      </c>
      <c r="I2373" t="s">
        <v>45</v>
      </c>
      <c r="J2373" cm="1">
        <f t="array" ref="J2373">IFERROR(
    _xlfn.XLOOKUP(G2373, 'Wedgewood Pharm-GA-Yr2-2025'!$E$4:$L$4,
        _xlfn.XLOOKUP('Rate Load'!L2373, 'Wedgewood Pharm-GA-Yr2-2025'!$D$41:$D$50,
            'Wedgewood Pharm-GA-Yr2-2025'!$E$92:$L$101, 0, 0),
        0, 0),
    _xlfn.XLOOKUP(G2373, 'Wedgewood Pharm-GA-Yr2-2025'!$E$4:$L$4,
        _xlfn.XLOOKUP('Rate Load'!L2373, 'Wedgewood Pharm-GA-Yr2-2025'!$D$41:$D$50,
            'Wedgewood Pharm-GA-Yr2-2025'!$E$92:$L$101, 0, 0),
        0, 0)
)</f>
        <v>6.8</v>
      </c>
      <c r="K2373" t="s">
        <v>46</v>
      </c>
      <c r="L2373" t="s">
        <v>37</v>
      </c>
      <c r="M2373">
        <v>2</v>
      </c>
      <c r="N2373" t="str">
        <f t="shared" si="39"/>
        <v>INSERT INTO TNL_RATING.dbo.usps_rate_master VALUES ('USPS', '2/13/2025', '2/13/2026', 12659, 'US', 'USPS Ground Advantage', 1, 0, 'L', 6.8, 'Wedgewood_USPS_2025', 'Cubic Tier 6 (0.50 - 0.60)','2');</v>
      </c>
    </row>
    <row r="2374" spans="1:14" x14ac:dyDescent="0.3">
      <c r="A2374" t="s">
        <v>11</v>
      </c>
      <c r="B2374" s="1" t="s">
        <v>43</v>
      </c>
      <c r="C2374" s="1" t="s">
        <v>44</v>
      </c>
      <c r="D2374">
        <v>12659</v>
      </c>
      <c r="E2374" t="s">
        <v>12</v>
      </c>
      <c r="F2374" t="s">
        <v>51</v>
      </c>
      <c r="G2374">
        <v>2</v>
      </c>
      <c r="H2374">
        <v>0</v>
      </c>
      <c r="I2374" t="s">
        <v>45</v>
      </c>
      <c r="J2374" cm="1">
        <f t="array" ref="J2374">IFERROR(
    _xlfn.XLOOKUP(G2374, 'Wedgewood Pharm-GA-Yr2-2025'!$E$4:$L$4,
        _xlfn.XLOOKUP('Rate Load'!L2374, 'Wedgewood Pharm-GA-Yr2-2025'!$D$41:$D$50,
            'Wedgewood Pharm-GA-Yr2-2025'!$E$92:$L$101, 0, 0),
        0, 0),
    _xlfn.XLOOKUP(G2374, 'Wedgewood Pharm-GA-Yr2-2025'!$E$4:$L$4,
        _xlfn.XLOOKUP('Rate Load'!L2374, 'Wedgewood Pharm-GA-Yr2-2025'!$D$41:$D$50,
            'Wedgewood Pharm-GA-Yr2-2025'!$E$92:$L$101, 0, 0),
        0, 0)
)</f>
        <v>7.3</v>
      </c>
      <c r="K2374" t="s">
        <v>46</v>
      </c>
      <c r="L2374" t="s">
        <v>38</v>
      </c>
      <c r="M2374">
        <v>2</v>
      </c>
      <c r="N2374" t="str">
        <f t="shared" si="39"/>
        <v>INSERT INTO TNL_RATING.dbo.usps_rate_master VALUES ('USPS', '2/13/2025', '2/13/2026', 12659, 'US', 'USPS Ground Advantage', 2, 0, 'L', 7.3, 'Wedgewood_USPS_2025', 'Cubic Tier 7 (0.60 - 0.70)','2');</v>
      </c>
    </row>
    <row r="2375" spans="1:14" x14ac:dyDescent="0.3">
      <c r="A2375" t="s">
        <v>11</v>
      </c>
      <c r="B2375" s="1" t="s">
        <v>43</v>
      </c>
      <c r="C2375" s="1" t="s">
        <v>44</v>
      </c>
      <c r="D2375">
        <v>12659</v>
      </c>
      <c r="E2375" t="s">
        <v>12</v>
      </c>
      <c r="F2375" t="s">
        <v>51</v>
      </c>
      <c r="G2375">
        <v>3</v>
      </c>
      <c r="H2375">
        <v>0</v>
      </c>
      <c r="I2375" t="s">
        <v>45</v>
      </c>
      <c r="J2375" cm="1">
        <f t="array" ref="J2375">IFERROR(
    _xlfn.XLOOKUP(G2375, 'Wedgewood Pharm-GA-Yr2-2025'!$E$4:$L$4,
        _xlfn.XLOOKUP('Rate Load'!L2375, 'Wedgewood Pharm-GA-Yr2-2025'!$D$41:$D$50,
            'Wedgewood Pharm-GA-Yr2-2025'!$E$92:$L$101, 0, 0),
        0, 0),
    _xlfn.XLOOKUP(G2375, 'Wedgewood Pharm-GA-Yr2-2025'!$E$4:$L$4,
        _xlfn.XLOOKUP('Rate Load'!L2375, 'Wedgewood Pharm-GA-Yr2-2025'!$D$41:$D$50,
            'Wedgewood Pharm-GA-Yr2-2025'!$E$92:$L$101, 0, 0),
        0, 0)
)</f>
        <v>7.85</v>
      </c>
      <c r="K2375" t="s">
        <v>46</v>
      </c>
      <c r="L2375" t="s">
        <v>38</v>
      </c>
      <c r="M2375">
        <v>2</v>
      </c>
      <c r="N2375" t="str">
        <f t="shared" si="39"/>
        <v>INSERT INTO TNL_RATING.dbo.usps_rate_master VALUES ('USPS', '2/13/2025', '2/13/2026', 12659, 'US', 'USPS Ground Advantage', 3, 0, 'L', 7.85, 'Wedgewood_USPS_2025', 'Cubic Tier 7 (0.60 - 0.70)','2');</v>
      </c>
    </row>
    <row r="2376" spans="1:14" x14ac:dyDescent="0.3">
      <c r="A2376" t="s">
        <v>11</v>
      </c>
      <c r="B2376" s="1" t="s">
        <v>43</v>
      </c>
      <c r="C2376" s="1" t="s">
        <v>44</v>
      </c>
      <c r="D2376">
        <v>12659</v>
      </c>
      <c r="E2376" t="s">
        <v>12</v>
      </c>
      <c r="F2376" t="s">
        <v>51</v>
      </c>
      <c r="G2376">
        <v>4</v>
      </c>
      <c r="H2376">
        <v>0</v>
      </c>
      <c r="I2376" t="s">
        <v>45</v>
      </c>
      <c r="J2376" cm="1">
        <f t="array" ref="J2376">IFERROR(
    _xlfn.XLOOKUP(G2376, 'Wedgewood Pharm-GA-Yr2-2025'!$E$4:$L$4,
        _xlfn.XLOOKUP('Rate Load'!L2376, 'Wedgewood Pharm-GA-Yr2-2025'!$D$41:$D$50,
            'Wedgewood Pharm-GA-Yr2-2025'!$E$92:$L$101, 0, 0),
        0, 0),
    _xlfn.XLOOKUP(G2376, 'Wedgewood Pharm-GA-Yr2-2025'!$E$4:$L$4,
        _xlfn.XLOOKUP('Rate Load'!L2376, 'Wedgewood Pharm-GA-Yr2-2025'!$D$41:$D$50,
            'Wedgewood Pharm-GA-Yr2-2025'!$E$92:$L$101, 0, 0),
        0, 0)
)</f>
        <v>8.36</v>
      </c>
      <c r="K2376" t="s">
        <v>46</v>
      </c>
      <c r="L2376" t="s">
        <v>38</v>
      </c>
      <c r="M2376">
        <v>2</v>
      </c>
      <c r="N2376" t="str">
        <f t="shared" si="39"/>
        <v>INSERT INTO TNL_RATING.dbo.usps_rate_master VALUES ('USPS', '2/13/2025', '2/13/2026', 12659, 'US', 'USPS Ground Advantage', 4, 0, 'L', 8.36, 'Wedgewood_USPS_2025', 'Cubic Tier 7 (0.60 - 0.70)','2');</v>
      </c>
    </row>
    <row r="2377" spans="1:14" x14ac:dyDescent="0.3">
      <c r="A2377" t="s">
        <v>11</v>
      </c>
      <c r="B2377" s="1" t="s">
        <v>43</v>
      </c>
      <c r="C2377" s="1" t="s">
        <v>44</v>
      </c>
      <c r="D2377">
        <v>12659</v>
      </c>
      <c r="E2377" t="s">
        <v>12</v>
      </c>
      <c r="F2377" t="s">
        <v>51</v>
      </c>
      <c r="G2377">
        <v>5</v>
      </c>
      <c r="H2377">
        <v>0</v>
      </c>
      <c r="I2377" t="s">
        <v>45</v>
      </c>
      <c r="J2377" cm="1">
        <f t="array" ref="J2377">IFERROR(
    _xlfn.XLOOKUP(G2377, 'Wedgewood Pharm-GA-Yr2-2025'!$E$4:$L$4,
        _xlfn.XLOOKUP('Rate Load'!L2377, 'Wedgewood Pharm-GA-Yr2-2025'!$D$41:$D$50,
            'Wedgewood Pharm-GA-Yr2-2025'!$E$92:$L$101, 0, 0),
        0, 0),
    _xlfn.XLOOKUP(G2377, 'Wedgewood Pharm-GA-Yr2-2025'!$E$4:$L$4,
        _xlfn.XLOOKUP('Rate Load'!L2377, 'Wedgewood Pharm-GA-Yr2-2025'!$D$41:$D$50,
            'Wedgewood Pharm-GA-Yr2-2025'!$E$92:$L$101, 0, 0),
        0, 0)
)</f>
        <v>10.14</v>
      </c>
      <c r="K2377" t="s">
        <v>46</v>
      </c>
      <c r="L2377" t="s">
        <v>38</v>
      </c>
      <c r="M2377">
        <v>2</v>
      </c>
      <c r="N2377" t="str">
        <f t="shared" si="39"/>
        <v>INSERT INTO TNL_RATING.dbo.usps_rate_master VALUES ('USPS', '2/13/2025', '2/13/2026', 12659, 'US', 'USPS Ground Advantage', 5, 0, 'L', 10.14, 'Wedgewood_USPS_2025', 'Cubic Tier 7 (0.60 - 0.70)','2');</v>
      </c>
    </row>
    <row r="2378" spans="1:14" x14ac:dyDescent="0.3">
      <c r="A2378" t="s">
        <v>11</v>
      </c>
      <c r="B2378" s="1" t="s">
        <v>43</v>
      </c>
      <c r="C2378" s="1" t="s">
        <v>44</v>
      </c>
      <c r="D2378">
        <v>12659</v>
      </c>
      <c r="E2378" t="s">
        <v>12</v>
      </c>
      <c r="F2378" t="s">
        <v>51</v>
      </c>
      <c r="G2378">
        <v>6</v>
      </c>
      <c r="H2378">
        <v>0</v>
      </c>
      <c r="I2378" t="s">
        <v>45</v>
      </c>
      <c r="J2378" cm="1">
        <f t="array" ref="J2378">IFERROR(
    _xlfn.XLOOKUP(G2378, 'Wedgewood Pharm-GA-Yr2-2025'!$E$4:$L$4,
        _xlfn.XLOOKUP('Rate Load'!L2378, 'Wedgewood Pharm-GA-Yr2-2025'!$D$41:$D$50,
            'Wedgewood Pharm-GA-Yr2-2025'!$E$92:$L$101, 0, 0),
        0, 0),
    _xlfn.XLOOKUP(G2378, 'Wedgewood Pharm-GA-Yr2-2025'!$E$4:$L$4,
        _xlfn.XLOOKUP('Rate Load'!L2378, 'Wedgewood Pharm-GA-Yr2-2025'!$D$41:$D$50,
            'Wedgewood Pharm-GA-Yr2-2025'!$E$92:$L$101, 0, 0),
        0, 0)
)</f>
        <v>10.67</v>
      </c>
      <c r="K2378" t="s">
        <v>46</v>
      </c>
      <c r="L2378" t="s">
        <v>38</v>
      </c>
      <c r="M2378">
        <v>2</v>
      </c>
      <c r="N2378" t="str">
        <f t="shared" si="39"/>
        <v>INSERT INTO TNL_RATING.dbo.usps_rate_master VALUES ('USPS', '2/13/2025', '2/13/2026', 12659, 'US', 'USPS Ground Advantage', 6, 0, 'L', 10.67, 'Wedgewood_USPS_2025', 'Cubic Tier 7 (0.60 - 0.70)','2');</v>
      </c>
    </row>
    <row r="2379" spans="1:14" x14ac:dyDescent="0.3">
      <c r="A2379" t="s">
        <v>11</v>
      </c>
      <c r="B2379" s="1" t="s">
        <v>43</v>
      </c>
      <c r="C2379" s="1" t="s">
        <v>44</v>
      </c>
      <c r="D2379">
        <v>12659</v>
      </c>
      <c r="E2379" t="s">
        <v>12</v>
      </c>
      <c r="F2379" t="s">
        <v>51</v>
      </c>
      <c r="G2379">
        <v>7</v>
      </c>
      <c r="H2379">
        <v>0</v>
      </c>
      <c r="I2379" t="s">
        <v>45</v>
      </c>
      <c r="J2379" cm="1">
        <f t="array" ref="J2379">IFERROR(
    _xlfn.XLOOKUP(G2379, 'Wedgewood Pharm-GA-Yr2-2025'!$E$4:$L$4,
        _xlfn.XLOOKUP('Rate Load'!L2379, 'Wedgewood Pharm-GA-Yr2-2025'!$D$41:$D$50,
            'Wedgewood Pharm-GA-Yr2-2025'!$E$92:$L$101, 0, 0),
        0, 0),
    _xlfn.XLOOKUP(G2379, 'Wedgewood Pharm-GA-Yr2-2025'!$E$4:$L$4,
        _xlfn.XLOOKUP('Rate Load'!L2379, 'Wedgewood Pharm-GA-Yr2-2025'!$D$41:$D$50,
            'Wedgewood Pharm-GA-Yr2-2025'!$E$92:$L$101, 0, 0),
        0, 0)
)</f>
        <v>11.49</v>
      </c>
      <c r="K2379" t="s">
        <v>46</v>
      </c>
      <c r="L2379" t="s">
        <v>38</v>
      </c>
      <c r="M2379">
        <v>2</v>
      </c>
      <c r="N2379" t="str">
        <f t="shared" si="39"/>
        <v>INSERT INTO TNL_RATING.dbo.usps_rate_master VALUES ('USPS', '2/13/2025', '2/13/2026', 12659, 'US', 'USPS Ground Advantage', 7, 0, 'L', 11.49, 'Wedgewood_USPS_2025', 'Cubic Tier 7 (0.60 - 0.70)','2');</v>
      </c>
    </row>
    <row r="2380" spans="1:14" x14ac:dyDescent="0.3">
      <c r="A2380" t="s">
        <v>11</v>
      </c>
      <c r="B2380" s="1" t="s">
        <v>43</v>
      </c>
      <c r="C2380" s="1" t="s">
        <v>44</v>
      </c>
      <c r="D2380">
        <v>12659</v>
      </c>
      <c r="E2380" t="s">
        <v>12</v>
      </c>
      <c r="F2380" t="s">
        <v>51</v>
      </c>
      <c r="G2380">
        <v>8</v>
      </c>
      <c r="H2380">
        <v>0</v>
      </c>
      <c r="I2380" t="s">
        <v>45</v>
      </c>
      <c r="J2380" cm="1">
        <f t="array" ref="J2380">IFERROR(
    _xlfn.XLOOKUP(G2380, 'Wedgewood Pharm-GA-Yr2-2025'!$E$4:$L$4,
        _xlfn.XLOOKUP('Rate Load'!L2380, 'Wedgewood Pharm-GA-Yr2-2025'!$D$41:$D$50,
            'Wedgewood Pharm-GA-Yr2-2025'!$E$92:$L$101, 0, 0),
        0, 0),
    _xlfn.XLOOKUP(G2380, 'Wedgewood Pharm-GA-Yr2-2025'!$E$4:$L$4,
        _xlfn.XLOOKUP('Rate Load'!L2380, 'Wedgewood Pharm-GA-Yr2-2025'!$D$41:$D$50,
            'Wedgewood Pharm-GA-Yr2-2025'!$E$92:$L$101, 0, 0),
        0, 0)
)</f>
        <v>12.6</v>
      </c>
      <c r="K2380" t="s">
        <v>46</v>
      </c>
      <c r="L2380" t="s">
        <v>38</v>
      </c>
      <c r="M2380">
        <v>2</v>
      </c>
      <c r="N2380" t="str">
        <f t="shared" si="39"/>
        <v>INSERT INTO TNL_RATING.dbo.usps_rate_master VALUES ('USPS', '2/13/2025', '2/13/2026', 12659, 'US', 'USPS Ground Advantage', 8, 0, 'L', 12.6, 'Wedgewood_USPS_2025', 'Cubic Tier 7 (0.60 - 0.70)','2');</v>
      </c>
    </row>
    <row r="2381" spans="1:14" x14ac:dyDescent="0.3">
      <c r="A2381" t="s">
        <v>11</v>
      </c>
      <c r="B2381" s="1" t="s">
        <v>43</v>
      </c>
      <c r="C2381" s="1" t="s">
        <v>44</v>
      </c>
      <c r="D2381">
        <v>12659</v>
      </c>
      <c r="E2381" t="s">
        <v>12</v>
      </c>
      <c r="F2381" t="s">
        <v>51</v>
      </c>
      <c r="G2381">
        <v>1</v>
      </c>
      <c r="H2381">
        <v>0</v>
      </c>
      <c r="I2381" t="s">
        <v>45</v>
      </c>
      <c r="J2381" cm="1">
        <f t="array" ref="J2381">IFERROR(
    _xlfn.XLOOKUP(G2381, 'Wedgewood Pharm-GA-Yr2-2025'!$E$4:$L$4,
        _xlfn.XLOOKUP('Rate Load'!L2381, 'Wedgewood Pharm-GA-Yr2-2025'!$D$41:$D$50,
            'Wedgewood Pharm-GA-Yr2-2025'!$E$92:$L$101, 0, 0),
        0, 0),
    _xlfn.XLOOKUP(G2381, 'Wedgewood Pharm-GA-Yr2-2025'!$E$4:$L$4,
        _xlfn.XLOOKUP('Rate Load'!L2381, 'Wedgewood Pharm-GA-Yr2-2025'!$D$41:$D$50,
            'Wedgewood Pharm-GA-Yr2-2025'!$E$92:$L$101, 0, 0),
        0, 0)
)</f>
        <v>7.0699999999999994</v>
      </c>
      <c r="K2381" t="s">
        <v>46</v>
      </c>
      <c r="L2381" t="s">
        <v>38</v>
      </c>
      <c r="M2381">
        <v>2</v>
      </c>
      <c r="N2381" t="str">
        <f t="shared" si="39"/>
        <v>INSERT INTO TNL_RATING.dbo.usps_rate_master VALUES ('USPS', '2/13/2025', '2/13/2026', 12659, 'US', 'USPS Ground Advantage', 1, 0, 'L', 7.07, 'Wedgewood_USPS_2025', 'Cubic Tier 7 (0.60 - 0.70)','2');</v>
      </c>
    </row>
    <row r="2382" spans="1:14" x14ac:dyDescent="0.3">
      <c r="A2382" t="s">
        <v>11</v>
      </c>
      <c r="B2382" s="1" t="s">
        <v>43</v>
      </c>
      <c r="C2382" s="1" t="s">
        <v>44</v>
      </c>
      <c r="D2382">
        <v>12659</v>
      </c>
      <c r="E2382" t="s">
        <v>12</v>
      </c>
      <c r="F2382" t="s">
        <v>51</v>
      </c>
      <c r="G2382">
        <v>2</v>
      </c>
      <c r="H2382">
        <v>0</v>
      </c>
      <c r="I2382" t="s">
        <v>45</v>
      </c>
      <c r="J2382" cm="1">
        <f t="array" ref="J2382">IFERROR(
    _xlfn.XLOOKUP(G2382, 'Wedgewood Pharm-GA-Yr2-2025'!$E$4:$L$4,
        _xlfn.XLOOKUP('Rate Load'!L2382, 'Wedgewood Pharm-GA-Yr2-2025'!$D$41:$D$50,
            'Wedgewood Pharm-GA-Yr2-2025'!$E$92:$L$101, 0, 0),
        0, 0),
    _xlfn.XLOOKUP(G2382, 'Wedgewood Pharm-GA-Yr2-2025'!$E$4:$L$4,
        _xlfn.XLOOKUP('Rate Load'!L2382, 'Wedgewood Pharm-GA-Yr2-2025'!$D$41:$D$50,
            'Wedgewood Pharm-GA-Yr2-2025'!$E$92:$L$101, 0, 0),
        0, 0)
)</f>
        <v>7.4799999999999995</v>
      </c>
      <c r="K2382" t="s">
        <v>46</v>
      </c>
      <c r="L2382" t="s">
        <v>39</v>
      </c>
      <c r="M2382">
        <v>2</v>
      </c>
      <c r="N2382" t="str">
        <f t="shared" si="39"/>
        <v>INSERT INTO TNL_RATING.dbo.usps_rate_master VALUES ('USPS', '2/13/2025', '2/13/2026', 12659, 'US', 'USPS Ground Advantage', 2, 0, 'L', 7.48, 'Wedgewood_USPS_2025', 'Cubic Tier 8 (0.70 - 0.80)','2');</v>
      </c>
    </row>
    <row r="2383" spans="1:14" x14ac:dyDescent="0.3">
      <c r="A2383" t="s">
        <v>11</v>
      </c>
      <c r="B2383" s="1" t="s">
        <v>43</v>
      </c>
      <c r="C2383" s="1" t="s">
        <v>44</v>
      </c>
      <c r="D2383">
        <v>12659</v>
      </c>
      <c r="E2383" t="s">
        <v>12</v>
      </c>
      <c r="F2383" t="s">
        <v>51</v>
      </c>
      <c r="G2383">
        <v>3</v>
      </c>
      <c r="H2383">
        <v>0</v>
      </c>
      <c r="I2383" t="s">
        <v>45</v>
      </c>
      <c r="J2383" cm="1">
        <f t="array" ref="J2383">IFERROR(
    _xlfn.XLOOKUP(G2383, 'Wedgewood Pharm-GA-Yr2-2025'!$E$4:$L$4,
        _xlfn.XLOOKUP('Rate Load'!L2383, 'Wedgewood Pharm-GA-Yr2-2025'!$D$41:$D$50,
            'Wedgewood Pharm-GA-Yr2-2025'!$E$92:$L$101, 0, 0),
        0, 0),
    _xlfn.XLOOKUP(G2383, 'Wedgewood Pharm-GA-Yr2-2025'!$E$4:$L$4,
        _xlfn.XLOOKUP('Rate Load'!L2383, 'Wedgewood Pharm-GA-Yr2-2025'!$D$41:$D$50,
            'Wedgewood Pharm-GA-Yr2-2025'!$E$92:$L$101, 0, 0),
        0, 0)
)</f>
        <v>8.25</v>
      </c>
      <c r="K2383" t="s">
        <v>46</v>
      </c>
      <c r="L2383" t="s">
        <v>39</v>
      </c>
      <c r="M2383">
        <v>2</v>
      </c>
      <c r="N2383" t="str">
        <f t="shared" si="39"/>
        <v>INSERT INTO TNL_RATING.dbo.usps_rate_master VALUES ('USPS', '2/13/2025', '2/13/2026', 12659, 'US', 'USPS Ground Advantage', 3, 0, 'L', 8.25, 'Wedgewood_USPS_2025', 'Cubic Tier 8 (0.70 - 0.80)','2');</v>
      </c>
    </row>
    <row r="2384" spans="1:14" x14ac:dyDescent="0.3">
      <c r="A2384" t="s">
        <v>11</v>
      </c>
      <c r="B2384" s="1" t="s">
        <v>43</v>
      </c>
      <c r="C2384" s="1" t="s">
        <v>44</v>
      </c>
      <c r="D2384">
        <v>12659</v>
      </c>
      <c r="E2384" t="s">
        <v>12</v>
      </c>
      <c r="F2384" t="s">
        <v>51</v>
      </c>
      <c r="G2384">
        <v>4</v>
      </c>
      <c r="H2384">
        <v>0</v>
      </c>
      <c r="I2384" t="s">
        <v>45</v>
      </c>
      <c r="J2384" cm="1">
        <f t="array" ref="J2384">IFERROR(
    _xlfn.XLOOKUP(G2384, 'Wedgewood Pharm-GA-Yr2-2025'!$E$4:$L$4,
        _xlfn.XLOOKUP('Rate Load'!L2384, 'Wedgewood Pharm-GA-Yr2-2025'!$D$41:$D$50,
            'Wedgewood Pharm-GA-Yr2-2025'!$E$92:$L$101, 0, 0),
        0, 0),
    _xlfn.XLOOKUP(G2384, 'Wedgewood Pharm-GA-Yr2-2025'!$E$4:$L$4,
        _xlfn.XLOOKUP('Rate Load'!L2384, 'Wedgewood Pharm-GA-Yr2-2025'!$D$41:$D$50,
            'Wedgewood Pharm-GA-Yr2-2025'!$E$92:$L$101, 0, 0),
        0, 0)
)</f>
        <v>9.08</v>
      </c>
      <c r="K2384" t="s">
        <v>46</v>
      </c>
      <c r="L2384" t="s">
        <v>39</v>
      </c>
      <c r="M2384">
        <v>2</v>
      </c>
      <c r="N2384" t="str">
        <f t="shared" si="39"/>
        <v>INSERT INTO TNL_RATING.dbo.usps_rate_master VALUES ('USPS', '2/13/2025', '2/13/2026', 12659, 'US', 'USPS Ground Advantage', 4, 0, 'L', 9.08, 'Wedgewood_USPS_2025', 'Cubic Tier 8 (0.70 - 0.80)','2');</v>
      </c>
    </row>
    <row r="2385" spans="1:14" x14ac:dyDescent="0.3">
      <c r="A2385" t="s">
        <v>11</v>
      </c>
      <c r="B2385" s="1" t="s">
        <v>43</v>
      </c>
      <c r="C2385" s="1" t="s">
        <v>44</v>
      </c>
      <c r="D2385">
        <v>12659</v>
      </c>
      <c r="E2385" t="s">
        <v>12</v>
      </c>
      <c r="F2385" t="s">
        <v>51</v>
      </c>
      <c r="G2385">
        <v>5</v>
      </c>
      <c r="H2385">
        <v>0</v>
      </c>
      <c r="I2385" t="s">
        <v>45</v>
      </c>
      <c r="J2385" cm="1">
        <f t="array" ref="J2385">IFERROR(
    _xlfn.XLOOKUP(G2385, 'Wedgewood Pharm-GA-Yr2-2025'!$E$4:$L$4,
        _xlfn.XLOOKUP('Rate Load'!L2385, 'Wedgewood Pharm-GA-Yr2-2025'!$D$41:$D$50,
            'Wedgewood Pharm-GA-Yr2-2025'!$E$92:$L$101, 0, 0),
        0, 0),
    _xlfn.XLOOKUP(G2385, 'Wedgewood Pharm-GA-Yr2-2025'!$E$4:$L$4,
        _xlfn.XLOOKUP('Rate Load'!L2385, 'Wedgewood Pharm-GA-Yr2-2025'!$D$41:$D$50,
            'Wedgewood Pharm-GA-Yr2-2025'!$E$92:$L$101, 0, 0),
        0, 0)
)</f>
        <v>10.42</v>
      </c>
      <c r="K2385" t="s">
        <v>46</v>
      </c>
      <c r="L2385" t="s">
        <v>39</v>
      </c>
      <c r="M2385">
        <v>2</v>
      </c>
      <c r="N2385" t="str">
        <f t="shared" si="39"/>
        <v>INSERT INTO TNL_RATING.dbo.usps_rate_master VALUES ('USPS', '2/13/2025', '2/13/2026', 12659, 'US', 'USPS Ground Advantage', 5, 0, 'L', 10.42, 'Wedgewood_USPS_2025', 'Cubic Tier 8 (0.70 - 0.80)','2');</v>
      </c>
    </row>
    <row r="2386" spans="1:14" x14ac:dyDescent="0.3">
      <c r="A2386" t="s">
        <v>11</v>
      </c>
      <c r="B2386" s="1" t="s">
        <v>43</v>
      </c>
      <c r="C2386" s="1" t="s">
        <v>44</v>
      </c>
      <c r="D2386">
        <v>12659</v>
      </c>
      <c r="E2386" t="s">
        <v>12</v>
      </c>
      <c r="F2386" t="s">
        <v>51</v>
      </c>
      <c r="G2386">
        <v>6</v>
      </c>
      <c r="H2386">
        <v>0</v>
      </c>
      <c r="I2386" t="s">
        <v>45</v>
      </c>
      <c r="J2386" cm="1">
        <f t="array" ref="J2386">IFERROR(
    _xlfn.XLOOKUP(G2386, 'Wedgewood Pharm-GA-Yr2-2025'!$E$4:$L$4,
        _xlfn.XLOOKUP('Rate Load'!L2386, 'Wedgewood Pharm-GA-Yr2-2025'!$D$41:$D$50,
            'Wedgewood Pharm-GA-Yr2-2025'!$E$92:$L$101, 0, 0),
        0, 0),
    _xlfn.XLOOKUP(G2386, 'Wedgewood Pharm-GA-Yr2-2025'!$E$4:$L$4,
        _xlfn.XLOOKUP('Rate Load'!L2386, 'Wedgewood Pharm-GA-Yr2-2025'!$D$41:$D$50,
            'Wedgewood Pharm-GA-Yr2-2025'!$E$92:$L$101, 0, 0),
        0, 0)
)</f>
        <v>11.04</v>
      </c>
      <c r="K2386" t="s">
        <v>46</v>
      </c>
      <c r="L2386" t="s">
        <v>39</v>
      </c>
      <c r="M2386">
        <v>2</v>
      </c>
      <c r="N2386" t="str">
        <f t="shared" si="39"/>
        <v>INSERT INTO TNL_RATING.dbo.usps_rate_master VALUES ('USPS', '2/13/2025', '2/13/2026', 12659, 'US', 'USPS Ground Advantage', 6, 0, 'L', 11.04, 'Wedgewood_USPS_2025', 'Cubic Tier 8 (0.70 - 0.80)','2');</v>
      </c>
    </row>
    <row r="2387" spans="1:14" x14ac:dyDescent="0.3">
      <c r="A2387" t="s">
        <v>11</v>
      </c>
      <c r="B2387" s="1" t="s">
        <v>43</v>
      </c>
      <c r="C2387" s="1" t="s">
        <v>44</v>
      </c>
      <c r="D2387">
        <v>12659</v>
      </c>
      <c r="E2387" t="s">
        <v>12</v>
      </c>
      <c r="F2387" t="s">
        <v>51</v>
      </c>
      <c r="G2387">
        <v>7</v>
      </c>
      <c r="H2387">
        <v>0</v>
      </c>
      <c r="I2387" t="s">
        <v>45</v>
      </c>
      <c r="J2387" cm="1">
        <f t="array" ref="J2387">IFERROR(
    _xlfn.XLOOKUP(G2387, 'Wedgewood Pharm-GA-Yr2-2025'!$E$4:$L$4,
        _xlfn.XLOOKUP('Rate Load'!L2387, 'Wedgewood Pharm-GA-Yr2-2025'!$D$41:$D$50,
            'Wedgewood Pharm-GA-Yr2-2025'!$E$92:$L$101, 0, 0),
        0, 0),
    _xlfn.XLOOKUP(G2387, 'Wedgewood Pharm-GA-Yr2-2025'!$E$4:$L$4,
        _xlfn.XLOOKUP('Rate Load'!L2387, 'Wedgewood Pharm-GA-Yr2-2025'!$D$41:$D$50,
            'Wedgewood Pharm-GA-Yr2-2025'!$E$92:$L$101, 0, 0),
        0, 0)
)</f>
        <v>11.91</v>
      </c>
      <c r="K2387" t="s">
        <v>46</v>
      </c>
      <c r="L2387" t="s">
        <v>39</v>
      </c>
      <c r="M2387">
        <v>2</v>
      </c>
      <c r="N2387" t="str">
        <f t="shared" si="39"/>
        <v>INSERT INTO TNL_RATING.dbo.usps_rate_master VALUES ('USPS', '2/13/2025', '2/13/2026', 12659, 'US', 'USPS Ground Advantage', 7, 0, 'L', 11.91, 'Wedgewood_USPS_2025', 'Cubic Tier 8 (0.70 - 0.80)','2');</v>
      </c>
    </row>
    <row r="2388" spans="1:14" x14ac:dyDescent="0.3">
      <c r="A2388" t="s">
        <v>11</v>
      </c>
      <c r="B2388" s="1" t="s">
        <v>43</v>
      </c>
      <c r="C2388" s="1" t="s">
        <v>44</v>
      </c>
      <c r="D2388">
        <v>12659</v>
      </c>
      <c r="E2388" t="s">
        <v>12</v>
      </c>
      <c r="F2388" t="s">
        <v>51</v>
      </c>
      <c r="G2388">
        <v>8</v>
      </c>
      <c r="H2388">
        <v>0</v>
      </c>
      <c r="I2388" t="s">
        <v>45</v>
      </c>
      <c r="J2388" cm="1">
        <f t="array" ref="J2388">IFERROR(
    _xlfn.XLOOKUP(G2388, 'Wedgewood Pharm-GA-Yr2-2025'!$E$4:$L$4,
        _xlfn.XLOOKUP('Rate Load'!L2388, 'Wedgewood Pharm-GA-Yr2-2025'!$D$41:$D$50,
            'Wedgewood Pharm-GA-Yr2-2025'!$E$92:$L$101, 0, 0),
        0, 0),
    _xlfn.XLOOKUP(G2388, 'Wedgewood Pharm-GA-Yr2-2025'!$E$4:$L$4,
        _xlfn.XLOOKUP('Rate Load'!L2388, 'Wedgewood Pharm-GA-Yr2-2025'!$D$41:$D$50,
            'Wedgewood Pharm-GA-Yr2-2025'!$E$92:$L$101, 0, 0),
        0, 0)
)</f>
        <v>13.11</v>
      </c>
      <c r="K2388" t="s">
        <v>46</v>
      </c>
      <c r="L2388" t="s">
        <v>39</v>
      </c>
      <c r="M2388">
        <v>2</v>
      </c>
      <c r="N2388" t="str">
        <f t="shared" si="39"/>
        <v>INSERT INTO TNL_RATING.dbo.usps_rate_master VALUES ('USPS', '2/13/2025', '2/13/2026', 12659, 'US', 'USPS Ground Advantage', 8, 0, 'L', 13.11, 'Wedgewood_USPS_2025', 'Cubic Tier 8 (0.70 - 0.80)','2');</v>
      </c>
    </row>
    <row r="2389" spans="1:14" x14ac:dyDescent="0.3">
      <c r="A2389" t="s">
        <v>11</v>
      </c>
      <c r="B2389" s="1" t="s">
        <v>43</v>
      </c>
      <c r="C2389" s="1" t="s">
        <v>44</v>
      </c>
      <c r="D2389">
        <v>12659</v>
      </c>
      <c r="E2389" t="s">
        <v>12</v>
      </c>
      <c r="F2389" t="s">
        <v>51</v>
      </c>
      <c r="G2389">
        <v>1</v>
      </c>
      <c r="H2389">
        <v>0</v>
      </c>
      <c r="I2389" t="s">
        <v>45</v>
      </c>
      <c r="J2389" cm="1">
        <f t="array" ref="J2389">IFERROR(
    _xlfn.XLOOKUP(G2389, 'Wedgewood Pharm-GA-Yr2-2025'!$E$4:$L$4,
        _xlfn.XLOOKUP('Rate Load'!L2389, 'Wedgewood Pharm-GA-Yr2-2025'!$D$41:$D$50,
            'Wedgewood Pharm-GA-Yr2-2025'!$E$92:$L$101, 0, 0),
        0, 0),
    _xlfn.XLOOKUP(G2389, 'Wedgewood Pharm-GA-Yr2-2025'!$E$4:$L$4,
        _xlfn.XLOOKUP('Rate Load'!L2389, 'Wedgewood Pharm-GA-Yr2-2025'!$D$41:$D$50,
            'Wedgewood Pharm-GA-Yr2-2025'!$E$92:$L$101, 0, 0),
        0, 0)
)</f>
        <v>7.25</v>
      </c>
      <c r="K2389" t="s">
        <v>46</v>
      </c>
      <c r="L2389" t="s">
        <v>39</v>
      </c>
      <c r="M2389">
        <v>2</v>
      </c>
      <c r="N2389" t="str">
        <f t="shared" si="39"/>
        <v>INSERT INTO TNL_RATING.dbo.usps_rate_master VALUES ('USPS', '2/13/2025', '2/13/2026', 12659, 'US', 'USPS Ground Advantage', 1, 0, 'L', 7.25, 'Wedgewood_USPS_2025', 'Cubic Tier 8 (0.70 - 0.80)','2');</v>
      </c>
    </row>
    <row r="2390" spans="1:14" x14ac:dyDescent="0.3">
      <c r="A2390" t="s">
        <v>11</v>
      </c>
      <c r="B2390" s="1" t="s">
        <v>43</v>
      </c>
      <c r="C2390" s="1" t="s">
        <v>44</v>
      </c>
      <c r="D2390">
        <v>12659</v>
      </c>
      <c r="E2390" t="s">
        <v>12</v>
      </c>
      <c r="F2390" t="s">
        <v>51</v>
      </c>
      <c r="G2390">
        <v>2</v>
      </c>
      <c r="H2390">
        <v>0</v>
      </c>
      <c r="I2390" t="s">
        <v>45</v>
      </c>
      <c r="J2390" cm="1">
        <f t="array" ref="J2390">IFERROR(
    _xlfn.XLOOKUP(G2390, 'Wedgewood Pharm-GA-Yr2-2025'!$E$4:$L$4,
        _xlfn.XLOOKUP('Rate Load'!L2390, 'Wedgewood Pharm-GA-Yr2-2025'!$D$41:$D$50,
            'Wedgewood Pharm-GA-Yr2-2025'!$E$92:$L$101, 0, 0),
        0, 0),
    _xlfn.XLOOKUP(G2390, 'Wedgewood Pharm-GA-Yr2-2025'!$E$4:$L$4,
        _xlfn.XLOOKUP('Rate Load'!L2390, 'Wedgewood Pharm-GA-Yr2-2025'!$D$41:$D$50,
            'Wedgewood Pharm-GA-Yr2-2025'!$E$92:$L$101, 0, 0),
        0, 0)
)</f>
        <v>7.8999999999999995</v>
      </c>
      <c r="K2390" t="s">
        <v>46</v>
      </c>
      <c r="L2390" t="s">
        <v>40</v>
      </c>
      <c r="M2390">
        <v>2</v>
      </c>
      <c r="N2390" t="str">
        <f t="shared" si="39"/>
        <v>INSERT INTO TNL_RATING.dbo.usps_rate_master VALUES ('USPS', '2/13/2025', '2/13/2026', 12659, 'US', 'USPS Ground Advantage', 2, 0, 'L', 7.9, 'Wedgewood_USPS_2025', 'Cubic Tier 9 (0.80 - 0.90)','2');</v>
      </c>
    </row>
    <row r="2391" spans="1:14" x14ac:dyDescent="0.3">
      <c r="A2391" t="s">
        <v>11</v>
      </c>
      <c r="B2391" s="1" t="s">
        <v>43</v>
      </c>
      <c r="C2391" s="1" t="s">
        <v>44</v>
      </c>
      <c r="D2391">
        <v>12659</v>
      </c>
      <c r="E2391" t="s">
        <v>12</v>
      </c>
      <c r="F2391" t="s">
        <v>51</v>
      </c>
      <c r="G2391">
        <v>3</v>
      </c>
      <c r="H2391">
        <v>0</v>
      </c>
      <c r="I2391" t="s">
        <v>45</v>
      </c>
      <c r="J2391" cm="1">
        <f t="array" ref="J2391">IFERROR(
    _xlfn.XLOOKUP(G2391, 'Wedgewood Pharm-GA-Yr2-2025'!$E$4:$L$4,
        _xlfn.XLOOKUP('Rate Load'!L2391, 'Wedgewood Pharm-GA-Yr2-2025'!$D$41:$D$50,
            'Wedgewood Pharm-GA-Yr2-2025'!$E$92:$L$101, 0, 0),
        0, 0),
    _xlfn.XLOOKUP(G2391, 'Wedgewood Pharm-GA-Yr2-2025'!$E$4:$L$4,
        _xlfn.XLOOKUP('Rate Load'!L2391, 'Wedgewood Pharm-GA-Yr2-2025'!$D$41:$D$50,
            'Wedgewood Pharm-GA-Yr2-2025'!$E$92:$L$101, 0, 0),
        0, 0)
)</f>
        <v>8.57</v>
      </c>
      <c r="K2391" t="s">
        <v>46</v>
      </c>
      <c r="L2391" t="s">
        <v>40</v>
      </c>
      <c r="M2391">
        <v>2</v>
      </c>
      <c r="N2391" t="str">
        <f t="shared" si="39"/>
        <v>INSERT INTO TNL_RATING.dbo.usps_rate_master VALUES ('USPS', '2/13/2025', '2/13/2026', 12659, 'US', 'USPS Ground Advantage', 3, 0, 'L', 8.57, 'Wedgewood_USPS_2025', 'Cubic Tier 9 (0.80 - 0.90)','2');</v>
      </c>
    </row>
    <row r="2392" spans="1:14" x14ac:dyDescent="0.3">
      <c r="A2392" t="s">
        <v>11</v>
      </c>
      <c r="B2392" s="1" t="s">
        <v>43</v>
      </c>
      <c r="C2392" s="1" t="s">
        <v>44</v>
      </c>
      <c r="D2392">
        <v>12659</v>
      </c>
      <c r="E2392" t="s">
        <v>12</v>
      </c>
      <c r="F2392" t="s">
        <v>51</v>
      </c>
      <c r="G2392">
        <v>4</v>
      </c>
      <c r="H2392">
        <v>0</v>
      </c>
      <c r="I2392" t="s">
        <v>45</v>
      </c>
      <c r="J2392" cm="1">
        <f t="array" ref="J2392">IFERROR(
    _xlfn.XLOOKUP(G2392, 'Wedgewood Pharm-GA-Yr2-2025'!$E$4:$L$4,
        _xlfn.XLOOKUP('Rate Load'!L2392, 'Wedgewood Pharm-GA-Yr2-2025'!$D$41:$D$50,
            'Wedgewood Pharm-GA-Yr2-2025'!$E$92:$L$101, 0, 0),
        0, 0),
    _xlfn.XLOOKUP(G2392, 'Wedgewood Pharm-GA-Yr2-2025'!$E$4:$L$4,
        _xlfn.XLOOKUP('Rate Load'!L2392, 'Wedgewood Pharm-GA-Yr2-2025'!$D$41:$D$50,
            'Wedgewood Pharm-GA-Yr2-2025'!$E$92:$L$101, 0, 0),
        0, 0)
)</f>
        <v>9.5499999999999989</v>
      </c>
      <c r="K2392" t="s">
        <v>46</v>
      </c>
      <c r="L2392" t="s">
        <v>40</v>
      </c>
      <c r="M2392">
        <v>2</v>
      </c>
      <c r="N2392" t="str">
        <f t="shared" si="39"/>
        <v>INSERT INTO TNL_RATING.dbo.usps_rate_master VALUES ('USPS', '2/13/2025', '2/13/2026', 12659, 'US', 'USPS Ground Advantage', 4, 0, 'L', 9.55, 'Wedgewood_USPS_2025', 'Cubic Tier 9 (0.80 - 0.90)','2');</v>
      </c>
    </row>
    <row r="2393" spans="1:14" x14ac:dyDescent="0.3">
      <c r="A2393" t="s">
        <v>11</v>
      </c>
      <c r="B2393" s="1" t="s">
        <v>43</v>
      </c>
      <c r="C2393" s="1" t="s">
        <v>44</v>
      </c>
      <c r="D2393">
        <v>12659</v>
      </c>
      <c r="E2393" t="s">
        <v>12</v>
      </c>
      <c r="F2393" t="s">
        <v>51</v>
      </c>
      <c r="G2393">
        <v>5</v>
      </c>
      <c r="H2393">
        <v>0</v>
      </c>
      <c r="I2393" t="s">
        <v>45</v>
      </c>
      <c r="J2393" cm="1">
        <f t="array" ref="J2393">IFERROR(
    _xlfn.XLOOKUP(G2393, 'Wedgewood Pharm-GA-Yr2-2025'!$E$4:$L$4,
        _xlfn.XLOOKUP('Rate Load'!L2393, 'Wedgewood Pharm-GA-Yr2-2025'!$D$41:$D$50,
            'Wedgewood Pharm-GA-Yr2-2025'!$E$92:$L$101, 0, 0),
        0, 0),
    _xlfn.XLOOKUP(G2393, 'Wedgewood Pharm-GA-Yr2-2025'!$E$4:$L$4,
        _xlfn.XLOOKUP('Rate Load'!L2393, 'Wedgewood Pharm-GA-Yr2-2025'!$D$41:$D$50,
            'Wedgewood Pharm-GA-Yr2-2025'!$E$92:$L$101, 0, 0),
        0, 0)
)</f>
        <v>10.61</v>
      </c>
      <c r="K2393" t="s">
        <v>46</v>
      </c>
      <c r="L2393" t="s">
        <v>40</v>
      </c>
      <c r="M2393">
        <v>2</v>
      </c>
      <c r="N2393" t="str">
        <f t="shared" si="39"/>
        <v>INSERT INTO TNL_RATING.dbo.usps_rate_master VALUES ('USPS', '2/13/2025', '2/13/2026', 12659, 'US', 'USPS Ground Advantage', 5, 0, 'L', 10.61, 'Wedgewood_USPS_2025', 'Cubic Tier 9 (0.80 - 0.90)','2');</v>
      </c>
    </row>
    <row r="2394" spans="1:14" x14ac:dyDescent="0.3">
      <c r="A2394" t="s">
        <v>11</v>
      </c>
      <c r="B2394" s="1" t="s">
        <v>43</v>
      </c>
      <c r="C2394" s="1" t="s">
        <v>44</v>
      </c>
      <c r="D2394">
        <v>12659</v>
      </c>
      <c r="E2394" t="s">
        <v>12</v>
      </c>
      <c r="F2394" t="s">
        <v>51</v>
      </c>
      <c r="G2394">
        <v>6</v>
      </c>
      <c r="H2394">
        <v>0</v>
      </c>
      <c r="I2394" t="s">
        <v>45</v>
      </c>
      <c r="J2394" cm="1">
        <f t="array" ref="J2394">IFERROR(
    _xlfn.XLOOKUP(G2394, 'Wedgewood Pharm-GA-Yr2-2025'!$E$4:$L$4,
        _xlfn.XLOOKUP('Rate Load'!L2394, 'Wedgewood Pharm-GA-Yr2-2025'!$D$41:$D$50,
            'Wedgewood Pharm-GA-Yr2-2025'!$E$92:$L$101, 0, 0),
        0, 0),
    _xlfn.XLOOKUP(G2394, 'Wedgewood Pharm-GA-Yr2-2025'!$E$4:$L$4,
        _xlfn.XLOOKUP('Rate Load'!L2394, 'Wedgewood Pharm-GA-Yr2-2025'!$D$41:$D$50,
            'Wedgewood Pharm-GA-Yr2-2025'!$E$92:$L$101, 0, 0),
        0, 0)
)</f>
        <v>11.35</v>
      </c>
      <c r="K2394" t="s">
        <v>46</v>
      </c>
      <c r="L2394" t="s">
        <v>40</v>
      </c>
      <c r="M2394">
        <v>2</v>
      </c>
      <c r="N2394" t="str">
        <f t="shared" si="39"/>
        <v>INSERT INTO TNL_RATING.dbo.usps_rate_master VALUES ('USPS', '2/13/2025', '2/13/2026', 12659, 'US', 'USPS Ground Advantage', 6, 0, 'L', 11.35, 'Wedgewood_USPS_2025', 'Cubic Tier 9 (0.80 - 0.90)','2');</v>
      </c>
    </row>
    <row r="2395" spans="1:14" x14ac:dyDescent="0.3">
      <c r="A2395" t="s">
        <v>11</v>
      </c>
      <c r="B2395" s="1" t="s">
        <v>43</v>
      </c>
      <c r="C2395" s="1" t="s">
        <v>44</v>
      </c>
      <c r="D2395">
        <v>12659</v>
      </c>
      <c r="E2395" t="s">
        <v>12</v>
      </c>
      <c r="F2395" t="s">
        <v>51</v>
      </c>
      <c r="G2395">
        <v>7</v>
      </c>
      <c r="H2395">
        <v>0</v>
      </c>
      <c r="I2395" t="s">
        <v>45</v>
      </c>
      <c r="J2395" cm="1">
        <f t="array" ref="J2395">IFERROR(
    _xlfn.XLOOKUP(G2395, 'Wedgewood Pharm-GA-Yr2-2025'!$E$4:$L$4,
        _xlfn.XLOOKUP('Rate Load'!L2395, 'Wedgewood Pharm-GA-Yr2-2025'!$D$41:$D$50,
            'Wedgewood Pharm-GA-Yr2-2025'!$E$92:$L$101, 0, 0),
        0, 0),
    _xlfn.XLOOKUP(G2395, 'Wedgewood Pharm-GA-Yr2-2025'!$E$4:$L$4,
        _xlfn.XLOOKUP('Rate Load'!L2395, 'Wedgewood Pharm-GA-Yr2-2025'!$D$41:$D$50,
            'Wedgewood Pharm-GA-Yr2-2025'!$E$92:$L$101, 0, 0),
        0, 0)
)</f>
        <v>12.379999999999999</v>
      </c>
      <c r="K2395" t="s">
        <v>46</v>
      </c>
      <c r="L2395" t="s">
        <v>40</v>
      </c>
      <c r="M2395">
        <v>2</v>
      </c>
      <c r="N2395" t="str">
        <f t="shared" si="39"/>
        <v>INSERT INTO TNL_RATING.dbo.usps_rate_master VALUES ('USPS', '2/13/2025', '2/13/2026', 12659, 'US', 'USPS Ground Advantage', 7, 0, 'L', 12.38, 'Wedgewood_USPS_2025', 'Cubic Tier 9 (0.80 - 0.90)','2');</v>
      </c>
    </row>
    <row r="2396" spans="1:14" x14ac:dyDescent="0.3">
      <c r="A2396" t="s">
        <v>11</v>
      </c>
      <c r="B2396" s="1" t="s">
        <v>43</v>
      </c>
      <c r="C2396" s="1" t="s">
        <v>44</v>
      </c>
      <c r="D2396">
        <v>12659</v>
      </c>
      <c r="E2396" t="s">
        <v>12</v>
      </c>
      <c r="F2396" t="s">
        <v>51</v>
      </c>
      <c r="G2396">
        <v>8</v>
      </c>
      <c r="H2396">
        <v>0</v>
      </c>
      <c r="I2396" t="s">
        <v>45</v>
      </c>
      <c r="J2396" cm="1">
        <f t="array" ref="J2396">IFERROR(
    _xlfn.XLOOKUP(G2396, 'Wedgewood Pharm-GA-Yr2-2025'!$E$4:$L$4,
        _xlfn.XLOOKUP('Rate Load'!L2396, 'Wedgewood Pharm-GA-Yr2-2025'!$D$41:$D$50,
            'Wedgewood Pharm-GA-Yr2-2025'!$E$92:$L$101, 0, 0),
        0, 0),
    _xlfn.XLOOKUP(G2396, 'Wedgewood Pharm-GA-Yr2-2025'!$E$4:$L$4,
        _xlfn.XLOOKUP('Rate Load'!L2396, 'Wedgewood Pharm-GA-Yr2-2025'!$D$41:$D$50,
            'Wedgewood Pharm-GA-Yr2-2025'!$E$92:$L$101, 0, 0),
        0, 0)
)</f>
        <v>13.75</v>
      </c>
      <c r="K2396" t="s">
        <v>46</v>
      </c>
      <c r="L2396" t="s">
        <v>40</v>
      </c>
      <c r="M2396">
        <v>2</v>
      </c>
      <c r="N2396" t="str">
        <f t="shared" ref="N2396:N2441" si="40">"INSERT INTO TNL_RATING.dbo.usps_rate_master VALUES ('" &amp; A2396 &amp; "', '" &amp; B2396 &amp; "', '" &amp; C2396 &amp; "', " &amp; D2396 &amp; ", '" &amp; E2396 &amp; "', '" &amp; F2396 &amp; "', " &amp; G2396 &amp; ", " &amp; H2396 &amp; ", '" &amp; I2396 &amp; "', " &amp; J2396 &amp; ", '" &amp; K2396 &amp; "', '" &amp; L2396 &amp; "','" &amp; M2396 &amp; "');"</f>
        <v>INSERT INTO TNL_RATING.dbo.usps_rate_master VALUES ('USPS', '2/13/2025', '2/13/2026', 12659, 'US', 'USPS Ground Advantage', 8, 0, 'L', 13.75, 'Wedgewood_USPS_2025', 'Cubic Tier 9 (0.80 - 0.90)','2');</v>
      </c>
    </row>
    <row r="2397" spans="1:14" x14ac:dyDescent="0.3">
      <c r="A2397" t="s">
        <v>11</v>
      </c>
      <c r="B2397" s="1" t="s">
        <v>43</v>
      </c>
      <c r="C2397" s="1" t="s">
        <v>44</v>
      </c>
      <c r="D2397">
        <v>12659</v>
      </c>
      <c r="E2397" t="s">
        <v>12</v>
      </c>
      <c r="F2397" t="s">
        <v>51</v>
      </c>
      <c r="G2397">
        <v>1</v>
      </c>
      <c r="H2397">
        <v>0</v>
      </c>
      <c r="I2397" t="s">
        <v>45</v>
      </c>
      <c r="J2397" cm="1">
        <f t="array" ref="J2397">IFERROR(
    _xlfn.XLOOKUP(G2397, 'Wedgewood Pharm-GA-Yr2-2025'!$E$4:$L$4,
        _xlfn.XLOOKUP('Rate Load'!L2397, 'Wedgewood Pharm-GA-Yr2-2025'!$D$41:$D$50,
            'Wedgewood Pharm-GA-Yr2-2025'!$E$92:$L$101, 0, 0),
        0, 0),
    _xlfn.XLOOKUP(G2397, 'Wedgewood Pharm-GA-Yr2-2025'!$E$4:$L$4,
        _xlfn.XLOOKUP('Rate Load'!L2397, 'Wedgewood Pharm-GA-Yr2-2025'!$D$41:$D$50,
            'Wedgewood Pharm-GA-Yr2-2025'!$E$92:$L$101, 0, 0),
        0, 0)
)</f>
        <v>7.6499999999999995</v>
      </c>
      <c r="K2397" t="s">
        <v>46</v>
      </c>
      <c r="L2397" t="s">
        <v>40</v>
      </c>
      <c r="M2397">
        <v>2</v>
      </c>
      <c r="N2397" t="str">
        <f t="shared" si="40"/>
        <v>INSERT INTO TNL_RATING.dbo.usps_rate_master VALUES ('USPS', '2/13/2025', '2/13/2026', 12659, 'US', 'USPS Ground Advantage', 1, 0, 'L', 7.65, 'Wedgewood_USPS_2025', 'Cubic Tier 9 (0.80 - 0.90)','2');</v>
      </c>
    </row>
    <row r="2398" spans="1:14" x14ac:dyDescent="0.3">
      <c r="A2398" t="s">
        <v>11</v>
      </c>
      <c r="B2398" s="1" t="s">
        <v>43</v>
      </c>
      <c r="C2398" s="1" t="s">
        <v>44</v>
      </c>
      <c r="D2398">
        <v>12659</v>
      </c>
      <c r="E2398" t="s">
        <v>12</v>
      </c>
      <c r="F2398" t="s">
        <v>51</v>
      </c>
      <c r="G2398">
        <v>2</v>
      </c>
      <c r="H2398">
        <v>0</v>
      </c>
      <c r="I2398" t="s">
        <v>45</v>
      </c>
      <c r="J2398" cm="1">
        <f t="array" ref="J2398">IFERROR(
    _xlfn.XLOOKUP(G2398, 'Wedgewood Pharm-GA-Yr2-2025'!$E$4:$L$4,
        _xlfn.XLOOKUP('Rate Load'!L2398, 'Wedgewood Pharm-GA-Yr2-2025'!$D$41:$D$50,
            'Wedgewood Pharm-GA-Yr2-2025'!$E$92:$L$101, 0, 0),
        0, 0),
    _xlfn.XLOOKUP(G2398, 'Wedgewood Pharm-GA-Yr2-2025'!$E$4:$L$4,
        _xlfn.XLOOKUP('Rate Load'!L2398, 'Wedgewood Pharm-GA-Yr2-2025'!$D$41:$D$50,
            'Wedgewood Pharm-GA-Yr2-2025'!$E$92:$L$101, 0, 0),
        0, 0)
)</f>
        <v>8.2200000000000006</v>
      </c>
      <c r="K2398" t="s">
        <v>46</v>
      </c>
      <c r="L2398" t="s">
        <v>41</v>
      </c>
      <c r="M2398">
        <v>2</v>
      </c>
      <c r="N2398" t="str">
        <f t="shared" si="40"/>
        <v>INSERT INTO TNL_RATING.dbo.usps_rate_master VALUES ('USPS', '2/13/2025', '2/13/2026', 12659, 'US', 'USPS Ground Advantage', 2, 0, 'L', 8.22, 'Wedgewood_USPS_2025', 'Cubic Tier 10 (0.90 - 1.00)','2');</v>
      </c>
    </row>
    <row r="2399" spans="1:14" x14ac:dyDescent="0.3">
      <c r="A2399" t="s">
        <v>11</v>
      </c>
      <c r="B2399" s="1" t="s">
        <v>43</v>
      </c>
      <c r="C2399" s="1" t="s">
        <v>44</v>
      </c>
      <c r="D2399">
        <v>12659</v>
      </c>
      <c r="E2399" t="s">
        <v>12</v>
      </c>
      <c r="F2399" t="s">
        <v>51</v>
      </c>
      <c r="G2399">
        <v>3</v>
      </c>
      <c r="H2399">
        <v>0</v>
      </c>
      <c r="I2399" t="s">
        <v>45</v>
      </c>
      <c r="J2399" cm="1">
        <f t="array" ref="J2399">IFERROR(
    _xlfn.XLOOKUP(G2399, 'Wedgewood Pharm-GA-Yr2-2025'!$E$4:$L$4,
        _xlfn.XLOOKUP('Rate Load'!L2399, 'Wedgewood Pharm-GA-Yr2-2025'!$D$41:$D$50,
            'Wedgewood Pharm-GA-Yr2-2025'!$E$92:$L$101, 0, 0),
        0, 0),
    _xlfn.XLOOKUP(G2399, 'Wedgewood Pharm-GA-Yr2-2025'!$E$4:$L$4,
        _xlfn.XLOOKUP('Rate Load'!L2399, 'Wedgewood Pharm-GA-Yr2-2025'!$D$41:$D$50,
            'Wedgewood Pharm-GA-Yr2-2025'!$E$92:$L$101, 0, 0),
        0, 0)
)</f>
        <v>8.9</v>
      </c>
      <c r="K2399" t="s">
        <v>46</v>
      </c>
      <c r="L2399" t="s">
        <v>41</v>
      </c>
      <c r="M2399">
        <v>2</v>
      </c>
      <c r="N2399" t="str">
        <f t="shared" si="40"/>
        <v>INSERT INTO TNL_RATING.dbo.usps_rate_master VALUES ('USPS', '2/13/2025', '2/13/2026', 12659, 'US', 'USPS Ground Advantage', 3, 0, 'L', 8.9, 'Wedgewood_USPS_2025', 'Cubic Tier 10 (0.90 - 1.00)','2');</v>
      </c>
    </row>
    <row r="2400" spans="1:14" x14ac:dyDescent="0.3">
      <c r="A2400" t="s">
        <v>11</v>
      </c>
      <c r="B2400" s="1" t="s">
        <v>43</v>
      </c>
      <c r="C2400" s="1" t="s">
        <v>44</v>
      </c>
      <c r="D2400">
        <v>12659</v>
      </c>
      <c r="E2400" t="s">
        <v>12</v>
      </c>
      <c r="F2400" t="s">
        <v>51</v>
      </c>
      <c r="G2400">
        <v>4</v>
      </c>
      <c r="H2400">
        <v>0</v>
      </c>
      <c r="I2400" t="s">
        <v>45</v>
      </c>
      <c r="J2400" cm="1">
        <f t="array" ref="J2400">IFERROR(
    _xlfn.XLOOKUP(G2400, 'Wedgewood Pharm-GA-Yr2-2025'!$E$4:$L$4,
        _xlfn.XLOOKUP('Rate Load'!L2400, 'Wedgewood Pharm-GA-Yr2-2025'!$D$41:$D$50,
            'Wedgewood Pharm-GA-Yr2-2025'!$E$92:$L$101, 0, 0),
        0, 0),
    _xlfn.XLOOKUP(G2400, 'Wedgewood Pharm-GA-Yr2-2025'!$E$4:$L$4,
        _xlfn.XLOOKUP('Rate Load'!L2400, 'Wedgewood Pharm-GA-Yr2-2025'!$D$41:$D$50,
            'Wedgewood Pharm-GA-Yr2-2025'!$E$92:$L$101, 0, 0),
        0, 0)
)</f>
        <v>9.73</v>
      </c>
      <c r="K2400" t="s">
        <v>46</v>
      </c>
      <c r="L2400" t="s">
        <v>41</v>
      </c>
      <c r="M2400">
        <v>2</v>
      </c>
      <c r="N2400" t="str">
        <f t="shared" si="40"/>
        <v>INSERT INTO TNL_RATING.dbo.usps_rate_master VALUES ('USPS', '2/13/2025', '2/13/2026', 12659, 'US', 'USPS Ground Advantage', 4, 0, 'L', 9.73, 'Wedgewood_USPS_2025', 'Cubic Tier 10 (0.90 - 1.00)','2');</v>
      </c>
    </row>
    <row r="2401" spans="1:14" x14ac:dyDescent="0.3">
      <c r="A2401" t="s">
        <v>11</v>
      </c>
      <c r="B2401" s="1" t="s">
        <v>43</v>
      </c>
      <c r="C2401" s="1" t="s">
        <v>44</v>
      </c>
      <c r="D2401">
        <v>12659</v>
      </c>
      <c r="E2401" t="s">
        <v>12</v>
      </c>
      <c r="F2401" t="s">
        <v>51</v>
      </c>
      <c r="G2401">
        <v>5</v>
      </c>
      <c r="H2401">
        <v>0</v>
      </c>
      <c r="I2401" t="s">
        <v>45</v>
      </c>
      <c r="J2401" cm="1">
        <f t="array" ref="J2401">IFERROR(
    _xlfn.XLOOKUP(G2401, 'Wedgewood Pharm-GA-Yr2-2025'!$E$4:$L$4,
        _xlfn.XLOOKUP('Rate Load'!L2401, 'Wedgewood Pharm-GA-Yr2-2025'!$D$41:$D$50,
            'Wedgewood Pharm-GA-Yr2-2025'!$E$92:$L$101, 0, 0),
        0, 0),
    _xlfn.XLOOKUP(G2401, 'Wedgewood Pharm-GA-Yr2-2025'!$E$4:$L$4,
        _xlfn.XLOOKUP('Rate Load'!L2401, 'Wedgewood Pharm-GA-Yr2-2025'!$D$41:$D$50,
            'Wedgewood Pharm-GA-Yr2-2025'!$E$92:$L$101, 0, 0),
        0, 0)
)</f>
        <v>10.89</v>
      </c>
      <c r="K2401" t="s">
        <v>46</v>
      </c>
      <c r="L2401" t="s">
        <v>41</v>
      </c>
      <c r="M2401">
        <v>2</v>
      </c>
      <c r="N2401" t="str">
        <f t="shared" si="40"/>
        <v>INSERT INTO TNL_RATING.dbo.usps_rate_master VALUES ('USPS', '2/13/2025', '2/13/2026', 12659, 'US', 'USPS Ground Advantage', 5, 0, 'L', 10.89, 'Wedgewood_USPS_2025', 'Cubic Tier 10 (0.90 - 1.00)','2');</v>
      </c>
    </row>
    <row r="2402" spans="1:14" x14ac:dyDescent="0.3">
      <c r="A2402" t="s">
        <v>11</v>
      </c>
      <c r="B2402" s="1" t="s">
        <v>43</v>
      </c>
      <c r="C2402" s="1" t="s">
        <v>44</v>
      </c>
      <c r="D2402">
        <v>12659</v>
      </c>
      <c r="E2402" t="s">
        <v>12</v>
      </c>
      <c r="F2402" t="s">
        <v>51</v>
      </c>
      <c r="G2402">
        <v>6</v>
      </c>
      <c r="H2402">
        <v>0</v>
      </c>
      <c r="I2402" t="s">
        <v>45</v>
      </c>
      <c r="J2402" cm="1">
        <f t="array" ref="J2402">IFERROR(
    _xlfn.XLOOKUP(G2402, 'Wedgewood Pharm-GA-Yr2-2025'!$E$4:$L$4,
        _xlfn.XLOOKUP('Rate Load'!L2402, 'Wedgewood Pharm-GA-Yr2-2025'!$D$41:$D$50,
            'Wedgewood Pharm-GA-Yr2-2025'!$E$92:$L$101, 0, 0),
        0, 0),
    _xlfn.XLOOKUP(G2402, 'Wedgewood Pharm-GA-Yr2-2025'!$E$4:$L$4,
        _xlfn.XLOOKUP('Rate Load'!L2402, 'Wedgewood Pharm-GA-Yr2-2025'!$D$41:$D$50,
            'Wedgewood Pharm-GA-Yr2-2025'!$E$92:$L$101, 0, 0),
        0, 0)
)</f>
        <v>11.65</v>
      </c>
      <c r="K2402" t="s">
        <v>46</v>
      </c>
      <c r="L2402" t="s">
        <v>41</v>
      </c>
      <c r="M2402">
        <v>2</v>
      </c>
      <c r="N2402" t="str">
        <f t="shared" si="40"/>
        <v>INSERT INTO TNL_RATING.dbo.usps_rate_master VALUES ('USPS', '2/13/2025', '2/13/2026', 12659, 'US', 'USPS Ground Advantage', 6, 0, 'L', 11.65, 'Wedgewood_USPS_2025', 'Cubic Tier 10 (0.90 - 1.00)','2');</v>
      </c>
    </row>
    <row r="2403" spans="1:14" x14ac:dyDescent="0.3">
      <c r="A2403" t="s">
        <v>11</v>
      </c>
      <c r="B2403" s="1" t="s">
        <v>43</v>
      </c>
      <c r="C2403" s="1" t="s">
        <v>44</v>
      </c>
      <c r="D2403">
        <v>12659</v>
      </c>
      <c r="E2403" t="s">
        <v>12</v>
      </c>
      <c r="F2403" t="s">
        <v>51</v>
      </c>
      <c r="G2403">
        <v>7</v>
      </c>
      <c r="H2403">
        <v>0</v>
      </c>
      <c r="I2403" t="s">
        <v>45</v>
      </c>
      <c r="J2403" cm="1">
        <f t="array" ref="J2403">IFERROR(
    _xlfn.XLOOKUP(G2403, 'Wedgewood Pharm-GA-Yr2-2025'!$E$4:$L$4,
        _xlfn.XLOOKUP('Rate Load'!L2403, 'Wedgewood Pharm-GA-Yr2-2025'!$D$41:$D$50,
            'Wedgewood Pharm-GA-Yr2-2025'!$E$92:$L$101, 0, 0),
        0, 0),
    _xlfn.XLOOKUP(G2403, 'Wedgewood Pharm-GA-Yr2-2025'!$E$4:$L$4,
        _xlfn.XLOOKUP('Rate Load'!L2403, 'Wedgewood Pharm-GA-Yr2-2025'!$D$41:$D$50,
            'Wedgewood Pharm-GA-Yr2-2025'!$E$92:$L$101, 0, 0),
        0, 0)
)</f>
        <v>13.01</v>
      </c>
      <c r="K2403" t="s">
        <v>46</v>
      </c>
      <c r="L2403" t="s">
        <v>41</v>
      </c>
      <c r="M2403">
        <v>2</v>
      </c>
      <c r="N2403" t="str">
        <f t="shared" si="40"/>
        <v>INSERT INTO TNL_RATING.dbo.usps_rate_master VALUES ('USPS', '2/13/2025', '2/13/2026', 12659, 'US', 'USPS Ground Advantage', 7, 0, 'L', 13.01, 'Wedgewood_USPS_2025', 'Cubic Tier 10 (0.90 - 1.00)','2');</v>
      </c>
    </row>
    <row r="2404" spans="1:14" x14ac:dyDescent="0.3">
      <c r="A2404" t="s">
        <v>11</v>
      </c>
      <c r="B2404" s="1" t="s">
        <v>43</v>
      </c>
      <c r="C2404" s="1" t="s">
        <v>44</v>
      </c>
      <c r="D2404">
        <v>12659</v>
      </c>
      <c r="E2404" t="s">
        <v>12</v>
      </c>
      <c r="F2404" t="s">
        <v>51</v>
      </c>
      <c r="G2404">
        <v>8</v>
      </c>
      <c r="H2404">
        <v>0</v>
      </c>
      <c r="I2404" t="s">
        <v>45</v>
      </c>
      <c r="J2404" cm="1">
        <f t="array" ref="J2404">IFERROR(
    _xlfn.XLOOKUP(G2404, 'Wedgewood Pharm-GA-Yr2-2025'!$E$4:$L$4,
        _xlfn.XLOOKUP('Rate Load'!L2404, 'Wedgewood Pharm-GA-Yr2-2025'!$D$41:$D$50,
            'Wedgewood Pharm-GA-Yr2-2025'!$E$92:$L$101, 0, 0),
        0, 0),
    _xlfn.XLOOKUP(G2404, 'Wedgewood Pharm-GA-Yr2-2025'!$E$4:$L$4,
        _xlfn.XLOOKUP('Rate Load'!L2404, 'Wedgewood Pharm-GA-Yr2-2025'!$D$41:$D$50,
            'Wedgewood Pharm-GA-Yr2-2025'!$E$92:$L$101, 0, 0),
        0, 0)
)</f>
        <v>14.54</v>
      </c>
      <c r="K2404" t="s">
        <v>46</v>
      </c>
      <c r="L2404" t="s">
        <v>41</v>
      </c>
      <c r="M2404">
        <v>2</v>
      </c>
      <c r="N2404" t="str">
        <f t="shared" si="40"/>
        <v>INSERT INTO TNL_RATING.dbo.usps_rate_master VALUES ('USPS', '2/13/2025', '2/13/2026', 12659, 'US', 'USPS Ground Advantage', 8, 0, 'L', 14.54, 'Wedgewood_USPS_2025', 'Cubic Tier 10 (0.90 - 1.00)','2');</v>
      </c>
    </row>
    <row r="2405" spans="1:14" x14ac:dyDescent="0.3">
      <c r="A2405" t="s">
        <v>11</v>
      </c>
      <c r="B2405" s="1" t="s">
        <v>43</v>
      </c>
      <c r="C2405" s="1" t="s">
        <v>44</v>
      </c>
      <c r="D2405">
        <v>12659</v>
      </c>
      <c r="E2405" t="s">
        <v>12</v>
      </c>
      <c r="F2405" t="s">
        <v>51</v>
      </c>
      <c r="G2405">
        <v>1</v>
      </c>
      <c r="H2405">
        <v>0</v>
      </c>
      <c r="I2405" t="s">
        <v>45</v>
      </c>
      <c r="J2405" cm="1">
        <f t="array" ref="J2405">IFERROR(
    _xlfn.XLOOKUP(G2405, 'Wedgewood Pharm-GA-Yr2-2025'!$E$4:$L$4,
        _xlfn.XLOOKUP('Rate Load'!L2405, 'Wedgewood Pharm-GA-Yr2-2025'!$D$41:$D$50,
            'Wedgewood Pharm-GA-Yr2-2025'!$E$143:$L$152, 0, 0),
        0, 0),
    _xlfn.XLOOKUP(G2405, 'Wedgewood Pharm-GA-Yr2-2025'!$E$4:$L$4,
        _xlfn.XLOOKUP('Rate Load'!L2405, 'Wedgewood Pharm-GA-Yr2-2025'!$D$41:$D$50,
            'Wedgewood Pharm-GA-Yr2-2025'!$E$143:$L$152, 0, 0),
        0, 0)
)</f>
        <v>7.7299999999999995</v>
      </c>
      <c r="K2405" t="s">
        <v>46</v>
      </c>
      <c r="L2405" t="s">
        <v>41</v>
      </c>
      <c r="M2405">
        <v>3</v>
      </c>
      <c r="N2405" t="str">
        <f t="shared" si="40"/>
        <v>INSERT INTO TNL_RATING.dbo.usps_rate_master VALUES ('USPS', '2/13/2025', '2/13/2026', 12659, 'US', 'USPS Ground Advantage', 1, 0, 'L', 7.73, 'Wedgewood_USPS_2025', 'Cubic Tier 10 (0.90 - 1.00)','3');</v>
      </c>
    </row>
    <row r="2406" spans="1:14" x14ac:dyDescent="0.3">
      <c r="A2406" t="s">
        <v>11</v>
      </c>
      <c r="B2406" s="1" t="s">
        <v>43</v>
      </c>
      <c r="C2406" s="1" t="s">
        <v>44</v>
      </c>
      <c r="D2406">
        <v>12659</v>
      </c>
      <c r="E2406" t="s">
        <v>12</v>
      </c>
      <c r="F2406" t="s">
        <v>51</v>
      </c>
      <c r="G2406">
        <v>2</v>
      </c>
      <c r="H2406">
        <v>0</v>
      </c>
      <c r="I2406" t="s">
        <v>45</v>
      </c>
      <c r="J2406" cm="1">
        <f t="array" ref="J2406">IFERROR(
    _xlfn.XLOOKUP(G2406, 'Wedgewood Pharm-GA-Yr2-2025'!$E$4:$L$4,
        _xlfn.XLOOKUP('Rate Load'!L2406, 'Wedgewood Pharm-GA-Yr2-2025'!$D$41:$D$50,
            'Wedgewood Pharm-GA-Yr2-2025'!$E$143:$L$152, 0, 0),
        0, 0),
    _xlfn.XLOOKUP(G2406, 'Wedgewood Pharm-GA-Yr2-2025'!$E$4:$L$4,
        _xlfn.XLOOKUP('Rate Load'!L2406, 'Wedgewood Pharm-GA-Yr2-2025'!$D$41:$D$50,
            'Wedgewood Pharm-GA-Yr2-2025'!$E$143:$L$152, 0, 0),
        0, 0)
)</f>
        <v>6.83</v>
      </c>
      <c r="K2406" t="s">
        <v>46</v>
      </c>
      <c r="L2406" t="s">
        <v>37</v>
      </c>
      <c r="M2406">
        <v>3</v>
      </c>
      <c r="N2406" t="str">
        <f t="shared" si="40"/>
        <v>INSERT INTO TNL_RATING.dbo.usps_rate_master VALUES ('USPS', '2/13/2025', '2/13/2026', 12659, 'US', 'USPS Ground Advantage', 2, 0, 'L', 6.83, 'Wedgewood_USPS_2025', 'Cubic Tier 6 (0.50 - 0.60)','3');</v>
      </c>
    </row>
    <row r="2407" spans="1:14" x14ac:dyDescent="0.3">
      <c r="A2407" t="s">
        <v>11</v>
      </c>
      <c r="B2407" s="1" t="s">
        <v>43</v>
      </c>
      <c r="C2407" s="1" t="s">
        <v>44</v>
      </c>
      <c r="D2407">
        <v>12659</v>
      </c>
      <c r="E2407" t="s">
        <v>12</v>
      </c>
      <c r="F2407" t="s">
        <v>51</v>
      </c>
      <c r="G2407">
        <v>3</v>
      </c>
      <c r="H2407">
        <v>0</v>
      </c>
      <c r="I2407" t="s">
        <v>45</v>
      </c>
      <c r="J2407" cm="1">
        <f t="array" ref="J2407">IFERROR(
    _xlfn.XLOOKUP(G2407, 'Wedgewood Pharm-GA-Yr2-2025'!$E$4:$L$4,
        _xlfn.XLOOKUP('Rate Load'!L2407, 'Wedgewood Pharm-GA-Yr2-2025'!$D$41:$D$50,
            'Wedgewood Pharm-GA-Yr2-2025'!$E$143:$L$152, 0, 0),
        0, 0),
    _xlfn.XLOOKUP(G2407, 'Wedgewood Pharm-GA-Yr2-2025'!$E$4:$L$4,
        _xlfn.XLOOKUP('Rate Load'!L2407, 'Wedgewood Pharm-GA-Yr2-2025'!$D$41:$D$50,
            'Wedgewood Pharm-GA-Yr2-2025'!$E$143:$L$152, 0, 0),
        0, 0)
)</f>
        <v>7.2</v>
      </c>
      <c r="K2407" t="s">
        <v>46</v>
      </c>
      <c r="L2407" t="s">
        <v>37</v>
      </c>
      <c r="M2407">
        <v>3</v>
      </c>
      <c r="N2407" t="str">
        <f t="shared" si="40"/>
        <v>INSERT INTO TNL_RATING.dbo.usps_rate_master VALUES ('USPS', '2/13/2025', '2/13/2026', 12659, 'US', 'USPS Ground Advantage', 3, 0, 'L', 7.2, 'Wedgewood_USPS_2025', 'Cubic Tier 6 (0.50 - 0.60)','3');</v>
      </c>
    </row>
    <row r="2408" spans="1:14" x14ac:dyDescent="0.3">
      <c r="A2408" t="s">
        <v>11</v>
      </c>
      <c r="B2408" s="1" t="s">
        <v>43</v>
      </c>
      <c r="C2408" s="1" t="s">
        <v>44</v>
      </c>
      <c r="D2408">
        <v>12659</v>
      </c>
      <c r="E2408" t="s">
        <v>12</v>
      </c>
      <c r="F2408" t="s">
        <v>51</v>
      </c>
      <c r="G2408">
        <v>4</v>
      </c>
      <c r="H2408">
        <v>0</v>
      </c>
      <c r="I2408" t="s">
        <v>45</v>
      </c>
      <c r="J2408" cm="1">
        <f t="array" ref="J2408">IFERROR(
    _xlfn.XLOOKUP(G2408, 'Wedgewood Pharm-GA-Yr2-2025'!$E$4:$L$4,
        _xlfn.XLOOKUP('Rate Load'!L2408, 'Wedgewood Pharm-GA-Yr2-2025'!$D$41:$D$50,
            'Wedgewood Pharm-GA-Yr2-2025'!$E$143:$L$152, 0, 0),
        0, 0),
    _xlfn.XLOOKUP(G2408, 'Wedgewood Pharm-GA-Yr2-2025'!$E$4:$L$4,
        _xlfn.XLOOKUP('Rate Load'!L2408, 'Wedgewood Pharm-GA-Yr2-2025'!$D$41:$D$50,
            'Wedgewood Pharm-GA-Yr2-2025'!$E$143:$L$152, 0, 0),
        0, 0)
)</f>
        <v>7.8</v>
      </c>
      <c r="K2408" t="s">
        <v>46</v>
      </c>
      <c r="L2408" t="s">
        <v>37</v>
      </c>
      <c r="M2408">
        <v>3</v>
      </c>
      <c r="N2408" t="str">
        <f t="shared" si="40"/>
        <v>INSERT INTO TNL_RATING.dbo.usps_rate_master VALUES ('USPS', '2/13/2025', '2/13/2026', 12659, 'US', 'USPS Ground Advantage', 4, 0, 'L', 7.8, 'Wedgewood_USPS_2025', 'Cubic Tier 6 (0.50 - 0.60)','3');</v>
      </c>
    </row>
    <row r="2409" spans="1:14" x14ac:dyDescent="0.3">
      <c r="A2409" t="s">
        <v>11</v>
      </c>
      <c r="B2409" s="1" t="s">
        <v>43</v>
      </c>
      <c r="C2409" s="1" t="s">
        <v>44</v>
      </c>
      <c r="D2409">
        <v>12659</v>
      </c>
      <c r="E2409" t="s">
        <v>12</v>
      </c>
      <c r="F2409" t="s">
        <v>51</v>
      </c>
      <c r="G2409">
        <v>5</v>
      </c>
      <c r="H2409">
        <v>0</v>
      </c>
      <c r="I2409" t="s">
        <v>45</v>
      </c>
      <c r="J2409" cm="1">
        <f t="array" ref="J2409">IFERROR(
    _xlfn.XLOOKUP(G2409, 'Wedgewood Pharm-GA-Yr2-2025'!$E$4:$L$4,
        _xlfn.XLOOKUP('Rate Load'!L2409, 'Wedgewood Pharm-GA-Yr2-2025'!$D$41:$D$50,
            'Wedgewood Pharm-GA-Yr2-2025'!$E$143:$L$152, 0, 0),
        0, 0),
    _xlfn.XLOOKUP(G2409, 'Wedgewood Pharm-GA-Yr2-2025'!$E$4:$L$4,
        _xlfn.XLOOKUP('Rate Load'!L2409, 'Wedgewood Pharm-GA-Yr2-2025'!$D$41:$D$50,
            'Wedgewood Pharm-GA-Yr2-2025'!$E$143:$L$152, 0, 0),
        0, 0)
)</f>
        <v>9.31</v>
      </c>
      <c r="K2409" t="s">
        <v>46</v>
      </c>
      <c r="L2409" t="s">
        <v>37</v>
      </c>
      <c r="M2409">
        <v>3</v>
      </c>
      <c r="N2409" t="str">
        <f t="shared" si="40"/>
        <v>INSERT INTO TNL_RATING.dbo.usps_rate_master VALUES ('USPS', '2/13/2025', '2/13/2026', 12659, 'US', 'USPS Ground Advantage', 5, 0, 'L', 9.31, 'Wedgewood_USPS_2025', 'Cubic Tier 6 (0.50 - 0.60)','3');</v>
      </c>
    </row>
    <row r="2410" spans="1:14" x14ac:dyDescent="0.3">
      <c r="A2410" t="s">
        <v>11</v>
      </c>
      <c r="B2410" s="1" t="s">
        <v>43</v>
      </c>
      <c r="C2410" s="1" t="s">
        <v>44</v>
      </c>
      <c r="D2410">
        <v>12659</v>
      </c>
      <c r="E2410" t="s">
        <v>12</v>
      </c>
      <c r="F2410" t="s">
        <v>51</v>
      </c>
      <c r="G2410">
        <v>6</v>
      </c>
      <c r="H2410">
        <v>0</v>
      </c>
      <c r="I2410" t="s">
        <v>45</v>
      </c>
      <c r="J2410" cm="1">
        <f t="array" ref="J2410">IFERROR(
    _xlfn.XLOOKUP(G2410, 'Wedgewood Pharm-GA-Yr2-2025'!$E$4:$L$4,
        _xlfn.XLOOKUP('Rate Load'!L2410, 'Wedgewood Pharm-GA-Yr2-2025'!$D$41:$D$50,
            'Wedgewood Pharm-GA-Yr2-2025'!$E$143:$L$152, 0, 0),
        0, 0),
    _xlfn.XLOOKUP(G2410, 'Wedgewood Pharm-GA-Yr2-2025'!$E$4:$L$4,
        _xlfn.XLOOKUP('Rate Load'!L2410, 'Wedgewood Pharm-GA-Yr2-2025'!$D$41:$D$50,
            'Wedgewood Pharm-GA-Yr2-2025'!$E$143:$L$152, 0, 0),
        0, 0)
)</f>
        <v>10.08</v>
      </c>
      <c r="K2410" t="s">
        <v>46</v>
      </c>
      <c r="L2410" t="s">
        <v>37</v>
      </c>
      <c r="M2410">
        <v>3</v>
      </c>
      <c r="N2410" t="str">
        <f t="shared" si="40"/>
        <v>INSERT INTO TNL_RATING.dbo.usps_rate_master VALUES ('USPS', '2/13/2025', '2/13/2026', 12659, 'US', 'USPS Ground Advantage', 6, 0, 'L', 10.08, 'Wedgewood_USPS_2025', 'Cubic Tier 6 (0.50 - 0.60)','3');</v>
      </c>
    </row>
    <row r="2411" spans="1:14" x14ac:dyDescent="0.3">
      <c r="A2411" t="s">
        <v>11</v>
      </c>
      <c r="B2411" s="1" t="s">
        <v>43</v>
      </c>
      <c r="C2411" s="1" t="s">
        <v>44</v>
      </c>
      <c r="D2411">
        <v>12659</v>
      </c>
      <c r="E2411" t="s">
        <v>12</v>
      </c>
      <c r="F2411" t="s">
        <v>51</v>
      </c>
      <c r="G2411">
        <v>7</v>
      </c>
      <c r="H2411">
        <v>0</v>
      </c>
      <c r="I2411" t="s">
        <v>45</v>
      </c>
      <c r="J2411" cm="1">
        <f t="array" ref="J2411">IFERROR(
    _xlfn.XLOOKUP(G2411, 'Wedgewood Pharm-GA-Yr2-2025'!$E$4:$L$4,
        _xlfn.XLOOKUP('Rate Load'!L2411, 'Wedgewood Pharm-GA-Yr2-2025'!$D$41:$D$50,
            'Wedgewood Pharm-GA-Yr2-2025'!$E$143:$L$152, 0, 0),
        0, 0),
    _xlfn.XLOOKUP(G2411, 'Wedgewood Pharm-GA-Yr2-2025'!$E$4:$L$4,
        _xlfn.XLOOKUP('Rate Load'!L2411, 'Wedgewood Pharm-GA-Yr2-2025'!$D$41:$D$50,
            'Wedgewood Pharm-GA-Yr2-2025'!$E$143:$L$152, 0, 0),
        0, 0)
)</f>
        <v>10.79</v>
      </c>
      <c r="K2411" t="s">
        <v>46</v>
      </c>
      <c r="L2411" t="s">
        <v>37</v>
      </c>
      <c r="M2411">
        <v>3</v>
      </c>
      <c r="N2411" t="str">
        <f t="shared" si="40"/>
        <v>INSERT INTO TNL_RATING.dbo.usps_rate_master VALUES ('USPS', '2/13/2025', '2/13/2026', 12659, 'US', 'USPS Ground Advantage', 7, 0, 'L', 10.79, 'Wedgewood_USPS_2025', 'Cubic Tier 6 (0.50 - 0.60)','3');</v>
      </c>
    </row>
    <row r="2412" spans="1:14" x14ac:dyDescent="0.3">
      <c r="A2412" t="s">
        <v>11</v>
      </c>
      <c r="B2412" s="1" t="s">
        <v>43</v>
      </c>
      <c r="C2412" s="1" t="s">
        <v>44</v>
      </c>
      <c r="D2412">
        <v>12659</v>
      </c>
      <c r="E2412" t="s">
        <v>12</v>
      </c>
      <c r="F2412" t="s">
        <v>51</v>
      </c>
      <c r="G2412">
        <v>8</v>
      </c>
      <c r="H2412">
        <v>0</v>
      </c>
      <c r="I2412" t="s">
        <v>45</v>
      </c>
      <c r="J2412" cm="1">
        <f t="array" ref="J2412">IFERROR(
    _xlfn.XLOOKUP(G2412, 'Wedgewood Pharm-GA-Yr2-2025'!$E$4:$L$4,
        _xlfn.XLOOKUP('Rate Load'!L2412, 'Wedgewood Pharm-GA-Yr2-2025'!$D$41:$D$50,
            'Wedgewood Pharm-GA-Yr2-2025'!$E$143:$L$152, 0, 0),
        0, 0),
    _xlfn.XLOOKUP(G2412, 'Wedgewood Pharm-GA-Yr2-2025'!$E$4:$L$4,
        _xlfn.XLOOKUP('Rate Load'!L2412, 'Wedgewood Pharm-GA-Yr2-2025'!$D$41:$D$50,
            'Wedgewood Pharm-GA-Yr2-2025'!$E$143:$L$152, 0, 0),
        0, 0)
)</f>
        <v>11.709999999999999</v>
      </c>
      <c r="K2412" t="s">
        <v>46</v>
      </c>
      <c r="L2412" t="s">
        <v>37</v>
      </c>
      <c r="M2412">
        <v>3</v>
      </c>
      <c r="N2412" t="str">
        <f t="shared" si="40"/>
        <v>INSERT INTO TNL_RATING.dbo.usps_rate_master VALUES ('USPS', '2/13/2025', '2/13/2026', 12659, 'US', 'USPS Ground Advantage', 8, 0, 'L', 11.71, 'Wedgewood_USPS_2025', 'Cubic Tier 6 (0.50 - 0.60)','3');</v>
      </c>
    </row>
    <row r="2413" spans="1:14" x14ac:dyDescent="0.3">
      <c r="A2413" t="s">
        <v>11</v>
      </c>
      <c r="B2413" s="1" t="s">
        <v>43</v>
      </c>
      <c r="C2413" s="1" t="s">
        <v>44</v>
      </c>
      <c r="D2413">
        <v>12659</v>
      </c>
      <c r="E2413" t="s">
        <v>12</v>
      </c>
      <c r="F2413" t="s">
        <v>51</v>
      </c>
      <c r="G2413">
        <v>1</v>
      </c>
      <c r="H2413">
        <v>0</v>
      </c>
      <c r="I2413" t="s">
        <v>45</v>
      </c>
      <c r="J2413" cm="1">
        <f t="array" ref="J2413">IFERROR(
    _xlfn.XLOOKUP(G2413, 'Wedgewood Pharm-GA-Yr2-2025'!$E$4:$L$4,
        _xlfn.XLOOKUP('Rate Load'!L2413, 'Wedgewood Pharm-GA-Yr2-2025'!$D$41:$D$50,
            'Wedgewood Pharm-GA-Yr2-2025'!$E$143:$L$152, 0, 0),
        0, 0),
    _xlfn.XLOOKUP(G2413, 'Wedgewood Pharm-GA-Yr2-2025'!$E$4:$L$4,
        _xlfn.XLOOKUP('Rate Load'!L2413, 'Wedgewood Pharm-GA-Yr2-2025'!$D$41:$D$50,
            'Wedgewood Pharm-GA-Yr2-2025'!$E$143:$L$152, 0, 0),
        0, 0)
)</f>
        <v>6.6099999999999994</v>
      </c>
      <c r="K2413" t="s">
        <v>46</v>
      </c>
      <c r="L2413" t="s">
        <v>37</v>
      </c>
      <c r="M2413">
        <v>3</v>
      </c>
      <c r="N2413" t="str">
        <f t="shared" si="40"/>
        <v>INSERT INTO TNL_RATING.dbo.usps_rate_master VALUES ('USPS', '2/13/2025', '2/13/2026', 12659, 'US', 'USPS Ground Advantage', 1, 0, 'L', 6.61, 'Wedgewood_USPS_2025', 'Cubic Tier 6 (0.50 - 0.60)','3');</v>
      </c>
    </row>
    <row r="2414" spans="1:14" x14ac:dyDescent="0.3">
      <c r="A2414" t="s">
        <v>11</v>
      </c>
      <c r="B2414" s="1" t="s">
        <v>43</v>
      </c>
      <c r="C2414" s="1" t="s">
        <v>44</v>
      </c>
      <c r="D2414">
        <v>12659</v>
      </c>
      <c r="E2414" t="s">
        <v>12</v>
      </c>
      <c r="F2414" t="s">
        <v>51</v>
      </c>
      <c r="G2414">
        <v>2</v>
      </c>
      <c r="H2414">
        <v>0</v>
      </c>
      <c r="I2414" t="s">
        <v>45</v>
      </c>
      <c r="J2414" cm="1">
        <f t="array" ref="J2414">IFERROR(
    _xlfn.XLOOKUP(G2414, 'Wedgewood Pharm-GA-Yr2-2025'!$E$4:$L$4,
        _xlfn.XLOOKUP('Rate Load'!L2414, 'Wedgewood Pharm-GA-Yr2-2025'!$D$41:$D$50,
            'Wedgewood Pharm-GA-Yr2-2025'!$E$143:$L$152, 0, 0),
        0, 0),
    _xlfn.XLOOKUP(G2414, 'Wedgewood Pharm-GA-Yr2-2025'!$E$4:$L$4,
        _xlfn.XLOOKUP('Rate Load'!L2414, 'Wedgewood Pharm-GA-Yr2-2025'!$D$41:$D$50,
            'Wedgewood Pharm-GA-Yr2-2025'!$E$143:$L$152, 0, 0),
        0, 0)
)</f>
        <v>7.1099999999999994</v>
      </c>
      <c r="K2414" t="s">
        <v>46</v>
      </c>
      <c r="L2414" t="s">
        <v>38</v>
      </c>
      <c r="M2414">
        <v>3</v>
      </c>
      <c r="N2414" t="str">
        <f t="shared" si="40"/>
        <v>INSERT INTO TNL_RATING.dbo.usps_rate_master VALUES ('USPS', '2/13/2025', '2/13/2026', 12659, 'US', 'USPS Ground Advantage', 2, 0, 'L', 7.11, 'Wedgewood_USPS_2025', 'Cubic Tier 7 (0.60 - 0.70)','3');</v>
      </c>
    </row>
    <row r="2415" spans="1:14" x14ac:dyDescent="0.3">
      <c r="A2415" t="s">
        <v>11</v>
      </c>
      <c r="B2415" s="1" t="s">
        <v>43</v>
      </c>
      <c r="C2415" s="1" t="s">
        <v>44</v>
      </c>
      <c r="D2415">
        <v>12659</v>
      </c>
      <c r="E2415" t="s">
        <v>12</v>
      </c>
      <c r="F2415" t="s">
        <v>51</v>
      </c>
      <c r="G2415">
        <v>3</v>
      </c>
      <c r="H2415">
        <v>0</v>
      </c>
      <c r="I2415" t="s">
        <v>45</v>
      </c>
      <c r="J2415" cm="1">
        <f t="array" ref="J2415">IFERROR(
    _xlfn.XLOOKUP(G2415, 'Wedgewood Pharm-GA-Yr2-2025'!$E$4:$L$4,
        _xlfn.XLOOKUP('Rate Load'!L2415, 'Wedgewood Pharm-GA-Yr2-2025'!$D$41:$D$50,
            'Wedgewood Pharm-GA-Yr2-2025'!$E$143:$L$152, 0, 0),
        0, 0),
    _xlfn.XLOOKUP(G2415, 'Wedgewood Pharm-GA-Yr2-2025'!$E$4:$L$4,
        _xlfn.XLOOKUP('Rate Load'!L2415, 'Wedgewood Pharm-GA-Yr2-2025'!$D$41:$D$50,
            'Wedgewood Pharm-GA-Yr2-2025'!$E$143:$L$152, 0, 0),
        0, 0)
)</f>
        <v>7.63</v>
      </c>
      <c r="K2415" t="s">
        <v>46</v>
      </c>
      <c r="L2415" t="s">
        <v>38</v>
      </c>
      <c r="M2415">
        <v>3</v>
      </c>
      <c r="N2415" t="str">
        <f t="shared" si="40"/>
        <v>INSERT INTO TNL_RATING.dbo.usps_rate_master VALUES ('USPS', '2/13/2025', '2/13/2026', 12659, 'US', 'USPS Ground Advantage', 3, 0, 'L', 7.63, 'Wedgewood_USPS_2025', 'Cubic Tier 7 (0.60 - 0.70)','3');</v>
      </c>
    </row>
    <row r="2416" spans="1:14" x14ac:dyDescent="0.3">
      <c r="A2416" t="s">
        <v>11</v>
      </c>
      <c r="B2416" s="1" t="s">
        <v>43</v>
      </c>
      <c r="C2416" s="1" t="s">
        <v>44</v>
      </c>
      <c r="D2416">
        <v>12659</v>
      </c>
      <c r="E2416" t="s">
        <v>12</v>
      </c>
      <c r="F2416" t="s">
        <v>51</v>
      </c>
      <c r="G2416">
        <v>4</v>
      </c>
      <c r="H2416">
        <v>0</v>
      </c>
      <c r="I2416" t="s">
        <v>45</v>
      </c>
      <c r="J2416" cm="1">
        <f t="array" ref="J2416">IFERROR(
    _xlfn.XLOOKUP(G2416, 'Wedgewood Pharm-GA-Yr2-2025'!$E$4:$L$4,
        _xlfn.XLOOKUP('Rate Load'!L2416, 'Wedgewood Pharm-GA-Yr2-2025'!$D$41:$D$50,
            'Wedgewood Pharm-GA-Yr2-2025'!$E$143:$L$152, 0, 0),
        0, 0),
    _xlfn.XLOOKUP(G2416, 'Wedgewood Pharm-GA-Yr2-2025'!$E$4:$L$4,
        _xlfn.XLOOKUP('Rate Load'!L2416, 'Wedgewood Pharm-GA-Yr2-2025'!$D$41:$D$50,
            'Wedgewood Pharm-GA-Yr2-2025'!$E$143:$L$152, 0, 0),
        0, 0)
)</f>
        <v>8.14</v>
      </c>
      <c r="K2416" t="s">
        <v>46</v>
      </c>
      <c r="L2416" t="s">
        <v>38</v>
      </c>
      <c r="M2416">
        <v>3</v>
      </c>
      <c r="N2416" t="str">
        <f t="shared" si="40"/>
        <v>INSERT INTO TNL_RATING.dbo.usps_rate_master VALUES ('USPS', '2/13/2025', '2/13/2026', 12659, 'US', 'USPS Ground Advantage', 4, 0, 'L', 8.14, 'Wedgewood_USPS_2025', 'Cubic Tier 7 (0.60 - 0.70)','3');</v>
      </c>
    </row>
    <row r="2417" spans="1:14" x14ac:dyDescent="0.3">
      <c r="A2417" t="s">
        <v>11</v>
      </c>
      <c r="B2417" s="1" t="s">
        <v>43</v>
      </c>
      <c r="C2417" s="1" t="s">
        <v>44</v>
      </c>
      <c r="D2417">
        <v>12659</v>
      </c>
      <c r="E2417" t="s">
        <v>12</v>
      </c>
      <c r="F2417" t="s">
        <v>51</v>
      </c>
      <c r="G2417">
        <v>5</v>
      </c>
      <c r="H2417">
        <v>0</v>
      </c>
      <c r="I2417" t="s">
        <v>45</v>
      </c>
      <c r="J2417" cm="1">
        <f t="array" ref="J2417">IFERROR(
    _xlfn.XLOOKUP(G2417, 'Wedgewood Pharm-GA-Yr2-2025'!$E$4:$L$4,
        _xlfn.XLOOKUP('Rate Load'!L2417, 'Wedgewood Pharm-GA-Yr2-2025'!$D$41:$D$50,
            'Wedgewood Pharm-GA-Yr2-2025'!$E$143:$L$152, 0, 0),
        0, 0),
    _xlfn.XLOOKUP(G2417, 'Wedgewood Pharm-GA-Yr2-2025'!$E$4:$L$4,
        _xlfn.XLOOKUP('Rate Load'!L2417, 'Wedgewood Pharm-GA-Yr2-2025'!$D$41:$D$50,
            'Wedgewood Pharm-GA-Yr2-2025'!$E$143:$L$152, 0, 0),
        0, 0)
)</f>
        <v>9.86</v>
      </c>
      <c r="K2417" t="s">
        <v>46</v>
      </c>
      <c r="L2417" t="s">
        <v>38</v>
      </c>
      <c r="M2417">
        <v>3</v>
      </c>
      <c r="N2417" t="str">
        <f t="shared" si="40"/>
        <v>INSERT INTO TNL_RATING.dbo.usps_rate_master VALUES ('USPS', '2/13/2025', '2/13/2026', 12659, 'US', 'USPS Ground Advantage', 5, 0, 'L', 9.86, 'Wedgewood_USPS_2025', 'Cubic Tier 7 (0.60 - 0.70)','3');</v>
      </c>
    </row>
    <row r="2418" spans="1:14" x14ac:dyDescent="0.3">
      <c r="A2418" t="s">
        <v>11</v>
      </c>
      <c r="B2418" s="1" t="s">
        <v>43</v>
      </c>
      <c r="C2418" s="1" t="s">
        <v>44</v>
      </c>
      <c r="D2418">
        <v>12659</v>
      </c>
      <c r="E2418" t="s">
        <v>12</v>
      </c>
      <c r="F2418" t="s">
        <v>51</v>
      </c>
      <c r="G2418">
        <v>6</v>
      </c>
      <c r="H2418">
        <v>0</v>
      </c>
      <c r="I2418" t="s">
        <v>45</v>
      </c>
      <c r="J2418" cm="1">
        <f t="array" ref="J2418">IFERROR(
    _xlfn.XLOOKUP(G2418, 'Wedgewood Pharm-GA-Yr2-2025'!$E$4:$L$4,
        _xlfn.XLOOKUP('Rate Load'!L2418, 'Wedgewood Pharm-GA-Yr2-2025'!$D$41:$D$50,
            'Wedgewood Pharm-GA-Yr2-2025'!$E$143:$L$152, 0, 0),
        0, 0),
    _xlfn.XLOOKUP(G2418, 'Wedgewood Pharm-GA-Yr2-2025'!$E$4:$L$4,
        _xlfn.XLOOKUP('Rate Load'!L2418, 'Wedgewood Pharm-GA-Yr2-2025'!$D$41:$D$50,
            'Wedgewood Pharm-GA-Yr2-2025'!$E$143:$L$152, 0, 0),
        0, 0)
)</f>
        <v>10.379999999999999</v>
      </c>
      <c r="K2418" t="s">
        <v>46</v>
      </c>
      <c r="L2418" t="s">
        <v>38</v>
      </c>
      <c r="M2418">
        <v>3</v>
      </c>
      <c r="N2418" t="str">
        <f t="shared" si="40"/>
        <v>INSERT INTO TNL_RATING.dbo.usps_rate_master VALUES ('USPS', '2/13/2025', '2/13/2026', 12659, 'US', 'USPS Ground Advantage', 6, 0, 'L', 10.38, 'Wedgewood_USPS_2025', 'Cubic Tier 7 (0.60 - 0.70)','3');</v>
      </c>
    </row>
    <row r="2419" spans="1:14" x14ac:dyDescent="0.3">
      <c r="A2419" t="s">
        <v>11</v>
      </c>
      <c r="B2419" s="1" t="s">
        <v>43</v>
      </c>
      <c r="C2419" s="1" t="s">
        <v>44</v>
      </c>
      <c r="D2419">
        <v>12659</v>
      </c>
      <c r="E2419" t="s">
        <v>12</v>
      </c>
      <c r="F2419" t="s">
        <v>51</v>
      </c>
      <c r="G2419">
        <v>7</v>
      </c>
      <c r="H2419">
        <v>0</v>
      </c>
      <c r="I2419" t="s">
        <v>45</v>
      </c>
      <c r="J2419" cm="1">
        <f t="array" ref="J2419">IFERROR(
    _xlfn.XLOOKUP(G2419, 'Wedgewood Pharm-GA-Yr2-2025'!$E$4:$L$4,
        _xlfn.XLOOKUP('Rate Load'!L2419, 'Wedgewood Pharm-GA-Yr2-2025'!$D$41:$D$50,
            'Wedgewood Pharm-GA-Yr2-2025'!$E$143:$L$152, 0, 0),
        0, 0),
    _xlfn.XLOOKUP(G2419, 'Wedgewood Pharm-GA-Yr2-2025'!$E$4:$L$4,
        _xlfn.XLOOKUP('Rate Load'!L2419, 'Wedgewood Pharm-GA-Yr2-2025'!$D$41:$D$50,
            'Wedgewood Pharm-GA-Yr2-2025'!$E$143:$L$152, 0, 0),
        0, 0)
)</f>
        <v>11.18</v>
      </c>
      <c r="K2419" t="s">
        <v>46</v>
      </c>
      <c r="L2419" t="s">
        <v>38</v>
      </c>
      <c r="M2419">
        <v>3</v>
      </c>
      <c r="N2419" t="str">
        <f t="shared" si="40"/>
        <v>INSERT INTO TNL_RATING.dbo.usps_rate_master VALUES ('USPS', '2/13/2025', '2/13/2026', 12659, 'US', 'USPS Ground Advantage', 7, 0, 'L', 11.18, 'Wedgewood_USPS_2025', 'Cubic Tier 7 (0.60 - 0.70)','3');</v>
      </c>
    </row>
    <row r="2420" spans="1:14" x14ac:dyDescent="0.3">
      <c r="A2420" t="s">
        <v>11</v>
      </c>
      <c r="B2420" s="1" t="s">
        <v>43</v>
      </c>
      <c r="C2420" s="1" t="s">
        <v>44</v>
      </c>
      <c r="D2420">
        <v>12659</v>
      </c>
      <c r="E2420" t="s">
        <v>12</v>
      </c>
      <c r="F2420" t="s">
        <v>51</v>
      </c>
      <c r="G2420">
        <v>8</v>
      </c>
      <c r="H2420">
        <v>0</v>
      </c>
      <c r="I2420" t="s">
        <v>45</v>
      </c>
      <c r="J2420" cm="1">
        <f t="array" ref="J2420">IFERROR(
    _xlfn.XLOOKUP(G2420, 'Wedgewood Pharm-GA-Yr2-2025'!$E$4:$L$4,
        _xlfn.XLOOKUP('Rate Load'!L2420, 'Wedgewood Pharm-GA-Yr2-2025'!$D$41:$D$50,
            'Wedgewood Pharm-GA-Yr2-2025'!$E$143:$L$152, 0, 0),
        0, 0),
    _xlfn.XLOOKUP(G2420, 'Wedgewood Pharm-GA-Yr2-2025'!$E$4:$L$4,
        _xlfn.XLOOKUP('Rate Load'!L2420, 'Wedgewood Pharm-GA-Yr2-2025'!$D$41:$D$50,
            'Wedgewood Pharm-GA-Yr2-2025'!$E$143:$L$152, 0, 0),
        0, 0)
)</f>
        <v>12.24</v>
      </c>
      <c r="K2420" t="s">
        <v>46</v>
      </c>
      <c r="L2420" t="s">
        <v>38</v>
      </c>
      <c r="M2420">
        <v>3</v>
      </c>
      <c r="N2420" t="str">
        <f t="shared" si="40"/>
        <v>INSERT INTO TNL_RATING.dbo.usps_rate_master VALUES ('USPS', '2/13/2025', '2/13/2026', 12659, 'US', 'USPS Ground Advantage', 8, 0, 'L', 12.24, 'Wedgewood_USPS_2025', 'Cubic Tier 7 (0.60 - 0.70)','3');</v>
      </c>
    </row>
    <row r="2421" spans="1:14" x14ac:dyDescent="0.3">
      <c r="A2421" t="s">
        <v>11</v>
      </c>
      <c r="B2421" s="1" t="s">
        <v>43</v>
      </c>
      <c r="C2421" s="1" t="s">
        <v>44</v>
      </c>
      <c r="D2421">
        <v>12659</v>
      </c>
      <c r="E2421" t="s">
        <v>12</v>
      </c>
      <c r="F2421" t="s">
        <v>51</v>
      </c>
      <c r="G2421">
        <v>1</v>
      </c>
      <c r="H2421">
        <v>0</v>
      </c>
      <c r="I2421" t="s">
        <v>45</v>
      </c>
      <c r="J2421" cm="1">
        <f t="array" ref="J2421">IFERROR(
    _xlfn.XLOOKUP(G2421, 'Wedgewood Pharm-GA-Yr2-2025'!$E$4:$L$4,
        _xlfn.XLOOKUP('Rate Load'!L2421, 'Wedgewood Pharm-GA-Yr2-2025'!$D$41:$D$50,
            'Wedgewood Pharm-GA-Yr2-2025'!$E$143:$L$152, 0, 0),
        0, 0),
    _xlfn.XLOOKUP(G2421, 'Wedgewood Pharm-GA-Yr2-2025'!$E$4:$L$4,
        _xlfn.XLOOKUP('Rate Load'!L2421, 'Wedgewood Pharm-GA-Yr2-2025'!$D$41:$D$50,
            'Wedgewood Pharm-GA-Yr2-2025'!$E$143:$L$152, 0, 0),
        0, 0)
)</f>
        <v>6.88</v>
      </c>
      <c r="K2421" t="s">
        <v>46</v>
      </c>
      <c r="L2421" t="s">
        <v>38</v>
      </c>
      <c r="M2421">
        <v>3</v>
      </c>
      <c r="N2421" t="str">
        <f t="shared" si="40"/>
        <v>INSERT INTO TNL_RATING.dbo.usps_rate_master VALUES ('USPS', '2/13/2025', '2/13/2026', 12659, 'US', 'USPS Ground Advantage', 1, 0, 'L', 6.88, 'Wedgewood_USPS_2025', 'Cubic Tier 7 (0.60 - 0.70)','3');</v>
      </c>
    </row>
    <row r="2422" spans="1:14" x14ac:dyDescent="0.3">
      <c r="A2422" t="s">
        <v>11</v>
      </c>
      <c r="B2422" s="1" t="s">
        <v>43</v>
      </c>
      <c r="C2422" s="1" t="s">
        <v>44</v>
      </c>
      <c r="D2422">
        <v>12659</v>
      </c>
      <c r="E2422" t="s">
        <v>12</v>
      </c>
      <c r="F2422" t="s">
        <v>51</v>
      </c>
      <c r="G2422">
        <v>2</v>
      </c>
      <c r="H2422">
        <v>0</v>
      </c>
      <c r="I2422" t="s">
        <v>45</v>
      </c>
      <c r="J2422" cm="1">
        <f t="array" ref="J2422">IFERROR(
    _xlfn.XLOOKUP(G2422, 'Wedgewood Pharm-GA-Yr2-2025'!$E$4:$L$4,
        _xlfn.XLOOKUP('Rate Load'!L2422, 'Wedgewood Pharm-GA-Yr2-2025'!$D$41:$D$50,
            'Wedgewood Pharm-GA-Yr2-2025'!$E$143:$L$152, 0, 0),
        0, 0),
    _xlfn.XLOOKUP(G2422, 'Wedgewood Pharm-GA-Yr2-2025'!$E$4:$L$4,
        _xlfn.XLOOKUP('Rate Load'!L2422, 'Wedgewood Pharm-GA-Yr2-2025'!$D$41:$D$50,
            'Wedgewood Pharm-GA-Yr2-2025'!$E$143:$L$152, 0, 0),
        0, 0)
)</f>
        <v>7.2799999999999994</v>
      </c>
      <c r="K2422" t="s">
        <v>46</v>
      </c>
      <c r="L2422" t="s">
        <v>39</v>
      </c>
      <c r="M2422">
        <v>3</v>
      </c>
      <c r="N2422" t="str">
        <f t="shared" si="40"/>
        <v>INSERT INTO TNL_RATING.dbo.usps_rate_master VALUES ('USPS', '2/13/2025', '2/13/2026', 12659, 'US', 'USPS Ground Advantage', 2, 0, 'L', 7.28, 'Wedgewood_USPS_2025', 'Cubic Tier 8 (0.70 - 0.80)','3');</v>
      </c>
    </row>
    <row r="2423" spans="1:14" x14ac:dyDescent="0.3">
      <c r="A2423" t="s">
        <v>11</v>
      </c>
      <c r="B2423" s="1" t="s">
        <v>43</v>
      </c>
      <c r="C2423" s="1" t="s">
        <v>44</v>
      </c>
      <c r="D2423">
        <v>12659</v>
      </c>
      <c r="E2423" t="s">
        <v>12</v>
      </c>
      <c r="F2423" t="s">
        <v>51</v>
      </c>
      <c r="G2423">
        <v>3</v>
      </c>
      <c r="H2423">
        <v>0</v>
      </c>
      <c r="I2423" t="s">
        <v>45</v>
      </c>
      <c r="J2423" cm="1">
        <f t="array" ref="J2423">IFERROR(
    _xlfn.XLOOKUP(G2423, 'Wedgewood Pharm-GA-Yr2-2025'!$E$4:$L$4,
        _xlfn.XLOOKUP('Rate Load'!L2423, 'Wedgewood Pharm-GA-Yr2-2025'!$D$41:$D$50,
            'Wedgewood Pharm-GA-Yr2-2025'!$E$143:$L$152, 0, 0),
        0, 0),
    _xlfn.XLOOKUP(G2423, 'Wedgewood Pharm-GA-Yr2-2025'!$E$4:$L$4,
        _xlfn.XLOOKUP('Rate Load'!L2423, 'Wedgewood Pharm-GA-Yr2-2025'!$D$41:$D$50,
            'Wedgewood Pharm-GA-Yr2-2025'!$E$143:$L$152, 0, 0),
        0, 0)
)</f>
        <v>8.0299999999999994</v>
      </c>
      <c r="K2423" t="s">
        <v>46</v>
      </c>
      <c r="L2423" t="s">
        <v>39</v>
      </c>
      <c r="M2423">
        <v>3</v>
      </c>
      <c r="N2423" t="str">
        <f t="shared" si="40"/>
        <v>INSERT INTO TNL_RATING.dbo.usps_rate_master VALUES ('USPS', '2/13/2025', '2/13/2026', 12659, 'US', 'USPS Ground Advantage', 3, 0, 'L', 8.03, 'Wedgewood_USPS_2025', 'Cubic Tier 8 (0.70 - 0.80)','3');</v>
      </c>
    </row>
    <row r="2424" spans="1:14" x14ac:dyDescent="0.3">
      <c r="A2424" t="s">
        <v>11</v>
      </c>
      <c r="B2424" s="1" t="s">
        <v>43</v>
      </c>
      <c r="C2424" s="1" t="s">
        <v>44</v>
      </c>
      <c r="D2424">
        <v>12659</v>
      </c>
      <c r="E2424" t="s">
        <v>12</v>
      </c>
      <c r="F2424" t="s">
        <v>51</v>
      </c>
      <c r="G2424">
        <v>4</v>
      </c>
      <c r="H2424">
        <v>0</v>
      </c>
      <c r="I2424" t="s">
        <v>45</v>
      </c>
      <c r="J2424" cm="1">
        <f t="array" ref="J2424">IFERROR(
    _xlfn.XLOOKUP(G2424, 'Wedgewood Pharm-GA-Yr2-2025'!$E$4:$L$4,
        _xlfn.XLOOKUP('Rate Load'!L2424, 'Wedgewood Pharm-GA-Yr2-2025'!$D$41:$D$50,
            'Wedgewood Pharm-GA-Yr2-2025'!$E$143:$L$152, 0, 0),
        0, 0),
    _xlfn.XLOOKUP(G2424, 'Wedgewood Pharm-GA-Yr2-2025'!$E$4:$L$4,
        _xlfn.XLOOKUP('Rate Load'!L2424, 'Wedgewood Pharm-GA-Yr2-2025'!$D$41:$D$50,
            'Wedgewood Pharm-GA-Yr2-2025'!$E$143:$L$152, 0, 0),
        0, 0)
)</f>
        <v>8.83</v>
      </c>
      <c r="K2424" t="s">
        <v>46</v>
      </c>
      <c r="L2424" t="s">
        <v>39</v>
      </c>
      <c r="M2424">
        <v>3</v>
      </c>
      <c r="N2424" t="str">
        <f t="shared" si="40"/>
        <v>INSERT INTO TNL_RATING.dbo.usps_rate_master VALUES ('USPS', '2/13/2025', '2/13/2026', 12659, 'US', 'USPS Ground Advantage', 4, 0, 'L', 8.83, 'Wedgewood_USPS_2025', 'Cubic Tier 8 (0.70 - 0.80)','3');</v>
      </c>
    </row>
    <row r="2425" spans="1:14" x14ac:dyDescent="0.3">
      <c r="A2425" t="s">
        <v>11</v>
      </c>
      <c r="B2425" s="1" t="s">
        <v>43</v>
      </c>
      <c r="C2425" s="1" t="s">
        <v>44</v>
      </c>
      <c r="D2425">
        <v>12659</v>
      </c>
      <c r="E2425" t="s">
        <v>12</v>
      </c>
      <c r="F2425" t="s">
        <v>51</v>
      </c>
      <c r="G2425">
        <v>5</v>
      </c>
      <c r="H2425">
        <v>0</v>
      </c>
      <c r="I2425" t="s">
        <v>45</v>
      </c>
      <c r="J2425" cm="1">
        <f t="array" ref="J2425">IFERROR(
    _xlfn.XLOOKUP(G2425, 'Wedgewood Pharm-GA-Yr2-2025'!$E$4:$L$4,
        _xlfn.XLOOKUP('Rate Load'!L2425, 'Wedgewood Pharm-GA-Yr2-2025'!$D$41:$D$50,
            'Wedgewood Pharm-GA-Yr2-2025'!$E$143:$L$152, 0, 0),
        0, 0),
    _xlfn.XLOOKUP(G2425, 'Wedgewood Pharm-GA-Yr2-2025'!$E$4:$L$4,
        _xlfn.XLOOKUP('Rate Load'!L2425, 'Wedgewood Pharm-GA-Yr2-2025'!$D$41:$D$50,
            'Wedgewood Pharm-GA-Yr2-2025'!$E$143:$L$152, 0, 0),
        0, 0)
)</f>
        <v>10.14</v>
      </c>
      <c r="K2425" t="s">
        <v>46</v>
      </c>
      <c r="L2425" t="s">
        <v>39</v>
      </c>
      <c r="M2425">
        <v>3</v>
      </c>
      <c r="N2425" t="str">
        <f t="shared" si="40"/>
        <v>INSERT INTO TNL_RATING.dbo.usps_rate_master VALUES ('USPS', '2/13/2025', '2/13/2026', 12659, 'US', 'USPS Ground Advantage', 5, 0, 'L', 10.14, 'Wedgewood_USPS_2025', 'Cubic Tier 8 (0.70 - 0.80)','3');</v>
      </c>
    </row>
    <row r="2426" spans="1:14" x14ac:dyDescent="0.3">
      <c r="A2426" t="s">
        <v>11</v>
      </c>
      <c r="B2426" s="1" t="s">
        <v>43</v>
      </c>
      <c r="C2426" s="1" t="s">
        <v>44</v>
      </c>
      <c r="D2426">
        <v>12659</v>
      </c>
      <c r="E2426" t="s">
        <v>12</v>
      </c>
      <c r="F2426" t="s">
        <v>51</v>
      </c>
      <c r="G2426">
        <v>6</v>
      </c>
      <c r="H2426">
        <v>0</v>
      </c>
      <c r="I2426" t="s">
        <v>45</v>
      </c>
      <c r="J2426" cm="1">
        <f t="array" ref="J2426">IFERROR(
    _xlfn.XLOOKUP(G2426, 'Wedgewood Pharm-GA-Yr2-2025'!$E$4:$L$4,
        _xlfn.XLOOKUP('Rate Load'!L2426, 'Wedgewood Pharm-GA-Yr2-2025'!$D$41:$D$50,
            'Wedgewood Pharm-GA-Yr2-2025'!$E$143:$L$152, 0, 0),
        0, 0),
    _xlfn.XLOOKUP(G2426, 'Wedgewood Pharm-GA-Yr2-2025'!$E$4:$L$4,
        _xlfn.XLOOKUP('Rate Load'!L2426, 'Wedgewood Pharm-GA-Yr2-2025'!$D$41:$D$50,
            'Wedgewood Pharm-GA-Yr2-2025'!$E$143:$L$152, 0, 0),
        0, 0)
)</f>
        <v>10.74</v>
      </c>
      <c r="K2426" t="s">
        <v>46</v>
      </c>
      <c r="L2426" t="s">
        <v>39</v>
      </c>
      <c r="M2426">
        <v>3</v>
      </c>
      <c r="N2426" t="str">
        <f t="shared" si="40"/>
        <v>INSERT INTO TNL_RATING.dbo.usps_rate_master VALUES ('USPS', '2/13/2025', '2/13/2026', 12659, 'US', 'USPS Ground Advantage', 6, 0, 'L', 10.74, 'Wedgewood_USPS_2025', 'Cubic Tier 8 (0.70 - 0.80)','3');</v>
      </c>
    </row>
    <row r="2427" spans="1:14" x14ac:dyDescent="0.3">
      <c r="A2427" t="s">
        <v>11</v>
      </c>
      <c r="B2427" s="1" t="s">
        <v>43</v>
      </c>
      <c r="C2427" s="1" t="s">
        <v>44</v>
      </c>
      <c r="D2427">
        <v>12659</v>
      </c>
      <c r="E2427" t="s">
        <v>12</v>
      </c>
      <c r="F2427" t="s">
        <v>51</v>
      </c>
      <c r="G2427">
        <v>7</v>
      </c>
      <c r="H2427">
        <v>0</v>
      </c>
      <c r="I2427" t="s">
        <v>45</v>
      </c>
      <c r="J2427" cm="1">
        <f t="array" ref="J2427">IFERROR(
    _xlfn.XLOOKUP(G2427, 'Wedgewood Pharm-GA-Yr2-2025'!$E$4:$L$4,
        _xlfn.XLOOKUP('Rate Load'!L2427, 'Wedgewood Pharm-GA-Yr2-2025'!$D$41:$D$50,
            'Wedgewood Pharm-GA-Yr2-2025'!$E$143:$L$152, 0, 0),
        0, 0),
    _xlfn.XLOOKUP(G2427, 'Wedgewood Pharm-GA-Yr2-2025'!$E$4:$L$4,
        _xlfn.XLOOKUP('Rate Load'!L2427, 'Wedgewood Pharm-GA-Yr2-2025'!$D$41:$D$50,
            'Wedgewood Pharm-GA-Yr2-2025'!$E$143:$L$152, 0, 0),
        0, 0)
)</f>
        <v>11.58</v>
      </c>
      <c r="K2427" t="s">
        <v>46</v>
      </c>
      <c r="L2427" t="s">
        <v>39</v>
      </c>
      <c r="M2427">
        <v>3</v>
      </c>
      <c r="N2427" t="str">
        <f t="shared" si="40"/>
        <v>INSERT INTO TNL_RATING.dbo.usps_rate_master VALUES ('USPS', '2/13/2025', '2/13/2026', 12659, 'US', 'USPS Ground Advantage', 7, 0, 'L', 11.58, 'Wedgewood_USPS_2025', 'Cubic Tier 8 (0.70 - 0.80)','3');</v>
      </c>
    </row>
    <row r="2428" spans="1:14" x14ac:dyDescent="0.3">
      <c r="A2428" t="s">
        <v>11</v>
      </c>
      <c r="B2428" s="1" t="s">
        <v>43</v>
      </c>
      <c r="C2428" s="1" t="s">
        <v>44</v>
      </c>
      <c r="D2428">
        <v>12659</v>
      </c>
      <c r="E2428" t="s">
        <v>12</v>
      </c>
      <c r="F2428" t="s">
        <v>51</v>
      </c>
      <c r="G2428">
        <v>8</v>
      </c>
      <c r="H2428">
        <v>0</v>
      </c>
      <c r="I2428" t="s">
        <v>45</v>
      </c>
      <c r="J2428" cm="1">
        <f t="array" ref="J2428">IFERROR(
    _xlfn.XLOOKUP(G2428, 'Wedgewood Pharm-GA-Yr2-2025'!$E$4:$L$4,
        _xlfn.XLOOKUP('Rate Load'!L2428, 'Wedgewood Pharm-GA-Yr2-2025'!$D$41:$D$50,
            'Wedgewood Pharm-GA-Yr2-2025'!$E$143:$L$152, 0, 0),
        0, 0),
    _xlfn.XLOOKUP(G2428, 'Wedgewood Pharm-GA-Yr2-2025'!$E$4:$L$4,
        _xlfn.XLOOKUP('Rate Load'!L2428, 'Wedgewood Pharm-GA-Yr2-2025'!$D$41:$D$50,
            'Wedgewood Pharm-GA-Yr2-2025'!$E$143:$L$152, 0, 0),
        0, 0)
)</f>
        <v>12.76</v>
      </c>
      <c r="K2428" t="s">
        <v>46</v>
      </c>
      <c r="L2428" t="s">
        <v>39</v>
      </c>
      <c r="M2428">
        <v>3</v>
      </c>
      <c r="N2428" t="str">
        <f t="shared" si="40"/>
        <v>INSERT INTO TNL_RATING.dbo.usps_rate_master VALUES ('USPS', '2/13/2025', '2/13/2026', 12659, 'US', 'USPS Ground Advantage', 8, 0, 'L', 12.76, 'Wedgewood_USPS_2025', 'Cubic Tier 8 (0.70 - 0.80)','3');</v>
      </c>
    </row>
    <row r="2429" spans="1:14" x14ac:dyDescent="0.3">
      <c r="A2429" t="s">
        <v>11</v>
      </c>
      <c r="B2429" s="1" t="s">
        <v>43</v>
      </c>
      <c r="C2429" s="1" t="s">
        <v>44</v>
      </c>
      <c r="D2429">
        <v>12659</v>
      </c>
      <c r="E2429" t="s">
        <v>12</v>
      </c>
      <c r="F2429" t="s">
        <v>51</v>
      </c>
      <c r="G2429">
        <v>1</v>
      </c>
      <c r="H2429">
        <v>0</v>
      </c>
      <c r="I2429" t="s">
        <v>45</v>
      </c>
      <c r="J2429" cm="1">
        <f t="array" ref="J2429">IFERROR(
    _xlfn.XLOOKUP(G2429, 'Wedgewood Pharm-GA-Yr2-2025'!$E$4:$L$4,
        _xlfn.XLOOKUP('Rate Load'!L2429, 'Wedgewood Pharm-GA-Yr2-2025'!$D$41:$D$50,
            'Wedgewood Pharm-GA-Yr2-2025'!$E$143:$L$152, 0, 0),
        0, 0),
    _xlfn.XLOOKUP(G2429, 'Wedgewood Pharm-GA-Yr2-2025'!$E$4:$L$4,
        _xlfn.XLOOKUP('Rate Load'!L2429, 'Wedgewood Pharm-GA-Yr2-2025'!$D$41:$D$50,
            'Wedgewood Pharm-GA-Yr2-2025'!$E$143:$L$152, 0, 0),
        0, 0)
)</f>
        <v>7.05</v>
      </c>
      <c r="K2429" t="s">
        <v>46</v>
      </c>
      <c r="L2429" t="s">
        <v>39</v>
      </c>
      <c r="M2429">
        <v>3</v>
      </c>
      <c r="N2429" t="str">
        <f t="shared" si="40"/>
        <v>INSERT INTO TNL_RATING.dbo.usps_rate_master VALUES ('USPS', '2/13/2025', '2/13/2026', 12659, 'US', 'USPS Ground Advantage', 1, 0, 'L', 7.05, 'Wedgewood_USPS_2025', 'Cubic Tier 8 (0.70 - 0.80)','3');</v>
      </c>
    </row>
    <row r="2430" spans="1:14" x14ac:dyDescent="0.3">
      <c r="A2430" t="s">
        <v>11</v>
      </c>
      <c r="B2430" s="1" t="s">
        <v>43</v>
      </c>
      <c r="C2430" s="1" t="s">
        <v>44</v>
      </c>
      <c r="D2430">
        <v>12659</v>
      </c>
      <c r="E2430" t="s">
        <v>12</v>
      </c>
      <c r="F2430" t="s">
        <v>51</v>
      </c>
      <c r="G2430">
        <v>2</v>
      </c>
      <c r="H2430">
        <v>0</v>
      </c>
      <c r="I2430" t="s">
        <v>45</v>
      </c>
      <c r="J2430" cm="1">
        <f t="array" ref="J2430">IFERROR(
    _xlfn.XLOOKUP(G2430, 'Wedgewood Pharm-GA-Yr2-2025'!$E$4:$L$4,
        _xlfn.XLOOKUP('Rate Load'!L2430, 'Wedgewood Pharm-GA-Yr2-2025'!$D$41:$D$50,
            'Wedgewood Pharm-GA-Yr2-2025'!$E$143:$L$152, 0, 0),
        0, 0),
    _xlfn.XLOOKUP(G2430, 'Wedgewood Pharm-GA-Yr2-2025'!$E$4:$L$4,
        _xlfn.XLOOKUP('Rate Load'!L2430, 'Wedgewood Pharm-GA-Yr2-2025'!$D$41:$D$50,
            'Wedgewood Pharm-GA-Yr2-2025'!$E$143:$L$152, 0, 0),
        0, 0)
)</f>
        <v>7.68</v>
      </c>
      <c r="K2430" t="s">
        <v>46</v>
      </c>
      <c r="L2430" t="s">
        <v>40</v>
      </c>
      <c r="M2430">
        <v>3</v>
      </c>
      <c r="N2430" t="str">
        <f t="shared" si="40"/>
        <v>INSERT INTO TNL_RATING.dbo.usps_rate_master VALUES ('USPS', '2/13/2025', '2/13/2026', 12659, 'US', 'USPS Ground Advantage', 2, 0, 'L', 7.68, 'Wedgewood_USPS_2025', 'Cubic Tier 9 (0.80 - 0.90)','3');</v>
      </c>
    </row>
    <row r="2431" spans="1:14" x14ac:dyDescent="0.3">
      <c r="A2431" t="s">
        <v>11</v>
      </c>
      <c r="B2431" s="1" t="s">
        <v>43</v>
      </c>
      <c r="C2431" s="1" t="s">
        <v>44</v>
      </c>
      <c r="D2431">
        <v>12659</v>
      </c>
      <c r="E2431" t="s">
        <v>12</v>
      </c>
      <c r="F2431" t="s">
        <v>51</v>
      </c>
      <c r="G2431">
        <v>3</v>
      </c>
      <c r="H2431">
        <v>0</v>
      </c>
      <c r="I2431" t="s">
        <v>45</v>
      </c>
      <c r="J2431" cm="1">
        <f t="array" ref="J2431">IFERROR(
    _xlfn.XLOOKUP(G2431, 'Wedgewood Pharm-GA-Yr2-2025'!$E$4:$L$4,
        _xlfn.XLOOKUP('Rate Load'!L2431, 'Wedgewood Pharm-GA-Yr2-2025'!$D$41:$D$50,
            'Wedgewood Pharm-GA-Yr2-2025'!$E$143:$L$152, 0, 0),
        0, 0),
    _xlfn.XLOOKUP(G2431, 'Wedgewood Pharm-GA-Yr2-2025'!$E$4:$L$4,
        _xlfn.XLOOKUP('Rate Load'!L2431, 'Wedgewood Pharm-GA-Yr2-2025'!$D$41:$D$50,
            'Wedgewood Pharm-GA-Yr2-2025'!$E$143:$L$152, 0, 0),
        0, 0)
)</f>
        <v>8.33</v>
      </c>
      <c r="K2431" t="s">
        <v>46</v>
      </c>
      <c r="L2431" t="s">
        <v>40</v>
      </c>
      <c r="M2431">
        <v>3</v>
      </c>
      <c r="N2431" t="str">
        <f t="shared" si="40"/>
        <v>INSERT INTO TNL_RATING.dbo.usps_rate_master VALUES ('USPS', '2/13/2025', '2/13/2026', 12659, 'US', 'USPS Ground Advantage', 3, 0, 'L', 8.33, 'Wedgewood_USPS_2025', 'Cubic Tier 9 (0.80 - 0.90)','3');</v>
      </c>
    </row>
    <row r="2432" spans="1:14" x14ac:dyDescent="0.3">
      <c r="A2432" t="s">
        <v>11</v>
      </c>
      <c r="B2432" s="1" t="s">
        <v>43</v>
      </c>
      <c r="C2432" s="1" t="s">
        <v>44</v>
      </c>
      <c r="D2432">
        <v>12659</v>
      </c>
      <c r="E2432" t="s">
        <v>12</v>
      </c>
      <c r="F2432" t="s">
        <v>51</v>
      </c>
      <c r="G2432">
        <v>4</v>
      </c>
      <c r="H2432">
        <v>0</v>
      </c>
      <c r="I2432" t="s">
        <v>45</v>
      </c>
      <c r="J2432" cm="1">
        <f t="array" ref="J2432">IFERROR(
    _xlfn.XLOOKUP(G2432, 'Wedgewood Pharm-GA-Yr2-2025'!$E$4:$L$4,
        _xlfn.XLOOKUP('Rate Load'!L2432, 'Wedgewood Pharm-GA-Yr2-2025'!$D$41:$D$50,
            'Wedgewood Pharm-GA-Yr2-2025'!$E$143:$L$152, 0, 0),
        0, 0),
    _xlfn.XLOOKUP(G2432, 'Wedgewood Pharm-GA-Yr2-2025'!$E$4:$L$4,
        _xlfn.XLOOKUP('Rate Load'!L2432, 'Wedgewood Pharm-GA-Yr2-2025'!$D$41:$D$50,
            'Wedgewood Pharm-GA-Yr2-2025'!$E$143:$L$152, 0, 0),
        0, 0)
)</f>
        <v>9.2899999999999991</v>
      </c>
      <c r="K2432" t="s">
        <v>46</v>
      </c>
      <c r="L2432" t="s">
        <v>40</v>
      </c>
      <c r="M2432">
        <v>3</v>
      </c>
      <c r="N2432" t="str">
        <f t="shared" si="40"/>
        <v>INSERT INTO TNL_RATING.dbo.usps_rate_master VALUES ('USPS', '2/13/2025', '2/13/2026', 12659, 'US', 'USPS Ground Advantage', 4, 0, 'L', 9.29, 'Wedgewood_USPS_2025', 'Cubic Tier 9 (0.80 - 0.90)','3');</v>
      </c>
    </row>
    <row r="2433" spans="1:14" x14ac:dyDescent="0.3">
      <c r="A2433" t="s">
        <v>11</v>
      </c>
      <c r="B2433" s="1" t="s">
        <v>43</v>
      </c>
      <c r="C2433" s="1" t="s">
        <v>44</v>
      </c>
      <c r="D2433">
        <v>12659</v>
      </c>
      <c r="E2433" t="s">
        <v>12</v>
      </c>
      <c r="F2433" t="s">
        <v>51</v>
      </c>
      <c r="G2433">
        <v>5</v>
      </c>
      <c r="H2433">
        <v>0</v>
      </c>
      <c r="I2433" t="s">
        <v>45</v>
      </c>
      <c r="J2433" cm="1">
        <f t="array" ref="J2433">IFERROR(
    _xlfn.XLOOKUP(G2433, 'Wedgewood Pharm-GA-Yr2-2025'!$E$4:$L$4,
        _xlfn.XLOOKUP('Rate Load'!L2433, 'Wedgewood Pharm-GA-Yr2-2025'!$D$41:$D$50,
            'Wedgewood Pharm-GA-Yr2-2025'!$E$143:$L$152, 0, 0),
        0, 0),
    _xlfn.XLOOKUP(G2433, 'Wedgewood Pharm-GA-Yr2-2025'!$E$4:$L$4,
        _xlfn.XLOOKUP('Rate Load'!L2433, 'Wedgewood Pharm-GA-Yr2-2025'!$D$41:$D$50,
            'Wedgewood Pharm-GA-Yr2-2025'!$E$143:$L$152, 0, 0),
        0, 0)
)</f>
        <v>10.32</v>
      </c>
      <c r="K2433" t="s">
        <v>46</v>
      </c>
      <c r="L2433" t="s">
        <v>40</v>
      </c>
      <c r="M2433">
        <v>3</v>
      </c>
      <c r="N2433" t="str">
        <f t="shared" si="40"/>
        <v>INSERT INTO TNL_RATING.dbo.usps_rate_master VALUES ('USPS', '2/13/2025', '2/13/2026', 12659, 'US', 'USPS Ground Advantage', 5, 0, 'L', 10.32, 'Wedgewood_USPS_2025', 'Cubic Tier 9 (0.80 - 0.90)','3');</v>
      </c>
    </row>
    <row r="2434" spans="1:14" x14ac:dyDescent="0.3">
      <c r="A2434" t="s">
        <v>11</v>
      </c>
      <c r="B2434" s="1" t="s">
        <v>43</v>
      </c>
      <c r="C2434" s="1" t="s">
        <v>44</v>
      </c>
      <c r="D2434">
        <v>12659</v>
      </c>
      <c r="E2434" t="s">
        <v>12</v>
      </c>
      <c r="F2434" t="s">
        <v>51</v>
      </c>
      <c r="G2434">
        <v>6</v>
      </c>
      <c r="H2434">
        <v>0</v>
      </c>
      <c r="I2434" t="s">
        <v>45</v>
      </c>
      <c r="J2434" cm="1">
        <f t="array" ref="J2434">IFERROR(
    _xlfn.XLOOKUP(G2434, 'Wedgewood Pharm-GA-Yr2-2025'!$E$4:$L$4,
        _xlfn.XLOOKUP('Rate Load'!L2434, 'Wedgewood Pharm-GA-Yr2-2025'!$D$41:$D$50,
            'Wedgewood Pharm-GA-Yr2-2025'!$E$143:$L$152, 0, 0),
        0, 0),
    _xlfn.XLOOKUP(G2434, 'Wedgewood Pharm-GA-Yr2-2025'!$E$4:$L$4,
        _xlfn.XLOOKUP('Rate Load'!L2434, 'Wedgewood Pharm-GA-Yr2-2025'!$D$41:$D$50,
            'Wedgewood Pharm-GA-Yr2-2025'!$E$143:$L$152, 0, 0),
        0, 0)
)</f>
        <v>11.04</v>
      </c>
      <c r="K2434" t="s">
        <v>46</v>
      </c>
      <c r="L2434" t="s">
        <v>40</v>
      </c>
      <c r="M2434">
        <v>3</v>
      </c>
      <c r="N2434" t="str">
        <f t="shared" si="40"/>
        <v>INSERT INTO TNL_RATING.dbo.usps_rate_master VALUES ('USPS', '2/13/2025', '2/13/2026', 12659, 'US', 'USPS Ground Advantage', 6, 0, 'L', 11.04, 'Wedgewood_USPS_2025', 'Cubic Tier 9 (0.80 - 0.90)','3');</v>
      </c>
    </row>
    <row r="2435" spans="1:14" x14ac:dyDescent="0.3">
      <c r="A2435" t="s">
        <v>11</v>
      </c>
      <c r="B2435" s="1" t="s">
        <v>43</v>
      </c>
      <c r="C2435" s="1" t="s">
        <v>44</v>
      </c>
      <c r="D2435">
        <v>12659</v>
      </c>
      <c r="E2435" t="s">
        <v>12</v>
      </c>
      <c r="F2435" t="s">
        <v>51</v>
      </c>
      <c r="G2435">
        <v>7</v>
      </c>
      <c r="H2435">
        <v>0</v>
      </c>
      <c r="I2435" t="s">
        <v>45</v>
      </c>
      <c r="J2435" cm="1">
        <f t="array" ref="J2435">IFERROR(
    _xlfn.XLOOKUP(G2435, 'Wedgewood Pharm-GA-Yr2-2025'!$E$4:$L$4,
        _xlfn.XLOOKUP('Rate Load'!L2435, 'Wedgewood Pharm-GA-Yr2-2025'!$D$41:$D$50,
            'Wedgewood Pharm-GA-Yr2-2025'!$E$143:$L$152, 0, 0),
        0, 0),
    _xlfn.XLOOKUP(G2435, 'Wedgewood Pharm-GA-Yr2-2025'!$E$4:$L$4,
        _xlfn.XLOOKUP('Rate Load'!L2435, 'Wedgewood Pharm-GA-Yr2-2025'!$D$41:$D$50,
            'Wedgewood Pharm-GA-Yr2-2025'!$E$143:$L$152, 0, 0),
        0, 0)
)</f>
        <v>12.049999999999999</v>
      </c>
      <c r="K2435" t="s">
        <v>46</v>
      </c>
      <c r="L2435" t="s">
        <v>40</v>
      </c>
      <c r="M2435">
        <v>3</v>
      </c>
      <c r="N2435" t="str">
        <f t="shared" si="40"/>
        <v>INSERT INTO TNL_RATING.dbo.usps_rate_master VALUES ('USPS', '2/13/2025', '2/13/2026', 12659, 'US', 'USPS Ground Advantage', 7, 0, 'L', 12.05, 'Wedgewood_USPS_2025', 'Cubic Tier 9 (0.80 - 0.90)','3');</v>
      </c>
    </row>
    <row r="2436" spans="1:14" x14ac:dyDescent="0.3">
      <c r="A2436" t="s">
        <v>11</v>
      </c>
      <c r="B2436" s="1" t="s">
        <v>43</v>
      </c>
      <c r="C2436" s="1" t="s">
        <v>44</v>
      </c>
      <c r="D2436">
        <v>12659</v>
      </c>
      <c r="E2436" t="s">
        <v>12</v>
      </c>
      <c r="F2436" t="s">
        <v>51</v>
      </c>
      <c r="G2436">
        <v>8</v>
      </c>
      <c r="H2436">
        <v>0</v>
      </c>
      <c r="I2436" t="s">
        <v>45</v>
      </c>
      <c r="J2436" cm="1">
        <f t="array" ref="J2436">IFERROR(
    _xlfn.XLOOKUP(G2436, 'Wedgewood Pharm-GA-Yr2-2025'!$E$4:$L$4,
        _xlfn.XLOOKUP('Rate Load'!L2436, 'Wedgewood Pharm-GA-Yr2-2025'!$D$41:$D$50,
            'Wedgewood Pharm-GA-Yr2-2025'!$E$143:$L$152, 0, 0),
        0, 0),
    _xlfn.XLOOKUP(G2436, 'Wedgewood Pharm-GA-Yr2-2025'!$E$4:$L$4,
        _xlfn.XLOOKUP('Rate Load'!L2436, 'Wedgewood Pharm-GA-Yr2-2025'!$D$41:$D$50,
            'Wedgewood Pharm-GA-Yr2-2025'!$E$143:$L$152, 0, 0),
        0, 0)
)</f>
        <v>13.379999999999999</v>
      </c>
      <c r="K2436" t="s">
        <v>46</v>
      </c>
      <c r="L2436" t="s">
        <v>40</v>
      </c>
      <c r="M2436">
        <v>3</v>
      </c>
      <c r="N2436" t="str">
        <f t="shared" si="40"/>
        <v>INSERT INTO TNL_RATING.dbo.usps_rate_master VALUES ('USPS', '2/13/2025', '2/13/2026', 12659, 'US', 'USPS Ground Advantage', 8, 0, 'L', 13.38, 'Wedgewood_USPS_2025', 'Cubic Tier 9 (0.80 - 0.90)','3');</v>
      </c>
    </row>
    <row r="2437" spans="1:14" x14ac:dyDescent="0.3">
      <c r="A2437" t="s">
        <v>11</v>
      </c>
      <c r="B2437" s="1" t="s">
        <v>43</v>
      </c>
      <c r="C2437" s="1" t="s">
        <v>44</v>
      </c>
      <c r="D2437">
        <v>12659</v>
      </c>
      <c r="E2437" t="s">
        <v>12</v>
      </c>
      <c r="F2437" t="s">
        <v>51</v>
      </c>
      <c r="G2437">
        <v>1</v>
      </c>
      <c r="H2437">
        <v>0</v>
      </c>
      <c r="I2437" t="s">
        <v>45</v>
      </c>
      <c r="J2437" cm="1">
        <f t="array" ref="J2437">IFERROR(
    _xlfn.XLOOKUP(G2437, 'Wedgewood Pharm-GA-Yr2-2025'!$E$4:$L$4,
        _xlfn.XLOOKUP('Rate Load'!L2437, 'Wedgewood Pharm-GA-Yr2-2025'!$D$41:$D$50,
            'Wedgewood Pharm-GA-Yr2-2025'!$E$143:$L$152, 0, 0),
        0, 0),
    _xlfn.XLOOKUP(G2437, 'Wedgewood Pharm-GA-Yr2-2025'!$E$4:$L$4,
        _xlfn.XLOOKUP('Rate Load'!L2437, 'Wedgewood Pharm-GA-Yr2-2025'!$D$41:$D$50,
            'Wedgewood Pharm-GA-Yr2-2025'!$E$143:$L$152, 0, 0),
        0, 0)
)</f>
        <v>7.45</v>
      </c>
      <c r="K2437" t="s">
        <v>46</v>
      </c>
      <c r="L2437" t="s">
        <v>40</v>
      </c>
      <c r="M2437">
        <v>3</v>
      </c>
      <c r="N2437" t="str">
        <f t="shared" si="40"/>
        <v>INSERT INTO TNL_RATING.dbo.usps_rate_master VALUES ('USPS', '2/13/2025', '2/13/2026', 12659, 'US', 'USPS Ground Advantage', 1, 0, 'L', 7.45, 'Wedgewood_USPS_2025', 'Cubic Tier 9 (0.80 - 0.90)','3');</v>
      </c>
    </row>
    <row r="2438" spans="1:14" x14ac:dyDescent="0.3">
      <c r="A2438" t="s">
        <v>11</v>
      </c>
      <c r="B2438" s="1" t="s">
        <v>43</v>
      </c>
      <c r="C2438" s="1" t="s">
        <v>44</v>
      </c>
      <c r="D2438">
        <v>12659</v>
      </c>
      <c r="E2438" t="s">
        <v>12</v>
      </c>
      <c r="F2438" t="s">
        <v>51</v>
      </c>
      <c r="G2438">
        <v>2</v>
      </c>
      <c r="H2438">
        <v>0</v>
      </c>
      <c r="I2438" t="s">
        <v>45</v>
      </c>
      <c r="J2438" cm="1">
        <f t="array" ref="J2438">IFERROR(
    _xlfn.XLOOKUP(G2438, 'Wedgewood Pharm-GA-Yr2-2025'!$E$4:$L$4,
        _xlfn.XLOOKUP('Rate Load'!L2438, 'Wedgewood Pharm-GA-Yr2-2025'!$D$41:$D$50,
            'Wedgewood Pharm-GA-Yr2-2025'!$E$143:$L$152, 0, 0),
        0, 0),
    _xlfn.XLOOKUP(G2438, 'Wedgewood Pharm-GA-Yr2-2025'!$E$4:$L$4,
        _xlfn.XLOOKUP('Rate Load'!L2438, 'Wedgewood Pharm-GA-Yr2-2025'!$D$41:$D$50,
            'Wedgewood Pharm-GA-Yr2-2025'!$E$143:$L$152, 0, 0),
        0, 0)
)</f>
        <v>8</v>
      </c>
      <c r="K2438" t="s">
        <v>46</v>
      </c>
      <c r="L2438" t="s">
        <v>41</v>
      </c>
      <c r="M2438">
        <v>3</v>
      </c>
      <c r="N2438" t="str">
        <f t="shared" si="40"/>
        <v>INSERT INTO TNL_RATING.dbo.usps_rate_master VALUES ('USPS', '2/13/2025', '2/13/2026', 12659, 'US', 'USPS Ground Advantage', 2, 0, 'L', 8, 'Wedgewood_USPS_2025', 'Cubic Tier 10 (0.90 - 1.00)','3');</v>
      </c>
    </row>
    <row r="2439" spans="1:14" x14ac:dyDescent="0.3">
      <c r="A2439" t="s">
        <v>11</v>
      </c>
      <c r="B2439" s="1" t="s">
        <v>43</v>
      </c>
      <c r="C2439" s="1" t="s">
        <v>44</v>
      </c>
      <c r="D2439">
        <v>12659</v>
      </c>
      <c r="E2439" t="s">
        <v>12</v>
      </c>
      <c r="F2439" t="s">
        <v>51</v>
      </c>
      <c r="G2439">
        <v>3</v>
      </c>
      <c r="H2439">
        <v>0</v>
      </c>
      <c r="I2439" t="s">
        <v>45</v>
      </c>
      <c r="J2439" cm="1">
        <f t="array" ref="J2439">IFERROR(
    _xlfn.XLOOKUP(G2439, 'Wedgewood Pharm-GA-Yr2-2025'!$E$4:$L$4,
        _xlfn.XLOOKUP('Rate Load'!L2439, 'Wedgewood Pharm-GA-Yr2-2025'!$D$41:$D$50,
            'Wedgewood Pharm-GA-Yr2-2025'!$E$143:$L$152, 0, 0),
        0, 0),
    _xlfn.XLOOKUP(G2439, 'Wedgewood Pharm-GA-Yr2-2025'!$E$4:$L$4,
        _xlfn.XLOOKUP('Rate Load'!L2439, 'Wedgewood Pharm-GA-Yr2-2025'!$D$41:$D$50,
            'Wedgewood Pharm-GA-Yr2-2025'!$E$143:$L$152, 0, 0),
        0, 0)
)</f>
        <v>8.66</v>
      </c>
      <c r="K2439" t="s">
        <v>46</v>
      </c>
      <c r="L2439" t="s">
        <v>41</v>
      </c>
      <c r="M2439">
        <v>3</v>
      </c>
      <c r="N2439" t="str">
        <f t="shared" si="40"/>
        <v>INSERT INTO TNL_RATING.dbo.usps_rate_master VALUES ('USPS', '2/13/2025', '2/13/2026', 12659, 'US', 'USPS Ground Advantage', 3, 0, 'L', 8.66, 'Wedgewood_USPS_2025', 'Cubic Tier 10 (0.90 - 1.00)','3');</v>
      </c>
    </row>
    <row r="2440" spans="1:14" x14ac:dyDescent="0.3">
      <c r="A2440" t="s">
        <v>11</v>
      </c>
      <c r="B2440" s="1" t="s">
        <v>43</v>
      </c>
      <c r="C2440" s="1" t="s">
        <v>44</v>
      </c>
      <c r="D2440">
        <v>12659</v>
      </c>
      <c r="E2440" t="s">
        <v>12</v>
      </c>
      <c r="F2440" t="s">
        <v>51</v>
      </c>
      <c r="G2440">
        <v>4</v>
      </c>
      <c r="H2440">
        <v>0</v>
      </c>
      <c r="I2440" t="s">
        <v>45</v>
      </c>
      <c r="J2440" cm="1">
        <f t="array" ref="J2440">IFERROR(
    _xlfn.XLOOKUP(G2440, 'Wedgewood Pharm-GA-Yr2-2025'!$E$4:$L$4,
        _xlfn.XLOOKUP('Rate Load'!L2440, 'Wedgewood Pharm-GA-Yr2-2025'!$D$41:$D$50,
            'Wedgewood Pharm-GA-Yr2-2025'!$E$143:$L$152, 0, 0),
        0, 0),
    _xlfn.XLOOKUP(G2440, 'Wedgewood Pharm-GA-Yr2-2025'!$E$4:$L$4,
        _xlfn.XLOOKUP('Rate Load'!L2440, 'Wedgewood Pharm-GA-Yr2-2025'!$D$41:$D$50,
            'Wedgewood Pharm-GA-Yr2-2025'!$E$143:$L$152, 0, 0),
        0, 0)
)</f>
        <v>9.4700000000000006</v>
      </c>
      <c r="K2440" t="s">
        <v>46</v>
      </c>
      <c r="L2440" t="s">
        <v>41</v>
      </c>
      <c r="M2440">
        <v>3</v>
      </c>
      <c r="N2440" t="str">
        <f t="shared" si="40"/>
        <v>INSERT INTO TNL_RATING.dbo.usps_rate_master VALUES ('USPS', '2/13/2025', '2/13/2026', 12659, 'US', 'USPS Ground Advantage', 4, 0, 'L', 9.47, 'Wedgewood_USPS_2025', 'Cubic Tier 10 (0.90 - 1.00)','3');</v>
      </c>
    </row>
    <row r="2441" spans="1:14" x14ac:dyDescent="0.3">
      <c r="A2441" t="s">
        <v>11</v>
      </c>
      <c r="B2441" s="1" t="s">
        <v>43</v>
      </c>
      <c r="C2441" s="1" t="s">
        <v>44</v>
      </c>
      <c r="D2441">
        <v>12659</v>
      </c>
      <c r="E2441" t="s">
        <v>12</v>
      </c>
      <c r="F2441" t="s">
        <v>51</v>
      </c>
      <c r="G2441">
        <v>5</v>
      </c>
      <c r="H2441">
        <v>0</v>
      </c>
      <c r="I2441" t="s">
        <v>45</v>
      </c>
      <c r="J2441" cm="1">
        <f t="array" ref="J2441">IFERROR(
    _xlfn.XLOOKUP(G2441, 'Wedgewood Pharm-GA-Yr2-2025'!$E$4:$L$4,
        _xlfn.XLOOKUP('Rate Load'!L2441, 'Wedgewood Pharm-GA-Yr2-2025'!$D$41:$D$50,
            'Wedgewood Pharm-GA-Yr2-2025'!$E$143:$L$152, 0, 0),
        0, 0),
    _xlfn.XLOOKUP(G2441, 'Wedgewood Pharm-GA-Yr2-2025'!$E$4:$L$4,
        _xlfn.XLOOKUP('Rate Load'!L2441, 'Wedgewood Pharm-GA-Yr2-2025'!$D$41:$D$50,
            'Wedgewood Pharm-GA-Yr2-2025'!$E$143:$L$152, 0, 0),
        0, 0)
)</f>
        <v>10.59</v>
      </c>
      <c r="K2441" t="s">
        <v>46</v>
      </c>
      <c r="L2441" t="s">
        <v>41</v>
      </c>
      <c r="M2441">
        <v>3</v>
      </c>
      <c r="N2441" t="str">
        <f t="shared" si="40"/>
        <v>INSERT INTO TNL_RATING.dbo.usps_rate_master VALUES ('USPS', '2/13/2025', '2/13/2026', 12659, 'US', 'USPS Ground Advantage', 5, 0, 'L', 10.59, 'Wedgewood_USPS_2025', 'Cubic Tier 10 (0.90 - 1.00)','3');</v>
      </c>
    </row>
    <row r="2442" spans="1:14" x14ac:dyDescent="0.3">
      <c r="A2442" t="s">
        <v>11</v>
      </c>
      <c r="B2442" s="1" t="s">
        <v>43</v>
      </c>
      <c r="C2442" s="1" t="s">
        <v>44</v>
      </c>
      <c r="D2442">
        <v>12659</v>
      </c>
      <c r="E2442" t="s">
        <v>12</v>
      </c>
      <c r="F2442" t="s">
        <v>51</v>
      </c>
      <c r="G2442">
        <v>6</v>
      </c>
      <c r="H2442">
        <v>0</v>
      </c>
      <c r="I2442" t="s">
        <v>45</v>
      </c>
      <c r="J2442" cm="1">
        <f t="array" ref="J2442">IFERROR(
    _xlfn.XLOOKUP(G2442, 'Wedgewood Pharm-GA-Yr2-2025'!$E$4:$L$4,
        _xlfn.XLOOKUP('Rate Load'!L2442, 'Wedgewood Pharm-GA-Yr2-2025'!$D$41:$D$50,
            'Wedgewood Pharm-GA-Yr2-2025'!$E$143:$L$152, 0, 0),
        0, 0),
    _xlfn.XLOOKUP(G2442, 'Wedgewood Pharm-GA-Yr2-2025'!$E$4:$L$4,
        _xlfn.XLOOKUP('Rate Load'!L2442, 'Wedgewood Pharm-GA-Yr2-2025'!$D$41:$D$50,
            'Wedgewood Pharm-GA-Yr2-2025'!$E$143:$L$152, 0, 0),
        0, 0)
)</f>
        <v>11.34</v>
      </c>
      <c r="K2442" t="s">
        <v>46</v>
      </c>
      <c r="L2442" t="s">
        <v>41</v>
      </c>
      <c r="M2442">
        <v>3</v>
      </c>
      <c r="N2442" t="str">
        <f t="shared" ref="N2442:N2445" si="41">"INSERT INTO TNL_RATING.dbo.usps_rate_master VALUES ('" &amp; A2442 &amp; "', '" &amp; B2442 &amp; "', '" &amp; C2442 &amp; "', " &amp; D2442 &amp; ", '" &amp; E2442 &amp; "', '" &amp; F2442 &amp; "', " &amp; G2442 &amp; ", " &amp; H2442 &amp; ", '" &amp; I2442 &amp; "', " &amp; J2442 &amp; ", '" &amp; K2442 &amp; "', '" &amp; L2442 &amp; "','" &amp; M2442 &amp; "');"</f>
        <v>INSERT INTO TNL_RATING.dbo.usps_rate_master VALUES ('USPS', '2/13/2025', '2/13/2026', 12659, 'US', 'USPS Ground Advantage', 6, 0, 'L', 11.34, 'Wedgewood_USPS_2025', 'Cubic Tier 10 (0.90 - 1.00)','3');</v>
      </c>
    </row>
    <row r="2443" spans="1:14" x14ac:dyDescent="0.3">
      <c r="A2443" t="s">
        <v>11</v>
      </c>
      <c r="B2443" s="1" t="s">
        <v>43</v>
      </c>
      <c r="C2443" s="1" t="s">
        <v>44</v>
      </c>
      <c r="D2443">
        <v>12659</v>
      </c>
      <c r="E2443" t="s">
        <v>12</v>
      </c>
      <c r="F2443" t="s">
        <v>51</v>
      </c>
      <c r="G2443">
        <v>7</v>
      </c>
      <c r="H2443">
        <v>0</v>
      </c>
      <c r="I2443" t="s">
        <v>45</v>
      </c>
      <c r="J2443" cm="1">
        <f t="array" ref="J2443">IFERROR(
    _xlfn.XLOOKUP(G2443, 'Wedgewood Pharm-GA-Yr2-2025'!$E$4:$L$4,
        _xlfn.XLOOKUP('Rate Load'!L2443, 'Wedgewood Pharm-GA-Yr2-2025'!$D$41:$D$50,
            'Wedgewood Pharm-GA-Yr2-2025'!$E$143:$L$152, 0, 0),
        0, 0),
    _xlfn.XLOOKUP(G2443, 'Wedgewood Pharm-GA-Yr2-2025'!$E$4:$L$4,
        _xlfn.XLOOKUP('Rate Load'!L2443, 'Wedgewood Pharm-GA-Yr2-2025'!$D$41:$D$50,
            'Wedgewood Pharm-GA-Yr2-2025'!$E$143:$L$152, 0, 0),
        0, 0)
)</f>
        <v>12.66</v>
      </c>
      <c r="K2443" t="s">
        <v>46</v>
      </c>
      <c r="L2443" t="s">
        <v>41</v>
      </c>
      <c r="M2443">
        <v>3</v>
      </c>
      <c r="N2443" t="str">
        <f t="shared" si="41"/>
        <v>INSERT INTO TNL_RATING.dbo.usps_rate_master VALUES ('USPS', '2/13/2025', '2/13/2026', 12659, 'US', 'USPS Ground Advantage', 7, 0, 'L', 12.66, 'Wedgewood_USPS_2025', 'Cubic Tier 10 (0.90 - 1.00)','3');</v>
      </c>
    </row>
    <row r="2444" spans="1:14" x14ac:dyDescent="0.3">
      <c r="A2444" t="s">
        <v>11</v>
      </c>
      <c r="B2444" s="1" t="s">
        <v>43</v>
      </c>
      <c r="C2444" s="1" t="s">
        <v>44</v>
      </c>
      <c r="D2444">
        <v>12659</v>
      </c>
      <c r="E2444" t="s">
        <v>12</v>
      </c>
      <c r="F2444" t="s">
        <v>51</v>
      </c>
      <c r="G2444">
        <v>8</v>
      </c>
      <c r="H2444">
        <v>0</v>
      </c>
      <c r="I2444" t="s">
        <v>45</v>
      </c>
      <c r="J2444" cm="1">
        <f t="array" ref="J2444">IFERROR(
    _xlfn.XLOOKUP(G2444, 'Wedgewood Pharm-GA-Yr2-2025'!$E$4:$L$4,
        _xlfn.XLOOKUP('Rate Load'!L2444, 'Wedgewood Pharm-GA-Yr2-2025'!$D$41:$D$50,
            'Wedgewood Pharm-GA-Yr2-2025'!$E$143:$L$152, 0, 0),
        0, 0),
    _xlfn.XLOOKUP(G2444, 'Wedgewood Pharm-GA-Yr2-2025'!$E$4:$L$4,
        _xlfn.XLOOKUP('Rate Load'!L2444, 'Wedgewood Pharm-GA-Yr2-2025'!$D$41:$D$50,
            'Wedgewood Pharm-GA-Yr2-2025'!$E$143:$L$152, 0, 0),
        0, 0)
)</f>
        <v>14.14</v>
      </c>
      <c r="K2444" t="s">
        <v>46</v>
      </c>
      <c r="L2444" t="s">
        <v>41</v>
      </c>
      <c r="M2444">
        <v>3</v>
      </c>
      <c r="N2444" t="str">
        <f t="shared" si="41"/>
        <v>INSERT INTO TNL_RATING.dbo.usps_rate_master VALUES ('USPS', '2/13/2025', '2/13/2026', 12659, 'US', 'USPS Ground Advantage', 8, 0, 'L', 14.14, 'Wedgewood_USPS_2025', 'Cubic Tier 10 (0.90 - 1.00)','3');</v>
      </c>
    </row>
    <row r="2445" spans="1:14" x14ac:dyDescent="0.3">
      <c r="A2445" t="s">
        <v>11</v>
      </c>
      <c r="B2445" s="1" t="s">
        <v>43</v>
      </c>
      <c r="C2445" s="1" t="s">
        <v>44</v>
      </c>
      <c r="D2445">
        <v>12659</v>
      </c>
      <c r="E2445" t="s">
        <v>12</v>
      </c>
      <c r="F2445" t="s">
        <v>51</v>
      </c>
      <c r="G2445">
        <v>9</v>
      </c>
      <c r="H2445">
        <v>0</v>
      </c>
      <c r="I2445" t="s">
        <v>45</v>
      </c>
      <c r="J2445" cm="1">
        <f t="array" ref="J2445">IFERROR(
    _xlfn.XLOOKUP(G2445, 'Wedgewood Pharm-GA-Yr2-2025'!$E$4:$L$4,
        _xlfn.XLOOKUP('Rate Load'!L2445, 'Wedgewood Pharm-GA-Yr2-2025'!$D$41:$D$50,
            'Wedgewood Pharm-GA-Yr2-2025'!$E$143:$L$152, 0, 0),
        0, 0),
    _xlfn.XLOOKUP(G2445, 'Wedgewood Pharm-GA-Yr2-2025'!$E$4:$L$4,
        _xlfn.XLOOKUP('Rate Load'!L2445, 'Wedgewood Pharm-GA-Yr2-2025'!$D$41:$D$50,
            'Wedgewood Pharm-GA-Yr2-2025'!$E$143:$L$152, 0, 0),
        0, 0)
)</f>
        <v>0</v>
      </c>
      <c r="K2445" t="s">
        <v>46</v>
      </c>
      <c r="L2445" t="s">
        <v>41</v>
      </c>
      <c r="M2445">
        <v>3</v>
      </c>
      <c r="N2445" t="str">
        <f t="shared" si="41"/>
        <v>INSERT INTO TNL_RATING.dbo.usps_rate_master VALUES ('USPS', '2/13/2025', '2/13/2026', 12659, 'US', 'USPS Ground Advantage', 9, 0, 'L', 0, 'Wedgewood_USPS_2025', 'Cubic Tier 10 (0.90 - 1.00)','3');</v>
      </c>
    </row>
  </sheetData>
  <autoFilter ref="A1:N2086" xr:uid="{839184E9-9493-43A5-939E-68B67FD4C779}"/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8B523-C77C-445F-B84C-83C6D266017C}">
  <dimension ref="A1"/>
  <sheetViews>
    <sheetView workbookViewId="0">
      <selection activeCell="A27" sqref="A27"/>
    </sheetView>
  </sheetViews>
  <sheetFormatPr defaultRowHeight="14.4" x14ac:dyDescent="0.3"/>
  <cols>
    <col min="1" max="1" width="98.77734375" customWidth="1"/>
  </cols>
  <sheetData>
    <row r="1" spans="1:1" x14ac:dyDescent="0.3">
      <c r="A1" t="s">
        <v>49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565A8-E110-469C-934A-B4FCEC28F9D3}">
  <sheetPr codeName="Sheet2">
    <tabColor theme="0"/>
  </sheetPr>
  <dimension ref="A1:N86"/>
  <sheetViews>
    <sheetView showGridLines="0" topLeftCell="A75" workbookViewId="0">
      <selection activeCell="L86" sqref="L86"/>
    </sheetView>
  </sheetViews>
  <sheetFormatPr defaultColWidth="9.109375" defaultRowHeight="13.2" x14ac:dyDescent="0.25"/>
  <cols>
    <col min="1" max="1" width="35.6640625" style="3" bestFit="1" customWidth="1"/>
    <col min="2" max="2" width="39.33203125" style="3" bestFit="1" customWidth="1"/>
    <col min="3" max="3" width="9.109375" style="3"/>
    <col min="4" max="4" width="30.6640625" style="3" customWidth="1"/>
    <col min="5" max="16384" width="9.109375" style="3"/>
  </cols>
  <sheetData>
    <row r="1" spans="1:14" ht="13.8" x14ac:dyDescent="0.3">
      <c r="A1" s="2"/>
      <c r="D1" s="19" t="s">
        <v>15</v>
      </c>
      <c r="E1" s="19"/>
      <c r="F1" s="19"/>
      <c r="G1" s="19"/>
      <c r="H1" s="19"/>
      <c r="I1" s="19"/>
      <c r="J1" s="19"/>
      <c r="K1" s="19"/>
      <c r="L1" s="19"/>
      <c r="M1" s="19"/>
      <c r="N1" s="19"/>
    </row>
    <row r="2" spans="1:14" ht="13.8" x14ac:dyDescent="0.3">
      <c r="A2" s="2"/>
      <c r="B2" s="2"/>
      <c r="D2" s="4" t="s">
        <v>16</v>
      </c>
      <c r="E2" s="5"/>
      <c r="F2" s="5"/>
      <c r="G2" s="5"/>
      <c r="H2" s="5"/>
      <c r="I2" s="5"/>
      <c r="J2" s="5"/>
      <c r="K2" s="5"/>
      <c r="L2" s="5"/>
      <c r="M2" s="5"/>
      <c r="N2" s="6"/>
    </row>
    <row r="3" spans="1:14" ht="13.8" x14ac:dyDescent="0.3">
      <c r="A3" s="2"/>
      <c r="D3" s="20" t="s">
        <v>17</v>
      </c>
      <c r="E3" s="5"/>
      <c r="F3" s="22" t="s">
        <v>6</v>
      </c>
      <c r="G3" s="22"/>
      <c r="H3" s="22"/>
      <c r="I3" s="22"/>
      <c r="J3" s="22"/>
      <c r="K3" s="22"/>
      <c r="L3" s="22"/>
      <c r="M3" s="22"/>
      <c r="N3" s="6"/>
    </row>
    <row r="4" spans="1:14" ht="14.4" thickBot="1" x14ac:dyDescent="0.3">
      <c r="A4" s="3" t="s">
        <v>18</v>
      </c>
      <c r="B4" s="7" t="s">
        <v>19</v>
      </c>
      <c r="D4" s="21"/>
      <c r="E4" s="8">
        <v>1</v>
      </c>
      <c r="F4" s="8">
        <v>2</v>
      </c>
      <c r="G4" s="9">
        <v>3</v>
      </c>
      <c r="H4" s="9">
        <v>4</v>
      </c>
      <c r="I4" s="9">
        <v>5</v>
      </c>
      <c r="J4" s="9">
        <v>6</v>
      </c>
      <c r="K4" s="9">
        <v>7</v>
      </c>
      <c r="L4" s="9">
        <v>8</v>
      </c>
      <c r="M4" s="9">
        <v>9</v>
      </c>
      <c r="N4" s="6"/>
    </row>
    <row r="5" spans="1:14" ht="13.8" x14ac:dyDescent="0.25">
      <c r="A5" s="3" t="s">
        <v>20</v>
      </c>
      <c r="B5" s="10">
        <v>45701</v>
      </c>
      <c r="D5" s="6">
        <v>0.5</v>
      </c>
      <c r="E5" s="11">
        <v>13.79</v>
      </c>
      <c r="F5" s="11">
        <v>13.79</v>
      </c>
      <c r="G5" s="11">
        <v>13.9</v>
      </c>
      <c r="H5" s="11">
        <v>14.29</v>
      </c>
      <c r="I5" s="11">
        <v>14.98</v>
      </c>
      <c r="J5" s="11">
        <v>15.45</v>
      </c>
      <c r="K5" s="11">
        <v>15.95</v>
      </c>
      <c r="L5" s="11">
        <v>16.580000000000002</v>
      </c>
      <c r="M5" s="11"/>
      <c r="N5" s="6"/>
    </row>
    <row r="6" spans="1:14" ht="13.8" x14ac:dyDescent="0.25">
      <c r="A6" s="3" t="s">
        <v>21</v>
      </c>
      <c r="B6" s="10">
        <v>46065</v>
      </c>
      <c r="D6" s="6">
        <v>1</v>
      </c>
      <c r="E6" s="11">
        <v>14.25</v>
      </c>
      <c r="F6" s="11">
        <v>14.35</v>
      </c>
      <c r="G6" s="11">
        <v>14.73</v>
      </c>
      <c r="H6" s="11">
        <v>15.52</v>
      </c>
      <c r="I6" s="11">
        <v>16.560000000000002</v>
      </c>
      <c r="J6" s="11">
        <v>17.180000000000003</v>
      </c>
      <c r="K6" s="11">
        <v>17.75</v>
      </c>
      <c r="L6" s="11">
        <v>18.360000000000003</v>
      </c>
      <c r="M6" s="11"/>
      <c r="N6" s="6"/>
    </row>
    <row r="7" spans="1:14" ht="13.8" x14ac:dyDescent="0.25">
      <c r="D7" s="6">
        <v>2</v>
      </c>
      <c r="E7" s="11">
        <v>15.53</v>
      </c>
      <c r="F7" s="11">
        <v>15.72</v>
      </c>
      <c r="G7" s="11">
        <v>16.380000000000003</v>
      </c>
      <c r="H7" s="11">
        <v>17.55</v>
      </c>
      <c r="I7" s="11">
        <v>18.930000000000003</v>
      </c>
      <c r="J7" s="11">
        <v>19.700000000000003</v>
      </c>
      <c r="K7" s="11">
        <v>20.3</v>
      </c>
      <c r="L7" s="11">
        <v>20.96</v>
      </c>
      <c r="M7" s="11"/>
      <c r="N7" s="6"/>
    </row>
    <row r="8" spans="1:14" ht="13.8" x14ac:dyDescent="0.25">
      <c r="D8" s="6">
        <v>3</v>
      </c>
      <c r="E8" s="11">
        <v>17.21</v>
      </c>
      <c r="F8" s="11">
        <v>17.510000000000002</v>
      </c>
      <c r="G8" s="11">
        <v>18.420000000000002</v>
      </c>
      <c r="H8" s="11">
        <v>19.98</v>
      </c>
      <c r="I8" s="11">
        <v>21.720000000000002</v>
      </c>
      <c r="J8" s="11">
        <v>22.630000000000003</v>
      </c>
      <c r="K8" s="11">
        <v>23.3</v>
      </c>
      <c r="L8" s="11">
        <v>23.950000000000003</v>
      </c>
      <c r="M8" s="11"/>
      <c r="N8" s="6"/>
    </row>
    <row r="9" spans="1:14" ht="13.8" x14ac:dyDescent="0.25">
      <c r="D9" s="6">
        <v>4</v>
      </c>
      <c r="E9" s="11">
        <v>18.89</v>
      </c>
      <c r="F9" s="11">
        <v>19.290000000000003</v>
      </c>
      <c r="G9" s="11">
        <v>20.46</v>
      </c>
      <c r="H9" s="11">
        <v>22.42</v>
      </c>
      <c r="I9" s="11">
        <v>24.490000000000002</v>
      </c>
      <c r="J9" s="11">
        <v>25.560000000000002</v>
      </c>
      <c r="K9" s="11">
        <v>26.28</v>
      </c>
      <c r="L9" s="11">
        <v>26.950000000000003</v>
      </c>
      <c r="M9" s="11"/>
      <c r="N9" s="6"/>
    </row>
    <row r="10" spans="1:14" ht="13.8" x14ac:dyDescent="0.25">
      <c r="D10" s="6">
        <v>5</v>
      </c>
      <c r="E10" s="11">
        <v>20.560000000000002</v>
      </c>
      <c r="F10" s="11">
        <v>21.07</v>
      </c>
      <c r="G10" s="11">
        <v>22.51</v>
      </c>
      <c r="H10" s="11">
        <v>24.85</v>
      </c>
      <c r="I10" s="11">
        <v>27.28</v>
      </c>
      <c r="J10" s="11">
        <v>28.48</v>
      </c>
      <c r="K10" s="11">
        <v>29.26</v>
      </c>
      <c r="L10" s="11">
        <v>29.92</v>
      </c>
      <c r="M10" s="11"/>
      <c r="N10" s="6"/>
    </row>
    <row r="11" spans="1:14" ht="13.8" x14ac:dyDescent="0.25">
      <c r="D11" s="6">
        <v>6</v>
      </c>
      <c r="E11" s="11">
        <v>22.720000000000002</v>
      </c>
      <c r="F11" s="11">
        <v>23.26</v>
      </c>
      <c r="G11" s="11">
        <v>24.87</v>
      </c>
      <c r="H11" s="11">
        <v>27.55</v>
      </c>
      <c r="I11" s="11">
        <v>30.12</v>
      </c>
      <c r="J11" s="11">
        <v>31.37</v>
      </c>
      <c r="K11" s="11">
        <v>32.25</v>
      </c>
      <c r="L11" s="11">
        <v>32.97</v>
      </c>
      <c r="M11" s="11"/>
      <c r="N11" s="6"/>
    </row>
    <row r="12" spans="1:14" ht="13.8" x14ac:dyDescent="0.25">
      <c r="D12" s="6">
        <v>7</v>
      </c>
      <c r="E12" s="11">
        <v>24.87</v>
      </c>
      <c r="F12" s="11">
        <v>25.450000000000003</v>
      </c>
      <c r="G12" s="11">
        <v>27.23</v>
      </c>
      <c r="H12" s="11">
        <v>30.26</v>
      </c>
      <c r="I12" s="11">
        <v>32.949999999999996</v>
      </c>
      <c r="J12" s="11">
        <v>34.239999999999995</v>
      </c>
      <c r="K12" s="11">
        <v>35.22</v>
      </c>
      <c r="L12" s="11">
        <v>36.019999999999996</v>
      </c>
      <c r="M12" s="11"/>
      <c r="N12" s="6"/>
    </row>
    <row r="13" spans="1:14" ht="13.8" x14ac:dyDescent="0.25">
      <c r="D13" s="6">
        <v>8</v>
      </c>
      <c r="E13" s="11">
        <v>27.020000000000003</v>
      </c>
      <c r="F13" s="11">
        <v>27.630000000000003</v>
      </c>
      <c r="G13" s="11">
        <v>29.57</v>
      </c>
      <c r="H13" s="11">
        <v>32.96</v>
      </c>
      <c r="I13" s="11">
        <v>35.78</v>
      </c>
      <c r="J13" s="11">
        <v>37.119999999999997</v>
      </c>
      <c r="K13" s="11">
        <v>38.21</v>
      </c>
      <c r="L13" s="11">
        <v>39.059999999999995</v>
      </c>
      <c r="M13" s="11"/>
      <c r="N13" s="6"/>
    </row>
    <row r="14" spans="1:14" ht="13.8" x14ac:dyDescent="0.25">
      <c r="D14" s="6">
        <v>9</v>
      </c>
      <c r="E14" s="11">
        <v>29.16</v>
      </c>
      <c r="F14" s="11">
        <v>29.84</v>
      </c>
      <c r="G14" s="11">
        <v>31.94</v>
      </c>
      <c r="H14" s="11">
        <v>35.659999999999997</v>
      </c>
      <c r="I14" s="11">
        <v>38.61</v>
      </c>
      <c r="J14" s="11">
        <v>39.97</v>
      </c>
      <c r="K14" s="11">
        <v>41.18</v>
      </c>
      <c r="L14" s="11">
        <v>42.11</v>
      </c>
      <c r="M14" s="11"/>
      <c r="N14" s="6"/>
    </row>
    <row r="15" spans="1:14" ht="13.8" x14ac:dyDescent="0.25">
      <c r="D15" s="6">
        <v>10</v>
      </c>
      <c r="E15" s="11">
        <v>31.330000000000002</v>
      </c>
      <c r="F15" s="11">
        <v>32.03</v>
      </c>
      <c r="G15" s="11">
        <v>34.29</v>
      </c>
      <c r="H15" s="11">
        <v>38.36</v>
      </c>
      <c r="I15" s="11">
        <v>41.449999999999996</v>
      </c>
      <c r="J15" s="11">
        <v>42.85</v>
      </c>
      <c r="K15" s="11">
        <v>44.169999999999995</v>
      </c>
      <c r="L15" s="11">
        <v>45.14</v>
      </c>
      <c r="M15" s="11"/>
      <c r="N15" s="6"/>
    </row>
    <row r="16" spans="1:14" ht="13.8" x14ac:dyDescent="0.25">
      <c r="D16" s="6">
        <v>11</v>
      </c>
      <c r="E16" s="11">
        <v>33.369999999999997</v>
      </c>
      <c r="F16" s="11">
        <v>34.169999999999995</v>
      </c>
      <c r="G16" s="11">
        <v>36.79</v>
      </c>
      <c r="H16" s="11">
        <v>40.9</v>
      </c>
      <c r="I16" s="11">
        <v>44.019999999999996</v>
      </c>
      <c r="J16" s="11">
        <v>45.379999999999995</v>
      </c>
      <c r="K16" s="11">
        <v>46.739999999999995</v>
      </c>
      <c r="L16" s="11">
        <v>47.78</v>
      </c>
      <c r="M16" s="11"/>
      <c r="N16" s="6"/>
    </row>
    <row r="17" spans="4:14" ht="13.8" x14ac:dyDescent="0.25">
      <c r="D17" s="6">
        <v>12</v>
      </c>
      <c r="E17" s="11">
        <v>35.4</v>
      </c>
      <c r="F17" s="11">
        <v>36.35</v>
      </c>
      <c r="G17" s="11">
        <v>39.299999999999997</v>
      </c>
      <c r="H17" s="11">
        <v>43.44</v>
      </c>
      <c r="I17" s="11">
        <v>46.58</v>
      </c>
      <c r="J17" s="11">
        <v>47.9</v>
      </c>
      <c r="K17" s="11">
        <v>49.309999999999995</v>
      </c>
      <c r="L17" s="11">
        <v>50.419999999999995</v>
      </c>
      <c r="M17" s="11"/>
      <c r="N17" s="6"/>
    </row>
    <row r="18" spans="4:14" ht="13.8" x14ac:dyDescent="0.25">
      <c r="D18" s="6">
        <v>13</v>
      </c>
      <c r="E18" s="11">
        <v>37.46</v>
      </c>
      <c r="F18" s="11">
        <v>38.51</v>
      </c>
      <c r="G18" s="11">
        <v>41.8</v>
      </c>
      <c r="H18" s="11">
        <v>45.98</v>
      </c>
      <c r="I18" s="11">
        <v>49.12</v>
      </c>
      <c r="J18" s="11">
        <v>50.43</v>
      </c>
      <c r="K18" s="11">
        <v>51.89</v>
      </c>
      <c r="L18" s="11">
        <v>53.05</v>
      </c>
      <c r="M18" s="11"/>
      <c r="N18" s="6"/>
    </row>
    <row r="19" spans="4:14" ht="13.8" x14ac:dyDescent="0.25">
      <c r="D19" s="6">
        <v>14</v>
      </c>
      <c r="E19" s="11">
        <v>39.5</v>
      </c>
      <c r="F19" s="11">
        <v>40.659999999999997</v>
      </c>
      <c r="G19" s="11">
        <v>44.32</v>
      </c>
      <c r="H19" s="11">
        <v>48.519999999999996</v>
      </c>
      <c r="I19" s="11">
        <v>51.69</v>
      </c>
      <c r="J19" s="11">
        <v>52.949999999999996</v>
      </c>
      <c r="K19" s="11">
        <v>54.46</v>
      </c>
      <c r="L19" s="11">
        <v>55.68</v>
      </c>
      <c r="M19" s="11"/>
      <c r="N19" s="6"/>
    </row>
    <row r="20" spans="4:14" ht="13.8" x14ac:dyDescent="0.25">
      <c r="D20" s="6">
        <v>15</v>
      </c>
      <c r="E20" s="11">
        <v>41.559999999999995</v>
      </c>
      <c r="F20" s="11">
        <v>42.82</v>
      </c>
      <c r="G20" s="11">
        <v>46.82</v>
      </c>
      <c r="H20" s="11">
        <v>51.05</v>
      </c>
      <c r="I20" s="11">
        <v>54.25</v>
      </c>
      <c r="J20" s="11">
        <v>55.47</v>
      </c>
      <c r="K20" s="11">
        <v>57.03</v>
      </c>
      <c r="L20" s="11">
        <v>58.309999999999995</v>
      </c>
      <c r="M20" s="11"/>
      <c r="N20" s="6"/>
    </row>
    <row r="21" spans="4:14" ht="13.8" x14ac:dyDescent="0.25">
      <c r="D21" s="6">
        <v>16</v>
      </c>
      <c r="E21" s="11">
        <v>43.6</v>
      </c>
      <c r="F21" s="11">
        <v>44.98</v>
      </c>
      <c r="G21" s="11">
        <v>49.309999999999995</v>
      </c>
      <c r="H21" s="11">
        <v>53.58</v>
      </c>
      <c r="I21" s="11">
        <v>56.8</v>
      </c>
      <c r="J21" s="11">
        <v>57.98</v>
      </c>
      <c r="K21" s="11">
        <v>59.61</v>
      </c>
      <c r="L21" s="11">
        <v>60.97</v>
      </c>
      <c r="M21" s="11"/>
      <c r="N21" s="6"/>
    </row>
    <row r="22" spans="4:14" ht="13.8" x14ac:dyDescent="0.25">
      <c r="D22" s="6">
        <v>17</v>
      </c>
      <c r="E22" s="11">
        <v>45.64</v>
      </c>
      <c r="F22" s="11">
        <v>47.129999999999995</v>
      </c>
      <c r="G22" s="11">
        <v>51.83</v>
      </c>
      <c r="H22" s="11">
        <v>56.129999999999995</v>
      </c>
      <c r="I22" s="11">
        <v>59.36</v>
      </c>
      <c r="J22" s="11">
        <v>60.51</v>
      </c>
      <c r="K22" s="11">
        <v>62.19</v>
      </c>
      <c r="L22" s="11">
        <v>63.6</v>
      </c>
      <c r="M22" s="11"/>
      <c r="N22" s="6"/>
    </row>
    <row r="23" spans="4:14" ht="13.8" x14ac:dyDescent="0.25">
      <c r="D23" s="6">
        <v>18</v>
      </c>
      <c r="E23" s="11">
        <v>47.69</v>
      </c>
      <c r="F23" s="11">
        <v>49.28</v>
      </c>
      <c r="G23" s="11">
        <v>54.33</v>
      </c>
      <c r="H23" s="11">
        <v>58.66</v>
      </c>
      <c r="I23" s="11">
        <v>61.91</v>
      </c>
      <c r="J23" s="11">
        <v>63.03</v>
      </c>
      <c r="K23" s="11">
        <v>64.760000000000005</v>
      </c>
      <c r="L23" s="11">
        <v>66.23</v>
      </c>
      <c r="M23" s="11"/>
      <c r="N23" s="6"/>
    </row>
    <row r="24" spans="4:14" ht="13.8" x14ac:dyDescent="0.25">
      <c r="D24" s="6">
        <v>19</v>
      </c>
      <c r="E24" s="11">
        <v>49.73</v>
      </c>
      <c r="F24" s="11">
        <v>51.449999999999996</v>
      </c>
      <c r="G24" s="11">
        <v>56.85</v>
      </c>
      <c r="H24" s="11">
        <v>61.199999999999996</v>
      </c>
      <c r="I24" s="11">
        <v>64.47</v>
      </c>
      <c r="J24" s="11">
        <v>65.56</v>
      </c>
      <c r="K24" s="11">
        <v>67.34</v>
      </c>
      <c r="L24" s="11">
        <v>68.87</v>
      </c>
      <c r="M24" s="11"/>
      <c r="N24" s="6"/>
    </row>
    <row r="25" spans="4:14" ht="13.8" x14ac:dyDescent="0.25">
      <c r="D25" s="12">
        <v>20</v>
      </c>
      <c r="E25" s="13">
        <v>51.78</v>
      </c>
      <c r="F25" s="13">
        <v>53.62</v>
      </c>
      <c r="G25" s="13">
        <v>59.34</v>
      </c>
      <c r="H25" s="13">
        <v>63.739999999999995</v>
      </c>
      <c r="I25" s="13">
        <v>67.02000000000001</v>
      </c>
      <c r="J25" s="13">
        <v>68.08</v>
      </c>
      <c r="K25" s="13">
        <v>69.900000000000006</v>
      </c>
      <c r="L25" s="13">
        <v>71.5</v>
      </c>
      <c r="M25" s="13"/>
      <c r="N25" s="6"/>
    </row>
    <row r="26" spans="4:14" ht="13.8" x14ac:dyDescent="0.25">
      <c r="D26" s="14" t="s">
        <v>22</v>
      </c>
      <c r="E26" s="15">
        <v>25.060000000000002</v>
      </c>
      <c r="F26" s="15">
        <v>25.060000000000002</v>
      </c>
      <c r="G26" s="15">
        <v>25.060000000000002</v>
      </c>
      <c r="H26" s="15">
        <v>25.060000000000002</v>
      </c>
      <c r="I26" s="15">
        <v>25.060000000000002</v>
      </c>
      <c r="J26" s="15">
        <v>25.060000000000002</v>
      </c>
      <c r="K26" s="15">
        <v>25.060000000000002</v>
      </c>
      <c r="L26" s="15">
        <v>25.060000000000002</v>
      </c>
      <c r="M26" s="15"/>
      <c r="N26" s="6"/>
    </row>
    <row r="27" spans="4:14" ht="13.8" x14ac:dyDescent="0.25">
      <c r="D27" s="16" t="s">
        <v>23</v>
      </c>
      <c r="E27" s="11">
        <v>25.32</v>
      </c>
      <c r="F27" s="11">
        <v>25.32</v>
      </c>
      <c r="G27" s="11">
        <v>25.32</v>
      </c>
      <c r="H27" s="11">
        <v>25.32</v>
      </c>
      <c r="I27" s="11">
        <v>25.32</v>
      </c>
      <c r="J27" s="11">
        <v>25.32</v>
      </c>
      <c r="K27" s="11">
        <v>25.32</v>
      </c>
      <c r="L27" s="11">
        <v>25.32</v>
      </c>
      <c r="M27" s="11"/>
      <c r="N27" s="6"/>
    </row>
    <row r="28" spans="4:14" ht="13.8" x14ac:dyDescent="0.25">
      <c r="D28" s="17" t="s">
        <v>24</v>
      </c>
      <c r="E28" s="13">
        <v>25.520000000000003</v>
      </c>
      <c r="F28" s="13">
        <v>25.520000000000003</v>
      </c>
      <c r="G28" s="13">
        <v>25.520000000000003</v>
      </c>
      <c r="H28" s="13">
        <v>25.520000000000003</v>
      </c>
      <c r="I28" s="13">
        <v>25.520000000000003</v>
      </c>
      <c r="J28" s="13">
        <v>25.520000000000003</v>
      </c>
      <c r="K28" s="13">
        <v>25.520000000000003</v>
      </c>
      <c r="L28" s="13">
        <v>25.520000000000003</v>
      </c>
      <c r="M28" s="13"/>
      <c r="N28" s="6"/>
    </row>
    <row r="30" spans="4:14" ht="13.8" x14ac:dyDescent="0.3">
      <c r="D30" s="19" t="s">
        <v>25</v>
      </c>
      <c r="E30" s="19"/>
      <c r="F30" s="19"/>
      <c r="G30" s="19"/>
      <c r="H30" s="19"/>
      <c r="I30" s="19"/>
      <c r="J30" s="19"/>
      <c r="K30" s="19"/>
      <c r="L30" s="19"/>
      <c r="M30" s="19"/>
      <c r="N30" s="19"/>
    </row>
    <row r="31" spans="4:14" ht="13.8" x14ac:dyDescent="0.25">
      <c r="D31" s="4" t="s">
        <v>16</v>
      </c>
      <c r="E31" s="5"/>
      <c r="F31" s="5"/>
      <c r="G31" s="5"/>
      <c r="H31" s="5"/>
      <c r="I31" s="5"/>
      <c r="J31" s="5"/>
      <c r="K31" s="5"/>
      <c r="L31" s="5"/>
      <c r="M31" s="5"/>
      <c r="N31" s="6"/>
    </row>
    <row r="32" spans="4:14" ht="13.8" x14ac:dyDescent="0.25">
      <c r="D32" s="20" t="s">
        <v>17</v>
      </c>
      <c r="E32" s="5"/>
      <c r="F32" s="22" t="s">
        <v>6</v>
      </c>
      <c r="G32" s="22"/>
      <c r="H32" s="22"/>
      <c r="I32" s="22"/>
      <c r="J32" s="22"/>
      <c r="K32" s="22"/>
      <c r="L32" s="22"/>
      <c r="M32" s="22"/>
      <c r="N32" s="6"/>
    </row>
    <row r="33" spans="4:14" ht="14.4" thickBot="1" x14ac:dyDescent="0.3">
      <c r="D33" s="21"/>
      <c r="E33" s="8">
        <v>1</v>
      </c>
      <c r="F33" s="8">
        <v>2</v>
      </c>
      <c r="G33" s="9">
        <v>3</v>
      </c>
      <c r="H33" s="9">
        <v>4</v>
      </c>
      <c r="I33" s="9">
        <v>5</v>
      </c>
      <c r="J33" s="9">
        <v>6</v>
      </c>
      <c r="K33" s="9">
        <v>7</v>
      </c>
      <c r="L33" s="9">
        <v>8</v>
      </c>
      <c r="M33" s="9">
        <v>9</v>
      </c>
      <c r="N33" s="6"/>
    </row>
    <row r="34" spans="4:14" ht="13.8" x14ac:dyDescent="0.25">
      <c r="D34" s="6">
        <v>0.5</v>
      </c>
      <c r="E34" s="11">
        <v>13.49</v>
      </c>
      <c r="F34" s="11">
        <v>13.49</v>
      </c>
      <c r="G34" s="11">
        <v>13.6</v>
      </c>
      <c r="H34" s="11">
        <v>13.98</v>
      </c>
      <c r="I34" s="11">
        <v>14.65</v>
      </c>
      <c r="J34" s="11">
        <v>15.11</v>
      </c>
      <c r="K34" s="11">
        <v>15.6</v>
      </c>
      <c r="L34" s="11">
        <v>16.220000000000002</v>
      </c>
      <c r="M34" s="11"/>
      <c r="N34" s="6"/>
    </row>
    <row r="35" spans="4:14" ht="13.8" x14ac:dyDescent="0.25">
      <c r="D35" s="6">
        <v>1</v>
      </c>
      <c r="E35" s="11">
        <v>13.94</v>
      </c>
      <c r="F35" s="11">
        <v>14.04</v>
      </c>
      <c r="G35" s="11">
        <v>14.41</v>
      </c>
      <c r="H35" s="11">
        <v>15.18</v>
      </c>
      <c r="I35" s="11">
        <v>16.200000000000003</v>
      </c>
      <c r="J35" s="11">
        <v>16.8</v>
      </c>
      <c r="K35" s="11">
        <v>17.350000000000001</v>
      </c>
      <c r="L35" s="11">
        <v>17.96</v>
      </c>
      <c r="M35" s="11"/>
      <c r="N35" s="6"/>
    </row>
    <row r="36" spans="4:14" ht="13.8" x14ac:dyDescent="0.25">
      <c r="D36" s="6">
        <v>2</v>
      </c>
      <c r="E36" s="11">
        <v>15.19</v>
      </c>
      <c r="F36" s="11">
        <v>15.379999999999999</v>
      </c>
      <c r="G36" s="11">
        <v>16.020000000000003</v>
      </c>
      <c r="H36" s="11">
        <v>17.170000000000002</v>
      </c>
      <c r="I36" s="11">
        <v>18.520000000000003</v>
      </c>
      <c r="J36" s="11">
        <v>19.270000000000003</v>
      </c>
      <c r="K36" s="11">
        <v>19.860000000000003</v>
      </c>
      <c r="L36" s="11">
        <v>20.5</v>
      </c>
      <c r="M36" s="11"/>
      <c r="N36" s="6"/>
    </row>
    <row r="37" spans="4:14" ht="13.8" x14ac:dyDescent="0.25">
      <c r="D37" s="6">
        <v>3</v>
      </c>
      <c r="E37" s="11">
        <v>16.84</v>
      </c>
      <c r="F37" s="11">
        <v>17.130000000000003</v>
      </c>
      <c r="G37" s="11">
        <v>18.010000000000002</v>
      </c>
      <c r="H37" s="11">
        <v>19.55</v>
      </c>
      <c r="I37" s="11">
        <v>21.240000000000002</v>
      </c>
      <c r="J37" s="11">
        <v>22.130000000000003</v>
      </c>
      <c r="K37" s="11">
        <v>22.790000000000003</v>
      </c>
      <c r="L37" s="11">
        <v>23.42</v>
      </c>
      <c r="M37" s="11"/>
      <c r="N37" s="6"/>
    </row>
    <row r="38" spans="4:14" ht="13.8" x14ac:dyDescent="0.25">
      <c r="D38" s="6">
        <v>4</v>
      </c>
      <c r="E38" s="11">
        <v>18.48</v>
      </c>
      <c r="F38" s="11">
        <v>18.87</v>
      </c>
      <c r="G38" s="11">
        <v>20.020000000000003</v>
      </c>
      <c r="H38" s="11">
        <v>21.93</v>
      </c>
      <c r="I38" s="11">
        <v>23.96</v>
      </c>
      <c r="J38" s="11">
        <v>25</v>
      </c>
      <c r="K38" s="11">
        <v>25.700000000000003</v>
      </c>
      <c r="L38" s="11">
        <v>26.360000000000003</v>
      </c>
      <c r="M38" s="11"/>
      <c r="N38" s="6"/>
    </row>
    <row r="39" spans="4:14" ht="13.8" x14ac:dyDescent="0.25">
      <c r="D39" s="6">
        <v>5</v>
      </c>
      <c r="E39" s="11">
        <v>20.110000000000003</v>
      </c>
      <c r="F39" s="11">
        <v>20.610000000000003</v>
      </c>
      <c r="G39" s="11">
        <v>22.020000000000003</v>
      </c>
      <c r="H39" s="11">
        <v>24.3</v>
      </c>
      <c r="I39" s="11">
        <v>26.680000000000003</v>
      </c>
      <c r="J39" s="11">
        <v>27.860000000000003</v>
      </c>
      <c r="K39" s="11">
        <v>28.62</v>
      </c>
      <c r="L39" s="11">
        <v>29.270000000000003</v>
      </c>
      <c r="M39" s="11"/>
      <c r="N39" s="6"/>
    </row>
    <row r="40" spans="4:14" ht="13.8" x14ac:dyDescent="0.25">
      <c r="D40" s="6">
        <v>6</v>
      </c>
      <c r="E40" s="11">
        <v>22.220000000000002</v>
      </c>
      <c r="F40" s="11">
        <v>22.740000000000002</v>
      </c>
      <c r="G40" s="11">
        <v>24.330000000000002</v>
      </c>
      <c r="H40" s="11">
        <v>26.94</v>
      </c>
      <c r="I40" s="11">
        <v>29.46</v>
      </c>
      <c r="J40" s="11">
        <v>30.680000000000003</v>
      </c>
      <c r="K40" s="11">
        <v>31.540000000000003</v>
      </c>
      <c r="L40" s="11">
        <v>32.239999999999995</v>
      </c>
      <c r="M40" s="11"/>
      <c r="N40" s="6"/>
    </row>
    <row r="41" spans="4:14" ht="13.8" x14ac:dyDescent="0.25">
      <c r="D41" s="6">
        <v>7</v>
      </c>
      <c r="E41" s="11">
        <v>24.330000000000002</v>
      </c>
      <c r="F41" s="11">
        <v>24.900000000000002</v>
      </c>
      <c r="G41" s="11">
        <v>26.630000000000003</v>
      </c>
      <c r="H41" s="11">
        <v>29.59</v>
      </c>
      <c r="I41" s="11">
        <v>32.22</v>
      </c>
      <c r="J41" s="11">
        <v>33.479999999999997</v>
      </c>
      <c r="K41" s="11">
        <v>34.44</v>
      </c>
      <c r="L41" s="11">
        <v>35.239999999999995</v>
      </c>
      <c r="M41" s="11"/>
      <c r="N41" s="6"/>
    </row>
    <row r="42" spans="4:14" ht="13.8" x14ac:dyDescent="0.25">
      <c r="D42" s="6">
        <v>8</v>
      </c>
      <c r="E42" s="11">
        <v>26.430000000000003</v>
      </c>
      <c r="F42" s="11">
        <v>27.03</v>
      </c>
      <c r="G42" s="11">
        <v>28.92</v>
      </c>
      <c r="H42" s="11">
        <v>32.229999999999997</v>
      </c>
      <c r="I42" s="11">
        <v>35</v>
      </c>
      <c r="J42" s="11">
        <v>36.299999999999997</v>
      </c>
      <c r="K42" s="11">
        <v>37.369999999999997</v>
      </c>
      <c r="L42" s="11">
        <v>38.199999999999996</v>
      </c>
      <c r="M42" s="11"/>
      <c r="N42" s="6"/>
    </row>
    <row r="43" spans="4:14" ht="13.8" x14ac:dyDescent="0.25">
      <c r="D43" s="6">
        <v>9</v>
      </c>
      <c r="E43" s="11">
        <v>28.53</v>
      </c>
      <c r="F43" s="11">
        <v>29.19</v>
      </c>
      <c r="G43" s="11">
        <v>31.23</v>
      </c>
      <c r="H43" s="11">
        <v>34.879999999999995</v>
      </c>
      <c r="I43" s="11">
        <v>37.769999999999996</v>
      </c>
      <c r="J43" s="11">
        <v>39.1</v>
      </c>
      <c r="K43" s="11">
        <v>40.28</v>
      </c>
      <c r="L43" s="11">
        <v>41.19</v>
      </c>
      <c r="M43" s="11"/>
      <c r="N43" s="6"/>
    </row>
    <row r="44" spans="4:14" ht="13.8" x14ac:dyDescent="0.25">
      <c r="D44" s="6">
        <v>10</v>
      </c>
      <c r="E44" s="11">
        <v>30.630000000000003</v>
      </c>
      <c r="F44" s="11">
        <v>31.330000000000002</v>
      </c>
      <c r="G44" s="11">
        <v>33.53</v>
      </c>
      <c r="H44" s="11">
        <v>37.519999999999996</v>
      </c>
      <c r="I44" s="11">
        <v>40.54</v>
      </c>
      <c r="J44" s="11">
        <v>41.91</v>
      </c>
      <c r="K44" s="11">
        <v>43.199999999999996</v>
      </c>
      <c r="L44" s="11">
        <v>44.15</v>
      </c>
      <c r="M44" s="11"/>
      <c r="N44" s="6"/>
    </row>
    <row r="45" spans="4:14" ht="13.8" x14ac:dyDescent="0.25">
      <c r="D45" s="6">
        <v>11</v>
      </c>
      <c r="E45" s="11">
        <v>32.64</v>
      </c>
      <c r="F45" s="11">
        <v>33.43</v>
      </c>
      <c r="G45" s="11">
        <v>35.979999999999997</v>
      </c>
      <c r="H45" s="11">
        <v>40.019999999999996</v>
      </c>
      <c r="I45" s="11">
        <v>43.05</v>
      </c>
      <c r="J45" s="11">
        <v>44.379999999999995</v>
      </c>
      <c r="K45" s="11">
        <v>45.71</v>
      </c>
      <c r="L45" s="11">
        <v>46.73</v>
      </c>
      <c r="M45" s="11"/>
      <c r="N45" s="6"/>
    </row>
    <row r="46" spans="4:14" ht="13.8" x14ac:dyDescent="0.25">
      <c r="D46" s="6">
        <v>12</v>
      </c>
      <c r="E46" s="11">
        <v>34.629999999999995</v>
      </c>
      <c r="F46" s="11">
        <v>35.549999999999997</v>
      </c>
      <c r="G46" s="11">
        <v>38.44</v>
      </c>
      <c r="H46" s="11">
        <v>42.489999999999995</v>
      </c>
      <c r="I46" s="11">
        <v>45.559999999999995</v>
      </c>
      <c r="J46" s="11">
        <v>46.86</v>
      </c>
      <c r="K46" s="11">
        <v>48.239999999999995</v>
      </c>
      <c r="L46" s="11">
        <v>49.309999999999995</v>
      </c>
      <c r="M46" s="11"/>
      <c r="N46" s="6"/>
    </row>
    <row r="47" spans="4:14" ht="13.8" x14ac:dyDescent="0.25">
      <c r="D47" s="6">
        <v>13</v>
      </c>
      <c r="E47" s="11">
        <v>36.629999999999995</v>
      </c>
      <c r="F47" s="11">
        <v>37.659999999999997</v>
      </c>
      <c r="G47" s="11">
        <v>40.89</v>
      </c>
      <c r="H47" s="11">
        <v>44.97</v>
      </c>
      <c r="I47" s="11">
        <v>48.04</v>
      </c>
      <c r="J47" s="11">
        <v>49.32</v>
      </c>
      <c r="K47" s="11">
        <v>50.76</v>
      </c>
      <c r="L47" s="11">
        <v>51.879999999999995</v>
      </c>
      <c r="M47" s="11"/>
      <c r="N47" s="6"/>
    </row>
    <row r="48" spans="4:14" ht="13.8" x14ac:dyDescent="0.25">
      <c r="D48" s="6">
        <v>14</v>
      </c>
      <c r="E48" s="11">
        <v>38.629999999999995</v>
      </c>
      <c r="F48" s="11">
        <v>39.76</v>
      </c>
      <c r="G48" s="11">
        <v>43.35</v>
      </c>
      <c r="H48" s="11">
        <v>47.46</v>
      </c>
      <c r="I48" s="11">
        <v>50.55</v>
      </c>
      <c r="J48" s="11">
        <v>51.79</v>
      </c>
      <c r="K48" s="11">
        <v>53.28</v>
      </c>
      <c r="L48" s="11">
        <v>54.46</v>
      </c>
      <c r="M48" s="11"/>
      <c r="N48" s="6"/>
    </row>
    <row r="49" spans="4:14" ht="13.8" x14ac:dyDescent="0.25">
      <c r="D49" s="6">
        <v>15</v>
      </c>
      <c r="E49" s="11">
        <v>40.65</v>
      </c>
      <c r="F49" s="11">
        <v>41.879999999999995</v>
      </c>
      <c r="G49" s="11">
        <v>45.79</v>
      </c>
      <c r="H49" s="11">
        <v>49.919999999999995</v>
      </c>
      <c r="I49" s="11">
        <v>53.059999999999995</v>
      </c>
      <c r="J49" s="11">
        <v>54.26</v>
      </c>
      <c r="K49" s="11">
        <v>55.78</v>
      </c>
      <c r="L49" s="11">
        <v>57.04</v>
      </c>
      <c r="M49" s="11"/>
      <c r="N49" s="6"/>
    </row>
    <row r="50" spans="4:14" ht="13.8" x14ac:dyDescent="0.25">
      <c r="D50" s="6">
        <v>16</v>
      </c>
      <c r="E50" s="11">
        <v>42.64</v>
      </c>
      <c r="F50" s="11">
        <v>44</v>
      </c>
      <c r="G50" s="11">
        <v>48.239999999999995</v>
      </c>
      <c r="H50" s="11">
        <v>52.41</v>
      </c>
      <c r="I50" s="11">
        <v>55.559999999999995</v>
      </c>
      <c r="J50" s="11">
        <v>56.71</v>
      </c>
      <c r="K50" s="11">
        <v>58.3</v>
      </c>
      <c r="L50" s="11">
        <v>59.62</v>
      </c>
      <c r="M50" s="11"/>
      <c r="N50" s="6"/>
    </row>
    <row r="51" spans="4:14" ht="13.8" x14ac:dyDescent="0.25">
      <c r="D51" s="6">
        <v>17</v>
      </c>
      <c r="E51" s="11">
        <v>44.65</v>
      </c>
      <c r="F51" s="11">
        <v>46.089999999999996</v>
      </c>
      <c r="G51" s="11">
        <v>50.699999999999996</v>
      </c>
      <c r="H51" s="11">
        <v>54.9</v>
      </c>
      <c r="I51" s="11">
        <v>58.05</v>
      </c>
      <c r="J51" s="11">
        <v>59.18</v>
      </c>
      <c r="K51" s="11">
        <v>60.83</v>
      </c>
      <c r="L51" s="11">
        <v>62.199999999999996</v>
      </c>
      <c r="M51" s="11"/>
      <c r="N51" s="6"/>
    </row>
    <row r="52" spans="4:14" ht="13.8" x14ac:dyDescent="0.25">
      <c r="D52" s="6">
        <v>18</v>
      </c>
      <c r="E52" s="11">
        <v>46.65</v>
      </c>
      <c r="F52" s="11">
        <v>48.21</v>
      </c>
      <c r="G52" s="11">
        <v>53.14</v>
      </c>
      <c r="H52" s="11">
        <v>57.37</v>
      </c>
      <c r="I52" s="11">
        <v>60.559999999999995</v>
      </c>
      <c r="J52" s="11">
        <v>61.66</v>
      </c>
      <c r="K52" s="11">
        <v>63.339999999999996</v>
      </c>
      <c r="L52" s="11">
        <v>64.78</v>
      </c>
      <c r="M52" s="11"/>
      <c r="N52" s="6"/>
    </row>
    <row r="53" spans="4:14" ht="13.8" x14ac:dyDescent="0.25">
      <c r="D53" s="6">
        <v>19</v>
      </c>
      <c r="E53" s="11">
        <v>48.64</v>
      </c>
      <c r="F53" s="11">
        <v>50.33</v>
      </c>
      <c r="G53" s="11">
        <v>55.6</v>
      </c>
      <c r="H53" s="11">
        <v>59.86</v>
      </c>
      <c r="I53" s="11">
        <v>63.059999999999995</v>
      </c>
      <c r="J53" s="11">
        <v>64.12</v>
      </c>
      <c r="K53" s="11">
        <v>65.87</v>
      </c>
      <c r="L53" s="11">
        <v>67.350000000000009</v>
      </c>
      <c r="M53" s="11"/>
      <c r="N53" s="6"/>
    </row>
    <row r="54" spans="4:14" ht="13.8" x14ac:dyDescent="0.25">
      <c r="D54" s="12">
        <v>20</v>
      </c>
      <c r="E54" s="13">
        <v>50.65</v>
      </c>
      <c r="F54" s="13">
        <v>52.44</v>
      </c>
      <c r="G54" s="13">
        <v>58.04</v>
      </c>
      <c r="H54" s="13">
        <v>62.35</v>
      </c>
      <c r="I54" s="13">
        <v>65.56</v>
      </c>
      <c r="J54" s="13">
        <v>66.59</v>
      </c>
      <c r="K54" s="13">
        <v>68.37</v>
      </c>
      <c r="L54" s="13">
        <v>69.930000000000007</v>
      </c>
      <c r="M54" s="13"/>
      <c r="N54" s="6"/>
    </row>
    <row r="55" spans="4:14" ht="13.8" x14ac:dyDescent="0.25">
      <c r="D55" s="14" t="s">
        <v>22</v>
      </c>
      <c r="E55" s="15">
        <v>24.680000000000003</v>
      </c>
      <c r="F55" s="15">
        <v>24.680000000000003</v>
      </c>
      <c r="G55" s="15">
        <v>24.680000000000003</v>
      </c>
      <c r="H55" s="15">
        <v>24.680000000000003</v>
      </c>
      <c r="I55" s="15">
        <v>24.680000000000003</v>
      </c>
      <c r="J55" s="15">
        <v>24.680000000000003</v>
      </c>
      <c r="K55" s="15">
        <v>24.680000000000003</v>
      </c>
      <c r="L55" s="15">
        <v>24.680000000000003</v>
      </c>
      <c r="M55" s="15"/>
      <c r="N55" s="6"/>
    </row>
    <row r="56" spans="4:14" ht="13.8" x14ac:dyDescent="0.25">
      <c r="D56" s="16" t="s">
        <v>23</v>
      </c>
      <c r="E56" s="11">
        <v>24.930000000000003</v>
      </c>
      <c r="F56" s="11">
        <v>24.930000000000003</v>
      </c>
      <c r="G56" s="11">
        <v>24.930000000000003</v>
      </c>
      <c r="H56" s="11">
        <v>24.930000000000003</v>
      </c>
      <c r="I56" s="11">
        <v>24.930000000000003</v>
      </c>
      <c r="J56" s="11">
        <v>24.930000000000003</v>
      </c>
      <c r="K56" s="11">
        <v>24.930000000000003</v>
      </c>
      <c r="L56" s="11">
        <v>24.930000000000003</v>
      </c>
      <c r="M56" s="11"/>
      <c r="N56" s="6"/>
    </row>
    <row r="57" spans="4:14" ht="13.8" x14ac:dyDescent="0.25">
      <c r="D57" s="17" t="s">
        <v>24</v>
      </c>
      <c r="E57" s="13">
        <v>25.12</v>
      </c>
      <c r="F57" s="13">
        <v>25.12</v>
      </c>
      <c r="G57" s="13">
        <v>25.12</v>
      </c>
      <c r="H57" s="13">
        <v>25.12</v>
      </c>
      <c r="I57" s="13">
        <v>25.12</v>
      </c>
      <c r="J57" s="13">
        <v>25.12</v>
      </c>
      <c r="K57" s="13">
        <v>25.12</v>
      </c>
      <c r="L57" s="13">
        <v>25.12</v>
      </c>
      <c r="M57" s="13"/>
      <c r="N57" s="6"/>
    </row>
    <row r="59" spans="4:14" ht="13.8" x14ac:dyDescent="0.3">
      <c r="D59" s="19" t="s">
        <v>26</v>
      </c>
      <c r="E59" s="19"/>
      <c r="F59" s="19"/>
      <c r="G59" s="19"/>
      <c r="H59" s="19"/>
      <c r="I59" s="19"/>
      <c r="J59" s="19"/>
      <c r="K59" s="19"/>
      <c r="L59" s="19"/>
      <c r="M59" s="19"/>
      <c r="N59" s="19"/>
    </row>
    <row r="60" spans="4:14" ht="13.8" x14ac:dyDescent="0.25">
      <c r="D60" s="4" t="s">
        <v>16</v>
      </c>
      <c r="E60" s="5"/>
      <c r="F60" s="5"/>
      <c r="G60" s="5"/>
      <c r="H60" s="5"/>
      <c r="I60" s="5"/>
      <c r="J60" s="5"/>
      <c r="K60" s="5"/>
      <c r="L60" s="5"/>
      <c r="M60" s="5"/>
      <c r="N60" s="6"/>
    </row>
    <row r="61" spans="4:14" ht="13.8" x14ac:dyDescent="0.25">
      <c r="D61" s="20" t="s">
        <v>17</v>
      </c>
      <c r="E61" s="5"/>
      <c r="F61" s="22" t="s">
        <v>6</v>
      </c>
      <c r="G61" s="22"/>
      <c r="H61" s="22"/>
      <c r="I61" s="22"/>
      <c r="J61" s="22"/>
      <c r="K61" s="22"/>
      <c r="L61" s="22"/>
      <c r="M61" s="22"/>
      <c r="N61" s="6"/>
    </row>
    <row r="62" spans="4:14" ht="14.4" thickBot="1" x14ac:dyDescent="0.3">
      <c r="D62" s="21"/>
      <c r="E62" s="8">
        <v>1</v>
      </c>
      <c r="F62" s="8">
        <v>2</v>
      </c>
      <c r="G62" s="9">
        <v>3</v>
      </c>
      <c r="H62" s="9">
        <v>4</v>
      </c>
      <c r="I62" s="9">
        <v>5</v>
      </c>
      <c r="J62" s="9">
        <v>6</v>
      </c>
      <c r="K62" s="9">
        <v>7</v>
      </c>
      <c r="L62" s="9">
        <v>8</v>
      </c>
      <c r="M62" s="9">
        <v>9</v>
      </c>
      <c r="N62" s="6"/>
    </row>
    <row r="63" spans="4:14" ht="13.8" x14ac:dyDescent="0.25">
      <c r="D63" s="6">
        <v>0.5</v>
      </c>
      <c r="E63" s="11">
        <v>13.15</v>
      </c>
      <c r="F63" s="11">
        <v>13.15</v>
      </c>
      <c r="G63" s="11">
        <v>13.26</v>
      </c>
      <c r="H63" s="11">
        <v>13.629999999999999</v>
      </c>
      <c r="I63" s="11">
        <v>14.28</v>
      </c>
      <c r="J63" s="11">
        <v>14.73</v>
      </c>
      <c r="K63" s="11">
        <v>15.209999999999999</v>
      </c>
      <c r="L63" s="11">
        <v>15.799999999999999</v>
      </c>
      <c r="M63" s="11"/>
      <c r="N63" s="6"/>
    </row>
    <row r="64" spans="4:14" ht="13.8" x14ac:dyDescent="0.25">
      <c r="D64" s="6">
        <v>1</v>
      </c>
      <c r="E64" s="11">
        <v>13.58</v>
      </c>
      <c r="F64" s="11">
        <v>13.69</v>
      </c>
      <c r="G64" s="11">
        <v>14.04</v>
      </c>
      <c r="H64" s="11">
        <v>14.79</v>
      </c>
      <c r="I64" s="11">
        <v>15.78</v>
      </c>
      <c r="J64" s="11">
        <v>16.37</v>
      </c>
      <c r="K64" s="11">
        <v>16.920000000000002</v>
      </c>
      <c r="L64" s="11">
        <v>17.510000000000002</v>
      </c>
      <c r="M64" s="11"/>
      <c r="N64" s="6"/>
    </row>
    <row r="65" spans="4:14" ht="13.8" x14ac:dyDescent="0.25">
      <c r="D65" s="6">
        <v>2</v>
      </c>
      <c r="E65" s="11">
        <v>14.799999999999999</v>
      </c>
      <c r="F65" s="11">
        <v>14.99</v>
      </c>
      <c r="G65" s="11">
        <v>15.62</v>
      </c>
      <c r="H65" s="11">
        <v>16.73</v>
      </c>
      <c r="I65" s="11">
        <v>18.05</v>
      </c>
      <c r="J65" s="11">
        <v>18.790000000000003</v>
      </c>
      <c r="K65" s="11">
        <v>19.37</v>
      </c>
      <c r="L65" s="11">
        <v>19.98</v>
      </c>
      <c r="M65" s="11"/>
      <c r="N65" s="6"/>
    </row>
    <row r="66" spans="4:14" ht="13.8" x14ac:dyDescent="0.25">
      <c r="D66" s="6">
        <v>3</v>
      </c>
      <c r="E66" s="11">
        <v>16.400000000000002</v>
      </c>
      <c r="F66" s="11">
        <v>16.690000000000001</v>
      </c>
      <c r="G66" s="11">
        <v>17.560000000000002</v>
      </c>
      <c r="H66" s="11">
        <v>19.060000000000002</v>
      </c>
      <c r="I66" s="11">
        <v>20.71</v>
      </c>
      <c r="J66" s="11">
        <v>21.560000000000002</v>
      </c>
      <c r="K66" s="11">
        <v>22.21</v>
      </c>
      <c r="L66" s="11">
        <v>22.830000000000002</v>
      </c>
      <c r="M66" s="11"/>
      <c r="N66" s="6"/>
    </row>
    <row r="67" spans="4:14" ht="13.8" x14ac:dyDescent="0.25">
      <c r="D67" s="6">
        <v>4</v>
      </c>
      <c r="E67" s="11">
        <v>18.010000000000002</v>
      </c>
      <c r="F67" s="11">
        <v>18.400000000000002</v>
      </c>
      <c r="G67" s="11">
        <v>19.510000000000002</v>
      </c>
      <c r="H67" s="11">
        <v>21.380000000000003</v>
      </c>
      <c r="I67" s="11">
        <v>23.35</v>
      </c>
      <c r="J67" s="11">
        <v>24.360000000000003</v>
      </c>
      <c r="K67" s="11">
        <v>25.05</v>
      </c>
      <c r="L67" s="11">
        <v>25.69</v>
      </c>
      <c r="M67" s="11"/>
      <c r="N67" s="6"/>
    </row>
    <row r="68" spans="4:14" ht="13.8" x14ac:dyDescent="0.25">
      <c r="D68" s="6">
        <v>5</v>
      </c>
      <c r="E68" s="11">
        <v>19.600000000000001</v>
      </c>
      <c r="F68" s="11">
        <v>20.09</v>
      </c>
      <c r="G68" s="11">
        <v>21.46</v>
      </c>
      <c r="H68" s="11">
        <v>23.69</v>
      </c>
      <c r="I68" s="11">
        <v>26.01</v>
      </c>
      <c r="J68" s="11">
        <v>27.150000000000002</v>
      </c>
      <c r="K68" s="11">
        <v>27.900000000000002</v>
      </c>
      <c r="L68" s="11">
        <v>28.53</v>
      </c>
      <c r="M68" s="11"/>
      <c r="N68" s="6"/>
    </row>
    <row r="69" spans="4:14" ht="13.8" x14ac:dyDescent="0.25">
      <c r="D69" s="6">
        <v>6</v>
      </c>
      <c r="E69" s="11">
        <v>21.67</v>
      </c>
      <c r="F69" s="11">
        <v>22.17</v>
      </c>
      <c r="G69" s="11">
        <v>23.71</v>
      </c>
      <c r="H69" s="11">
        <v>26.26</v>
      </c>
      <c r="I69" s="11">
        <v>28.720000000000002</v>
      </c>
      <c r="J69" s="11">
        <v>29.900000000000002</v>
      </c>
      <c r="K69" s="11">
        <v>30.75</v>
      </c>
      <c r="L69" s="11">
        <v>31.44</v>
      </c>
      <c r="M69" s="11"/>
      <c r="N69" s="6"/>
    </row>
    <row r="70" spans="4:14" ht="13.8" x14ac:dyDescent="0.25">
      <c r="D70" s="6">
        <v>7</v>
      </c>
      <c r="E70" s="11">
        <v>23.71</v>
      </c>
      <c r="F70" s="11">
        <v>24.270000000000003</v>
      </c>
      <c r="G70" s="11">
        <v>25.96</v>
      </c>
      <c r="H70" s="11">
        <v>28.85</v>
      </c>
      <c r="I70" s="11">
        <v>31.41</v>
      </c>
      <c r="J70" s="11">
        <v>32.64</v>
      </c>
      <c r="K70" s="11">
        <v>33.58</v>
      </c>
      <c r="L70" s="11">
        <v>34.35</v>
      </c>
      <c r="M70" s="11"/>
      <c r="N70" s="6"/>
    </row>
    <row r="71" spans="4:14" ht="13.8" x14ac:dyDescent="0.25">
      <c r="D71" s="6">
        <v>8</v>
      </c>
      <c r="E71" s="11">
        <v>25.76</v>
      </c>
      <c r="F71" s="11">
        <v>26.35</v>
      </c>
      <c r="G71" s="11">
        <v>28.200000000000003</v>
      </c>
      <c r="H71" s="11">
        <v>31.42</v>
      </c>
      <c r="I71" s="11">
        <v>34.11</v>
      </c>
      <c r="J71" s="11">
        <v>35.379999999999995</v>
      </c>
      <c r="K71" s="11">
        <v>36.419999999999995</v>
      </c>
      <c r="L71" s="11">
        <v>37.239999999999995</v>
      </c>
      <c r="M71" s="11"/>
      <c r="N71" s="6"/>
    </row>
    <row r="72" spans="4:14" ht="13.8" x14ac:dyDescent="0.25">
      <c r="D72" s="6">
        <v>9</v>
      </c>
      <c r="E72" s="11">
        <v>27.810000000000002</v>
      </c>
      <c r="F72" s="11">
        <v>28.450000000000003</v>
      </c>
      <c r="G72" s="11">
        <v>30.44</v>
      </c>
      <c r="H72" s="11">
        <v>34</v>
      </c>
      <c r="I72" s="11">
        <v>36.82</v>
      </c>
      <c r="J72" s="11">
        <v>38.119999999999997</v>
      </c>
      <c r="K72" s="11">
        <v>39.26</v>
      </c>
      <c r="L72" s="11">
        <v>40.15</v>
      </c>
      <c r="M72" s="11"/>
      <c r="N72" s="6"/>
    </row>
    <row r="73" spans="4:14" ht="13.8" x14ac:dyDescent="0.25">
      <c r="D73" s="6">
        <v>10</v>
      </c>
      <c r="E73" s="11">
        <v>29.860000000000003</v>
      </c>
      <c r="F73" s="11">
        <v>30.540000000000003</v>
      </c>
      <c r="G73" s="11">
        <v>32.69</v>
      </c>
      <c r="H73" s="11">
        <v>36.57</v>
      </c>
      <c r="I73" s="11">
        <v>39.519999999999996</v>
      </c>
      <c r="J73" s="11">
        <v>40.86</v>
      </c>
      <c r="K73" s="11">
        <v>42.11</v>
      </c>
      <c r="L73" s="11">
        <v>43.04</v>
      </c>
      <c r="M73" s="11"/>
      <c r="N73" s="6"/>
    </row>
    <row r="74" spans="4:14" ht="13.8" x14ac:dyDescent="0.25">
      <c r="D74" s="6">
        <v>11</v>
      </c>
      <c r="E74" s="11">
        <v>31.810000000000002</v>
      </c>
      <c r="F74" s="11">
        <v>32.589999999999996</v>
      </c>
      <c r="G74" s="11">
        <v>35.07</v>
      </c>
      <c r="H74" s="11">
        <v>39</v>
      </c>
      <c r="I74" s="11">
        <v>41.97</v>
      </c>
      <c r="J74" s="11">
        <v>43.269999999999996</v>
      </c>
      <c r="K74" s="11">
        <v>44.559999999999995</v>
      </c>
      <c r="L74" s="11">
        <v>45.559999999999995</v>
      </c>
      <c r="M74" s="11"/>
      <c r="N74" s="6"/>
    </row>
    <row r="75" spans="4:14" ht="13.8" x14ac:dyDescent="0.25">
      <c r="D75" s="6">
        <v>12</v>
      </c>
      <c r="E75" s="11">
        <v>33.75</v>
      </c>
      <c r="F75" s="11">
        <v>34.65</v>
      </c>
      <c r="G75" s="11">
        <v>37.47</v>
      </c>
      <c r="H75" s="11">
        <v>41.419999999999995</v>
      </c>
      <c r="I75" s="11">
        <v>44.4</v>
      </c>
      <c r="J75" s="11">
        <v>45.669999999999995</v>
      </c>
      <c r="K75" s="11">
        <v>47.019999999999996</v>
      </c>
      <c r="L75" s="11">
        <v>48.07</v>
      </c>
      <c r="M75" s="11"/>
      <c r="N75" s="6"/>
    </row>
    <row r="76" spans="4:14" ht="13.8" x14ac:dyDescent="0.25">
      <c r="D76" s="6">
        <v>13</v>
      </c>
      <c r="E76" s="11">
        <v>35.71</v>
      </c>
      <c r="F76" s="11">
        <v>36.71</v>
      </c>
      <c r="G76" s="11">
        <v>39.85</v>
      </c>
      <c r="H76" s="11">
        <v>43.83</v>
      </c>
      <c r="I76" s="11">
        <v>46.83</v>
      </c>
      <c r="J76" s="11">
        <v>48.08</v>
      </c>
      <c r="K76" s="11">
        <v>49.48</v>
      </c>
      <c r="L76" s="11">
        <v>50.57</v>
      </c>
      <c r="M76" s="11"/>
      <c r="N76" s="6"/>
    </row>
    <row r="77" spans="4:14" ht="13.8" x14ac:dyDescent="0.25">
      <c r="D77" s="6">
        <v>14</v>
      </c>
      <c r="E77" s="11">
        <v>37.659999999999997</v>
      </c>
      <c r="F77" s="11">
        <v>38.76</v>
      </c>
      <c r="G77" s="11">
        <v>42.26</v>
      </c>
      <c r="H77" s="11">
        <v>46.26</v>
      </c>
      <c r="I77" s="11">
        <v>49.28</v>
      </c>
      <c r="J77" s="11">
        <v>50.48</v>
      </c>
      <c r="K77" s="11">
        <v>51.919999999999995</v>
      </c>
      <c r="L77" s="11">
        <v>53.089999999999996</v>
      </c>
      <c r="M77" s="11"/>
      <c r="N77" s="6"/>
    </row>
    <row r="78" spans="4:14" ht="13.8" x14ac:dyDescent="0.25">
      <c r="D78" s="6">
        <v>15</v>
      </c>
      <c r="E78" s="11">
        <v>39.619999999999997</v>
      </c>
      <c r="F78" s="11">
        <v>40.83</v>
      </c>
      <c r="G78" s="11">
        <v>44.64</v>
      </c>
      <c r="H78" s="11">
        <v>48.66</v>
      </c>
      <c r="I78" s="11">
        <v>51.72</v>
      </c>
      <c r="J78" s="11">
        <v>52.879999999999995</v>
      </c>
      <c r="K78" s="11">
        <v>54.37</v>
      </c>
      <c r="L78" s="11">
        <v>55.6</v>
      </c>
      <c r="M78" s="11"/>
      <c r="N78" s="6"/>
    </row>
    <row r="79" spans="4:14" ht="13.8" x14ac:dyDescent="0.25">
      <c r="D79" s="6">
        <v>16</v>
      </c>
      <c r="E79" s="11">
        <v>41.559999999999995</v>
      </c>
      <c r="F79" s="11">
        <v>42.879999999999995</v>
      </c>
      <c r="G79" s="11">
        <v>47.019999999999996</v>
      </c>
      <c r="H79" s="11">
        <v>51.08</v>
      </c>
      <c r="I79" s="11">
        <v>54.15</v>
      </c>
      <c r="J79" s="11">
        <v>55.28</v>
      </c>
      <c r="K79" s="11">
        <v>56.839999999999996</v>
      </c>
      <c r="L79" s="11">
        <v>58.12</v>
      </c>
      <c r="M79" s="11"/>
      <c r="N79" s="6"/>
    </row>
    <row r="80" spans="4:14" ht="13.8" x14ac:dyDescent="0.25">
      <c r="D80" s="6">
        <v>17</v>
      </c>
      <c r="E80" s="11">
        <v>43.51</v>
      </c>
      <c r="F80" s="11">
        <v>44.93</v>
      </c>
      <c r="G80" s="11">
        <v>49.419999999999995</v>
      </c>
      <c r="H80" s="11">
        <v>53.51</v>
      </c>
      <c r="I80" s="11">
        <v>56.589999999999996</v>
      </c>
      <c r="J80" s="11">
        <v>57.68</v>
      </c>
      <c r="K80" s="11">
        <v>59.29</v>
      </c>
      <c r="L80" s="11">
        <v>60.63</v>
      </c>
      <c r="M80" s="11"/>
      <c r="N80" s="6"/>
    </row>
    <row r="81" spans="4:14" ht="13.8" x14ac:dyDescent="0.25">
      <c r="D81" s="6">
        <v>18</v>
      </c>
      <c r="E81" s="11">
        <v>45.46</v>
      </c>
      <c r="F81" s="11">
        <v>46.989999999999995</v>
      </c>
      <c r="G81" s="11">
        <v>51.8</v>
      </c>
      <c r="H81" s="11">
        <v>55.93</v>
      </c>
      <c r="I81" s="11">
        <v>59.03</v>
      </c>
      <c r="J81" s="11">
        <v>60.1</v>
      </c>
      <c r="K81" s="11">
        <v>61.739999999999995</v>
      </c>
      <c r="L81" s="11">
        <v>63.14</v>
      </c>
      <c r="M81" s="11"/>
      <c r="N81" s="6"/>
    </row>
    <row r="82" spans="4:14" ht="13.8" x14ac:dyDescent="0.25">
      <c r="D82" s="6">
        <v>19</v>
      </c>
      <c r="E82" s="11">
        <v>47.419999999999995</v>
      </c>
      <c r="F82" s="11">
        <v>49.059999999999995</v>
      </c>
      <c r="G82" s="11">
        <v>54.199999999999996</v>
      </c>
      <c r="H82" s="11">
        <v>58.35</v>
      </c>
      <c r="I82" s="11">
        <v>61.47</v>
      </c>
      <c r="J82" s="11">
        <v>62.5</v>
      </c>
      <c r="K82" s="11">
        <v>64.2</v>
      </c>
      <c r="L82" s="11">
        <v>65.650000000000006</v>
      </c>
      <c r="M82" s="11"/>
      <c r="N82" s="6"/>
    </row>
    <row r="83" spans="4:14" ht="13.8" x14ac:dyDescent="0.25">
      <c r="D83" s="12">
        <v>20</v>
      </c>
      <c r="E83" s="13">
        <v>49.37</v>
      </c>
      <c r="F83" s="13">
        <v>51.11</v>
      </c>
      <c r="G83" s="13">
        <v>56.58</v>
      </c>
      <c r="H83" s="13">
        <v>60.769999999999996</v>
      </c>
      <c r="I83" s="13">
        <v>63.91</v>
      </c>
      <c r="J83" s="13">
        <v>64.910000000000011</v>
      </c>
      <c r="K83" s="13">
        <v>66.650000000000006</v>
      </c>
      <c r="L83" s="13">
        <v>68.17</v>
      </c>
      <c r="M83" s="13"/>
      <c r="N83" s="6"/>
    </row>
    <row r="84" spans="4:14" ht="13.8" x14ac:dyDescent="0.25">
      <c r="D84" s="14" t="s">
        <v>22</v>
      </c>
      <c r="E84" s="15">
        <v>24.16</v>
      </c>
      <c r="F84" s="15">
        <v>24.16</v>
      </c>
      <c r="G84" s="15">
        <v>24.16</v>
      </c>
      <c r="H84" s="15">
        <v>24.16</v>
      </c>
      <c r="I84" s="15">
        <v>24.16</v>
      </c>
      <c r="J84" s="15">
        <v>24.16</v>
      </c>
      <c r="K84" s="15">
        <v>24.16</v>
      </c>
      <c r="L84" s="15">
        <v>24.16</v>
      </c>
      <c r="M84" s="15"/>
      <c r="N84" s="6"/>
    </row>
    <row r="85" spans="4:14" ht="13.8" x14ac:dyDescent="0.25">
      <c r="D85" s="16" t="s">
        <v>23</v>
      </c>
      <c r="E85" s="11">
        <v>24.41</v>
      </c>
      <c r="F85" s="11">
        <v>24.41</v>
      </c>
      <c r="G85" s="11">
        <v>24.41</v>
      </c>
      <c r="H85" s="11">
        <v>24.41</v>
      </c>
      <c r="I85" s="11">
        <v>24.41</v>
      </c>
      <c r="J85" s="11">
        <v>24.41</v>
      </c>
      <c r="K85" s="11">
        <v>24.41</v>
      </c>
      <c r="L85" s="11">
        <v>24.41</v>
      </c>
      <c r="M85" s="11"/>
      <c r="N85" s="6"/>
    </row>
    <row r="86" spans="4:14" ht="13.8" x14ac:dyDescent="0.25">
      <c r="D86" s="17" t="s">
        <v>24</v>
      </c>
      <c r="E86" s="13">
        <v>24.6</v>
      </c>
      <c r="F86" s="13">
        <v>24.6</v>
      </c>
      <c r="G86" s="13">
        <v>24.6</v>
      </c>
      <c r="H86" s="13">
        <v>24.6</v>
      </c>
      <c r="I86" s="13">
        <v>24.6</v>
      </c>
      <c r="J86" s="13">
        <v>24.6</v>
      </c>
      <c r="K86" s="13">
        <v>24.6</v>
      </c>
      <c r="L86" s="13">
        <v>24.6</v>
      </c>
      <c r="M86" s="13"/>
      <c r="N86" s="6"/>
    </row>
  </sheetData>
  <mergeCells count="9">
    <mergeCell ref="D59:N59"/>
    <mergeCell ref="D61:D62"/>
    <mergeCell ref="F61:M61"/>
    <mergeCell ref="D1:N1"/>
    <mergeCell ref="D3:D4"/>
    <mergeCell ref="F3:M3"/>
    <mergeCell ref="D30:N30"/>
    <mergeCell ref="D32:D33"/>
    <mergeCell ref="F32:M3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9369A-EE37-4D15-A55F-E9D78AEA4552}">
  <sheetPr codeName="Sheet4">
    <tabColor theme="0"/>
  </sheetPr>
  <dimension ref="A1:N110"/>
  <sheetViews>
    <sheetView showGridLines="0" topLeftCell="A21" workbookViewId="0">
      <selection activeCell="B25" sqref="B25"/>
    </sheetView>
  </sheetViews>
  <sheetFormatPr defaultColWidth="9.109375" defaultRowHeight="13.2" x14ac:dyDescent="0.25"/>
  <cols>
    <col min="1" max="1" width="35.6640625" style="3" bestFit="1" customWidth="1"/>
    <col min="2" max="2" width="38.44140625" style="3" bestFit="1" customWidth="1"/>
    <col min="3" max="3" width="9.109375" style="3"/>
    <col min="4" max="4" width="30.6640625" style="3" customWidth="1"/>
    <col min="5" max="16384" width="9.109375" style="3"/>
  </cols>
  <sheetData>
    <row r="1" spans="1:14" ht="13.8" x14ac:dyDescent="0.3">
      <c r="A1" s="2"/>
      <c r="D1" s="19" t="s">
        <v>15</v>
      </c>
      <c r="E1" s="19"/>
      <c r="F1" s="19"/>
      <c r="G1" s="19"/>
      <c r="H1" s="19"/>
      <c r="I1" s="19"/>
      <c r="J1" s="19"/>
      <c r="K1" s="19"/>
      <c r="L1" s="19"/>
      <c r="M1" s="19"/>
      <c r="N1" s="19"/>
    </row>
    <row r="2" spans="1:14" ht="13.8" x14ac:dyDescent="0.3">
      <c r="A2" s="2"/>
      <c r="B2" s="2"/>
      <c r="D2" s="4" t="s">
        <v>27</v>
      </c>
      <c r="E2" s="5"/>
      <c r="F2" s="5"/>
      <c r="G2" s="5"/>
      <c r="H2" s="5"/>
      <c r="I2" s="5"/>
      <c r="J2" s="5"/>
      <c r="K2" s="5"/>
      <c r="L2" s="5"/>
      <c r="M2" s="5"/>
      <c r="N2" s="6"/>
    </row>
    <row r="3" spans="1:14" ht="13.8" x14ac:dyDescent="0.3">
      <c r="A3" s="2"/>
      <c r="D3" s="20" t="s">
        <v>17</v>
      </c>
      <c r="E3" s="5"/>
      <c r="F3" s="22" t="s">
        <v>6</v>
      </c>
      <c r="G3" s="22"/>
      <c r="H3" s="22"/>
      <c r="I3" s="22"/>
      <c r="J3" s="22"/>
      <c r="K3" s="22"/>
      <c r="L3" s="22"/>
      <c r="M3" s="22"/>
      <c r="N3" s="6"/>
    </row>
    <row r="4" spans="1:14" ht="14.4" thickBot="1" x14ac:dyDescent="0.3">
      <c r="A4" s="3" t="s">
        <v>18</v>
      </c>
      <c r="B4" s="7" t="s">
        <v>19</v>
      </c>
      <c r="D4" s="21"/>
      <c r="E4" s="8">
        <v>1</v>
      </c>
      <c r="F4" s="8">
        <v>2</v>
      </c>
      <c r="G4" s="9">
        <v>3</v>
      </c>
      <c r="H4" s="9">
        <v>4</v>
      </c>
      <c r="I4" s="9">
        <v>5</v>
      </c>
      <c r="J4" s="9">
        <v>6</v>
      </c>
      <c r="K4" s="9">
        <v>7</v>
      </c>
      <c r="L4" s="9">
        <v>8</v>
      </c>
      <c r="M4" s="9">
        <v>9</v>
      </c>
      <c r="N4" s="6"/>
    </row>
    <row r="5" spans="1:14" ht="13.8" x14ac:dyDescent="0.25">
      <c r="A5" s="3" t="s">
        <v>20</v>
      </c>
      <c r="B5" s="10">
        <v>45701</v>
      </c>
      <c r="D5" s="6">
        <v>0.5</v>
      </c>
      <c r="E5" s="11">
        <v>6.95</v>
      </c>
      <c r="F5" s="11">
        <v>6.97</v>
      </c>
      <c r="G5" s="11">
        <v>6.97</v>
      </c>
      <c r="H5" s="11">
        <v>6.97</v>
      </c>
      <c r="I5" s="11">
        <v>6.97</v>
      </c>
      <c r="J5" s="11">
        <v>6.97</v>
      </c>
      <c r="K5" s="11">
        <v>7.8999999999999995</v>
      </c>
      <c r="L5" s="11">
        <v>8.32</v>
      </c>
      <c r="M5" s="11"/>
      <c r="N5" s="6"/>
    </row>
    <row r="6" spans="1:14" ht="13.8" x14ac:dyDescent="0.25">
      <c r="A6" s="3" t="s">
        <v>21</v>
      </c>
      <c r="B6" s="10">
        <v>46065</v>
      </c>
      <c r="D6" s="6">
        <v>1</v>
      </c>
      <c r="E6" s="11">
        <v>6.95</v>
      </c>
      <c r="F6" s="11">
        <v>6.97</v>
      </c>
      <c r="G6" s="11">
        <v>6.97</v>
      </c>
      <c r="H6" s="11">
        <v>6.97</v>
      </c>
      <c r="I6" s="11">
        <v>7.1099999999999994</v>
      </c>
      <c r="J6" s="11">
        <v>7.3599999999999994</v>
      </c>
      <c r="K6" s="11">
        <v>8.51</v>
      </c>
      <c r="L6" s="11">
        <v>8.9700000000000006</v>
      </c>
      <c r="M6" s="11"/>
      <c r="N6" s="6"/>
    </row>
    <row r="7" spans="1:14" ht="13.8" x14ac:dyDescent="0.25">
      <c r="D7" s="6">
        <v>2</v>
      </c>
      <c r="E7" s="11">
        <v>6.97</v>
      </c>
      <c r="F7" s="11">
        <v>6.97</v>
      </c>
      <c r="G7" s="11">
        <v>6.97</v>
      </c>
      <c r="H7" s="11">
        <v>7.09</v>
      </c>
      <c r="I7" s="11">
        <v>8.1199999999999992</v>
      </c>
      <c r="J7" s="11">
        <v>9.17</v>
      </c>
      <c r="K7" s="11">
        <v>10.76</v>
      </c>
      <c r="L7" s="11">
        <v>11.61</v>
      </c>
      <c r="M7" s="11"/>
      <c r="N7" s="6"/>
    </row>
    <row r="8" spans="1:14" ht="13.8" x14ac:dyDescent="0.25">
      <c r="D8" s="6">
        <v>3</v>
      </c>
      <c r="E8" s="11">
        <v>7.0699999999999994</v>
      </c>
      <c r="F8" s="11">
        <v>7.1499999999999995</v>
      </c>
      <c r="G8" s="11">
        <v>7.2799999999999994</v>
      </c>
      <c r="H8" s="11">
        <v>7.3599999999999994</v>
      </c>
      <c r="I8" s="11">
        <v>9.82</v>
      </c>
      <c r="J8" s="11">
        <v>12.66</v>
      </c>
      <c r="K8" s="11">
        <v>14.47</v>
      </c>
      <c r="L8" s="11">
        <v>16.46</v>
      </c>
      <c r="M8" s="11"/>
      <c r="N8" s="6"/>
    </row>
    <row r="9" spans="1:14" ht="13.8" x14ac:dyDescent="0.25">
      <c r="D9" s="6">
        <v>4</v>
      </c>
      <c r="E9" s="11">
        <v>7.2299999999999995</v>
      </c>
      <c r="F9" s="11">
        <v>7.33</v>
      </c>
      <c r="G9" s="11">
        <v>7.35</v>
      </c>
      <c r="H9" s="11">
        <v>7.3999999999999995</v>
      </c>
      <c r="I9" s="11">
        <v>11.51</v>
      </c>
      <c r="J9" s="11">
        <v>14.65</v>
      </c>
      <c r="K9" s="11">
        <v>17.180000000000003</v>
      </c>
      <c r="L9" s="11">
        <v>19.260000000000002</v>
      </c>
      <c r="M9" s="11"/>
      <c r="N9" s="6"/>
    </row>
    <row r="10" spans="1:14" ht="13.8" x14ac:dyDescent="0.25">
      <c r="D10" s="6">
        <v>5</v>
      </c>
      <c r="E10" s="11">
        <v>7.2299999999999995</v>
      </c>
      <c r="F10" s="11">
        <v>7.37</v>
      </c>
      <c r="G10" s="11">
        <v>7.3999999999999995</v>
      </c>
      <c r="H10" s="11">
        <v>7.6099999999999994</v>
      </c>
      <c r="I10" s="11">
        <v>12.709999999999999</v>
      </c>
      <c r="J10" s="11">
        <v>16.05</v>
      </c>
      <c r="K10" s="11">
        <v>19.53</v>
      </c>
      <c r="L10" s="11">
        <v>21.970000000000002</v>
      </c>
      <c r="M10" s="11"/>
      <c r="N10" s="6"/>
    </row>
    <row r="11" spans="1:14" ht="13.8" x14ac:dyDescent="0.25">
      <c r="D11" s="6">
        <v>6</v>
      </c>
      <c r="E11" s="11">
        <v>7.33</v>
      </c>
      <c r="F11" s="11">
        <v>7.84</v>
      </c>
      <c r="G11" s="11">
        <v>7.9799999999999995</v>
      </c>
      <c r="H11" s="11">
        <v>8.06</v>
      </c>
      <c r="I11" s="11">
        <v>14.18</v>
      </c>
      <c r="J11" s="11">
        <v>18.040000000000003</v>
      </c>
      <c r="K11" s="11">
        <v>22.560000000000002</v>
      </c>
      <c r="L11" s="11">
        <v>25.330000000000002</v>
      </c>
      <c r="M11" s="11"/>
      <c r="N11" s="6"/>
    </row>
    <row r="12" spans="1:14" ht="13.8" x14ac:dyDescent="0.25">
      <c r="D12" s="6">
        <v>7</v>
      </c>
      <c r="E12" s="11">
        <v>8.4499999999999993</v>
      </c>
      <c r="F12" s="11">
        <v>8.5399999999999991</v>
      </c>
      <c r="G12" s="11">
        <v>9.64</v>
      </c>
      <c r="H12" s="11">
        <v>10.15</v>
      </c>
      <c r="I12" s="11">
        <v>15.129999999999999</v>
      </c>
      <c r="J12" s="11">
        <v>19.430000000000003</v>
      </c>
      <c r="K12" s="11">
        <v>24.430000000000003</v>
      </c>
      <c r="L12" s="11">
        <v>27.48</v>
      </c>
      <c r="M12" s="11"/>
      <c r="N12" s="6"/>
    </row>
    <row r="13" spans="1:14" ht="13.8" x14ac:dyDescent="0.25">
      <c r="D13" s="6">
        <v>8</v>
      </c>
      <c r="E13" s="11">
        <v>8.7200000000000006</v>
      </c>
      <c r="F13" s="11">
        <v>8.75</v>
      </c>
      <c r="G13" s="11">
        <v>10.119999999999999</v>
      </c>
      <c r="H13" s="11">
        <v>11.19</v>
      </c>
      <c r="I13" s="11">
        <v>16.05</v>
      </c>
      <c r="J13" s="11">
        <v>20.76</v>
      </c>
      <c r="K13" s="11">
        <v>26.21</v>
      </c>
      <c r="L13" s="11">
        <v>29.53</v>
      </c>
      <c r="M13" s="11"/>
      <c r="N13" s="6"/>
    </row>
    <row r="14" spans="1:14" ht="13.8" x14ac:dyDescent="0.25">
      <c r="D14" s="6">
        <v>9</v>
      </c>
      <c r="E14" s="11">
        <v>9.14</v>
      </c>
      <c r="F14" s="11">
        <v>9.32</v>
      </c>
      <c r="G14" s="11">
        <v>10.56</v>
      </c>
      <c r="H14" s="11">
        <v>11.73</v>
      </c>
      <c r="I14" s="11">
        <v>16.96</v>
      </c>
      <c r="J14" s="11">
        <v>22.03</v>
      </c>
      <c r="K14" s="11">
        <v>27.930000000000003</v>
      </c>
      <c r="L14" s="11">
        <v>31.540000000000003</v>
      </c>
      <c r="M14" s="11"/>
      <c r="N14" s="6"/>
    </row>
    <row r="15" spans="1:14" ht="13.8" x14ac:dyDescent="0.25">
      <c r="D15" s="6">
        <v>10</v>
      </c>
      <c r="E15" s="11">
        <v>9.48</v>
      </c>
      <c r="F15" s="11">
        <v>9.81</v>
      </c>
      <c r="G15" s="11">
        <v>11.049999999999999</v>
      </c>
      <c r="H15" s="11">
        <v>12.08</v>
      </c>
      <c r="I15" s="11">
        <v>17.84</v>
      </c>
      <c r="J15" s="11">
        <v>23.3</v>
      </c>
      <c r="K15" s="11">
        <v>29.630000000000003</v>
      </c>
      <c r="L15" s="11">
        <v>33.379999999999995</v>
      </c>
      <c r="M15" s="11"/>
      <c r="N15" s="6"/>
    </row>
    <row r="16" spans="1:14" ht="13.8" x14ac:dyDescent="0.25">
      <c r="D16" s="6">
        <v>11</v>
      </c>
      <c r="E16" s="11">
        <v>10.18</v>
      </c>
      <c r="F16" s="11">
        <v>10.92</v>
      </c>
      <c r="G16" s="11">
        <v>11.75</v>
      </c>
      <c r="H16" s="11">
        <v>13.15</v>
      </c>
      <c r="I16" s="11">
        <v>18.990000000000002</v>
      </c>
      <c r="J16" s="11">
        <v>23.35</v>
      </c>
      <c r="K16" s="11">
        <v>29.69</v>
      </c>
      <c r="L16" s="11">
        <v>33.379999999999995</v>
      </c>
      <c r="M16" s="11"/>
      <c r="N16" s="6"/>
    </row>
    <row r="17" spans="4:14" ht="13.8" x14ac:dyDescent="0.25">
      <c r="D17" s="6">
        <v>12</v>
      </c>
      <c r="E17" s="11">
        <v>10.53</v>
      </c>
      <c r="F17" s="11">
        <v>11.33</v>
      </c>
      <c r="G17" s="11">
        <v>12.25</v>
      </c>
      <c r="H17" s="11">
        <v>13.76</v>
      </c>
      <c r="I17" s="11">
        <v>20.09</v>
      </c>
      <c r="J17" s="11">
        <v>24.700000000000003</v>
      </c>
      <c r="K17" s="11">
        <v>31.400000000000002</v>
      </c>
      <c r="L17" s="11">
        <v>35.33</v>
      </c>
      <c r="M17" s="11"/>
      <c r="N17" s="6"/>
    </row>
    <row r="18" spans="4:14" ht="13.8" x14ac:dyDescent="0.25">
      <c r="D18" s="6">
        <v>13</v>
      </c>
      <c r="E18" s="11">
        <v>10.91</v>
      </c>
      <c r="F18" s="11">
        <v>11.77</v>
      </c>
      <c r="G18" s="11">
        <v>12.77</v>
      </c>
      <c r="H18" s="11">
        <v>14.209999999999999</v>
      </c>
      <c r="I18" s="11">
        <v>21.19</v>
      </c>
      <c r="J18" s="11">
        <v>26.05</v>
      </c>
      <c r="K18" s="11">
        <v>33.129999999999995</v>
      </c>
      <c r="L18" s="11">
        <v>37.32</v>
      </c>
      <c r="M18" s="11"/>
      <c r="N18" s="6"/>
    </row>
    <row r="19" spans="4:14" ht="13.8" x14ac:dyDescent="0.25">
      <c r="D19" s="6">
        <v>14</v>
      </c>
      <c r="E19" s="11">
        <v>11.32</v>
      </c>
      <c r="F19" s="11">
        <v>12.24</v>
      </c>
      <c r="G19" s="11">
        <v>13.28</v>
      </c>
      <c r="H19" s="11">
        <v>14.459999999999999</v>
      </c>
      <c r="I19" s="11">
        <v>22.3</v>
      </c>
      <c r="J19" s="11">
        <v>27.360000000000003</v>
      </c>
      <c r="K19" s="11">
        <v>34.879999999999995</v>
      </c>
      <c r="L19" s="11">
        <v>39.32</v>
      </c>
      <c r="M19" s="11"/>
      <c r="N19" s="6"/>
    </row>
    <row r="20" spans="4:14" ht="13.8" x14ac:dyDescent="0.25">
      <c r="D20" s="6">
        <v>15</v>
      </c>
      <c r="E20" s="11">
        <v>11.629999999999999</v>
      </c>
      <c r="F20" s="11">
        <v>12.62</v>
      </c>
      <c r="G20" s="11">
        <v>13.78</v>
      </c>
      <c r="H20" s="11">
        <v>14.879999999999999</v>
      </c>
      <c r="I20" s="11">
        <v>23.400000000000002</v>
      </c>
      <c r="J20" s="11">
        <v>28.64</v>
      </c>
      <c r="K20" s="11">
        <v>36.619999999999997</v>
      </c>
      <c r="L20" s="11">
        <v>41.33</v>
      </c>
      <c r="M20" s="11"/>
      <c r="N20" s="6"/>
    </row>
    <row r="21" spans="4:14" ht="13.8" x14ac:dyDescent="0.25">
      <c r="D21" s="6">
        <v>16</v>
      </c>
      <c r="E21" s="11">
        <v>12.09</v>
      </c>
      <c r="F21" s="11">
        <v>13.14</v>
      </c>
      <c r="G21" s="11">
        <v>14.29</v>
      </c>
      <c r="H21" s="11">
        <v>15.129999999999999</v>
      </c>
      <c r="I21" s="11">
        <v>24.490000000000002</v>
      </c>
      <c r="J21" s="11">
        <v>29.94</v>
      </c>
      <c r="K21" s="11">
        <v>38.35</v>
      </c>
      <c r="L21" s="11">
        <v>43.32</v>
      </c>
      <c r="M21" s="11"/>
      <c r="N21" s="6"/>
    </row>
    <row r="22" spans="4:14" ht="13.8" x14ac:dyDescent="0.25">
      <c r="D22" s="6">
        <v>17</v>
      </c>
      <c r="E22" s="11">
        <v>12.45</v>
      </c>
      <c r="F22" s="11">
        <v>13.57</v>
      </c>
      <c r="G22" s="11">
        <v>14.7</v>
      </c>
      <c r="H22" s="11">
        <v>15.53</v>
      </c>
      <c r="I22" s="11">
        <v>25.59</v>
      </c>
      <c r="J22" s="11">
        <v>31.220000000000002</v>
      </c>
      <c r="K22" s="11">
        <v>40.1</v>
      </c>
      <c r="L22" s="11">
        <v>45.309999999999995</v>
      </c>
      <c r="M22" s="11"/>
      <c r="N22" s="6"/>
    </row>
    <row r="23" spans="4:14" ht="13.8" x14ac:dyDescent="0.25">
      <c r="D23" s="6">
        <v>18</v>
      </c>
      <c r="E23" s="11">
        <v>12.86</v>
      </c>
      <c r="F23" s="11">
        <v>13.76</v>
      </c>
      <c r="G23" s="11">
        <v>14.93</v>
      </c>
      <c r="H23" s="11">
        <v>15.799999999999999</v>
      </c>
      <c r="I23" s="11">
        <v>26.680000000000003</v>
      </c>
      <c r="J23" s="11">
        <v>32.519999999999996</v>
      </c>
      <c r="K23" s="11">
        <v>41.839999999999996</v>
      </c>
      <c r="L23" s="11">
        <v>47.3</v>
      </c>
      <c r="M23" s="11"/>
      <c r="N23" s="6"/>
    </row>
    <row r="24" spans="4:14" ht="13.8" x14ac:dyDescent="0.25">
      <c r="D24" s="6">
        <v>19</v>
      </c>
      <c r="E24" s="11">
        <v>13.22</v>
      </c>
      <c r="F24" s="11">
        <v>14.08</v>
      </c>
      <c r="G24" s="11">
        <v>15.42</v>
      </c>
      <c r="H24" s="11">
        <v>16.290000000000003</v>
      </c>
      <c r="I24" s="11">
        <v>27.790000000000003</v>
      </c>
      <c r="J24" s="11">
        <v>33.82</v>
      </c>
      <c r="K24" s="11">
        <v>43.58</v>
      </c>
      <c r="L24" s="11">
        <v>49.29</v>
      </c>
      <c r="M24" s="11"/>
      <c r="N24" s="6"/>
    </row>
    <row r="25" spans="4:14" ht="13.8" x14ac:dyDescent="0.25">
      <c r="D25" s="12">
        <v>20</v>
      </c>
      <c r="E25" s="13">
        <v>13.56</v>
      </c>
      <c r="F25" s="13">
        <v>14.35</v>
      </c>
      <c r="G25" s="13">
        <v>15.74</v>
      </c>
      <c r="H25" s="13">
        <v>16.690000000000001</v>
      </c>
      <c r="I25" s="13">
        <v>28.87</v>
      </c>
      <c r="J25" s="13">
        <v>35.11</v>
      </c>
      <c r="K25" s="13">
        <v>45.32</v>
      </c>
      <c r="L25" s="13">
        <v>51.3</v>
      </c>
      <c r="M25" s="13"/>
      <c r="N25" s="6"/>
    </row>
    <row r="26" spans="4:14" ht="13.8" x14ac:dyDescent="0.25">
      <c r="D26" s="14" t="s">
        <v>22</v>
      </c>
      <c r="E26" s="15">
        <v>7.6499999999999995</v>
      </c>
      <c r="F26" s="15">
        <v>7.6499999999999995</v>
      </c>
      <c r="G26" s="15">
        <v>7.6499999999999995</v>
      </c>
      <c r="H26" s="15">
        <v>7.6499999999999995</v>
      </c>
      <c r="I26" s="15">
        <v>7.6499999999999995</v>
      </c>
      <c r="J26" s="15">
        <v>7.6499999999999995</v>
      </c>
      <c r="K26" s="15">
        <v>7.6499999999999995</v>
      </c>
      <c r="L26" s="15">
        <v>7.6499999999999995</v>
      </c>
      <c r="M26" s="15"/>
      <c r="N26" s="6"/>
    </row>
    <row r="27" spans="4:14" ht="13.8" x14ac:dyDescent="0.25">
      <c r="D27" s="16" t="s">
        <v>23</v>
      </c>
      <c r="E27" s="11">
        <v>7.95</v>
      </c>
      <c r="F27" s="11">
        <v>7.95</v>
      </c>
      <c r="G27" s="11">
        <v>7.95</v>
      </c>
      <c r="H27" s="11">
        <v>7.95</v>
      </c>
      <c r="I27" s="11">
        <v>7.95</v>
      </c>
      <c r="J27" s="11">
        <v>7.95</v>
      </c>
      <c r="K27" s="11">
        <v>7.95</v>
      </c>
      <c r="L27" s="11">
        <v>7.95</v>
      </c>
      <c r="M27" s="11"/>
      <c r="N27" s="6"/>
    </row>
    <row r="28" spans="4:14" ht="13.8" x14ac:dyDescent="0.25">
      <c r="D28" s="16" t="s">
        <v>24</v>
      </c>
      <c r="E28" s="11">
        <v>8.36</v>
      </c>
      <c r="F28" s="11">
        <v>8.36</v>
      </c>
      <c r="G28" s="11">
        <v>8.36</v>
      </c>
      <c r="H28" s="11">
        <v>8.36</v>
      </c>
      <c r="I28" s="11">
        <v>8.36</v>
      </c>
      <c r="J28" s="11">
        <v>8.36</v>
      </c>
      <c r="K28" s="11">
        <v>8.36</v>
      </c>
      <c r="L28" s="11">
        <v>8.36</v>
      </c>
      <c r="M28" s="11"/>
      <c r="N28" s="6"/>
    </row>
    <row r="29" spans="4:14" ht="13.8" x14ac:dyDescent="0.25">
      <c r="D29" s="16" t="s">
        <v>28</v>
      </c>
      <c r="E29" s="11">
        <v>8.16</v>
      </c>
      <c r="F29" s="11">
        <v>8.16</v>
      </c>
      <c r="G29" s="11">
        <v>8.16</v>
      </c>
      <c r="H29" s="11">
        <v>8.16</v>
      </c>
      <c r="I29" s="11">
        <v>8.16</v>
      </c>
      <c r="J29" s="11">
        <v>8.16</v>
      </c>
      <c r="K29" s="11">
        <v>8.16</v>
      </c>
      <c r="L29" s="11">
        <v>8.16</v>
      </c>
      <c r="M29" s="11"/>
      <c r="N29" s="6"/>
    </row>
    <row r="30" spans="4:14" ht="13.8" x14ac:dyDescent="0.25">
      <c r="D30" s="16" t="s">
        <v>29</v>
      </c>
      <c r="E30" s="11">
        <v>14.09</v>
      </c>
      <c r="F30" s="11">
        <v>14.09</v>
      </c>
      <c r="G30" s="11">
        <v>14.09</v>
      </c>
      <c r="H30" s="11">
        <v>14.09</v>
      </c>
      <c r="I30" s="11">
        <v>14.09</v>
      </c>
      <c r="J30" s="11">
        <v>14.09</v>
      </c>
      <c r="K30" s="11">
        <v>14.09</v>
      </c>
      <c r="L30" s="11">
        <v>14.09</v>
      </c>
      <c r="M30" s="11"/>
      <c r="N30" s="6"/>
    </row>
    <row r="31" spans="4:14" ht="13.8" x14ac:dyDescent="0.25">
      <c r="D31" s="17" t="s">
        <v>30</v>
      </c>
      <c r="E31" s="13">
        <v>19.07</v>
      </c>
      <c r="F31" s="13">
        <v>19.07</v>
      </c>
      <c r="G31" s="13">
        <v>19.07</v>
      </c>
      <c r="H31" s="13">
        <v>19.07</v>
      </c>
      <c r="I31" s="13">
        <v>19.07</v>
      </c>
      <c r="J31" s="13">
        <v>19.07</v>
      </c>
      <c r="K31" s="13">
        <v>19.07</v>
      </c>
      <c r="L31" s="13">
        <v>19.07</v>
      </c>
      <c r="M31" s="13"/>
      <c r="N31" s="6"/>
    </row>
    <row r="32" spans="4:14" ht="13.8" x14ac:dyDescent="0.25">
      <c r="D32" s="18" t="s">
        <v>31</v>
      </c>
      <c r="E32" s="15">
        <v>6.95</v>
      </c>
      <c r="F32" s="15">
        <v>6.97</v>
      </c>
      <c r="G32" s="15">
        <v>6.97</v>
      </c>
      <c r="H32" s="15">
        <v>6.9799999999999995</v>
      </c>
      <c r="I32" s="15">
        <v>7.3599999999999994</v>
      </c>
      <c r="J32" s="15">
        <v>7.8199999999999994</v>
      </c>
      <c r="K32" s="15">
        <v>8.44</v>
      </c>
      <c r="L32" s="15">
        <v>8.9599999999999991</v>
      </c>
      <c r="M32" s="15"/>
      <c r="N32" s="6"/>
    </row>
    <row r="33" spans="4:14" ht="13.8" x14ac:dyDescent="0.25">
      <c r="D33" s="6" t="s">
        <v>32</v>
      </c>
      <c r="E33" s="11">
        <v>6.97</v>
      </c>
      <c r="F33" s="11">
        <v>6.97</v>
      </c>
      <c r="G33" s="11">
        <v>6.97</v>
      </c>
      <c r="H33" s="11">
        <v>7.05</v>
      </c>
      <c r="I33" s="11">
        <v>8.1199999999999992</v>
      </c>
      <c r="J33" s="11">
        <v>9.17</v>
      </c>
      <c r="K33" s="11">
        <v>10.01</v>
      </c>
      <c r="L33" s="11">
        <v>10.799999999999999</v>
      </c>
      <c r="M33" s="11"/>
      <c r="N33" s="6"/>
    </row>
    <row r="34" spans="4:14" ht="13.8" x14ac:dyDescent="0.25">
      <c r="D34" s="6" t="s">
        <v>33</v>
      </c>
      <c r="E34" s="11">
        <v>7.04</v>
      </c>
      <c r="F34" s="11">
        <v>7.1099999999999994</v>
      </c>
      <c r="G34" s="11">
        <v>7.25</v>
      </c>
      <c r="H34" s="11">
        <v>7.3199999999999994</v>
      </c>
      <c r="I34" s="11">
        <v>9.82</v>
      </c>
      <c r="J34" s="11">
        <v>11.77</v>
      </c>
      <c r="K34" s="11">
        <v>13.459999999999999</v>
      </c>
      <c r="L34" s="11">
        <v>15.299999999999999</v>
      </c>
      <c r="M34" s="11"/>
      <c r="N34" s="6"/>
    </row>
    <row r="35" spans="4:14" ht="13.8" x14ac:dyDescent="0.25">
      <c r="D35" s="6" t="s">
        <v>34</v>
      </c>
      <c r="E35" s="11">
        <v>7.16</v>
      </c>
      <c r="F35" s="11">
        <v>7.25</v>
      </c>
      <c r="G35" s="11">
        <v>7.3199999999999994</v>
      </c>
      <c r="H35" s="11">
        <v>7.38</v>
      </c>
      <c r="I35" s="11">
        <v>11.68</v>
      </c>
      <c r="J35" s="11">
        <v>13.95</v>
      </c>
      <c r="K35" s="11">
        <v>16.520000000000003</v>
      </c>
      <c r="L35" s="11">
        <v>18.53</v>
      </c>
      <c r="M35" s="11"/>
      <c r="N35" s="6"/>
    </row>
    <row r="36" spans="4:14" ht="13.8" x14ac:dyDescent="0.25">
      <c r="D36" s="12" t="s">
        <v>35</v>
      </c>
      <c r="E36" s="13">
        <v>7.2299999999999995</v>
      </c>
      <c r="F36" s="13">
        <v>7.35</v>
      </c>
      <c r="G36" s="13">
        <v>7.38</v>
      </c>
      <c r="H36" s="13">
        <v>7.5299999999999994</v>
      </c>
      <c r="I36" s="13">
        <v>13.33</v>
      </c>
      <c r="J36" s="13">
        <v>15.89</v>
      </c>
      <c r="K36" s="13">
        <v>19.62</v>
      </c>
      <c r="L36" s="13">
        <v>22.05</v>
      </c>
      <c r="M36" s="13"/>
      <c r="N36" s="6"/>
    </row>
    <row r="38" spans="4:14" ht="13.8" x14ac:dyDescent="0.3">
      <c r="D38" s="19" t="s">
        <v>25</v>
      </c>
      <c r="E38" s="19"/>
      <c r="F38" s="19"/>
      <c r="G38" s="19"/>
      <c r="H38" s="19"/>
      <c r="I38" s="19"/>
      <c r="J38" s="19"/>
      <c r="K38" s="19"/>
      <c r="L38" s="19"/>
      <c r="M38" s="19"/>
      <c r="N38" s="19"/>
    </row>
    <row r="39" spans="4:14" ht="13.8" x14ac:dyDescent="0.25">
      <c r="D39" s="4" t="s">
        <v>27</v>
      </c>
      <c r="E39" s="5"/>
      <c r="F39" s="5"/>
      <c r="G39" s="5"/>
      <c r="H39" s="5"/>
      <c r="I39" s="5"/>
      <c r="J39" s="5"/>
      <c r="K39" s="5"/>
      <c r="L39" s="5"/>
      <c r="M39" s="5"/>
      <c r="N39" s="6"/>
    </row>
    <row r="40" spans="4:14" ht="13.8" x14ac:dyDescent="0.25">
      <c r="D40" s="20" t="s">
        <v>17</v>
      </c>
      <c r="E40" s="5"/>
      <c r="F40" s="22" t="s">
        <v>6</v>
      </c>
      <c r="G40" s="22"/>
      <c r="H40" s="22"/>
      <c r="I40" s="22"/>
      <c r="J40" s="22"/>
      <c r="K40" s="22"/>
      <c r="L40" s="22"/>
      <c r="M40" s="22"/>
      <c r="N40" s="6"/>
    </row>
    <row r="41" spans="4:14" ht="14.4" thickBot="1" x14ac:dyDescent="0.3">
      <c r="D41" s="21"/>
      <c r="E41" s="8">
        <v>1</v>
      </c>
      <c r="F41" s="8">
        <v>2</v>
      </c>
      <c r="G41" s="9">
        <v>3</v>
      </c>
      <c r="H41" s="9">
        <v>4</v>
      </c>
      <c r="I41" s="9">
        <v>5</v>
      </c>
      <c r="J41" s="9">
        <v>6</v>
      </c>
      <c r="K41" s="9">
        <v>7</v>
      </c>
      <c r="L41" s="9">
        <v>8</v>
      </c>
      <c r="M41" s="9">
        <v>9</v>
      </c>
      <c r="N41" s="6"/>
    </row>
    <row r="42" spans="4:14" ht="13.8" x14ac:dyDescent="0.25">
      <c r="D42" s="6">
        <v>0.5</v>
      </c>
      <c r="E42" s="11">
        <v>6.9399999999999995</v>
      </c>
      <c r="F42" s="11">
        <v>6.96</v>
      </c>
      <c r="G42" s="11">
        <v>6.96</v>
      </c>
      <c r="H42" s="11">
        <v>6.96</v>
      </c>
      <c r="I42" s="11">
        <v>6.96</v>
      </c>
      <c r="J42" s="11">
        <v>6.96</v>
      </c>
      <c r="K42" s="11">
        <v>7.5299999999999994</v>
      </c>
      <c r="L42" s="11">
        <v>7.93</v>
      </c>
      <c r="M42" s="11"/>
      <c r="N42" s="6"/>
    </row>
    <row r="43" spans="4:14" ht="13.8" x14ac:dyDescent="0.25">
      <c r="D43" s="6">
        <v>1</v>
      </c>
      <c r="E43" s="11">
        <v>6.9399999999999995</v>
      </c>
      <c r="F43" s="11">
        <v>6.96</v>
      </c>
      <c r="G43" s="11">
        <v>6.96</v>
      </c>
      <c r="H43" s="11">
        <v>6.96</v>
      </c>
      <c r="I43" s="11">
        <v>7.09</v>
      </c>
      <c r="J43" s="11">
        <v>7.35</v>
      </c>
      <c r="K43" s="11">
        <v>8.1199999999999992</v>
      </c>
      <c r="L43" s="11">
        <v>8.56</v>
      </c>
      <c r="M43" s="11"/>
      <c r="N43" s="6"/>
    </row>
    <row r="44" spans="4:14" ht="13.8" x14ac:dyDescent="0.25">
      <c r="D44" s="6">
        <v>2</v>
      </c>
      <c r="E44" s="11">
        <v>6.96</v>
      </c>
      <c r="F44" s="11">
        <v>6.96</v>
      </c>
      <c r="G44" s="11">
        <v>6.96</v>
      </c>
      <c r="H44" s="11">
        <v>7.08</v>
      </c>
      <c r="I44" s="11">
        <v>8.11</v>
      </c>
      <c r="J44" s="11">
        <v>9.15</v>
      </c>
      <c r="K44" s="11">
        <v>10.26</v>
      </c>
      <c r="L44" s="11">
        <v>11.08</v>
      </c>
      <c r="M44" s="11"/>
      <c r="N44" s="6"/>
    </row>
    <row r="45" spans="4:14" ht="13.8" x14ac:dyDescent="0.25">
      <c r="D45" s="6">
        <v>3</v>
      </c>
      <c r="E45" s="11">
        <v>7.06</v>
      </c>
      <c r="F45" s="11">
        <v>7.14</v>
      </c>
      <c r="G45" s="11">
        <v>7.27</v>
      </c>
      <c r="H45" s="11">
        <v>7.35</v>
      </c>
      <c r="I45" s="11">
        <v>9.7999999999999989</v>
      </c>
      <c r="J45" s="11">
        <v>12.07</v>
      </c>
      <c r="K45" s="11">
        <v>13.799999999999999</v>
      </c>
      <c r="L45" s="11">
        <v>15.69</v>
      </c>
      <c r="M45" s="11"/>
      <c r="N45" s="6"/>
    </row>
    <row r="46" spans="4:14" ht="13.8" x14ac:dyDescent="0.25">
      <c r="D46" s="6">
        <v>4</v>
      </c>
      <c r="E46" s="11">
        <v>7.22</v>
      </c>
      <c r="F46" s="11">
        <v>7.3199999999999994</v>
      </c>
      <c r="G46" s="11">
        <v>7.34</v>
      </c>
      <c r="H46" s="11">
        <v>7.39</v>
      </c>
      <c r="I46" s="11">
        <v>11.39</v>
      </c>
      <c r="J46" s="11">
        <v>13.97</v>
      </c>
      <c r="K46" s="11">
        <v>16.37</v>
      </c>
      <c r="L46" s="11">
        <v>18.360000000000003</v>
      </c>
      <c r="M46" s="11"/>
      <c r="N46" s="6"/>
    </row>
    <row r="47" spans="4:14" ht="13.8" x14ac:dyDescent="0.25">
      <c r="D47" s="6">
        <v>5</v>
      </c>
      <c r="E47" s="11">
        <v>7.22</v>
      </c>
      <c r="F47" s="11">
        <v>7.3599999999999994</v>
      </c>
      <c r="G47" s="11">
        <v>7.39</v>
      </c>
      <c r="H47" s="11">
        <v>7.6</v>
      </c>
      <c r="I47" s="11">
        <v>12.57</v>
      </c>
      <c r="J47" s="11">
        <v>15.31</v>
      </c>
      <c r="K47" s="11">
        <v>18.62</v>
      </c>
      <c r="L47" s="11">
        <v>20.94</v>
      </c>
      <c r="M47" s="11"/>
      <c r="N47" s="6"/>
    </row>
    <row r="48" spans="4:14" ht="13.8" x14ac:dyDescent="0.25">
      <c r="D48" s="6">
        <v>6</v>
      </c>
      <c r="E48" s="11">
        <v>7.3199999999999994</v>
      </c>
      <c r="F48" s="11">
        <v>7.83</v>
      </c>
      <c r="G48" s="11">
        <v>7.97</v>
      </c>
      <c r="H48" s="11">
        <v>8.0499999999999989</v>
      </c>
      <c r="I48" s="11">
        <v>14.04</v>
      </c>
      <c r="J48" s="11">
        <v>17.21</v>
      </c>
      <c r="K48" s="11">
        <v>21.51</v>
      </c>
      <c r="L48" s="11">
        <v>24.150000000000002</v>
      </c>
      <c r="M48" s="11"/>
      <c r="N48" s="6"/>
    </row>
    <row r="49" spans="4:14" ht="13.8" x14ac:dyDescent="0.25">
      <c r="D49" s="6">
        <v>7</v>
      </c>
      <c r="E49" s="11">
        <v>8.43</v>
      </c>
      <c r="F49" s="11">
        <v>8.52</v>
      </c>
      <c r="G49" s="11">
        <v>9.6199999999999992</v>
      </c>
      <c r="H49" s="11">
        <v>10.129999999999999</v>
      </c>
      <c r="I49" s="11">
        <v>14.98</v>
      </c>
      <c r="J49" s="11">
        <v>18.520000000000003</v>
      </c>
      <c r="K49" s="11">
        <v>23.3</v>
      </c>
      <c r="L49" s="11">
        <v>26.200000000000003</v>
      </c>
      <c r="M49" s="11"/>
      <c r="N49" s="6"/>
    </row>
    <row r="50" spans="4:14" ht="13.8" x14ac:dyDescent="0.25">
      <c r="D50" s="6">
        <v>8</v>
      </c>
      <c r="E50" s="11">
        <v>8.69</v>
      </c>
      <c r="F50" s="11">
        <v>8.73</v>
      </c>
      <c r="G50" s="11">
        <v>10.1</v>
      </c>
      <c r="H50" s="11">
        <v>11.17</v>
      </c>
      <c r="I50" s="11">
        <v>15.89</v>
      </c>
      <c r="J50" s="11">
        <v>19.790000000000003</v>
      </c>
      <c r="K50" s="11">
        <v>24.990000000000002</v>
      </c>
      <c r="L50" s="11">
        <v>28.16</v>
      </c>
      <c r="M50" s="11"/>
      <c r="N50" s="6"/>
    </row>
    <row r="51" spans="4:14" ht="13.8" x14ac:dyDescent="0.25">
      <c r="D51" s="6">
        <v>9</v>
      </c>
      <c r="E51" s="11">
        <v>9.1199999999999992</v>
      </c>
      <c r="F51" s="11">
        <v>9.2999999999999989</v>
      </c>
      <c r="G51" s="11">
        <v>10.54</v>
      </c>
      <c r="H51" s="11">
        <v>11.709999999999999</v>
      </c>
      <c r="I51" s="11">
        <v>16.790000000000003</v>
      </c>
      <c r="J51" s="11">
        <v>21.01</v>
      </c>
      <c r="K51" s="11">
        <v>26.630000000000003</v>
      </c>
      <c r="L51" s="11">
        <v>30.080000000000002</v>
      </c>
      <c r="M51" s="11"/>
      <c r="N51" s="6"/>
    </row>
    <row r="52" spans="4:14" ht="13.8" x14ac:dyDescent="0.25">
      <c r="D52" s="6">
        <v>10</v>
      </c>
      <c r="E52" s="11">
        <v>9.4599999999999991</v>
      </c>
      <c r="F52" s="11">
        <v>9.7899999999999991</v>
      </c>
      <c r="G52" s="11">
        <v>11.03</v>
      </c>
      <c r="H52" s="11">
        <v>12.06</v>
      </c>
      <c r="I52" s="11">
        <v>17.650000000000002</v>
      </c>
      <c r="J52" s="11">
        <v>22.21</v>
      </c>
      <c r="K52" s="11">
        <v>28.25</v>
      </c>
      <c r="L52" s="11">
        <v>31.830000000000002</v>
      </c>
      <c r="M52" s="11"/>
      <c r="N52" s="6"/>
    </row>
    <row r="53" spans="4:14" ht="13.8" x14ac:dyDescent="0.25">
      <c r="D53" s="6">
        <v>11</v>
      </c>
      <c r="E53" s="11">
        <v>10.16</v>
      </c>
      <c r="F53" s="11">
        <v>10.9</v>
      </c>
      <c r="G53" s="11">
        <v>11.73</v>
      </c>
      <c r="H53" s="11">
        <v>13.12</v>
      </c>
      <c r="I53" s="11">
        <v>18.8</v>
      </c>
      <c r="J53" s="11">
        <v>23.110000000000003</v>
      </c>
      <c r="K53" s="11">
        <v>29.39</v>
      </c>
      <c r="L53" s="11">
        <v>33.04</v>
      </c>
      <c r="M53" s="11"/>
      <c r="N53" s="6"/>
    </row>
    <row r="54" spans="4:14" ht="13.8" x14ac:dyDescent="0.25">
      <c r="D54" s="6">
        <v>12</v>
      </c>
      <c r="E54" s="11">
        <v>10.51</v>
      </c>
      <c r="F54" s="11">
        <v>11.31</v>
      </c>
      <c r="G54" s="11">
        <v>12.23</v>
      </c>
      <c r="H54" s="11">
        <v>13.73</v>
      </c>
      <c r="I54" s="11">
        <v>19.880000000000003</v>
      </c>
      <c r="J54" s="11">
        <v>24.450000000000003</v>
      </c>
      <c r="K54" s="11">
        <v>31.080000000000002</v>
      </c>
      <c r="L54" s="11">
        <v>34.979999999999997</v>
      </c>
      <c r="M54" s="11"/>
      <c r="N54" s="6"/>
    </row>
    <row r="55" spans="4:14" ht="13.8" x14ac:dyDescent="0.25">
      <c r="D55" s="6">
        <v>13</v>
      </c>
      <c r="E55" s="11">
        <v>10.89</v>
      </c>
      <c r="F55" s="11">
        <v>11.75</v>
      </c>
      <c r="G55" s="11">
        <v>12.74</v>
      </c>
      <c r="H55" s="11">
        <v>14.17</v>
      </c>
      <c r="I55" s="11">
        <v>20.98</v>
      </c>
      <c r="J55" s="11">
        <v>25.790000000000003</v>
      </c>
      <c r="K55" s="11">
        <v>32.799999999999997</v>
      </c>
      <c r="L55" s="11">
        <v>36.949999999999996</v>
      </c>
      <c r="M55" s="11"/>
      <c r="N55" s="6"/>
    </row>
    <row r="56" spans="4:14" ht="13.8" x14ac:dyDescent="0.25">
      <c r="D56" s="6">
        <v>14</v>
      </c>
      <c r="E56" s="11">
        <v>11.299999999999999</v>
      </c>
      <c r="F56" s="11">
        <v>12.22</v>
      </c>
      <c r="G56" s="11">
        <v>13.25</v>
      </c>
      <c r="H56" s="11">
        <v>14.43</v>
      </c>
      <c r="I56" s="11">
        <v>22.07</v>
      </c>
      <c r="J56" s="11">
        <v>27.080000000000002</v>
      </c>
      <c r="K56" s="11">
        <v>34.53</v>
      </c>
      <c r="L56" s="11">
        <v>38.93</v>
      </c>
      <c r="M56" s="11"/>
      <c r="N56" s="6"/>
    </row>
    <row r="57" spans="4:14" ht="13.8" x14ac:dyDescent="0.25">
      <c r="D57" s="6">
        <v>15</v>
      </c>
      <c r="E57" s="11">
        <v>11.6</v>
      </c>
      <c r="F57" s="11">
        <v>12.59</v>
      </c>
      <c r="G57" s="11">
        <v>13.75</v>
      </c>
      <c r="H57" s="11">
        <v>14.85</v>
      </c>
      <c r="I57" s="11">
        <v>23.16</v>
      </c>
      <c r="J57" s="11">
        <v>28.35</v>
      </c>
      <c r="K57" s="11">
        <v>36.25</v>
      </c>
      <c r="L57" s="11">
        <v>40.909999999999997</v>
      </c>
      <c r="M57" s="11"/>
      <c r="N57" s="6"/>
    </row>
    <row r="58" spans="4:14" ht="13.8" x14ac:dyDescent="0.25">
      <c r="D58" s="6">
        <v>16</v>
      </c>
      <c r="E58" s="11">
        <v>12.07</v>
      </c>
      <c r="F58" s="11">
        <v>13.11</v>
      </c>
      <c r="G58" s="11">
        <v>14.26</v>
      </c>
      <c r="H58" s="11">
        <v>15.1</v>
      </c>
      <c r="I58" s="11">
        <v>24.25</v>
      </c>
      <c r="J58" s="11">
        <v>29.64</v>
      </c>
      <c r="K58" s="11">
        <v>37.97</v>
      </c>
      <c r="L58" s="11">
        <v>42.879999999999995</v>
      </c>
      <c r="M58" s="11"/>
      <c r="N58" s="6"/>
    </row>
    <row r="59" spans="4:14" ht="13.8" x14ac:dyDescent="0.25">
      <c r="D59" s="6">
        <v>17</v>
      </c>
      <c r="E59" s="11">
        <v>12.42</v>
      </c>
      <c r="F59" s="11">
        <v>13.53</v>
      </c>
      <c r="G59" s="11">
        <v>14.67</v>
      </c>
      <c r="H59" s="11">
        <v>15.5</v>
      </c>
      <c r="I59" s="11">
        <v>25.330000000000002</v>
      </c>
      <c r="J59" s="11">
        <v>30.91</v>
      </c>
      <c r="K59" s="11">
        <v>39.699999999999996</v>
      </c>
      <c r="L59" s="11">
        <v>44.86</v>
      </c>
      <c r="M59" s="11"/>
      <c r="N59" s="6"/>
    </row>
    <row r="60" spans="4:14" ht="13.8" x14ac:dyDescent="0.25">
      <c r="D60" s="6">
        <v>18</v>
      </c>
      <c r="E60" s="11">
        <v>12.83</v>
      </c>
      <c r="F60" s="11">
        <v>13.73</v>
      </c>
      <c r="G60" s="11">
        <v>14.9</v>
      </c>
      <c r="H60" s="11">
        <v>15.77</v>
      </c>
      <c r="I60" s="11">
        <v>26.41</v>
      </c>
      <c r="J60" s="11">
        <v>32.19</v>
      </c>
      <c r="K60" s="11">
        <v>41.419999999999995</v>
      </c>
      <c r="L60" s="11">
        <v>46.83</v>
      </c>
      <c r="M60" s="11"/>
      <c r="N60" s="6"/>
    </row>
    <row r="61" spans="4:14" ht="13.8" x14ac:dyDescent="0.25">
      <c r="D61" s="6">
        <v>19</v>
      </c>
      <c r="E61" s="11">
        <v>13.19</v>
      </c>
      <c r="F61" s="11">
        <v>14.049999999999999</v>
      </c>
      <c r="G61" s="11">
        <v>15.39</v>
      </c>
      <c r="H61" s="11">
        <v>16.260000000000002</v>
      </c>
      <c r="I61" s="11">
        <v>27.51</v>
      </c>
      <c r="J61" s="11">
        <v>33.479999999999997</v>
      </c>
      <c r="K61" s="11">
        <v>43.14</v>
      </c>
      <c r="L61" s="11">
        <v>48.8</v>
      </c>
      <c r="M61" s="11"/>
      <c r="N61" s="6"/>
    </row>
    <row r="62" spans="4:14" ht="13.8" x14ac:dyDescent="0.25">
      <c r="D62" s="12">
        <v>20</v>
      </c>
      <c r="E62" s="13">
        <v>13.52</v>
      </c>
      <c r="F62" s="13">
        <v>14.32</v>
      </c>
      <c r="G62" s="13">
        <v>15.709999999999999</v>
      </c>
      <c r="H62" s="13">
        <v>16.650000000000002</v>
      </c>
      <c r="I62" s="13">
        <v>28.580000000000002</v>
      </c>
      <c r="J62" s="13">
        <v>34.76</v>
      </c>
      <c r="K62" s="13">
        <v>44.87</v>
      </c>
      <c r="L62" s="13">
        <v>50.78</v>
      </c>
      <c r="M62" s="13"/>
      <c r="N62" s="6"/>
    </row>
    <row r="63" spans="4:14" ht="13.8" x14ac:dyDescent="0.25">
      <c r="D63" s="14" t="s">
        <v>22</v>
      </c>
      <c r="E63" s="15">
        <v>7.5</v>
      </c>
      <c r="F63" s="15">
        <v>7.5</v>
      </c>
      <c r="G63" s="15">
        <v>7.5</v>
      </c>
      <c r="H63" s="15">
        <v>7.5</v>
      </c>
      <c r="I63" s="15">
        <v>7.5</v>
      </c>
      <c r="J63" s="15">
        <v>7.5</v>
      </c>
      <c r="K63" s="15">
        <v>7.5</v>
      </c>
      <c r="L63" s="15">
        <v>7.5</v>
      </c>
      <c r="M63" s="15"/>
      <c r="N63" s="6"/>
    </row>
    <row r="64" spans="4:14" ht="13.8" x14ac:dyDescent="0.25">
      <c r="D64" s="16" t="s">
        <v>23</v>
      </c>
      <c r="E64" s="11">
        <v>7.79</v>
      </c>
      <c r="F64" s="11">
        <v>7.79</v>
      </c>
      <c r="G64" s="11">
        <v>7.79</v>
      </c>
      <c r="H64" s="11">
        <v>7.79</v>
      </c>
      <c r="I64" s="11">
        <v>7.79</v>
      </c>
      <c r="J64" s="11">
        <v>7.79</v>
      </c>
      <c r="K64" s="11">
        <v>7.79</v>
      </c>
      <c r="L64" s="11">
        <v>7.79</v>
      </c>
      <c r="M64" s="11"/>
      <c r="N64" s="6"/>
    </row>
    <row r="65" spans="4:14" ht="13.8" x14ac:dyDescent="0.25">
      <c r="D65" s="16" t="s">
        <v>24</v>
      </c>
      <c r="E65" s="11">
        <v>8.19</v>
      </c>
      <c r="F65" s="11">
        <v>8.19</v>
      </c>
      <c r="G65" s="11">
        <v>8.19</v>
      </c>
      <c r="H65" s="11">
        <v>8.19</v>
      </c>
      <c r="I65" s="11">
        <v>8.19</v>
      </c>
      <c r="J65" s="11">
        <v>8.19</v>
      </c>
      <c r="K65" s="11">
        <v>8.19</v>
      </c>
      <c r="L65" s="11">
        <v>8.19</v>
      </c>
      <c r="M65" s="11"/>
      <c r="N65" s="6"/>
    </row>
    <row r="66" spans="4:14" ht="13.8" x14ac:dyDescent="0.25">
      <c r="D66" s="16" t="s">
        <v>28</v>
      </c>
      <c r="E66" s="11">
        <v>7.99</v>
      </c>
      <c r="F66" s="11">
        <v>7.99</v>
      </c>
      <c r="G66" s="11">
        <v>7.99</v>
      </c>
      <c r="H66" s="11">
        <v>7.99</v>
      </c>
      <c r="I66" s="11">
        <v>7.99</v>
      </c>
      <c r="J66" s="11">
        <v>7.99</v>
      </c>
      <c r="K66" s="11">
        <v>7.99</v>
      </c>
      <c r="L66" s="11">
        <v>7.99</v>
      </c>
      <c r="M66" s="11"/>
      <c r="N66" s="6"/>
    </row>
    <row r="67" spans="4:14" ht="13.8" x14ac:dyDescent="0.25">
      <c r="D67" s="16" t="s">
        <v>29</v>
      </c>
      <c r="E67" s="11">
        <v>13.799999999999999</v>
      </c>
      <c r="F67" s="11">
        <v>13.799999999999999</v>
      </c>
      <c r="G67" s="11">
        <v>13.799999999999999</v>
      </c>
      <c r="H67" s="11">
        <v>13.799999999999999</v>
      </c>
      <c r="I67" s="11">
        <v>13.799999999999999</v>
      </c>
      <c r="J67" s="11">
        <v>13.799999999999999</v>
      </c>
      <c r="K67" s="11">
        <v>13.799999999999999</v>
      </c>
      <c r="L67" s="11">
        <v>13.799999999999999</v>
      </c>
      <c r="M67" s="11"/>
      <c r="N67" s="6"/>
    </row>
    <row r="68" spans="4:14" ht="13.8" x14ac:dyDescent="0.25">
      <c r="D68" s="17" t="s">
        <v>30</v>
      </c>
      <c r="E68" s="13">
        <v>18.680000000000003</v>
      </c>
      <c r="F68" s="13">
        <v>18.680000000000003</v>
      </c>
      <c r="G68" s="13">
        <v>18.680000000000003</v>
      </c>
      <c r="H68" s="13">
        <v>18.680000000000003</v>
      </c>
      <c r="I68" s="13">
        <v>18.680000000000003</v>
      </c>
      <c r="J68" s="13">
        <v>18.680000000000003</v>
      </c>
      <c r="K68" s="13">
        <v>18.680000000000003</v>
      </c>
      <c r="L68" s="13">
        <v>18.680000000000003</v>
      </c>
      <c r="M68" s="13"/>
      <c r="N68" s="6"/>
    </row>
    <row r="69" spans="4:14" ht="13.8" x14ac:dyDescent="0.25">
      <c r="D69" s="18" t="s">
        <v>31</v>
      </c>
      <c r="E69" s="15">
        <v>6.9399999999999995</v>
      </c>
      <c r="F69" s="15">
        <v>6.96</v>
      </c>
      <c r="G69" s="15">
        <v>6.96</v>
      </c>
      <c r="H69" s="15">
        <v>6.97</v>
      </c>
      <c r="I69" s="15">
        <v>7.35</v>
      </c>
      <c r="J69" s="15">
        <v>7.81</v>
      </c>
      <c r="K69" s="15">
        <v>8.42</v>
      </c>
      <c r="L69" s="15">
        <v>8.94</v>
      </c>
      <c r="M69" s="15"/>
      <c r="N69" s="6"/>
    </row>
    <row r="70" spans="4:14" ht="13.8" x14ac:dyDescent="0.25">
      <c r="D70" s="6" t="s">
        <v>32</v>
      </c>
      <c r="E70" s="11">
        <v>6.96</v>
      </c>
      <c r="F70" s="11">
        <v>6.96</v>
      </c>
      <c r="G70" s="11">
        <v>6.96</v>
      </c>
      <c r="H70" s="11">
        <v>7.04</v>
      </c>
      <c r="I70" s="11">
        <v>8.11</v>
      </c>
      <c r="J70" s="11">
        <v>9.15</v>
      </c>
      <c r="K70" s="11">
        <v>9.98</v>
      </c>
      <c r="L70" s="11">
        <v>10.78</v>
      </c>
      <c r="M70" s="11"/>
      <c r="N70" s="6"/>
    </row>
    <row r="71" spans="4:14" ht="13.8" x14ac:dyDescent="0.25">
      <c r="D71" s="6" t="s">
        <v>33</v>
      </c>
      <c r="E71" s="11">
        <v>7.0299999999999994</v>
      </c>
      <c r="F71" s="11">
        <v>7.09</v>
      </c>
      <c r="G71" s="11">
        <v>7.24</v>
      </c>
      <c r="H71" s="11">
        <v>7.31</v>
      </c>
      <c r="I71" s="11">
        <v>9.7999999999999989</v>
      </c>
      <c r="J71" s="11">
        <v>11.75</v>
      </c>
      <c r="K71" s="11">
        <v>13.43</v>
      </c>
      <c r="L71" s="11">
        <v>15.27</v>
      </c>
      <c r="M71" s="11"/>
      <c r="N71" s="6"/>
    </row>
    <row r="72" spans="4:14" ht="13.8" x14ac:dyDescent="0.25">
      <c r="D72" s="6" t="s">
        <v>34</v>
      </c>
      <c r="E72" s="11">
        <v>7.1499999999999995</v>
      </c>
      <c r="F72" s="11">
        <v>7.24</v>
      </c>
      <c r="G72" s="11">
        <v>7.31</v>
      </c>
      <c r="H72" s="11">
        <v>7.37</v>
      </c>
      <c r="I72" s="11">
        <v>11.66</v>
      </c>
      <c r="J72" s="11">
        <v>13.92</v>
      </c>
      <c r="K72" s="11">
        <v>16.48</v>
      </c>
      <c r="L72" s="11">
        <v>18.490000000000002</v>
      </c>
      <c r="M72" s="11"/>
      <c r="N72" s="6"/>
    </row>
    <row r="73" spans="4:14" ht="13.8" x14ac:dyDescent="0.25">
      <c r="D73" s="12" t="s">
        <v>35</v>
      </c>
      <c r="E73" s="13">
        <v>7.22</v>
      </c>
      <c r="F73" s="13">
        <v>7.34</v>
      </c>
      <c r="G73" s="13">
        <v>7.37</v>
      </c>
      <c r="H73" s="13">
        <v>7.52</v>
      </c>
      <c r="I73" s="13">
        <v>13.299999999999999</v>
      </c>
      <c r="J73" s="13">
        <v>15.86</v>
      </c>
      <c r="K73" s="13">
        <v>19.580000000000002</v>
      </c>
      <c r="L73" s="13">
        <v>22</v>
      </c>
      <c r="M73" s="13"/>
      <c r="N73" s="6"/>
    </row>
    <row r="75" spans="4:14" ht="13.8" x14ac:dyDescent="0.3">
      <c r="D75" s="19" t="s">
        <v>26</v>
      </c>
      <c r="E75" s="19"/>
      <c r="F75" s="19"/>
      <c r="G75" s="19"/>
      <c r="H75" s="19"/>
      <c r="I75" s="19"/>
      <c r="J75" s="19"/>
      <c r="K75" s="19"/>
      <c r="L75" s="19"/>
      <c r="M75" s="19"/>
      <c r="N75" s="19"/>
    </row>
    <row r="76" spans="4:14" ht="13.8" x14ac:dyDescent="0.25">
      <c r="D76" s="4" t="s">
        <v>27</v>
      </c>
      <c r="E76" s="5"/>
      <c r="F76" s="5"/>
      <c r="G76" s="5"/>
      <c r="H76" s="5"/>
      <c r="I76" s="5"/>
      <c r="J76" s="5"/>
      <c r="K76" s="5"/>
      <c r="L76" s="5"/>
      <c r="M76" s="5"/>
      <c r="N76" s="6"/>
    </row>
    <row r="77" spans="4:14" ht="13.8" x14ac:dyDescent="0.25">
      <c r="D77" s="20" t="s">
        <v>17</v>
      </c>
      <c r="E77" s="5"/>
      <c r="F77" s="22" t="s">
        <v>6</v>
      </c>
      <c r="G77" s="22"/>
      <c r="H77" s="22"/>
      <c r="I77" s="22"/>
      <c r="J77" s="22"/>
      <c r="K77" s="22"/>
      <c r="L77" s="22"/>
      <c r="M77" s="22"/>
      <c r="N77" s="6"/>
    </row>
    <row r="78" spans="4:14" ht="14.4" thickBot="1" x14ac:dyDescent="0.3">
      <c r="D78" s="21"/>
      <c r="E78" s="8">
        <v>1</v>
      </c>
      <c r="F78" s="8">
        <v>2</v>
      </c>
      <c r="G78" s="9">
        <v>3</v>
      </c>
      <c r="H78" s="9">
        <v>4</v>
      </c>
      <c r="I78" s="9">
        <v>5</v>
      </c>
      <c r="J78" s="9">
        <v>6</v>
      </c>
      <c r="K78" s="9">
        <v>7</v>
      </c>
      <c r="L78" s="9">
        <v>8</v>
      </c>
      <c r="M78" s="9">
        <v>9</v>
      </c>
      <c r="N78" s="6"/>
    </row>
    <row r="79" spans="4:14" ht="13.8" x14ac:dyDescent="0.25">
      <c r="D79" s="6">
        <v>0.5</v>
      </c>
      <c r="E79" s="11">
        <v>6.84</v>
      </c>
      <c r="F79" s="11">
        <v>6.8599999999999994</v>
      </c>
      <c r="G79" s="11">
        <v>6.8599999999999994</v>
      </c>
      <c r="H79" s="11">
        <v>6.8599999999999994</v>
      </c>
      <c r="I79" s="11">
        <v>6.8599999999999994</v>
      </c>
      <c r="J79" s="11">
        <v>6.8599999999999994</v>
      </c>
      <c r="K79" s="11">
        <v>7.27</v>
      </c>
      <c r="L79" s="11">
        <v>7.66</v>
      </c>
      <c r="M79" s="11"/>
      <c r="N79" s="6"/>
    </row>
    <row r="80" spans="4:14" ht="13.8" x14ac:dyDescent="0.25">
      <c r="D80" s="6">
        <v>1</v>
      </c>
      <c r="E80" s="11">
        <v>6.84</v>
      </c>
      <c r="F80" s="11">
        <v>6.8599999999999994</v>
      </c>
      <c r="G80" s="11">
        <v>6.8599999999999994</v>
      </c>
      <c r="H80" s="11">
        <v>6.8599999999999994</v>
      </c>
      <c r="I80" s="11">
        <v>6.9799999999999995</v>
      </c>
      <c r="J80" s="11">
        <v>7.24</v>
      </c>
      <c r="K80" s="11">
        <v>7.83</v>
      </c>
      <c r="L80" s="11">
        <v>8.26</v>
      </c>
      <c r="M80" s="11"/>
      <c r="N80" s="6"/>
    </row>
    <row r="81" spans="4:14" ht="13.8" x14ac:dyDescent="0.25">
      <c r="D81" s="6">
        <v>2</v>
      </c>
      <c r="E81" s="11">
        <v>6.8599999999999994</v>
      </c>
      <c r="F81" s="11">
        <v>6.8599999999999994</v>
      </c>
      <c r="G81" s="11">
        <v>6.8599999999999994</v>
      </c>
      <c r="H81" s="11">
        <v>6.97</v>
      </c>
      <c r="I81" s="11">
        <v>7.9799999999999995</v>
      </c>
      <c r="J81" s="11">
        <v>9.01</v>
      </c>
      <c r="K81" s="11">
        <v>9.9</v>
      </c>
      <c r="L81" s="11">
        <v>10.7</v>
      </c>
      <c r="M81" s="11"/>
      <c r="N81" s="6"/>
    </row>
    <row r="82" spans="4:14" ht="13.8" x14ac:dyDescent="0.25">
      <c r="D82" s="6">
        <v>3</v>
      </c>
      <c r="E82" s="11">
        <v>6.96</v>
      </c>
      <c r="F82" s="11">
        <v>7.02</v>
      </c>
      <c r="G82" s="11">
        <v>7.16</v>
      </c>
      <c r="H82" s="11">
        <v>7.24</v>
      </c>
      <c r="I82" s="11">
        <v>9.65</v>
      </c>
      <c r="J82" s="11">
        <v>11.66</v>
      </c>
      <c r="K82" s="11">
        <v>13.33</v>
      </c>
      <c r="L82" s="11">
        <v>15.14</v>
      </c>
      <c r="M82" s="11"/>
      <c r="N82" s="6"/>
    </row>
    <row r="83" spans="4:14" ht="13.8" x14ac:dyDescent="0.25">
      <c r="D83" s="6">
        <v>4</v>
      </c>
      <c r="E83" s="11">
        <v>7.1099999999999994</v>
      </c>
      <c r="F83" s="11">
        <v>7.21</v>
      </c>
      <c r="G83" s="11">
        <v>7.2299999999999995</v>
      </c>
      <c r="H83" s="11">
        <v>7.2799999999999994</v>
      </c>
      <c r="I83" s="11">
        <v>11.27</v>
      </c>
      <c r="J83" s="11">
        <v>13.49</v>
      </c>
      <c r="K83" s="11">
        <v>15.799999999999999</v>
      </c>
      <c r="L83" s="11">
        <v>17.720000000000002</v>
      </c>
      <c r="M83" s="11"/>
      <c r="N83" s="6"/>
    </row>
    <row r="84" spans="4:14" ht="13.8" x14ac:dyDescent="0.25">
      <c r="D84" s="6">
        <v>5</v>
      </c>
      <c r="E84" s="11">
        <v>7.1099999999999994</v>
      </c>
      <c r="F84" s="11">
        <v>7.25</v>
      </c>
      <c r="G84" s="11">
        <v>7.2799999999999994</v>
      </c>
      <c r="H84" s="11">
        <v>7.49</v>
      </c>
      <c r="I84" s="11">
        <v>12.45</v>
      </c>
      <c r="J84" s="11">
        <v>14.77</v>
      </c>
      <c r="K84" s="11">
        <v>17.98</v>
      </c>
      <c r="L84" s="11">
        <v>20.220000000000002</v>
      </c>
      <c r="M84" s="11"/>
      <c r="N84" s="6"/>
    </row>
    <row r="85" spans="4:14" ht="13.8" x14ac:dyDescent="0.25">
      <c r="D85" s="6">
        <v>6</v>
      </c>
      <c r="E85" s="11">
        <v>7.21</v>
      </c>
      <c r="F85" s="11">
        <v>7.7</v>
      </c>
      <c r="G85" s="11">
        <v>7.85</v>
      </c>
      <c r="H85" s="11">
        <v>7.93</v>
      </c>
      <c r="I85" s="11">
        <v>13.9</v>
      </c>
      <c r="J85" s="11">
        <v>16.610000000000003</v>
      </c>
      <c r="K85" s="11">
        <v>20.770000000000003</v>
      </c>
      <c r="L85" s="11">
        <v>23.32</v>
      </c>
      <c r="M85" s="11"/>
      <c r="N85" s="6"/>
    </row>
    <row r="86" spans="4:14" ht="13.8" x14ac:dyDescent="0.25">
      <c r="D86" s="6">
        <v>7</v>
      </c>
      <c r="E86" s="11">
        <v>8.2999999999999989</v>
      </c>
      <c r="F86" s="11">
        <v>8.4</v>
      </c>
      <c r="G86" s="11">
        <v>9.48</v>
      </c>
      <c r="H86" s="11">
        <v>9.9700000000000006</v>
      </c>
      <c r="I86" s="11">
        <v>14.82</v>
      </c>
      <c r="J86" s="11">
        <v>17.880000000000003</v>
      </c>
      <c r="K86" s="11">
        <v>22.48</v>
      </c>
      <c r="L86" s="11">
        <v>25.3</v>
      </c>
      <c r="M86" s="11"/>
      <c r="N86" s="6"/>
    </row>
    <row r="87" spans="4:14" ht="13.8" x14ac:dyDescent="0.25">
      <c r="D87" s="6">
        <v>8</v>
      </c>
      <c r="E87" s="11">
        <v>8.57</v>
      </c>
      <c r="F87" s="11">
        <v>8.6</v>
      </c>
      <c r="G87" s="11">
        <v>9.94</v>
      </c>
      <c r="H87" s="11">
        <v>11.01</v>
      </c>
      <c r="I87" s="11">
        <v>15.72</v>
      </c>
      <c r="J87" s="11">
        <v>19.110000000000003</v>
      </c>
      <c r="K87" s="11">
        <v>24.12</v>
      </c>
      <c r="L87" s="11">
        <v>27.19</v>
      </c>
      <c r="M87" s="11"/>
      <c r="N87" s="6"/>
    </row>
    <row r="88" spans="4:14" ht="13.8" x14ac:dyDescent="0.25">
      <c r="D88" s="6">
        <v>9</v>
      </c>
      <c r="E88" s="11">
        <v>8.98</v>
      </c>
      <c r="F88" s="11">
        <v>9.17</v>
      </c>
      <c r="G88" s="11">
        <v>10.39</v>
      </c>
      <c r="H88" s="11">
        <v>11.53</v>
      </c>
      <c r="I88" s="11">
        <v>16.610000000000003</v>
      </c>
      <c r="J88" s="11">
        <v>20.28</v>
      </c>
      <c r="K88" s="11">
        <v>25.71</v>
      </c>
      <c r="L88" s="11">
        <v>29.040000000000003</v>
      </c>
      <c r="M88" s="11"/>
      <c r="N88" s="6"/>
    </row>
    <row r="89" spans="4:14" ht="13.8" x14ac:dyDescent="0.25">
      <c r="D89" s="6">
        <v>10</v>
      </c>
      <c r="E89" s="11">
        <v>9.31</v>
      </c>
      <c r="F89" s="11">
        <v>9.64</v>
      </c>
      <c r="G89" s="11">
        <v>10.86</v>
      </c>
      <c r="H89" s="11">
        <v>11.87</v>
      </c>
      <c r="I89" s="11">
        <v>17.48</v>
      </c>
      <c r="J89" s="11">
        <v>21.44</v>
      </c>
      <c r="K89" s="11">
        <v>27.270000000000003</v>
      </c>
      <c r="L89" s="11">
        <v>30.73</v>
      </c>
      <c r="M89" s="11"/>
      <c r="N89" s="6"/>
    </row>
    <row r="90" spans="4:14" ht="13.8" x14ac:dyDescent="0.25">
      <c r="D90" s="6">
        <v>11</v>
      </c>
      <c r="E90" s="11">
        <v>10.01</v>
      </c>
      <c r="F90" s="11">
        <v>10.74</v>
      </c>
      <c r="G90" s="11">
        <v>11.549999999999999</v>
      </c>
      <c r="H90" s="11">
        <v>12.93</v>
      </c>
      <c r="I90" s="11">
        <v>18.380000000000003</v>
      </c>
      <c r="J90" s="11">
        <v>22.6</v>
      </c>
      <c r="K90" s="11">
        <v>28.73</v>
      </c>
      <c r="L90" s="11">
        <v>32.299999999999997</v>
      </c>
      <c r="M90" s="11"/>
      <c r="N90" s="6"/>
    </row>
    <row r="91" spans="4:14" ht="13.8" x14ac:dyDescent="0.25">
      <c r="D91" s="6">
        <v>12</v>
      </c>
      <c r="E91" s="11">
        <v>10.36</v>
      </c>
      <c r="F91" s="11">
        <v>11.129999999999999</v>
      </c>
      <c r="G91" s="11">
        <v>12.049999999999999</v>
      </c>
      <c r="H91" s="11">
        <v>13.52</v>
      </c>
      <c r="I91" s="11">
        <v>19.440000000000001</v>
      </c>
      <c r="J91" s="11">
        <v>23.91</v>
      </c>
      <c r="K91" s="11">
        <v>30.39</v>
      </c>
      <c r="L91" s="11">
        <v>34.199999999999996</v>
      </c>
      <c r="M91" s="11"/>
      <c r="N91" s="6"/>
    </row>
    <row r="92" spans="4:14" ht="13.8" x14ac:dyDescent="0.25">
      <c r="D92" s="6">
        <v>13</v>
      </c>
      <c r="E92" s="11">
        <v>10.73</v>
      </c>
      <c r="F92" s="11">
        <v>11.57</v>
      </c>
      <c r="G92" s="11">
        <v>12.549999999999999</v>
      </c>
      <c r="H92" s="11">
        <v>13.959999999999999</v>
      </c>
      <c r="I92" s="11">
        <v>20.51</v>
      </c>
      <c r="J92" s="11">
        <v>25.220000000000002</v>
      </c>
      <c r="K92" s="11">
        <v>32.07</v>
      </c>
      <c r="L92" s="11">
        <v>36.119999999999997</v>
      </c>
      <c r="M92" s="11"/>
      <c r="N92" s="6"/>
    </row>
    <row r="93" spans="4:14" ht="13.8" x14ac:dyDescent="0.25">
      <c r="D93" s="6">
        <v>14</v>
      </c>
      <c r="E93" s="11">
        <v>11.12</v>
      </c>
      <c r="F93" s="11">
        <v>12.04</v>
      </c>
      <c r="G93" s="11">
        <v>13.049999999999999</v>
      </c>
      <c r="H93" s="11">
        <v>14.22</v>
      </c>
      <c r="I93" s="11">
        <v>21.57</v>
      </c>
      <c r="J93" s="11">
        <v>26.48</v>
      </c>
      <c r="K93" s="11">
        <v>33.75</v>
      </c>
      <c r="L93" s="11">
        <v>38.07</v>
      </c>
      <c r="M93" s="11"/>
      <c r="N93" s="6"/>
    </row>
    <row r="94" spans="4:14" ht="13.8" x14ac:dyDescent="0.25">
      <c r="D94" s="6">
        <v>15</v>
      </c>
      <c r="E94" s="11">
        <v>11.43</v>
      </c>
      <c r="F94" s="11">
        <v>12.4</v>
      </c>
      <c r="G94" s="11">
        <v>13.54</v>
      </c>
      <c r="H94" s="11">
        <v>14.62</v>
      </c>
      <c r="I94" s="11">
        <v>22.650000000000002</v>
      </c>
      <c r="J94" s="11">
        <v>27.720000000000002</v>
      </c>
      <c r="K94" s="11">
        <v>35.43</v>
      </c>
      <c r="L94" s="11">
        <v>39.99</v>
      </c>
      <c r="M94" s="11"/>
      <c r="N94" s="6"/>
    </row>
    <row r="95" spans="4:14" ht="13.8" x14ac:dyDescent="0.25">
      <c r="D95" s="6">
        <v>16</v>
      </c>
      <c r="E95" s="11">
        <v>11.879999999999999</v>
      </c>
      <c r="F95" s="11">
        <v>12.92</v>
      </c>
      <c r="G95" s="11">
        <v>14.04</v>
      </c>
      <c r="H95" s="11">
        <v>14.879999999999999</v>
      </c>
      <c r="I95" s="11">
        <v>23.71</v>
      </c>
      <c r="J95" s="11">
        <v>28.98</v>
      </c>
      <c r="K95" s="11">
        <v>37.129999999999995</v>
      </c>
      <c r="L95" s="11">
        <v>41.919999999999995</v>
      </c>
      <c r="M95" s="11"/>
      <c r="N95" s="6"/>
    </row>
    <row r="96" spans="4:14" ht="13.8" x14ac:dyDescent="0.25">
      <c r="D96" s="6">
        <v>17</v>
      </c>
      <c r="E96" s="11">
        <v>12.23</v>
      </c>
      <c r="F96" s="11">
        <v>13.34</v>
      </c>
      <c r="G96" s="11">
        <v>14.45</v>
      </c>
      <c r="H96" s="11">
        <v>15.26</v>
      </c>
      <c r="I96" s="11">
        <v>24.76</v>
      </c>
      <c r="J96" s="11">
        <v>30.220000000000002</v>
      </c>
      <c r="K96" s="11">
        <v>38.809999999999995</v>
      </c>
      <c r="L96" s="11">
        <v>43.85</v>
      </c>
      <c r="M96" s="11"/>
      <c r="N96" s="6"/>
    </row>
    <row r="97" spans="4:14" ht="13.8" x14ac:dyDescent="0.25">
      <c r="D97" s="6">
        <v>18</v>
      </c>
      <c r="E97" s="11">
        <v>12.65</v>
      </c>
      <c r="F97" s="11">
        <v>13.52</v>
      </c>
      <c r="G97" s="11">
        <v>14.67</v>
      </c>
      <c r="H97" s="11">
        <v>15.54</v>
      </c>
      <c r="I97" s="11">
        <v>25.830000000000002</v>
      </c>
      <c r="J97" s="11">
        <v>31.470000000000002</v>
      </c>
      <c r="K97" s="11">
        <v>40.489999999999995</v>
      </c>
      <c r="L97" s="11">
        <v>45.769999999999996</v>
      </c>
      <c r="M97" s="11"/>
      <c r="N97" s="6"/>
    </row>
    <row r="98" spans="4:14" ht="13.8" x14ac:dyDescent="0.25">
      <c r="D98" s="6">
        <v>19</v>
      </c>
      <c r="E98" s="11">
        <v>13</v>
      </c>
      <c r="F98" s="11">
        <v>13.84</v>
      </c>
      <c r="G98" s="11">
        <v>15.15</v>
      </c>
      <c r="H98" s="11">
        <v>16.010000000000002</v>
      </c>
      <c r="I98" s="11">
        <v>26.900000000000002</v>
      </c>
      <c r="J98" s="11">
        <v>32.739999999999995</v>
      </c>
      <c r="K98" s="11">
        <v>42.169999999999995</v>
      </c>
      <c r="L98" s="11">
        <v>47.699999999999996</v>
      </c>
      <c r="M98" s="11"/>
      <c r="N98" s="6"/>
    </row>
    <row r="99" spans="4:14" ht="13.8" x14ac:dyDescent="0.25">
      <c r="D99" s="12">
        <v>20</v>
      </c>
      <c r="E99" s="13">
        <v>13.33</v>
      </c>
      <c r="F99" s="13">
        <v>14.1</v>
      </c>
      <c r="G99" s="13">
        <v>15.47</v>
      </c>
      <c r="H99" s="13">
        <v>16.400000000000002</v>
      </c>
      <c r="I99" s="13">
        <v>27.94</v>
      </c>
      <c r="J99" s="13">
        <v>33.989999999999995</v>
      </c>
      <c r="K99" s="13">
        <v>43.86</v>
      </c>
      <c r="L99" s="13">
        <v>49.64</v>
      </c>
      <c r="M99" s="13"/>
      <c r="N99" s="6"/>
    </row>
    <row r="100" spans="4:14" ht="13.8" x14ac:dyDescent="0.25">
      <c r="D100" s="14" t="s">
        <v>22</v>
      </c>
      <c r="E100" s="15">
        <v>7.34</v>
      </c>
      <c r="F100" s="15">
        <v>7.34</v>
      </c>
      <c r="G100" s="15">
        <v>7.34</v>
      </c>
      <c r="H100" s="15">
        <v>7.34</v>
      </c>
      <c r="I100" s="15">
        <v>7.34</v>
      </c>
      <c r="J100" s="15">
        <v>7.34</v>
      </c>
      <c r="K100" s="15">
        <v>7.34</v>
      </c>
      <c r="L100" s="15">
        <v>7.34</v>
      </c>
      <c r="M100" s="15"/>
      <c r="N100" s="6"/>
    </row>
    <row r="101" spans="4:14" ht="13.8" x14ac:dyDescent="0.25">
      <c r="D101" s="16" t="s">
        <v>23</v>
      </c>
      <c r="E101" s="11">
        <v>7.63</v>
      </c>
      <c r="F101" s="11">
        <v>7.63</v>
      </c>
      <c r="G101" s="11">
        <v>7.63</v>
      </c>
      <c r="H101" s="11">
        <v>7.63</v>
      </c>
      <c r="I101" s="11">
        <v>7.63</v>
      </c>
      <c r="J101" s="11">
        <v>7.63</v>
      </c>
      <c r="K101" s="11">
        <v>7.63</v>
      </c>
      <c r="L101" s="11">
        <v>7.63</v>
      </c>
      <c r="M101" s="11"/>
      <c r="N101" s="6"/>
    </row>
    <row r="102" spans="4:14" ht="13.8" x14ac:dyDescent="0.25">
      <c r="D102" s="16" t="s">
        <v>24</v>
      </c>
      <c r="E102" s="11">
        <v>8.01</v>
      </c>
      <c r="F102" s="11">
        <v>8.01</v>
      </c>
      <c r="G102" s="11">
        <v>8.01</v>
      </c>
      <c r="H102" s="11">
        <v>8.01</v>
      </c>
      <c r="I102" s="11">
        <v>8.01</v>
      </c>
      <c r="J102" s="11">
        <v>8.01</v>
      </c>
      <c r="K102" s="11">
        <v>8.01</v>
      </c>
      <c r="L102" s="11">
        <v>8.01</v>
      </c>
      <c r="M102" s="11"/>
      <c r="N102" s="6"/>
    </row>
    <row r="103" spans="4:14" ht="13.8" x14ac:dyDescent="0.25">
      <c r="D103" s="16" t="s">
        <v>28</v>
      </c>
      <c r="E103" s="11">
        <v>7.8199999999999994</v>
      </c>
      <c r="F103" s="11">
        <v>7.8199999999999994</v>
      </c>
      <c r="G103" s="11">
        <v>7.8199999999999994</v>
      </c>
      <c r="H103" s="11">
        <v>7.8199999999999994</v>
      </c>
      <c r="I103" s="11">
        <v>7.8199999999999994</v>
      </c>
      <c r="J103" s="11">
        <v>7.8199999999999994</v>
      </c>
      <c r="K103" s="11">
        <v>7.8199999999999994</v>
      </c>
      <c r="L103" s="11">
        <v>7.8199999999999994</v>
      </c>
      <c r="M103" s="11"/>
      <c r="N103" s="6"/>
    </row>
    <row r="104" spans="4:14" ht="13.8" x14ac:dyDescent="0.25">
      <c r="D104" s="16" t="s">
        <v>29</v>
      </c>
      <c r="E104" s="11">
        <v>13.51</v>
      </c>
      <c r="F104" s="11">
        <v>13.51</v>
      </c>
      <c r="G104" s="11">
        <v>13.51</v>
      </c>
      <c r="H104" s="11">
        <v>13.51</v>
      </c>
      <c r="I104" s="11">
        <v>13.51</v>
      </c>
      <c r="J104" s="11">
        <v>13.51</v>
      </c>
      <c r="K104" s="11">
        <v>13.51</v>
      </c>
      <c r="L104" s="11">
        <v>13.51</v>
      </c>
      <c r="M104" s="11"/>
      <c r="N104" s="6"/>
    </row>
    <row r="105" spans="4:14" ht="13.8" x14ac:dyDescent="0.25">
      <c r="D105" s="17" t="s">
        <v>30</v>
      </c>
      <c r="E105" s="13">
        <v>18.290000000000003</v>
      </c>
      <c r="F105" s="13">
        <v>18.290000000000003</v>
      </c>
      <c r="G105" s="13">
        <v>18.290000000000003</v>
      </c>
      <c r="H105" s="13">
        <v>18.290000000000003</v>
      </c>
      <c r="I105" s="13">
        <v>18.290000000000003</v>
      </c>
      <c r="J105" s="13">
        <v>18.290000000000003</v>
      </c>
      <c r="K105" s="13">
        <v>18.290000000000003</v>
      </c>
      <c r="L105" s="13">
        <v>18.290000000000003</v>
      </c>
      <c r="M105" s="13"/>
      <c r="N105" s="6"/>
    </row>
    <row r="106" spans="4:14" ht="13.8" x14ac:dyDescent="0.25">
      <c r="D106" s="18" t="s">
        <v>31</v>
      </c>
      <c r="E106" s="15">
        <v>6.84</v>
      </c>
      <c r="F106" s="15">
        <v>6.8599999999999994</v>
      </c>
      <c r="G106" s="15">
        <v>6.8599999999999994</v>
      </c>
      <c r="H106" s="15">
        <v>6.87</v>
      </c>
      <c r="I106" s="15">
        <v>7.24</v>
      </c>
      <c r="J106" s="15">
        <v>7.68</v>
      </c>
      <c r="K106" s="15">
        <v>8.2899999999999991</v>
      </c>
      <c r="L106" s="15">
        <v>8.81</v>
      </c>
      <c r="M106" s="15"/>
      <c r="N106" s="6"/>
    </row>
    <row r="107" spans="4:14" ht="13.8" x14ac:dyDescent="0.25">
      <c r="D107" s="6" t="s">
        <v>32</v>
      </c>
      <c r="E107" s="11">
        <v>6.8599999999999994</v>
      </c>
      <c r="F107" s="11">
        <v>6.8599999999999994</v>
      </c>
      <c r="G107" s="11">
        <v>6.8599999999999994</v>
      </c>
      <c r="H107" s="11">
        <v>6.9399999999999995</v>
      </c>
      <c r="I107" s="11">
        <v>7.9799999999999995</v>
      </c>
      <c r="J107" s="11">
        <v>9.01</v>
      </c>
      <c r="K107" s="11">
        <v>9.84</v>
      </c>
      <c r="L107" s="11">
        <v>10.61</v>
      </c>
      <c r="M107" s="11"/>
      <c r="N107" s="6"/>
    </row>
    <row r="108" spans="4:14" ht="13.8" x14ac:dyDescent="0.25">
      <c r="D108" s="6" t="s">
        <v>33</v>
      </c>
      <c r="E108" s="11">
        <v>6.93</v>
      </c>
      <c r="F108" s="11">
        <v>6.9799999999999995</v>
      </c>
      <c r="G108" s="11">
        <v>7.13</v>
      </c>
      <c r="H108" s="11">
        <v>7.2</v>
      </c>
      <c r="I108" s="11">
        <v>9.65</v>
      </c>
      <c r="J108" s="11">
        <v>11.57</v>
      </c>
      <c r="K108" s="11">
        <v>13.24</v>
      </c>
      <c r="L108" s="11">
        <v>15.04</v>
      </c>
      <c r="M108" s="11"/>
      <c r="N108" s="6"/>
    </row>
    <row r="109" spans="4:14" ht="13.8" x14ac:dyDescent="0.25">
      <c r="D109" s="6" t="s">
        <v>34</v>
      </c>
      <c r="E109" s="11">
        <v>7.0299999999999994</v>
      </c>
      <c r="F109" s="11">
        <v>7.13</v>
      </c>
      <c r="G109" s="11">
        <v>7.2</v>
      </c>
      <c r="H109" s="11">
        <v>7.26</v>
      </c>
      <c r="I109" s="11">
        <v>11.48</v>
      </c>
      <c r="J109" s="11">
        <v>13.709999999999999</v>
      </c>
      <c r="K109" s="11">
        <v>16.23</v>
      </c>
      <c r="L109" s="11">
        <v>18.21</v>
      </c>
      <c r="M109" s="11"/>
      <c r="N109" s="6"/>
    </row>
    <row r="110" spans="4:14" ht="13.8" x14ac:dyDescent="0.25">
      <c r="D110" s="12" t="s">
        <v>35</v>
      </c>
      <c r="E110" s="13">
        <v>7.1099999999999994</v>
      </c>
      <c r="F110" s="13">
        <v>7.2299999999999995</v>
      </c>
      <c r="G110" s="13">
        <v>7.26</v>
      </c>
      <c r="H110" s="13">
        <v>7.3999999999999995</v>
      </c>
      <c r="I110" s="13">
        <v>13.1</v>
      </c>
      <c r="J110" s="13">
        <v>15.62</v>
      </c>
      <c r="K110" s="13">
        <v>19.28</v>
      </c>
      <c r="L110" s="13">
        <v>21.67</v>
      </c>
      <c r="M110" s="13"/>
      <c r="N110" s="6"/>
    </row>
  </sheetData>
  <mergeCells count="9">
    <mergeCell ref="D75:N75"/>
    <mergeCell ref="D77:D78"/>
    <mergeCell ref="F77:M77"/>
    <mergeCell ref="D1:N1"/>
    <mergeCell ref="D3:D4"/>
    <mergeCell ref="F3:M3"/>
    <mergeCell ref="D38:N38"/>
    <mergeCell ref="D40:D41"/>
    <mergeCell ref="F40:M40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F456F-F8BD-4027-990C-25B1CED52B48}">
  <sheetPr codeName="Sheet5">
    <tabColor theme="0"/>
  </sheetPr>
  <dimension ref="A1:N152"/>
  <sheetViews>
    <sheetView showGridLines="0" topLeftCell="A132" workbookViewId="0">
      <selection activeCell="F155" sqref="F155"/>
    </sheetView>
  </sheetViews>
  <sheetFormatPr defaultColWidth="9.109375" defaultRowHeight="13.2" x14ac:dyDescent="0.25"/>
  <cols>
    <col min="1" max="1" width="35.6640625" style="3" bestFit="1" customWidth="1"/>
    <col min="2" max="2" width="38.109375" style="3" bestFit="1" customWidth="1"/>
    <col min="3" max="3" width="9.109375" style="3"/>
    <col min="4" max="4" width="30.6640625" style="3" customWidth="1"/>
    <col min="5" max="16384" width="9.109375" style="3"/>
  </cols>
  <sheetData>
    <row r="1" spans="1:14" ht="13.8" x14ac:dyDescent="0.3">
      <c r="A1" s="2"/>
      <c r="D1" s="19" t="s">
        <v>15</v>
      </c>
      <c r="E1" s="19"/>
      <c r="F1" s="19"/>
      <c r="G1" s="19"/>
      <c r="H1" s="19"/>
      <c r="I1" s="19"/>
      <c r="J1" s="19"/>
      <c r="K1" s="19"/>
      <c r="L1" s="19"/>
      <c r="M1" s="19"/>
      <c r="N1" s="19"/>
    </row>
    <row r="2" spans="1:14" ht="13.8" x14ac:dyDescent="0.3">
      <c r="A2" s="2"/>
      <c r="B2" s="2"/>
      <c r="D2" s="4" t="s">
        <v>36</v>
      </c>
      <c r="E2" s="5"/>
      <c r="F2" s="5"/>
      <c r="G2" s="5"/>
      <c r="H2" s="5"/>
      <c r="I2" s="5"/>
      <c r="J2" s="5"/>
      <c r="K2" s="5"/>
      <c r="L2" s="5"/>
      <c r="M2" s="5"/>
      <c r="N2" s="6"/>
    </row>
    <row r="3" spans="1:14" ht="13.8" x14ac:dyDescent="0.3">
      <c r="A3" s="2"/>
      <c r="D3" s="20" t="s">
        <v>17</v>
      </c>
      <c r="E3" s="5"/>
      <c r="F3" s="22" t="s">
        <v>6</v>
      </c>
      <c r="G3" s="22"/>
      <c r="H3" s="22"/>
      <c r="I3" s="22"/>
      <c r="J3" s="22"/>
      <c r="K3" s="22"/>
      <c r="L3" s="22"/>
      <c r="M3" s="22"/>
      <c r="N3" s="6"/>
    </row>
    <row r="4" spans="1:14" ht="14.4" thickBot="1" x14ac:dyDescent="0.3">
      <c r="A4" s="3" t="s">
        <v>18</v>
      </c>
      <c r="B4" s="7" t="s">
        <v>19</v>
      </c>
      <c r="D4" s="21"/>
      <c r="E4" s="8">
        <v>1</v>
      </c>
      <c r="F4" s="8">
        <v>2</v>
      </c>
      <c r="G4" s="9">
        <v>3</v>
      </c>
      <c r="H4" s="9">
        <v>4</v>
      </c>
      <c r="I4" s="9">
        <v>5</v>
      </c>
      <c r="J4" s="9">
        <v>6</v>
      </c>
      <c r="K4" s="9">
        <v>7</v>
      </c>
      <c r="L4" s="9">
        <v>8</v>
      </c>
      <c r="M4" s="9">
        <v>9</v>
      </c>
      <c r="N4" s="6"/>
    </row>
    <row r="5" spans="1:14" ht="13.8" x14ac:dyDescent="0.25">
      <c r="A5" s="3" t="s">
        <v>20</v>
      </c>
      <c r="B5" s="10">
        <v>45701</v>
      </c>
      <c r="D5" s="6">
        <v>1</v>
      </c>
      <c r="E5" s="11">
        <v>3.3499999999999996</v>
      </c>
      <c r="F5" s="11">
        <v>3.4</v>
      </c>
      <c r="G5" s="11">
        <v>3.42</v>
      </c>
      <c r="H5" s="11">
        <v>3.51</v>
      </c>
      <c r="I5" s="11">
        <v>3.59</v>
      </c>
      <c r="J5" s="11">
        <v>3.6799999999999997</v>
      </c>
      <c r="K5" s="11">
        <v>3.75</v>
      </c>
      <c r="L5" s="11">
        <v>3.9299999999999997</v>
      </c>
      <c r="M5" s="11"/>
      <c r="N5" s="6"/>
    </row>
    <row r="6" spans="1:14" ht="13.8" x14ac:dyDescent="0.25">
      <c r="A6" s="3" t="s">
        <v>21</v>
      </c>
      <c r="B6" s="10">
        <v>46065</v>
      </c>
      <c r="D6" s="6">
        <v>2</v>
      </c>
      <c r="E6" s="11">
        <v>3.3499999999999996</v>
      </c>
      <c r="F6" s="11">
        <v>3.4</v>
      </c>
      <c r="G6" s="11">
        <v>3.42</v>
      </c>
      <c r="H6" s="11">
        <v>3.51</v>
      </c>
      <c r="I6" s="11">
        <v>3.59</v>
      </c>
      <c r="J6" s="11">
        <v>3.6799999999999997</v>
      </c>
      <c r="K6" s="11">
        <v>3.75</v>
      </c>
      <c r="L6" s="11">
        <v>3.9299999999999997</v>
      </c>
      <c r="M6" s="11"/>
      <c r="N6" s="6"/>
    </row>
    <row r="7" spans="1:14" ht="13.8" x14ac:dyDescent="0.25">
      <c r="D7" s="6">
        <v>3</v>
      </c>
      <c r="E7" s="11">
        <v>3.3499999999999996</v>
      </c>
      <c r="F7" s="11">
        <v>3.4</v>
      </c>
      <c r="G7" s="11">
        <v>3.42</v>
      </c>
      <c r="H7" s="11">
        <v>3.51</v>
      </c>
      <c r="I7" s="11">
        <v>3.59</v>
      </c>
      <c r="J7" s="11">
        <v>3.6799999999999997</v>
      </c>
      <c r="K7" s="11">
        <v>3.75</v>
      </c>
      <c r="L7" s="11">
        <v>3.9299999999999997</v>
      </c>
      <c r="M7" s="11"/>
      <c r="N7" s="6"/>
    </row>
    <row r="8" spans="1:14" ht="13.8" x14ac:dyDescent="0.25">
      <c r="D8" s="6">
        <v>4</v>
      </c>
      <c r="E8" s="11">
        <v>3.3499999999999996</v>
      </c>
      <c r="F8" s="11">
        <v>3.4</v>
      </c>
      <c r="G8" s="11">
        <v>3.42</v>
      </c>
      <c r="H8" s="11">
        <v>3.51</v>
      </c>
      <c r="I8" s="11">
        <v>3.59</v>
      </c>
      <c r="J8" s="11">
        <v>3.6799999999999997</v>
      </c>
      <c r="K8" s="11">
        <v>3.75</v>
      </c>
      <c r="L8" s="11">
        <v>3.9299999999999997</v>
      </c>
      <c r="M8" s="11"/>
      <c r="N8" s="6"/>
    </row>
    <row r="9" spans="1:14" ht="13.8" x14ac:dyDescent="0.25">
      <c r="D9" s="6">
        <v>5</v>
      </c>
      <c r="E9" s="11">
        <v>4.1099999999999994</v>
      </c>
      <c r="F9" s="11">
        <v>4.18</v>
      </c>
      <c r="G9" s="11">
        <v>4.22</v>
      </c>
      <c r="H9" s="11">
        <v>4.2799999999999994</v>
      </c>
      <c r="I9" s="11">
        <v>4.33</v>
      </c>
      <c r="J9" s="11">
        <v>4.37</v>
      </c>
      <c r="K9" s="11">
        <v>4.4399999999999995</v>
      </c>
      <c r="L9" s="11">
        <v>4.58</v>
      </c>
      <c r="M9" s="11"/>
      <c r="N9" s="6"/>
    </row>
    <row r="10" spans="1:14" ht="13.8" x14ac:dyDescent="0.25">
      <c r="D10" s="6">
        <v>6</v>
      </c>
      <c r="E10" s="11">
        <v>4.1099999999999994</v>
      </c>
      <c r="F10" s="11">
        <v>4.18</v>
      </c>
      <c r="G10" s="11">
        <v>4.22</v>
      </c>
      <c r="H10" s="11">
        <v>4.2799999999999994</v>
      </c>
      <c r="I10" s="11">
        <v>4.33</v>
      </c>
      <c r="J10" s="11">
        <v>4.37</v>
      </c>
      <c r="K10" s="11">
        <v>4.4399999999999995</v>
      </c>
      <c r="L10" s="11">
        <v>4.58</v>
      </c>
      <c r="M10" s="11"/>
      <c r="N10" s="6"/>
    </row>
    <row r="11" spans="1:14" ht="13.8" x14ac:dyDescent="0.25">
      <c r="D11" s="6">
        <v>7</v>
      </c>
      <c r="E11" s="11">
        <v>4.1099999999999994</v>
      </c>
      <c r="F11" s="11">
        <v>4.18</v>
      </c>
      <c r="G11" s="11">
        <v>4.22</v>
      </c>
      <c r="H11" s="11">
        <v>4.2799999999999994</v>
      </c>
      <c r="I11" s="11">
        <v>4.33</v>
      </c>
      <c r="J11" s="11">
        <v>4.37</v>
      </c>
      <c r="K11" s="11">
        <v>4.4399999999999995</v>
      </c>
      <c r="L11" s="11">
        <v>4.58</v>
      </c>
      <c r="M11" s="11"/>
      <c r="N11" s="6"/>
    </row>
    <row r="12" spans="1:14" ht="13.8" x14ac:dyDescent="0.25">
      <c r="D12" s="6">
        <v>8</v>
      </c>
      <c r="E12" s="11">
        <v>4.1099999999999994</v>
      </c>
      <c r="F12" s="11">
        <v>4.18</v>
      </c>
      <c r="G12" s="11">
        <v>4.22</v>
      </c>
      <c r="H12" s="11">
        <v>4.2799999999999994</v>
      </c>
      <c r="I12" s="11">
        <v>4.33</v>
      </c>
      <c r="J12" s="11">
        <v>4.37</v>
      </c>
      <c r="K12" s="11">
        <v>4.4399999999999995</v>
      </c>
      <c r="L12" s="11">
        <v>4.58</v>
      </c>
      <c r="M12" s="11"/>
      <c r="N12" s="6"/>
    </row>
    <row r="13" spans="1:14" ht="13.8" x14ac:dyDescent="0.25">
      <c r="D13" s="6">
        <v>9</v>
      </c>
      <c r="E13" s="11">
        <v>4.7299999999999995</v>
      </c>
      <c r="F13" s="11">
        <v>4.8</v>
      </c>
      <c r="G13" s="11">
        <v>4.8599999999999994</v>
      </c>
      <c r="H13" s="11">
        <v>4.92</v>
      </c>
      <c r="I13" s="11">
        <v>5</v>
      </c>
      <c r="J13" s="11">
        <v>5.16</v>
      </c>
      <c r="K13" s="11">
        <v>5.29</v>
      </c>
      <c r="L13" s="11">
        <v>5.45</v>
      </c>
      <c r="M13" s="11"/>
      <c r="N13" s="6"/>
    </row>
    <row r="14" spans="1:14" ht="13.8" x14ac:dyDescent="0.25">
      <c r="D14" s="6">
        <v>10</v>
      </c>
      <c r="E14" s="11">
        <v>4.7299999999999995</v>
      </c>
      <c r="F14" s="11">
        <v>4.8</v>
      </c>
      <c r="G14" s="11">
        <v>4.8599999999999994</v>
      </c>
      <c r="H14" s="11">
        <v>4.92</v>
      </c>
      <c r="I14" s="11">
        <v>5</v>
      </c>
      <c r="J14" s="11">
        <v>5.16</v>
      </c>
      <c r="K14" s="11">
        <v>5.29</v>
      </c>
      <c r="L14" s="11">
        <v>5.45</v>
      </c>
      <c r="M14" s="11"/>
      <c r="N14" s="6"/>
    </row>
    <row r="15" spans="1:14" ht="13.8" x14ac:dyDescent="0.25">
      <c r="D15" s="6">
        <v>11</v>
      </c>
      <c r="E15" s="11">
        <v>4.7299999999999995</v>
      </c>
      <c r="F15" s="11">
        <v>4.8</v>
      </c>
      <c r="G15" s="11">
        <v>4.8599999999999994</v>
      </c>
      <c r="H15" s="11">
        <v>4.92</v>
      </c>
      <c r="I15" s="11">
        <v>5</v>
      </c>
      <c r="J15" s="11">
        <v>5.16</v>
      </c>
      <c r="K15" s="11">
        <v>5.29</v>
      </c>
      <c r="L15" s="11">
        <v>5.45</v>
      </c>
      <c r="M15" s="11"/>
      <c r="N15" s="6"/>
    </row>
    <row r="16" spans="1:14" ht="13.8" x14ac:dyDescent="0.25">
      <c r="D16" s="6">
        <v>12</v>
      </c>
      <c r="E16" s="11">
        <v>4.7299999999999995</v>
      </c>
      <c r="F16" s="11">
        <v>4.8</v>
      </c>
      <c r="G16" s="11">
        <v>4.8599999999999994</v>
      </c>
      <c r="H16" s="11">
        <v>4.92</v>
      </c>
      <c r="I16" s="11">
        <v>5</v>
      </c>
      <c r="J16" s="11">
        <v>5.16</v>
      </c>
      <c r="K16" s="11">
        <v>5.29</v>
      </c>
      <c r="L16" s="11">
        <v>5.45</v>
      </c>
      <c r="M16" s="11"/>
      <c r="N16" s="6"/>
    </row>
    <row r="17" spans="4:14" ht="13.8" x14ac:dyDescent="0.25">
      <c r="D17" s="6">
        <v>13</v>
      </c>
      <c r="E17" s="11">
        <v>5.2799999999999994</v>
      </c>
      <c r="F17" s="11">
        <v>5.3599999999999994</v>
      </c>
      <c r="G17" s="11">
        <v>5.42</v>
      </c>
      <c r="H17" s="11">
        <v>5.4799999999999995</v>
      </c>
      <c r="I17" s="11">
        <v>5.6099999999999994</v>
      </c>
      <c r="J17" s="11">
        <v>5.8199999999999994</v>
      </c>
      <c r="K17" s="11">
        <v>5.95</v>
      </c>
      <c r="L17" s="11">
        <v>6.12</v>
      </c>
      <c r="M17" s="11"/>
      <c r="N17" s="6"/>
    </row>
    <row r="18" spans="4:14" ht="13.8" x14ac:dyDescent="0.25">
      <c r="D18" s="6">
        <v>14</v>
      </c>
      <c r="E18" s="11">
        <v>5.2799999999999994</v>
      </c>
      <c r="F18" s="11">
        <v>5.3599999999999994</v>
      </c>
      <c r="G18" s="11">
        <v>5.42</v>
      </c>
      <c r="H18" s="11">
        <v>5.4799999999999995</v>
      </c>
      <c r="I18" s="11">
        <v>5.6099999999999994</v>
      </c>
      <c r="J18" s="11">
        <v>5.8199999999999994</v>
      </c>
      <c r="K18" s="11">
        <v>5.95</v>
      </c>
      <c r="L18" s="11">
        <v>6.12</v>
      </c>
      <c r="M18" s="11"/>
      <c r="N18" s="6"/>
    </row>
    <row r="19" spans="4:14" ht="13.8" x14ac:dyDescent="0.25">
      <c r="D19" s="6">
        <v>15</v>
      </c>
      <c r="E19" s="11">
        <v>5.2799999999999994</v>
      </c>
      <c r="F19" s="11">
        <v>5.3599999999999994</v>
      </c>
      <c r="G19" s="11">
        <v>5.42</v>
      </c>
      <c r="H19" s="11">
        <v>5.4799999999999995</v>
      </c>
      <c r="I19" s="11">
        <v>5.6099999999999994</v>
      </c>
      <c r="J19" s="11">
        <v>5.8199999999999994</v>
      </c>
      <c r="K19" s="11">
        <v>5.95</v>
      </c>
      <c r="L19" s="11">
        <v>6.12</v>
      </c>
      <c r="M19" s="11"/>
      <c r="N19" s="6"/>
    </row>
    <row r="20" spans="4:14" ht="13.8" x14ac:dyDescent="0.25">
      <c r="D20" s="12">
        <v>15.999000000000001</v>
      </c>
      <c r="E20" s="13">
        <v>5.2799999999999994</v>
      </c>
      <c r="F20" s="13">
        <v>5.3599999999999994</v>
      </c>
      <c r="G20" s="13">
        <v>5.42</v>
      </c>
      <c r="H20" s="13">
        <v>5.4799999999999995</v>
      </c>
      <c r="I20" s="13">
        <v>5.6099999999999994</v>
      </c>
      <c r="J20" s="13">
        <v>5.8199999999999994</v>
      </c>
      <c r="K20" s="13">
        <v>5.95</v>
      </c>
      <c r="L20" s="13">
        <v>6.12</v>
      </c>
      <c r="M20" s="13"/>
      <c r="N20" s="6"/>
    </row>
    <row r="21" spans="4:14" ht="13.8" x14ac:dyDescent="0.25">
      <c r="D21" s="6">
        <v>1</v>
      </c>
      <c r="E21" s="11">
        <v>6.18</v>
      </c>
      <c r="F21" s="11">
        <v>6.18</v>
      </c>
      <c r="G21" s="11">
        <v>6.21</v>
      </c>
      <c r="H21" s="11">
        <v>6.45</v>
      </c>
      <c r="I21" s="11">
        <v>6.74</v>
      </c>
      <c r="J21" s="11">
        <v>6.96</v>
      </c>
      <c r="K21" s="11">
        <v>7.34</v>
      </c>
      <c r="L21" s="11">
        <v>7.74</v>
      </c>
      <c r="M21" s="11"/>
      <c r="N21" s="6"/>
    </row>
    <row r="22" spans="4:14" ht="13.8" x14ac:dyDescent="0.25">
      <c r="D22" s="6">
        <v>2</v>
      </c>
      <c r="E22" s="11">
        <v>6.18</v>
      </c>
      <c r="F22" s="11">
        <v>6.34</v>
      </c>
      <c r="G22" s="11">
        <v>6.49</v>
      </c>
      <c r="H22" s="11">
        <v>6.84</v>
      </c>
      <c r="I22" s="11">
        <v>7.1499999999999995</v>
      </c>
      <c r="J22" s="11">
        <v>8.0299999999999994</v>
      </c>
      <c r="K22" s="11">
        <v>8.5399999999999991</v>
      </c>
      <c r="L22" s="11">
        <v>9.14</v>
      </c>
      <c r="M22" s="11"/>
      <c r="N22" s="6"/>
    </row>
    <row r="23" spans="4:14" ht="13.8" x14ac:dyDescent="0.25">
      <c r="D23" s="6">
        <v>3</v>
      </c>
      <c r="E23" s="11">
        <v>6.5299999999999994</v>
      </c>
      <c r="F23" s="11">
        <v>6.77</v>
      </c>
      <c r="G23" s="11">
        <v>6.93</v>
      </c>
      <c r="H23" s="11">
        <v>7.26</v>
      </c>
      <c r="I23" s="11">
        <v>7.8</v>
      </c>
      <c r="J23" s="11">
        <v>9.2899999999999991</v>
      </c>
      <c r="K23" s="11">
        <v>9.77</v>
      </c>
      <c r="L23" s="11">
        <v>10.5</v>
      </c>
      <c r="M23" s="11"/>
      <c r="N23" s="6"/>
    </row>
    <row r="24" spans="4:14" ht="13.8" x14ac:dyDescent="0.25">
      <c r="D24" s="6">
        <v>4</v>
      </c>
      <c r="E24" s="11">
        <v>6.72</v>
      </c>
      <c r="F24" s="11">
        <v>6.97</v>
      </c>
      <c r="G24" s="11">
        <v>7.22</v>
      </c>
      <c r="H24" s="11">
        <v>7.72</v>
      </c>
      <c r="I24" s="11">
        <v>8.74</v>
      </c>
      <c r="J24" s="11">
        <v>9.84</v>
      </c>
      <c r="K24" s="11">
        <v>10.59</v>
      </c>
      <c r="L24" s="11">
        <v>11.42</v>
      </c>
      <c r="M24" s="11"/>
      <c r="N24" s="6"/>
    </row>
    <row r="25" spans="4:14" ht="13.8" x14ac:dyDescent="0.25">
      <c r="D25" s="6">
        <v>5</v>
      </c>
      <c r="E25" s="11">
        <v>6.87</v>
      </c>
      <c r="F25" s="11">
        <v>7.13</v>
      </c>
      <c r="G25" s="11">
        <v>7.3999999999999995</v>
      </c>
      <c r="H25" s="11">
        <v>7.97</v>
      </c>
      <c r="I25" s="11">
        <v>8.98</v>
      </c>
      <c r="J25" s="11">
        <v>10.43</v>
      </c>
      <c r="K25" s="11">
        <v>11.15</v>
      </c>
      <c r="L25" s="11">
        <v>12.12</v>
      </c>
      <c r="M25" s="11"/>
      <c r="N25" s="6"/>
    </row>
    <row r="26" spans="4:14" ht="13.8" x14ac:dyDescent="0.25">
      <c r="D26" s="6">
        <v>6</v>
      </c>
      <c r="E26" s="11">
        <v>7.01</v>
      </c>
      <c r="F26" s="11">
        <v>7.24</v>
      </c>
      <c r="G26" s="11">
        <v>7.6499999999999995</v>
      </c>
      <c r="H26" s="11">
        <v>8.32</v>
      </c>
      <c r="I26" s="11">
        <v>10.14</v>
      </c>
      <c r="J26" s="11">
        <v>10.7</v>
      </c>
      <c r="K26" s="11">
        <v>11.459999999999999</v>
      </c>
      <c r="L26" s="11">
        <v>12.45</v>
      </c>
      <c r="M26" s="11"/>
      <c r="N26" s="6"/>
    </row>
    <row r="27" spans="4:14" ht="13.8" x14ac:dyDescent="0.25">
      <c r="D27" s="6">
        <v>7</v>
      </c>
      <c r="E27" s="11">
        <v>7.33</v>
      </c>
      <c r="F27" s="11">
        <v>7.5699999999999994</v>
      </c>
      <c r="G27" s="11">
        <v>8.17</v>
      </c>
      <c r="H27" s="11">
        <v>8.66</v>
      </c>
      <c r="I27" s="11">
        <v>10.48</v>
      </c>
      <c r="J27" s="11">
        <v>11.03</v>
      </c>
      <c r="K27" s="11">
        <v>11.9</v>
      </c>
      <c r="L27" s="11">
        <v>13.07</v>
      </c>
      <c r="M27" s="11"/>
      <c r="N27" s="6"/>
    </row>
    <row r="28" spans="4:14" ht="13.8" x14ac:dyDescent="0.25">
      <c r="D28" s="6">
        <v>8</v>
      </c>
      <c r="E28" s="11">
        <v>7.47</v>
      </c>
      <c r="F28" s="11">
        <v>7.71</v>
      </c>
      <c r="G28" s="11">
        <v>8.5499999999999989</v>
      </c>
      <c r="H28" s="11">
        <v>9.48</v>
      </c>
      <c r="I28" s="11">
        <v>10.75</v>
      </c>
      <c r="J28" s="11">
        <v>11.4</v>
      </c>
      <c r="K28" s="11">
        <v>12.299999999999999</v>
      </c>
      <c r="L28" s="11">
        <v>13.56</v>
      </c>
      <c r="M28" s="11"/>
      <c r="N28" s="6"/>
    </row>
    <row r="29" spans="4:14" ht="13.8" x14ac:dyDescent="0.25">
      <c r="D29" s="6">
        <v>9</v>
      </c>
      <c r="E29" s="11">
        <v>7.91</v>
      </c>
      <c r="F29" s="11">
        <v>8.18</v>
      </c>
      <c r="G29" s="11">
        <v>8.84</v>
      </c>
      <c r="H29" s="11">
        <v>9.85</v>
      </c>
      <c r="I29" s="11">
        <v>10.92</v>
      </c>
      <c r="J29" s="11">
        <v>11.69</v>
      </c>
      <c r="K29" s="11">
        <v>12.78</v>
      </c>
      <c r="L29" s="11">
        <v>14.209999999999999</v>
      </c>
      <c r="M29" s="11"/>
      <c r="N29" s="6"/>
    </row>
    <row r="30" spans="4:14" ht="13.8" x14ac:dyDescent="0.25">
      <c r="D30" s="6">
        <v>10</v>
      </c>
      <c r="E30" s="11">
        <v>8.19</v>
      </c>
      <c r="F30" s="11">
        <v>8.4700000000000006</v>
      </c>
      <c r="G30" s="11">
        <v>9.17</v>
      </c>
      <c r="H30" s="11">
        <v>9.99</v>
      </c>
      <c r="I30" s="11">
        <v>11.2</v>
      </c>
      <c r="J30" s="11">
        <v>11.99</v>
      </c>
      <c r="K30" s="11">
        <v>13.42</v>
      </c>
      <c r="L30" s="11">
        <v>15</v>
      </c>
      <c r="M30" s="11"/>
      <c r="N30" s="6"/>
    </row>
    <row r="31" spans="4:14" ht="13.8" x14ac:dyDescent="0.25">
      <c r="D31" s="6">
        <v>11</v>
      </c>
      <c r="E31" s="11">
        <v>9.14</v>
      </c>
      <c r="F31" s="11">
        <v>9.49</v>
      </c>
      <c r="G31" s="11">
        <v>9.74</v>
      </c>
      <c r="H31" s="11">
        <v>10.59</v>
      </c>
      <c r="I31" s="11">
        <v>11.5</v>
      </c>
      <c r="J31" s="11">
        <v>12.42</v>
      </c>
      <c r="K31" s="11">
        <v>14.39</v>
      </c>
      <c r="L31" s="11">
        <v>15.879999999999999</v>
      </c>
      <c r="M31" s="11"/>
      <c r="N31" s="6"/>
    </row>
    <row r="32" spans="4:14" ht="13.8" x14ac:dyDescent="0.25">
      <c r="D32" s="6">
        <v>12</v>
      </c>
      <c r="E32" s="11">
        <v>9.52</v>
      </c>
      <c r="F32" s="11">
        <v>9.82</v>
      </c>
      <c r="G32" s="11">
        <v>10.17</v>
      </c>
      <c r="H32" s="11">
        <v>10.85</v>
      </c>
      <c r="I32" s="11">
        <v>11.81</v>
      </c>
      <c r="J32" s="11">
        <v>12.959999999999999</v>
      </c>
      <c r="K32" s="11">
        <v>15.049999999999999</v>
      </c>
      <c r="L32" s="11">
        <v>16.700000000000003</v>
      </c>
      <c r="M32" s="11"/>
      <c r="N32" s="6"/>
    </row>
    <row r="33" spans="4:14" ht="13.8" x14ac:dyDescent="0.25">
      <c r="D33" s="6">
        <v>13</v>
      </c>
      <c r="E33" s="11">
        <v>9.7999999999999989</v>
      </c>
      <c r="F33" s="11">
        <v>10.09</v>
      </c>
      <c r="G33" s="11">
        <v>10.53</v>
      </c>
      <c r="H33" s="11">
        <v>11.18</v>
      </c>
      <c r="I33" s="11">
        <v>12.25</v>
      </c>
      <c r="J33" s="11">
        <v>13.459999999999999</v>
      </c>
      <c r="K33" s="11">
        <v>16.060000000000002</v>
      </c>
      <c r="L33" s="11">
        <v>17.810000000000002</v>
      </c>
      <c r="M33" s="11"/>
      <c r="N33" s="6"/>
    </row>
    <row r="34" spans="4:14" ht="13.8" x14ac:dyDescent="0.25">
      <c r="D34" s="6">
        <v>14</v>
      </c>
      <c r="E34" s="11">
        <v>10.11</v>
      </c>
      <c r="F34" s="11">
        <v>10.37</v>
      </c>
      <c r="G34" s="11">
        <v>10.81</v>
      </c>
      <c r="H34" s="11">
        <v>11.36</v>
      </c>
      <c r="I34" s="11">
        <v>12.56</v>
      </c>
      <c r="J34" s="11">
        <v>14.24</v>
      </c>
      <c r="K34" s="11">
        <v>17.040000000000003</v>
      </c>
      <c r="L34" s="11">
        <v>18.940000000000001</v>
      </c>
      <c r="M34" s="11"/>
      <c r="N34" s="6"/>
    </row>
    <row r="35" spans="4:14" ht="13.8" x14ac:dyDescent="0.25">
      <c r="D35" s="6">
        <v>15</v>
      </c>
      <c r="E35" s="11">
        <v>10.31</v>
      </c>
      <c r="F35" s="11">
        <v>10.52</v>
      </c>
      <c r="G35" s="11">
        <v>11.19</v>
      </c>
      <c r="H35" s="11">
        <v>11.74</v>
      </c>
      <c r="I35" s="11">
        <v>13.15</v>
      </c>
      <c r="J35" s="11">
        <v>15.01</v>
      </c>
      <c r="K35" s="11">
        <v>17.720000000000002</v>
      </c>
      <c r="L35" s="11">
        <v>20.110000000000003</v>
      </c>
      <c r="M35" s="11"/>
      <c r="N35" s="6"/>
    </row>
    <row r="36" spans="4:14" ht="13.8" x14ac:dyDescent="0.25">
      <c r="D36" s="6">
        <v>16</v>
      </c>
      <c r="E36" s="11">
        <v>10.59</v>
      </c>
      <c r="F36" s="11">
        <v>10.77</v>
      </c>
      <c r="G36" s="11">
        <v>11.49</v>
      </c>
      <c r="H36" s="11">
        <v>11.959999999999999</v>
      </c>
      <c r="I36" s="11">
        <v>13.42</v>
      </c>
      <c r="J36" s="11">
        <v>15.59</v>
      </c>
      <c r="K36" s="11">
        <v>18.520000000000003</v>
      </c>
      <c r="L36" s="11">
        <v>20.830000000000002</v>
      </c>
      <c r="M36" s="11"/>
      <c r="N36" s="6"/>
    </row>
    <row r="37" spans="4:14" ht="13.8" x14ac:dyDescent="0.25">
      <c r="D37" s="6">
        <v>17</v>
      </c>
      <c r="E37" s="11">
        <v>10.86</v>
      </c>
      <c r="F37" s="11">
        <v>11.44</v>
      </c>
      <c r="G37" s="11">
        <v>11.89</v>
      </c>
      <c r="H37" s="11">
        <v>12.33</v>
      </c>
      <c r="I37" s="11">
        <v>13.98</v>
      </c>
      <c r="J37" s="11">
        <v>16.290000000000003</v>
      </c>
      <c r="K37" s="11">
        <v>19.580000000000002</v>
      </c>
      <c r="L37" s="11">
        <v>21.6</v>
      </c>
      <c r="M37" s="11"/>
      <c r="N37" s="6"/>
    </row>
    <row r="38" spans="4:14" ht="13.8" x14ac:dyDescent="0.25">
      <c r="D38" s="6">
        <v>18</v>
      </c>
      <c r="E38" s="11">
        <v>11</v>
      </c>
      <c r="F38" s="11">
        <v>11.59</v>
      </c>
      <c r="G38" s="11">
        <v>12.06</v>
      </c>
      <c r="H38" s="11">
        <v>12.549999999999999</v>
      </c>
      <c r="I38" s="11">
        <v>14.549999999999999</v>
      </c>
      <c r="J38" s="11">
        <v>16.990000000000002</v>
      </c>
      <c r="K38" s="11">
        <v>20.14</v>
      </c>
      <c r="L38" s="11">
        <v>22.8</v>
      </c>
      <c r="M38" s="11"/>
      <c r="N38" s="6"/>
    </row>
    <row r="39" spans="4:14" ht="13.8" x14ac:dyDescent="0.25">
      <c r="D39" s="6">
        <v>19</v>
      </c>
      <c r="E39" s="11">
        <v>11.299999999999999</v>
      </c>
      <c r="F39" s="11">
        <v>11.9</v>
      </c>
      <c r="G39" s="11">
        <v>12.56</v>
      </c>
      <c r="H39" s="11">
        <v>13.06</v>
      </c>
      <c r="I39" s="11">
        <v>15.37</v>
      </c>
      <c r="J39" s="11">
        <v>17.57</v>
      </c>
      <c r="K39" s="11">
        <v>20.89</v>
      </c>
      <c r="L39" s="11">
        <v>23.78</v>
      </c>
      <c r="M39" s="11"/>
      <c r="N39" s="6"/>
    </row>
    <row r="40" spans="4:14" ht="13.8" x14ac:dyDescent="0.25">
      <c r="D40" s="12">
        <v>20</v>
      </c>
      <c r="E40" s="13">
        <v>11.52</v>
      </c>
      <c r="F40" s="13">
        <v>12.15</v>
      </c>
      <c r="G40" s="13">
        <v>12.86</v>
      </c>
      <c r="H40" s="13">
        <v>13.41</v>
      </c>
      <c r="I40" s="13">
        <v>15.83</v>
      </c>
      <c r="J40" s="13">
        <v>18.220000000000002</v>
      </c>
      <c r="K40" s="13">
        <v>21.71</v>
      </c>
      <c r="L40" s="13">
        <v>24.87</v>
      </c>
      <c r="M40" s="13"/>
      <c r="N40" s="6"/>
    </row>
    <row r="41" spans="4:14" ht="13.8" x14ac:dyDescent="0.25">
      <c r="D41" s="6" t="s">
        <v>31</v>
      </c>
      <c r="E41" s="11">
        <v>4.8899999999999997</v>
      </c>
      <c r="F41" s="11">
        <v>4.8899999999999997</v>
      </c>
      <c r="G41" s="11">
        <v>4.92</v>
      </c>
      <c r="H41" s="11">
        <v>5.1099999999999994</v>
      </c>
      <c r="I41" s="11">
        <v>5.34</v>
      </c>
      <c r="J41" s="11">
        <v>5.52</v>
      </c>
      <c r="K41" s="11">
        <v>5.8199999999999994</v>
      </c>
      <c r="L41" s="11">
        <v>6.14</v>
      </c>
      <c r="M41" s="11"/>
      <c r="N41" s="6"/>
    </row>
    <row r="42" spans="4:14" ht="13.8" x14ac:dyDescent="0.25">
      <c r="D42" s="6" t="s">
        <v>32</v>
      </c>
      <c r="E42" s="11">
        <v>6.18</v>
      </c>
      <c r="F42" s="11">
        <v>6.27</v>
      </c>
      <c r="G42" s="11">
        <v>6.38</v>
      </c>
      <c r="H42" s="11">
        <v>6.6899999999999995</v>
      </c>
      <c r="I42" s="11">
        <v>6.99</v>
      </c>
      <c r="J42" s="11">
        <v>7.6</v>
      </c>
      <c r="K42" s="11">
        <v>8.06</v>
      </c>
      <c r="L42" s="11">
        <v>8.58</v>
      </c>
      <c r="M42" s="11"/>
      <c r="N42" s="6"/>
    </row>
    <row r="43" spans="4:14" ht="13.8" x14ac:dyDescent="0.25">
      <c r="D43" s="6" t="s">
        <v>33</v>
      </c>
      <c r="E43" s="11">
        <v>6.38</v>
      </c>
      <c r="F43" s="11">
        <v>6.58</v>
      </c>
      <c r="G43" s="11">
        <v>6.7299999999999995</v>
      </c>
      <c r="H43" s="11">
        <v>7.0699999999999994</v>
      </c>
      <c r="I43" s="11">
        <v>7.52</v>
      </c>
      <c r="J43" s="11">
        <v>8.75</v>
      </c>
      <c r="K43" s="11">
        <v>9.23</v>
      </c>
      <c r="L43" s="11">
        <v>9.9</v>
      </c>
      <c r="M43" s="11"/>
      <c r="N43" s="6"/>
    </row>
    <row r="44" spans="4:14" ht="13.8" x14ac:dyDescent="0.25">
      <c r="D44" s="6" t="s">
        <v>34</v>
      </c>
      <c r="E44" s="11">
        <v>6.64</v>
      </c>
      <c r="F44" s="11">
        <v>6.88</v>
      </c>
      <c r="G44" s="11">
        <v>7.08</v>
      </c>
      <c r="H44" s="11">
        <v>7.52</v>
      </c>
      <c r="I44" s="11">
        <v>8.32</v>
      </c>
      <c r="J44" s="11">
        <v>9.6</v>
      </c>
      <c r="K44" s="11">
        <v>10.23</v>
      </c>
      <c r="L44" s="11">
        <v>11.02</v>
      </c>
      <c r="M44" s="11"/>
      <c r="N44" s="6"/>
    </row>
    <row r="45" spans="4:14" ht="13.8" x14ac:dyDescent="0.25">
      <c r="D45" s="6" t="s">
        <v>35</v>
      </c>
      <c r="E45" s="11">
        <v>6.8199999999999994</v>
      </c>
      <c r="F45" s="11">
        <v>7.06</v>
      </c>
      <c r="G45" s="11">
        <v>7.33</v>
      </c>
      <c r="H45" s="11">
        <v>7.88</v>
      </c>
      <c r="I45" s="11">
        <v>8.89</v>
      </c>
      <c r="J45" s="11">
        <v>10.209999999999999</v>
      </c>
      <c r="K45" s="11">
        <v>10.93</v>
      </c>
      <c r="L45" s="11">
        <v>11.85</v>
      </c>
      <c r="M45" s="11"/>
      <c r="N45" s="6"/>
    </row>
    <row r="46" spans="4:14" ht="13.8" x14ac:dyDescent="0.25">
      <c r="D46" s="6" t="s">
        <v>37</v>
      </c>
      <c r="E46" s="11">
        <v>6.97</v>
      </c>
      <c r="F46" s="11">
        <v>7.21</v>
      </c>
      <c r="G46" s="11">
        <v>7.59</v>
      </c>
      <c r="H46" s="11">
        <v>8.2200000000000006</v>
      </c>
      <c r="I46" s="11">
        <v>9.82</v>
      </c>
      <c r="J46" s="11">
        <v>10.62</v>
      </c>
      <c r="K46" s="11">
        <v>11.379999999999999</v>
      </c>
      <c r="L46" s="11">
        <v>12.35</v>
      </c>
      <c r="M46" s="11"/>
      <c r="N46" s="6"/>
    </row>
    <row r="47" spans="4:14" ht="13.8" x14ac:dyDescent="0.25">
      <c r="D47" s="6" t="s">
        <v>38</v>
      </c>
      <c r="E47" s="11">
        <v>7.26</v>
      </c>
      <c r="F47" s="11">
        <v>7.5</v>
      </c>
      <c r="G47" s="11">
        <v>8.0499999999999989</v>
      </c>
      <c r="H47" s="11">
        <v>8.59</v>
      </c>
      <c r="I47" s="11">
        <v>10.4</v>
      </c>
      <c r="J47" s="11">
        <v>10.94</v>
      </c>
      <c r="K47" s="11">
        <v>11.79</v>
      </c>
      <c r="L47" s="11">
        <v>12.92</v>
      </c>
      <c r="M47" s="11"/>
      <c r="N47" s="6"/>
    </row>
    <row r="48" spans="4:14" ht="13.8" x14ac:dyDescent="0.25">
      <c r="D48" s="6" t="s">
        <v>39</v>
      </c>
      <c r="E48" s="11">
        <v>7.45</v>
      </c>
      <c r="F48" s="11">
        <v>7.67</v>
      </c>
      <c r="G48" s="11">
        <v>8.4700000000000006</v>
      </c>
      <c r="H48" s="11">
        <v>9.31</v>
      </c>
      <c r="I48" s="11">
        <v>10.69</v>
      </c>
      <c r="J48" s="11">
        <v>11.33</v>
      </c>
      <c r="K48" s="11">
        <v>12.22</v>
      </c>
      <c r="L48" s="11">
        <v>13.45</v>
      </c>
      <c r="M48" s="11"/>
      <c r="N48" s="6"/>
    </row>
    <row r="49" spans="4:14" ht="13.8" x14ac:dyDescent="0.25">
      <c r="D49" s="6" t="s">
        <v>40</v>
      </c>
      <c r="E49" s="11">
        <v>7.85</v>
      </c>
      <c r="F49" s="11">
        <v>8.11</v>
      </c>
      <c r="G49" s="11">
        <v>8.7899999999999991</v>
      </c>
      <c r="H49" s="11">
        <v>9.7999999999999989</v>
      </c>
      <c r="I49" s="11">
        <v>10.89</v>
      </c>
      <c r="J49" s="11">
        <v>11.65</v>
      </c>
      <c r="K49" s="11">
        <v>12.709999999999999</v>
      </c>
      <c r="L49" s="11">
        <v>14.11</v>
      </c>
      <c r="M49" s="11"/>
      <c r="N49" s="6"/>
    </row>
    <row r="50" spans="4:14" ht="13.8" x14ac:dyDescent="0.25">
      <c r="D50" s="12" t="s">
        <v>41</v>
      </c>
      <c r="E50" s="13">
        <v>8.16</v>
      </c>
      <c r="F50" s="13">
        <v>8.44</v>
      </c>
      <c r="G50" s="13">
        <v>9.14</v>
      </c>
      <c r="H50" s="13">
        <v>9.98</v>
      </c>
      <c r="I50" s="13">
        <v>11.17</v>
      </c>
      <c r="J50" s="13">
        <v>11.959999999999999</v>
      </c>
      <c r="K50" s="13">
        <v>13.35</v>
      </c>
      <c r="L50" s="13">
        <v>14.92</v>
      </c>
      <c r="M50" s="13"/>
      <c r="N50" s="6"/>
    </row>
    <row r="52" spans="4:14" ht="13.8" x14ac:dyDescent="0.3">
      <c r="D52" s="19" t="s">
        <v>25</v>
      </c>
      <c r="E52" s="19"/>
      <c r="F52" s="19"/>
      <c r="G52" s="19"/>
      <c r="H52" s="19"/>
      <c r="I52" s="19"/>
      <c r="J52" s="19"/>
      <c r="K52" s="19"/>
      <c r="L52" s="19"/>
      <c r="M52" s="19"/>
      <c r="N52" s="19"/>
    </row>
    <row r="53" spans="4:14" ht="13.8" x14ac:dyDescent="0.25">
      <c r="D53" s="4" t="s">
        <v>36</v>
      </c>
      <c r="E53" s="5"/>
      <c r="F53" s="5"/>
      <c r="G53" s="5"/>
      <c r="H53" s="5"/>
      <c r="I53" s="5"/>
      <c r="J53" s="5"/>
      <c r="K53" s="5"/>
      <c r="L53" s="5"/>
      <c r="M53" s="5"/>
      <c r="N53" s="6"/>
    </row>
    <row r="54" spans="4:14" ht="13.8" x14ac:dyDescent="0.25">
      <c r="D54" s="20" t="s">
        <v>17</v>
      </c>
      <c r="E54" s="5"/>
      <c r="F54" s="22" t="s">
        <v>6</v>
      </c>
      <c r="G54" s="22"/>
      <c r="H54" s="22"/>
      <c r="I54" s="22"/>
      <c r="J54" s="22"/>
      <c r="K54" s="22"/>
      <c r="L54" s="22"/>
      <c r="M54" s="22"/>
      <c r="N54" s="6"/>
    </row>
    <row r="55" spans="4:14" ht="14.4" thickBot="1" x14ac:dyDescent="0.3">
      <c r="D55" s="21"/>
      <c r="E55" s="8">
        <v>1</v>
      </c>
      <c r="F55" s="8">
        <v>2</v>
      </c>
      <c r="G55" s="9">
        <v>3</v>
      </c>
      <c r="H55" s="9">
        <v>4</v>
      </c>
      <c r="I55" s="9">
        <v>5</v>
      </c>
      <c r="J55" s="9">
        <v>6</v>
      </c>
      <c r="K55" s="9">
        <v>7</v>
      </c>
      <c r="L55" s="9">
        <v>8</v>
      </c>
      <c r="M55" s="9">
        <v>9</v>
      </c>
      <c r="N55" s="6"/>
    </row>
    <row r="56" spans="4:14" ht="13.8" x14ac:dyDescent="0.25">
      <c r="D56" s="6">
        <v>1</v>
      </c>
      <c r="E56" s="11">
        <v>3.2399999999999998</v>
      </c>
      <c r="F56" s="11">
        <v>3.2899999999999996</v>
      </c>
      <c r="G56" s="11">
        <v>3.3099999999999996</v>
      </c>
      <c r="H56" s="11">
        <v>3.4</v>
      </c>
      <c r="I56" s="11">
        <v>3.4699999999999998</v>
      </c>
      <c r="J56" s="11">
        <v>3.57</v>
      </c>
      <c r="K56" s="11">
        <v>3.6399999999999997</v>
      </c>
      <c r="L56" s="11">
        <v>3.8</v>
      </c>
      <c r="M56" s="11"/>
      <c r="N56" s="6"/>
    </row>
    <row r="57" spans="4:14" ht="13.8" x14ac:dyDescent="0.25">
      <c r="D57" s="6">
        <v>2</v>
      </c>
      <c r="E57" s="11">
        <v>3.2399999999999998</v>
      </c>
      <c r="F57" s="11">
        <v>3.2899999999999996</v>
      </c>
      <c r="G57" s="11">
        <v>3.3099999999999996</v>
      </c>
      <c r="H57" s="11">
        <v>3.4</v>
      </c>
      <c r="I57" s="11">
        <v>3.4699999999999998</v>
      </c>
      <c r="J57" s="11">
        <v>3.57</v>
      </c>
      <c r="K57" s="11">
        <v>3.6399999999999997</v>
      </c>
      <c r="L57" s="11">
        <v>3.8</v>
      </c>
      <c r="M57" s="11"/>
      <c r="N57" s="6"/>
    </row>
    <row r="58" spans="4:14" ht="13.8" x14ac:dyDescent="0.25">
      <c r="D58" s="6">
        <v>3</v>
      </c>
      <c r="E58" s="11">
        <v>3.2399999999999998</v>
      </c>
      <c r="F58" s="11">
        <v>3.2899999999999996</v>
      </c>
      <c r="G58" s="11">
        <v>3.3099999999999996</v>
      </c>
      <c r="H58" s="11">
        <v>3.4</v>
      </c>
      <c r="I58" s="11">
        <v>3.4699999999999998</v>
      </c>
      <c r="J58" s="11">
        <v>3.57</v>
      </c>
      <c r="K58" s="11">
        <v>3.6399999999999997</v>
      </c>
      <c r="L58" s="11">
        <v>3.8</v>
      </c>
      <c r="M58" s="11"/>
      <c r="N58" s="6"/>
    </row>
    <row r="59" spans="4:14" ht="13.8" x14ac:dyDescent="0.25">
      <c r="D59" s="6">
        <v>4</v>
      </c>
      <c r="E59" s="11">
        <v>3.2399999999999998</v>
      </c>
      <c r="F59" s="11">
        <v>3.2899999999999996</v>
      </c>
      <c r="G59" s="11">
        <v>3.3099999999999996</v>
      </c>
      <c r="H59" s="11">
        <v>3.4</v>
      </c>
      <c r="I59" s="11">
        <v>3.4699999999999998</v>
      </c>
      <c r="J59" s="11">
        <v>3.57</v>
      </c>
      <c r="K59" s="11">
        <v>3.6399999999999997</v>
      </c>
      <c r="L59" s="11">
        <v>3.8</v>
      </c>
      <c r="M59" s="11"/>
      <c r="N59" s="6"/>
    </row>
    <row r="60" spans="4:14" ht="13.8" x14ac:dyDescent="0.25">
      <c r="D60" s="6">
        <v>5</v>
      </c>
      <c r="E60" s="11">
        <v>4.0999999999999996</v>
      </c>
      <c r="F60" s="11">
        <v>4.18</v>
      </c>
      <c r="G60" s="11">
        <v>4.22</v>
      </c>
      <c r="H60" s="11">
        <v>4.2799999999999994</v>
      </c>
      <c r="I60" s="11">
        <v>4.33</v>
      </c>
      <c r="J60" s="11">
        <v>4.37</v>
      </c>
      <c r="K60" s="11">
        <v>4.4399999999999995</v>
      </c>
      <c r="L60" s="11">
        <v>4.58</v>
      </c>
      <c r="M60" s="11"/>
      <c r="N60" s="6"/>
    </row>
    <row r="61" spans="4:14" ht="13.8" x14ac:dyDescent="0.25">
      <c r="D61" s="6">
        <v>6</v>
      </c>
      <c r="E61" s="11">
        <v>4.0999999999999996</v>
      </c>
      <c r="F61" s="11">
        <v>4.18</v>
      </c>
      <c r="G61" s="11">
        <v>4.22</v>
      </c>
      <c r="H61" s="11">
        <v>4.2799999999999994</v>
      </c>
      <c r="I61" s="11">
        <v>4.33</v>
      </c>
      <c r="J61" s="11">
        <v>4.37</v>
      </c>
      <c r="K61" s="11">
        <v>4.4399999999999995</v>
      </c>
      <c r="L61" s="11">
        <v>4.58</v>
      </c>
      <c r="M61" s="11"/>
      <c r="N61" s="6"/>
    </row>
    <row r="62" spans="4:14" ht="13.8" x14ac:dyDescent="0.25">
      <c r="D62" s="6">
        <v>7</v>
      </c>
      <c r="E62" s="11">
        <v>4.0999999999999996</v>
      </c>
      <c r="F62" s="11">
        <v>4.18</v>
      </c>
      <c r="G62" s="11">
        <v>4.22</v>
      </c>
      <c r="H62" s="11">
        <v>4.2799999999999994</v>
      </c>
      <c r="I62" s="11">
        <v>4.33</v>
      </c>
      <c r="J62" s="11">
        <v>4.37</v>
      </c>
      <c r="K62" s="11">
        <v>4.4399999999999995</v>
      </c>
      <c r="L62" s="11">
        <v>4.58</v>
      </c>
      <c r="M62" s="11"/>
      <c r="N62" s="6"/>
    </row>
    <row r="63" spans="4:14" ht="13.8" x14ac:dyDescent="0.25">
      <c r="D63" s="6">
        <v>8</v>
      </c>
      <c r="E63" s="11">
        <v>4.0999999999999996</v>
      </c>
      <c r="F63" s="11">
        <v>4.18</v>
      </c>
      <c r="G63" s="11">
        <v>4.22</v>
      </c>
      <c r="H63" s="11">
        <v>4.2799999999999994</v>
      </c>
      <c r="I63" s="11">
        <v>4.33</v>
      </c>
      <c r="J63" s="11">
        <v>4.37</v>
      </c>
      <c r="K63" s="11">
        <v>4.4399999999999995</v>
      </c>
      <c r="L63" s="11">
        <v>4.58</v>
      </c>
      <c r="M63" s="11"/>
      <c r="N63" s="6"/>
    </row>
    <row r="64" spans="4:14" ht="13.8" x14ac:dyDescent="0.25">
      <c r="D64" s="6">
        <v>9</v>
      </c>
      <c r="E64" s="11">
        <v>4.62</v>
      </c>
      <c r="F64" s="11">
        <v>4.6899999999999995</v>
      </c>
      <c r="G64" s="11">
        <v>4.74</v>
      </c>
      <c r="H64" s="11">
        <v>4.8</v>
      </c>
      <c r="I64" s="11">
        <v>4.88</v>
      </c>
      <c r="J64" s="11">
        <v>5.04</v>
      </c>
      <c r="K64" s="11">
        <v>5.16</v>
      </c>
      <c r="L64" s="11">
        <v>5.3199999999999994</v>
      </c>
      <c r="M64" s="11"/>
      <c r="N64" s="6"/>
    </row>
    <row r="65" spans="4:14" ht="13.8" x14ac:dyDescent="0.25">
      <c r="D65" s="6">
        <v>10</v>
      </c>
      <c r="E65" s="11">
        <v>4.62</v>
      </c>
      <c r="F65" s="11">
        <v>4.6899999999999995</v>
      </c>
      <c r="G65" s="11">
        <v>4.74</v>
      </c>
      <c r="H65" s="11">
        <v>4.8</v>
      </c>
      <c r="I65" s="11">
        <v>4.88</v>
      </c>
      <c r="J65" s="11">
        <v>5.04</v>
      </c>
      <c r="K65" s="11">
        <v>5.16</v>
      </c>
      <c r="L65" s="11">
        <v>5.3199999999999994</v>
      </c>
      <c r="M65" s="11"/>
      <c r="N65" s="6"/>
    </row>
    <row r="66" spans="4:14" ht="13.8" x14ac:dyDescent="0.25">
      <c r="D66" s="6">
        <v>11</v>
      </c>
      <c r="E66" s="11">
        <v>4.62</v>
      </c>
      <c r="F66" s="11">
        <v>4.6899999999999995</v>
      </c>
      <c r="G66" s="11">
        <v>4.74</v>
      </c>
      <c r="H66" s="11">
        <v>4.8</v>
      </c>
      <c r="I66" s="11">
        <v>4.88</v>
      </c>
      <c r="J66" s="11">
        <v>5.04</v>
      </c>
      <c r="K66" s="11">
        <v>5.16</v>
      </c>
      <c r="L66" s="11">
        <v>5.3199999999999994</v>
      </c>
      <c r="M66" s="11"/>
      <c r="N66" s="6"/>
    </row>
    <row r="67" spans="4:14" ht="13.8" x14ac:dyDescent="0.25">
      <c r="D67" s="6">
        <v>12</v>
      </c>
      <c r="E67" s="11">
        <v>4.62</v>
      </c>
      <c r="F67" s="11">
        <v>4.6899999999999995</v>
      </c>
      <c r="G67" s="11">
        <v>4.74</v>
      </c>
      <c r="H67" s="11">
        <v>4.8</v>
      </c>
      <c r="I67" s="11">
        <v>4.88</v>
      </c>
      <c r="J67" s="11">
        <v>5.04</v>
      </c>
      <c r="K67" s="11">
        <v>5.16</v>
      </c>
      <c r="L67" s="11">
        <v>5.3199999999999994</v>
      </c>
      <c r="M67" s="11"/>
      <c r="N67" s="6"/>
    </row>
    <row r="68" spans="4:14" ht="13.8" x14ac:dyDescent="0.25">
      <c r="D68" s="6">
        <v>13</v>
      </c>
      <c r="E68" s="11">
        <v>5.1499999999999995</v>
      </c>
      <c r="F68" s="11">
        <v>5.2299999999999995</v>
      </c>
      <c r="G68" s="11">
        <v>5.29</v>
      </c>
      <c r="H68" s="11">
        <v>5.35</v>
      </c>
      <c r="I68" s="11">
        <v>5.47</v>
      </c>
      <c r="J68" s="11">
        <v>5.67</v>
      </c>
      <c r="K68" s="11">
        <v>5.8</v>
      </c>
      <c r="L68" s="11">
        <v>5.97</v>
      </c>
      <c r="M68" s="11"/>
      <c r="N68" s="6"/>
    </row>
    <row r="69" spans="4:14" ht="13.8" x14ac:dyDescent="0.25">
      <c r="D69" s="6">
        <v>14</v>
      </c>
      <c r="E69" s="11">
        <v>5.1499999999999995</v>
      </c>
      <c r="F69" s="11">
        <v>5.2299999999999995</v>
      </c>
      <c r="G69" s="11">
        <v>5.29</v>
      </c>
      <c r="H69" s="11">
        <v>5.35</v>
      </c>
      <c r="I69" s="11">
        <v>5.47</v>
      </c>
      <c r="J69" s="11">
        <v>5.67</v>
      </c>
      <c r="K69" s="11">
        <v>5.8</v>
      </c>
      <c r="L69" s="11">
        <v>5.97</v>
      </c>
      <c r="M69" s="11"/>
      <c r="N69" s="6"/>
    </row>
    <row r="70" spans="4:14" ht="13.8" x14ac:dyDescent="0.25">
      <c r="D70" s="6">
        <v>15</v>
      </c>
      <c r="E70" s="11">
        <v>5.1499999999999995</v>
      </c>
      <c r="F70" s="11">
        <v>5.2299999999999995</v>
      </c>
      <c r="G70" s="11">
        <v>5.29</v>
      </c>
      <c r="H70" s="11">
        <v>5.35</v>
      </c>
      <c r="I70" s="11">
        <v>5.47</v>
      </c>
      <c r="J70" s="11">
        <v>5.67</v>
      </c>
      <c r="K70" s="11">
        <v>5.8</v>
      </c>
      <c r="L70" s="11">
        <v>5.97</v>
      </c>
      <c r="M70" s="11"/>
      <c r="N70" s="6"/>
    </row>
    <row r="71" spans="4:14" ht="13.8" x14ac:dyDescent="0.25">
      <c r="D71" s="12">
        <v>15.999000000000001</v>
      </c>
      <c r="E71" s="13">
        <v>5.1499999999999995</v>
      </c>
      <c r="F71" s="13">
        <v>5.2299999999999995</v>
      </c>
      <c r="G71" s="13">
        <v>5.29</v>
      </c>
      <c r="H71" s="13">
        <v>5.35</v>
      </c>
      <c r="I71" s="13">
        <v>5.47</v>
      </c>
      <c r="J71" s="13">
        <v>5.67</v>
      </c>
      <c r="K71" s="13">
        <v>5.8</v>
      </c>
      <c r="L71" s="13">
        <v>5.97</v>
      </c>
      <c r="M71" s="13"/>
      <c r="N71" s="6"/>
    </row>
    <row r="72" spans="4:14" ht="13.8" x14ac:dyDescent="0.25">
      <c r="D72" s="6">
        <v>1</v>
      </c>
      <c r="E72" s="11">
        <v>6.02</v>
      </c>
      <c r="F72" s="11">
        <v>6.02</v>
      </c>
      <c r="G72" s="11">
        <v>6.05</v>
      </c>
      <c r="H72" s="11">
        <v>6.29</v>
      </c>
      <c r="I72" s="11">
        <v>6.5699999999999994</v>
      </c>
      <c r="J72" s="11">
        <v>6.79</v>
      </c>
      <c r="K72" s="11">
        <v>7.16</v>
      </c>
      <c r="L72" s="11">
        <v>7.55</v>
      </c>
      <c r="M72" s="11"/>
      <c r="N72" s="6"/>
    </row>
    <row r="73" spans="4:14" ht="13.8" x14ac:dyDescent="0.25">
      <c r="D73" s="6">
        <v>2</v>
      </c>
      <c r="E73" s="11">
        <v>6.02</v>
      </c>
      <c r="F73" s="11">
        <v>6.18</v>
      </c>
      <c r="G73" s="11">
        <v>6.3199999999999994</v>
      </c>
      <c r="H73" s="11">
        <v>6.66</v>
      </c>
      <c r="I73" s="11">
        <v>6.97</v>
      </c>
      <c r="J73" s="11">
        <v>7.83</v>
      </c>
      <c r="K73" s="11">
        <v>8.31</v>
      </c>
      <c r="L73" s="11">
        <v>8.9</v>
      </c>
      <c r="M73" s="11"/>
      <c r="N73" s="6"/>
    </row>
    <row r="74" spans="4:14" ht="13.8" x14ac:dyDescent="0.25">
      <c r="D74" s="6">
        <v>3</v>
      </c>
      <c r="E74" s="11">
        <v>6.3599999999999994</v>
      </c>
      <c r="F74" s="11">
        <v>6.6</v>
      </c>
      <c r="G74" s="11">
        <v>6.75</v>
      </c>
      <c r="H74" s="11">
        <v>7.0699999999999994</v>
      </c>
      <c r="I74" s="11">
        <v>7.6</v>
      </c>
      <c r="J74" s="11">
        <v>9.06</v>
      </c>
      <c r="K74" s="11">
        <v>9.52</v>
      </c>
      <c r="L74" s="11">
        <v>10.23</v>
      </c>
      <c r="M74" s="11"/>
      <c r="N74" s="6"/>
    </row>
    <row r="75" spans="4:14" ht="13.8" x14ac:dyDescent="0.25">
      <c r="D75" s="6">
        <v>4</v>
      </c>
      <c r="E75" s="11">
        <v>6.55</v>
      </c>
      <c r="F75" s="11">
        <v>6.8</v>
      </c>
      <c r="G75" s="11">
        <v>7.0299999999999994</v>
      </c>
      <c r="H75" s="11">
        <v>7.52</v>
      </c>
      <c r="I75" s="11">
        <v>8.52</v>
      </c>
      <c r="J75" s="11">
        <v>9.59</v>
      </c>
      <c r="K75" s="11">
        <v>10.32</v>
      </c>
      <c r="L75" s="11">
        <v>11.129999999999999</v>
      </c>
      <c r="M75" s="11"/>
      <c r="N75" s="6"/>
    </row>
    <row r="76" spans="4:14" ht="13.8" x14ac:dyDescent="0.25">
      <c r="D76" s="6">
        <v>5</v>
      </c>
      <c r="E76" s="11">
        <v>6.6899999999999995</v>
      </c>
      <c r="F76" s="11">
        <v>6.95</v>
      </c>
      <c r="G76" s="11">
        <v>7.22</v>
      </c>
      <c r="H76" s="11">
        <v>7.7799999999999994</v>
      </c>
      <c r="I76" s="11">
        <v>8.76</v>
      </c>
      <c r="J76" s="11">
        <v>10.17</v>
      </c>
      <c r="K76" s="11">
        <v>10.86</v>
      </c>
      <c r="L76" s="11">
        <v>11.81</v>
      </c>
      <c r="M76" s="11"/>
      <c r="N76" s="6"/>
    </row>
    <row r="77" spans="4:14" ht="13.8" x14ac:dyDescent="0.25">
      <c r="D77" s="6">
        <v>6</v>
      </c>
      <c r="E77" s="11">
        <v>6.84</v>
      </c>
      <c r="F77" s="11">
        <v>7.05</v>
      </c>
      <c r="G77" s="11">
        <v>7.46</v>
      </c>
      <c r="H77" s="11">
        <v>8.11</v>
      </c>
      <c r="I77" s="11">
        <v>9.879999999999999</v>
      </c>
      <c r="J77" s="11">
        <v>10.43</v>
      </c>
      <c r="K77" s="11">
        <v>11.17</v>
      </c>
      <c r="L77" s="11">
        <v>12.129999999999999</v>
      </c>
      <c r="M77" s="11"/>
      <c r="N77" s="6"/>
    </row>
    <row r="78" spans="4:14" ht="13.8" x14ac:dyDescent="0.25">
      <c r="D78" s="6">
        <v>7</v>
      </c>
      <c r="E78" s="11">
        <v>7.1499999999999995</v>
      </c>
      <c r="F78" s="11">
        <v>7.37</v>
      </c>
      <c r="G78" s="11">
        <v>7.96</v>
      </c>
      <c r="H78" s="11">
        <v>8.4499999999999993</v>
      </c>
      <c r="I78" s="11">
        <v>10.209999999999999</v>
      </c>
      <c r="J78" s="11">
        <v>10.74</v>
      </c>
      <c r="K78" s="11">
        <v>11.59</v>
      </c>
      <c r="L78" s="11">
        <v>12.74</v>
      </c>
      <c r="M78" s="11"/>
      <c r="N78" s="6"/>
    </row>
    <row r="79" spans="4:14" ht="13.8" x14ac:dyDescent="0.25">
      <c r="D79" s="6">
        <v>8</v>
      </c>
      <c r="E79" s="11">
        <v>7.27</v>
      </c>
      <c r="F79" s="11">
        <v>7.51</v>
      </c>
      <c r="G79" s="11">
        <v>8.32</v>
      </c>
      <c r="H79" s="11">
        <v>9.24</v>
      </c>
      <c r="I79" s="11">
        <v>10.47</v>
      </c>
      <c r="J79" s="11">
        <v>11.11</v>
      </c>
      <c r="K79" s="11">
        <v>11.99</v>
      </c>
      <c r="L79" s="11">
        <v>13.2</v>
      </c>
      <c r="M79" s="11"/>
      <c r="N79" s="6"/>
    </row>
    <row r="80" spans="4:14" ht="13.8" x14ac:dyDescent="0.25">
      <c r="D80" s="6">
        <v>9</v>
      </c>
      <c r="E80" s="11">
        <v>7.71</v>
      </c>
      <c r="F80" s="11">
        <v>7.97</v>
      </c>
      <c r="G80" s="11">
        <v>8.61</v>
      </c>
      <c r="H80" s="11">
        <v>9.6</v>
      </c>
      <c r="I80" s="11">
        <v>10.64</v>
      </c>
      <c r="J80" s="11">
        <v>11.39</v>
      </c>
      <c r="K80" s="11">
        <v>12.45</v>
      </c>
      <c r="L80" s="11">
        <v>13.84</v>
      </c>
      <c r="M80" s="11"/>
      <c r="N80" s="6"/>
    </row>
    <row r="81" spans="4:14" ht="13.8" x14ac:dyDescent="0.25">
      <c r="D81" s="6">
        <v>10</v>
      </c>
      <c r="E81" s="11">
        <v>7.9799999999999995</v>
      </c>
      <c r="F81" s="11">
        <v>8.25</v>
      </c>
      <c r="G81" s="11">
        <v>8.93</v>
      </c>
      <c r="H81" s="11">
        <v>9.74</v>
      </c>
      <c r="I81" s="11">
        <v>10.92</v>
      </c>
      <c r="J81" s="11">
        <v>11.68</v>
      </c>
      <c r="K81" s="11">
        <v>13.08</v>
      </c>
      <c r="L81" s="11">
        <v>14.62</v>
      </c>
      <c r="M81" s="11"/>
      <c r="N81" s="6"/>
    </row>
    <row r="82" spans="4:14" ht="13.8" x14ac:dyDescent="0.25">
      <c r="D82" s="6">
        <v>11</v>
      </c>
      <c r="E82" s="11">
        <v>8.9</v>
      </c>
      <c r="F82" s="11">
        <v>9.25</v>
      </c>
      <c r="G82" s="11">
        <v>9.49</v>
      </c>
      <c r="H82" s="11">
        <v>10.32</v>
      </c>
      <c r="I82" s="11">
        <v>11.209999999999999</v>
      </c>
      <c r="J82" s="11">
        <v>12.1</v>
      </c>
      <c r="K82" s="11">
        <v>14.02</v>
      </c>
      <c r="L82" s="11">
        <v>15.47</v>
      </c>
      <c r="M82" s="11"/>
      <c r="N82" s="6"/>
    </row>
    <row r="83" spans="4:14" ht="13.8" x14ac:dyDescent="0.25">
      <c r="D83" s="6">
        <v>12</v>
      </c>
      <c r="E83" s="11">
        <v>9.2799999999999994</v>
      </c>
      <c r="F83" s="11">
        <v>9.57</v>
      </c>
      <c r="G83" s="11">
        <v>9.91</v>
      </c>
      <c r="H83" s="11">
        <v>10.57</v>
      </c>
      <c r="I83" s="11">
        <v>11.51</v>
      </c>
      <c r="J83" s="11">
        <v>12.629999999999999</v>
      </c>
      <c r="K83" s="11">
        <v>14.67</v>
      </c>
      <c r="L83" s="11">
        <v>16.28</v>
      </c>
      <c r="M83" s="11"/>
      <c r="N83" s="6"/>
    </row>
    <row r="84" spans="4:14" ht="13.8" x14ac:dyDescent="0.25">
      <c r="D84" s="6">
        <v>13</v>
      </c>
      <c r="E84" s="11">
        <v>9.5499999999999989</v>
      </c>
      <c r="F84" s="11">
        <v>9.83</v>
      </c>
      <c r="G84" s="11">
        <v>10.26</v>
      </c>
      <c r="H84" s="11">
        <v>10.9</v>
      </c>
      <c r="I84" s="11">
        <v>11.95</v>
      </c>
      <c r="J84" s="11">
        <v>13.12</v>
      </c>
      <c r="K84" s="11">
        <v>15.65</v>
      </c>
      <c r="L84" s="11">
        <v>17.350000000000001</v>
      </c>
      <c r="M84" s="11"/>
      <c r="N84" s="6"/>
    </row>
    <row r="85" spans="4:14" ht="13.8" x14ac:dyDescent="0.25">
      <c r="D85" s="6">
        <v>14</v>
      </c>
      <c r="E85" s="11">
        <v>9.85</v>
      </c>
      <c r="F85" s="11">
        <v>10.11</v>
      </c>
      <c r="G85" s="11">
        <v>10.53</v>
      </c>
      <c r="H85" s="11">
        <v>11.07</v>
      </c>
      <c r="I85" s="11">
        <v>12.24</v>
      </c>
      <c r="J85" s="11">
        <v>13.879999999999999</v>
      </c>
      <c r="K85" s="11">
        <v>16.610000000000003</v>
      </c>
      <c r="L85" s="11">
        <v>18.470000000000002</v>
      </c>
      <c r="M85" s="11"/>
      <c r="N85" s="6"/>
    </row>
    <row r="86" spans="4:14" ht="13.8" x14ac:dyDescent="0.25">
      <c r="D86" s="6">
        <v>15</v>
      </c>
      <c r="E86" s="11">
        <v>10.06</v>
      </c>
      <c r="F86" s="11">
        <v>10.25</v>
      </c>
      <c r="G86" s="11">
        <v>10.91</v>
      </c>
      <c r="H86" s="11">
        <v>11.44</v>
      </c>
      <c r="I86" s="11">
        <v>12.82</v>
      </c>
      <c r="J86" s="11">
        <v>14.629999999999999</v>
      </c>
      <c r="K86" s="11">
        <v>17.270000000000003</v>
      </c>
      <c r="L86" s="11">
        <v>19.59</v>
      </c>
      <c r="M86" s="11"/>
      <c r="N86" s="6"/>
    </row>
    <row r="87" spans="4:14" ht="13.8" x14ac:dyDescent="0.25">
      <c r="D87" s="6">
        <v>16</v>
      </c>
      <c r="E87" s="11">
        <v>10.32</v>
      </c>
      <c r="F87" s="11">
        <v>10.49</v>
      </c>
      <c r="G87" s="11">
        <v>11.2</v>
      </c>
      <c r="H87" s="11">
        <v>11.65</v>
      </c>
      <c r="I87" s="11">
        <v>13.08</v>
      </c>
      <c r="J87" s="11">
        <v>15.2</v>
      </c>
      <c r="K87" s="11">
        <v>18.040000000000003</v>
      </c>
      <c r="L87" s="11">
        <v>20.3</v>
      </c>
      <c r="M87" s="11"/>
      <c r="N87" s="6"/>
    </row>
    <row r="88" spans="4:14" ht="13.8" x14ac:dyDescent="0.25">
      <c r="D88" s="6">
        <v>17</v>
      </c>
      <c r="E88" s="11">
        <v>10.58</v>
      </c>
      <c r="F88" s="11">
        <v>11.15</v>
      </c>
      <c r="G88" s="11">
        <v>11.58</v>
      </c>
      <c r="H88" s="11">
        <v>12.02</v>
      </c>
      <c r="I88" s="11">
        <v>13.629999999999999</v>
      </c>
      <c r="J88" s="11">
        <v>15.87</v>
      </c>
      <c r="K88" s="11">
        <v>19.080000000000002</v>
      </c>
      <c r="L88" s="11">
        <v>21.060000000000002</v>
      </c>
      <c r="M88" s="11"/>
      <c r="N88" s="6"/>
    </row>
    <row r="89" spans="4:14" ht="13.8" x14ac:dyDescent="0.25">
      <c r="D89" s="6">
        <v>18</v>
      </c>
      <c r="E89" s="11">
        <v>10.72</v>
      </c>
      <c r="F89" s="11">
        <v>11.299999999999999</v>
      </c>
      <c r="G89" s="11">
        <v>11.76</v>
      </c>
      <c r="H89" s="11">
        <v>12.23</v>
      </c>
      <c r="I89" s="11">
        <v>14.17</v>
      </c>
      <c r="J89" s="11">
        <v>16.560000000000002</v>
      </c>
      <c r="K89" s="11">
        <v>19.62</v>
      </c>
      <c r="L89" s="11">
        <v>22.220000000000002</v>
      </c>
      <c r="M89" s="11"/>
      <c r="N89" s="6"/>
    </row>
    <row r="90" spans="4:14" ht="13.8" x14ac:dyDescent="0.25">
      <c r="D90" s="6">
        <v>19</v>
      </c>
      <c r="E90" s="11">
        <v>11.01</v>
      </c>
      <c r="F90" s="11">
        <v>11.59</v>
      </c>
      <c r="G90" s="11">
        <v>12.24</v>
      </c>
      <c r="H90" s="11">
        <v>12.73</v>
      </c>
      <c r="I90" s="11">
        <v>14.98</v>
      </c>
      <c r="J90" s="11">
        <v>17.130000000000003</v>
      </c>
      <c r="K90" s="11">
        <v>20.37</v>
      </c>
      <c r="L90" s="11">
        <v>23.17</v>
      </c>
      <c r="M90" s="11"/>
      <c r="N90" s="6"/>
    </row>
    <row r="91" spans="4:14" ht="13.8" x14ac:dyDescent="0.25">
      <c r="D91" s="12">
        <v>20</v>
      </c>
      <c r="E91" s="13">
        <v>11.23</v>
      </c>
      <c r="F91" s="13">
        <v>11.84</v>
      </c>
      <c r="G91" s="13">
        <v>12.53</v>
      </c>
      <c r="H91" s="13">
        <v>13.07</v>
      </c>
      <c r="I91" s="13">
        <v>15.42</v>
      </c>
      <c r="J91" s="13">
        <v>17.760000000000002</v>
      </c>
      <c r="K91" s="13">
        <v>21.16</v>
      </c>
      <c r="L91" s="13">
        <v>24.23</v>
      </c>
      <c r="M91" s="13"/>
      <c r="N91" s="6"/>
    </row>
    <row r="92" spans="4:14" ht="13.8" x14ac:dyDescent="0.25">
      <c r="D92" s="6" t="s">
        <v>31</v>
      </c>
      <c r="E92" s="11">
        <v>4.76</v>
      </c>
      <c r="F92" s="11">
        <v>4.76</v>
      </c>
      <c r="G92" s="11">
        <v>4.79</v>
      </c>
      <c r="H92" s="11">
        <v>4.9799999999999995</v>
      </c>
      <c r="I92" s="11">
        <v>5.21</v>
      </c>
      <c r="J92" s="11">
        <v>5.37</v>
      </c>
      <c r="K92" s="11">
        <v>5.66</v>
      </c>
      <c r="L92" s="11">
        <v>5.9799999999999995</v>
      </c>
      <c r="M92" s="11"/>
      <c r="N92" s="6"/>
    </row>
    <row r="93" spans="4:14" ht="13.8" x14ac:dyDescent="0.25">
      <c r="D93" s="6" t="s">
        <v>32</v>
      </c>
      <c r="E93" s="11">
        <v>6.02</v>
      </c>
      <c r="F93" s="11">
        <v>6.1099999999999994</v>
      </c>
      <c r="G93" s="11">
        <v>6.22</v>
      </c>
      <c r="H93" s="11">
        <v>6.52</v>
      </c>
      <c r="I93" s="11">
        <v>6.8199999999999994</v>
      </c>
      <c r="J93" s="11">
        <v>7.3999999999999995</v>
      </c>
      <c r="K93" s="11">
        <v>7.8599999999999994</v>
      </c>
      <c r="L93" s="11">
        <v>8.35</v>
      </c>
      <c r="M93" s="11"/>
      <c r="N93" s="6"/>
    </row>
    <row r="94" spans="4:14" ht="13.8" x14ac:dyDescent="0.25">
      <c r="D94" s="6" t="s">
        <v>33</v>
      </c>
      <c r="E94" s="11">
        <v>6.22</v>
      </c>
      <c r="F94" s="11">
        <v>6.41</v>
      </c>
      <c r="G94" s="11">
        <v>6.56</v>
      </c>
      <c r="H94" s="11">
        <v>6.8999999999999995</v>
      </c>
      <c r="I94" s="11">
        <v>7.3199999999999994</v>
      </c>
      <c r="J94" s="11">
        <v>8.5299999999999994</v>
      </c>
      <c r="K94" s="11">
        <v>8.99</v>
      </c>
      <c r="L94" s="11">
        <v>9.65</v>
      </c>
      <c r="M94" s="11"/>
      <c r="N94" s="6"/>
    </row>
    <row r="95" spans="4:14" ht="13.8" x14ac:dyDescent="0.25">
      <c r="D95" s="6" t="s">
        <v>34</v>
      </c>
      <c r="E95" s="11">
        <v>6.47</v>
      </c>
      <c r="F95" s="11">
        <v>6.71</v>
      </c>
      <c r="G95" s="11">
        <v>6.91</v>
      </c>
      <c r="H95" s="11">
        <v>7.3199999999999994</v>
      </c>
      <c r="I95" s="11">
        <v>8.11</v>
      </c>
      <c r="J95" s="11">
        <v>9.3699999999999992</v>
      </c>
      <c r="K95" s="11">
        <v>9.9599999999999991</v>
      </c>
      <c r="L95" s="11">
        <v>10.73</v>
      </c>
      <c r="M95" s="11"/>
      <c r="N95" s="6"/>
    </row>
    <row r="96" spans="4:14" ht="13.8" x14ac:dyDescent="0.25">
      <c r="D96" s="6" t="s">
        <v>35</v>
      </c>
      <c r="E96" s="11">
        <v>6.64</v>
      </c>
      <c r="F96" s="11">
        <v>6.89</v>
      </c>
      <c r="G96" s="11">
        <v>7.1499999999999995</v>
      </c>
      <c r="H96" s="11">
        <v>7.68</v>
      </c>
      <c r="I96" s="11">
        <v>8.66</v>
      </c>
      <c r="J96" s="11">
        <v>9.94</v>
      </c>
      <c r="K96" s="11">
        <v>10.66</v>
      </c>
      <c r="L96" s="11">
        <v>11.54</v>
      </c>
      <c r="M96" s="11"/>
      <c r="N96" s="6"/>
    </row>
    <row r="97" spans="4:14" ht="13.8" x14ac:dyDescent="0.25">
      <c r="D97" s="6" t="s">
        <v>37</v>
      </c>
      <c r="E97" s="11">
        <v>6.8</v>
      </c>
      <c r="F97" s="11">
        <v>7.02</v>
      </c>
      <c r="G97" s="11">
        <v>7.39</v>
      </c>
      <c r="H97" s="11">
        <v>8.01</v>
      </c>
      <c r="I97" s="11">
        <v>9.57</v>
      </c>
      <c r="J97" s="11">
        <v>10.36</v>
      </c>
      <c r="K97" s="11">
        <v>11.09</v>
      </c>
      <c r="L97" s="11">
        <v>12.04</v>
      </c>
      <c r="M97" s="11"/>
      <c r="N97" s="6"/>
    </row>
    <row r="98" spans="4:14" ht="13.8" x14ac:dyDescent="0.25">
      <c r="D98" s="6" t="s">
        <v>38</v>
      </c>
      <c r="E98" s="11">
        <v>7.0699999999999994</v>
      </c>
      <c r="F98" s="11">
        <v>7.3</v>
      </c>
      <c r="G98" s="11">
        <v>7.85</v>
      </c>
      <c r="H98" s="11">
        <v>8.36</v>
      </c>
      <c r="I98" s="11">
        <v>10.14</v>
      </c>
      <c r="J98" s="11">
        <v>10.67</v>
      </c>
      <c r="K98" s="11">
        <v>11.49</v>
      </c>
      <c r="L98" s="11">
        <v>12.6</v>
      </c>
      <c r="M98" s="11"/>
      <c r="N98" s="6"/>
    </row>
    <row r="99" spans="4:14" ht="13.8" x14ac:dyDescent="0.25">
      <c r="D99" s="6" t="s">
        <v>39</v>
      </c>
      <c r="E99" s="11">
        <v>7.25</v>
      </c>
      <c r="F99" s="11">
        <v>7.4799999999999995</v>
      </c>
      <c r="G99" s="11">
        <v>8.25</v>
      </c>
      <c r="H99" s="11">
        <v>9.08</v>
      </c>
      <c r="I99" s="11">
        <v>10.42</v>
      </c>
      <c r="J99" s="11">
        <v>11.04</v>
      </c>
      <c r="K99" s="11">
        <v>11.91</v>
      </c>
      <c r="L99" s="11">
        <v>13.11</v>
      </c>
      <c r="M99" s="11"/>
      <c r="N99" s="6"/>
    </row>
    <row r="100" spans="4:14" ht="13.8" x14ac:dyDescent="0.25">
      <c r="D100" s="6" t="s">
        <v>40</v>
      </c>
      <c r="E100" s="11">
        <v>7.6499999999999995</v>
      </c>
      <c r="F100" s="11">
        <v>7.8999999999999995</v>
      </c>
      <c r="G100" s="11">
        <v>8.57</v>
      </c>
      <c r="H100" s="11">
        <v>9.5499999999999989</v>
      </c>
      <c r="I100" s="11">
        <v>10.61</v>
      </c>
      <c r="J100" s="11">
        <v>11.35</v>
      </c>
      <c r="K100" s="11">
        <v>12.379999999999999</v>
      </c>
      <c r="L100" s="11">
        <v>13.75</v>
      </c>
      <c r="M100" s="11"/>
      <c r="N100" s="6"/>
    </row>
    <row r="101" spans="4:14" ht="13.8" x14ac:dyDescent="0.25">
      <c r="D101" s="12" t="s">
        <v>41</v>
      </c>
      <c r="E101" s="13">
        <v>7.95</v>
      </c>
      <c r="F101" s="13">
        <v>8.2200000000000006</v>
      </c>
      <c r="G101" s="13">
        <v>8.9</v>
      </c>
      <c r="H101" s="13">
        <v>9.73</v>
      </c>
      <c r="I101" s="13">
        <v>10.89</v>
      </c>
      <c r="J101" s="13">
        <v>11.65</v>
      </c>
      <c r="K101" s="13">
        <v>13.01</v>
      </c>
      <c r="L101" s="13">
        <v>14.54</v>
      </c>
      <c r="M101" s="13"/>
      <c r="N101" s="6"/>
    </row>
    <row r="103" spans="4:14" ht="13.8" x14ac:dyDescent="0.3">
      <c r="D103" s="19" t="s">
        <v>26</v>
      </c>
      <c r="E103" s="19"/>
      <c r="F103" s="19"/>
      <c r="G103" s="19"/>
      <c r="H103" s="19"/>
      <c r="I103" s="19"/>
      <c r="J103" s="19"/>
      <c r="K103" s="19"/>
      <c r="L103" s="19"/>
      <c r="M103" s="19"/>
      <c r="N103" s="19"/>
    </row>
    <row r="104" spans="4:14" ht="13.8" x14ac:dyDescent="0.25">
      <c r="D104" s="4" t="s">
        <v>36</v>
      </c>
      <c r="E104" s="5"/>
      <c r="F104" s="5"/>
      <c r="G104" s="5"/>
      <c r="H104" s="5"/>
      <c r="I104" s="5"/>
      <c r="J104" s="5"/>
      <c r="K104" s="5"/>
      <c r="L104" s="5"/>
      <c r="M104" s="5"/>
      <c r="N104" s="6"/>
    </row>
    <row r="105" spans="4:14" ht="13.8" x14ac:dyDescent="0.25">
      <c r="D105" s="20" t="s">
        <v>17</v>
      </c>
      <c r="E105" s="5"/>
      <c r="F105" s="22" t="s">
        <v>6</v>
      </c>
      <c r="G105" s="22"/>
      <c r="H105" s="22"/>
      <c r="I105" s="22"/>
      <c r="J105" s="22"/>
      <c r="K105" s="22"/>
      <c r="L105" s="22"/>
      <c r="M105" s="22"/>
      <c r="N105" s="6"/>
    </row>
    <row r="106" spans="4:14" ht="14.4" thickBot="1" x14ac:dyDescent="0.3">
      <c r="D106" s="21"/>
      <c r="E106" s="8">
        <v>1</v>
      </c>
      <c r="F106" s="8">
        <v>2</v>
      </c>
      <c r="G106" s="9">
        <v>3</v>
      </c>
      <c r="H106" s="9">
        <v>4</v>
      </c>
      <c r="I106" s="9">
        <v>5</v>
      </c>
      <c r="J106" s="9">
        <v>6</v>
      </c>
      <c r="K106" s="9">
        <v>7</v>
      </c>
      <c r="L106" s="9">
        <v>8</v>
      </c>
      <c r="M106" s="9">
        <v>9</v>
      </c>
      <c r="N106" s="6"/>
    </row>
    <row r="107" spans="4:14" ht="13.8" x14ac:dyDescent="0.25">
      <c r="D107" s="6">
        <v>1</v>
      </c>
      <c r="E107" s="11">
        <v>3.19</v>
      </c>
      <c r="F107" s="11">
        <v>3.25</v>
      </c>
      <c r="G107" s="11">
        <v>3.2699999999999996</v>
      </c>
      <c r="H107" s="11">
        <v>3.36</v>
      </c>
      <c r="I107" s="11">
        <v>3.42</v>
      </c>
      <c r="J107" s="11">
        <v>3.51</v>
      </c>
      <c r="K107" s="11">
        <v>3.59</v>
      </c>
      <c r="L107" s="11">
        <v>3.75</v>
      </c>
      <c r="M107" s="11"/>
      <c r="N107" s="6"/>
    </row>
    <row r="108" spans="4:14" ht="13.8" x14ac:dyDescent="0.25">
      <c r="D108" s="6">
        <v>2</v>
      </c>
      <c r="E108" s="11">
        <v>3.19</v>
      </c>
      <c r="F108" s="11">
        <v>3.25</v>
      </c>
      <c r="G108" s="11">
        <v>3.2699999999999996</v>
      </c>
      <c r="H108" s="11">
        <v>3.36</v>
      </c>
      <c r="I108" s="11">
        <v>3.42</v>
      </c>
      <c r="J108" s="11">
        <v>3.51</v>
      </c>
      <c r="K108" s="11">
        <v>3.59</v>
      </c>
      <c r="L108" s="11">
        <v>3.75</v>
      </c>
      <c r="M108" s="11"/>
      <c r="N108" s="6"/>
    </row>
    <row r="109" spans="4:14" ht="13.8" x14ac:dyDescent="0.25">
      <c r="D109" s="6">
        <v>3</v>
      </c>
      <c r="E109" s="11">
        <v>3.19</v>
      </c>
      <c r="F109" s="11">
        <v>3.25</v>
      </c>
      <c r="G109" s="11">
        <v>3.2699999999999996</v>
      </c>
      <c r="H109" s="11">
        <v>3.36</v>
      </c>
      <c r="I109" s="11">
        <v>3.42</v>
      </c>
      <c r="J109" s="11">
        <v>3.51</v>
      </c>
      <c r="K109" s="11">
        <v>3.59</v>
      </c>
      <c r="L109" s="11">
        <v>3.75</v>
      </c>
      <c r="M109" s="11"/>
      <c r="N109" s="6"/>
    </row>
    <row r="110" spans="4:14" ht="13.8" x14ac:dyDescent="0.25">
      <c r="D110" s="6">
        <v>4</v>
      </c>
      <c r="E110" s="11">
        <v>3.19</v>
      </c>
      <c r="F110" s="11">
        <v>3.25</v>
      </c>
      <c r="G110" s="11">
        <v>3.2699999999999996</v>
      </c>
      <c r="H110" s="11">
        <v>3.36</v>
      </c>
      <c r="I110" s="11">
        <v>3.42</v>
      </c>
      <c r="J110" s="11">
        <v>3.51</v>
      </c>
      <c r="K110" s="11">
        <v>3.59</v>
      </c>
      <c r="L110" s="11">
        <v>3.75</v>
      </c>
      <c r="M110" s="11"/>
      <c r="N110" s="6"/>
    </row>
    <row r="111" spans="4:14" ht="13.8" x14ac:dyDescent="0.25">
      <c r="D111" s="6">
        <v>5</v>
      </c>
      <c r="E111" s="11">
        <v>4.08</v>
      </c>
      <c r="F111" s="11">
        <v>4.1499999999999995</v>
      </c>
      <c r="G111" s="11">
        <v>4.18</v>
      </c>
      <c r="H111" s="11">
        <v>4.25</v>
      </c>
      <c r="I111" s="11">
        <v>4.3</v>
      </c>
      <c r="J111" s="11">
        <v>4.34</v>
      </c>
      <c r="K111" s="11">
        <v>4.41</v>
      </c>
      <c r="L111" s="11">
        <v>4.55</v>
      </c>
      <c r="M111" s="11"/>
      <c r="N111" s="6"/>
    </row>
    <row r="112" spans="4:14" ht="13.8" x14ac:dyDescent="0.25">
      <c r="D112" s="6">
        <v>6</v>
      </c>
      <c r="E112" s="11">
        <v>4.08</v>
      </c>
      <c r="F112" s="11">
        <v>4.1499999999999995</v>
      </c>
      <c r="G112" s="11">
        <v>4.18</v>
      </c>
      <c r="H112" s="11">
        <v>4.25</v>
      </c>
      <c r="I112" s="11">
        <v>4.3</v>
      </c>
      <c r="J112" s="11">
        <v>4.34</v>
      </c>
      <c r="K112" s="11">
        <v>4.41</v>
      </c>
      <c r="L112" s="11">
        <v>4.55</v>
      </c>
      <c r="M112" s="11"/>
      <c r="N112" s="6"/>
    </row>
    <row r="113" spans="4:14" ht="13.8" x14ac:dyDescent="0.25">
      <c r="D113" s="6">
        <v>7</v>
      </c>
      <c r="E113" s="11">
        <v>4.08</v>
      </c>
      <c r="F113" s="11">
        <v>4.1499999999999995</v>
      </c>
      <c r="G113" s="11">
        <v>4.18</v>
      </c>
      <c r="H113" s="11">
        <v>4.25</v>
      </c>
      <c r="I113" s="11">
        <v>4.3</v>
      </c>
      <c r="J113" s="11">
        <v>4.34</v>
      </c>
      <c r="K113" s="11">
        <v>4.41</v>
      </c>
      <c r="L113" s="11">
        <v>4.55</v>
      </c>
      <c r="M113" s="11"/>
      <c r="N113" s="6"/>
    </row>
    <row r="114" spans="4:14" ht="13.8" x14ac:dyDescent="0.25">
      <c r="D114" s="6">
        <v>8</v>
      </c>
      <c r="E114" s="11">
        <v>4.08</v>
      </c>
      <c r="F114" s="11">
        <v>4.1499999999999995</v>
      </c>
      <c r="G114" s="11">
        <v>4.18</v>
      </c>
      <c r="H114" s="11">
        <v>4.25</v>
      </c>
      <c r="I114" s="11">
        <v>4.3</v>
      </c>
      <c r="J114" s="11">
        <v>4.34</v>
      </c>
      <c r="K114" s="11">
        <v>4.41</v>
      </c>
      <c r="L114" s="11">
        <v>4.55</v>
      </c>
      <c r="M114" s="11"/>
      <c r="N114" s="6"/>
    </row>
    <row r="115" spans="4:14" ht="13.8" x14ac:dyDescent="0.25">
      <c r="D115" s="6">
        <v>9</v>
      </c>
      <c r="E115" s="11">
        <v>4.59</v>
      </c>
      <c r="F115" s="11">
        <v>4.66</v>
      </c>
      <c r="G115" s="11">
        <v>4.71</v>
      </c>
      <c r="H115" s="11">
        <v>4.7699999999999996</v>
      </c>
      <c r="I115" s="11">
        <v>4.8499999999999996</v>
      </c>
      <c r="J115" s="11">
        <v>5.01</v>
      </c>
      <c r="K115" s="11">
        <v>5.13</v>
      </c>
      <c r="L115" s="11">
        <v>5.29</v>
      </c>
      <c r="M115" s="11"/>
      <c r="N115" s="6"/>
    </row>
    <row r="116" spans="4:14" ht="13.8" x14ac:dyDescent="0.25">
      <c r="D116" s="6">
        <v>10</v>
      </c>
      <c r="E116" s="11">
        <v>4.59</v>
      </c>
      <c r="F116" s="11">
        <v>4.66</v>
      </c>
      <c r="G116" s="11">
        <v>4.71</v>
      </c>
      <c r="H116" s="11">
        <v>4.7699999999999996</v>
      </c>
      <c r="I116" s="11">
        <v>4.8499999999999996</v>
      </c>
      <c r="J116" s="11">
        <v>5.01</v>
      </c>
      <c r="K116" s="11">
        <v>5.13</v>
      </c>
      <c r="L116" s="11">
        <v>5.29</v>
      </c>
      <c r="M116" s="11"/>
      <c r="N116" s="6"/>
    </row>
    <row r="117" spans="4:14" ht="13.8" x14ac:dyDescent="0.25">
      <c r="D117" s="6">
        <v>11</v>
      </c>
      <c r="E117" s="11">
        <v>4.59</v>
      </c>
      <c r="F117" s="11">
        <v>4.66</v>
      </c>
      <c r="G117" s="11">
        <v>4.71</v>
      </c>
      <c r="H117" s="11">
        <v>4.7699999999999996</v>
      </c>
      <c r="I117" s="11">
        <v>4.8499999999999996</v>
      </c>
      <c r="J117" s="11">
        <v>5.01</v>
      </c>
      <c r="K117" s="11">
        <v>5.13</v>
      </c>
      <c r="L117" s="11">
        <v>5.29</v>
      </c>
      <c r="M117" s="11"/>
      <c r="N117" s="6"/>
    </row>
    <row r="118" spans="4:14" ht="13.8" x14ac:dyDescent="0.25">
      <c r="D118" s="6">
        <v>12</v>
      </c>
      <c r="E118" s="11">
        <v>4.59</v>
      </c>
      <c r="F118" s="11">
        <v>4.66</v>
      </c>
      <c r="G118" s="11">
        <v>4.71</v>
      </c>
      <c r="H118" s="11">
        <v>4.7699999999999996</v>
      </c>
      <c r="I118" s="11">
        <v>4.8499999999999996</v>
      </c>
      <c r="J118" s="11">
        <v>5.01</v>
      </c>
      <c r="K118" s="11">
        <v>5.13</v>
      </c>
      <c r="L118" s="11">
        <v>5.29</v>
      </c>
      <c r="M118" s="11"/>
      <c r="N118" s="6"/>
    </row>
    <row r="119" spans="4:14" ht="13.8" x14ac:dyDescent="0.25">
      <c r="D119" s="6">
        <v>13</v>
      </c>
      <c r="E119" s="11">
        <v>5.12</v>
      </c>
      <c r="F119" s="11">
        <v>5.2</v>
      </c>
      <c r="G119" s="11">
        <v>5.26</v>
      </c>
      <c r="H119" s="11">
        <v>5.3199999999999994</v>
      </c>
      <c r="I119" s="11">
        <v>5.4399999999999995</v>
      </c>
      <c r="J119" s="11">
        <v>5.64</v>
      </c>
      <c r="K119" s="11">
        <v>5.77</v>
      </c>
      <c r="L119" s="11">
        <v>5.9399999999999995</v>
      </c>
      <c r="M119" s="11"/>
      <c r="N119" s="6"/>
    </row>
    <row r="120" spans="4:14" ht="13.8" x14ac:dyDescent="0.25">
      <c r="D120" s="6">
        <v>14</v>
      </c>
      <c r="E120" s="11">
        <v>5.12</v>
      </c>
      <c r="F120" s="11">
        <v>5.2</v>
      </c>
      <c r="G120" s="11">
        <v>5.26</v>
      </c>
      <c r="H120" s="11">
        <v>5.3199999999999994</v>
      </c>
      <c r="I120" s="11">
        <v>5.4399999999999995</v>
      </c>
      <c r="J120" s="11">
        <v>5.64</v>
      </c>
      <c r="K120" s="11">
        <v>5.77</v>
      </c>
      <c r="L120" s="11">
        <v>5.9399999999999995</v>
      </c>
      <c r="M120" s="11"/>
      <c r="N120" s="6"/>
    </row>
    <row r="121" spans="4:14" ht="13.8" x14ac:dyDescent="0.25">
      <c r="D121" s="6">
        <v>15</v>
      </c>
      <c r="E121" s="11">
        <v>5.12</v>
      </c>
      <c r="F121" s="11">
        <v>5.2</v>
      </c>
      <c r="G121" s="11">
        <v>5.26</v>
      </c>
      <c r="H121" s="11">
        <v>5.3199999999999994</v>
      </c>
      <c r="I121" s="11">
        <v>5.4399999999999995</v>
      </c>
      <c r="J121" s="11">
        <v>5.64</v>
      </c>
      <c r="K121" s="11">
        <v>5.77</v>
      </c>
      <c r="L121" s="11">
        <v>5.9399999999999995</v>
      </c>
      <c r="M121" s="11"/>
      <c r="N121" s="6"/>
    </row>
    <row r="122" spans="4:14" ht="13.8" x14ac:dyDescent="0.25">
      <c r="D122" s="12">
        <v>15.999000000000001</v>
      </c>
      <c r="E122" s="13">
        <v>5.12</v>
      </c>
      <c r="F122" s="13">
        <v>5.2</v>
      </c>
      <c r="G122" s="13">
        <v>5.26</v>
      </c>
      <c r="H122" s="13">
        <v>5.3199999999999994</v>
      </c>
      <c r="I122" s="13">
        <v>5.4399999999999995</v>
      </c>
      <c r="J122" s="13">
        <v>5.64</v>
      </c>
      <c r="K122" s="13">
        <v>5.77</v>
      </c>
      <c r="L122" s="13">
        <v>5.9399999999999995</v>
      </c>
      <c r="M122" s="13"/>
      <c r="N122" s="6"/>
    </row>
    <row r="123" spans="4:14" ht="13.8" x14ac:dyDescent="0.25">
      <c r="D123" s="6">
        <v>1</v>
      </c>
      <c r="E123" s="11">
        <v>5.8599999999999994</v>
      </c>
      <c r="F123" s="11">
        <v>5.8599999999999994</v>
      </c>
      <c r="G123" s="11">
        <v>5.89</v>
      </c>
      <c r="H123" s="11">
        <v>6.1099999999999994</v>
      </c>
      <c r="I123" s="11">
        <v>6.39</v>
      </c>
      <c r="J123" s="11">
        <v>6.6</v>
      </c>
      <c r="K123" s="11">
        <v>6.96</v>
      </c>
      <c r="L123" s="11">
        <v>7.34</v>
      </c>
      <c r="M123" s="11"/>
      <c r="N123" s="6"/>
    </row>
    <row r="124" spans="4:14" ht="13.8" x14ac:dyDescent="0.25">
      <c r="D124" s="6">
        <v>2</v>
      </c>
      <c r="E124" s="11">
        <v>5.8599999999999994</v>
      </c>
      <c r="F124" s="11">
        <v>6.01</v>
      </c>
      <c r="G124" s="11">
        <v>6.1499999999999995</v>
      </c>
      <c r="H124" s="11">
        <v>6.49</v>
      </c>
      <c r="I124" s="11">
        <v>6.79</v>
      </c>
      <c r="J124" s="11">
        <v>7.6099999999999994</v>
      </c>
      <c r="K124" s="11">
        <v>8.1</v>
      </c>
      <c r="L124" s="11">
        <v>8.66</v>
      </c>
      <c r="M124" s="11"/>
      <c r="N124" s="6"/>
    </row>
    <row r="125" spans="4:14" ht="13.8" x14ac:dyDescent="0.25">
      <c r="D125" s="6">
        <v>3</v>
      </c>
      <c r="E125" s="11">
        <v>6.1899999999999995</v>
      </c>
      <c r="F125" s="11">
        <v>6.42</v>
      </c>
      <c r="G125" s="11">
        <v>6.5699999999999994</v>
      </c>
      <c r="H125" s="11">
        <v>6.88</v>
      </c>
      <c r="I125" s="11">
        <v>7.39</v>
      </c>
      <c r="J125" s="11">
        <v>8.82</v>
      </c>
      <c r="K125" s="11">
        <v>9.26</v>
      </c>
      <c r="L125" s="11">
        <v>9.9499999999999993</v>
      </c>
      <c r="M125" s="11"/>
      <c r="N125" s="6"/>
    </row>
    <row r="126" spans="4:14" ht="13.8" x14ac:dyDescent="0.25">
      <c r="D126" s="6">
        <v>4</v>
      </c>
      <c r="E126" s="11">
        <v>6.37</v>
      </c>
      <c r="F126" s="11">
        <v>6.6099999999999994</v>
      </c>
      <c r="G126" s="11">
        <v>6.84</v>
      </c>
      <c r="H126" s="11">
        <v>7.3199999999999994</v>
      </c>
      <c r="I126" s="11">
        <v>8.2799999999999994</v>
      </c>
      <c r="J126" s="11">
        <v>9.33</v>
      </c>
      <c r="K126" s="11">
        <v>10.049999999999999</v>
      </c>
      <c r="L126" s="11">
        <v>10.83</v>
      </c>
      <c r="M126" s="11"/>
      <c r="N126" s="6"/>
    </row>
    <row r="127" spans="4:14" ht="13.8" x14ac:dyDescent="0.25">
      <c r="D127" s="6">
        <v>5</v>
      </c>
      <c r="E127" s="11">
        <v>6.52</v>
      </c>
      <c r="F127" s="11">
        <v>6.76</v>
      </c>
      <c r="G127" s="11">
        <v>7.02</v>
      </c>
      <c r="H127" s="11">
        <v>7.56</v>
      </c>
      <c r="I127" s="11">
        <v>8.52</v>
      </c>
      <c r="J127" s="11">
        <v>9.89</v>
      </c>
      <c r="K127" s="11">
        <v>10.57</v>
      </c>
      <c r="L127" s="11">
        <v>11.49</v>
      </c>
      <c r="M127" s="11"/>
      <c r="N127" s="6"/>
    </row>
    <row r="128" spans="4:14" ht="13.8" x14ac:dyDescent="0.25">
      <c r="D128" s="6">
        <v>6</v>
      </c>
      <c r="E128" s="11">
        <v>6.6499999999999995</v>
      </c>
      <c r="F128" s="11">
        <v>6.8599999999999994</v>
      </c>
      <c r="G128" s="11">
        <v>7.26</v>
      </c>
      <c r="H128" s="11">
        <v>7.89</v>
      </c>
      <c r="I128" s="11">
        <v>9.61</v>
      </c>
      <c r="J128" s="11">
        <v>10.15</v>
      </c>
      <c r="K128" s="11">
        <v>10.86</v>
      </c>
      <c r="L128" s="11">
        <v>11.799999999999999</v>
      </c>
      <c r="M128" s="11"/>
      <c r="N128" s="6"/>
    </row>
    <row r="129" spans="4:14" ht="13.8" x14ac:dyDescent="0.25">
      <c r="D129" s="6">
        <v>7</v>
      </c>
      <c r="E129" s="11">
        <v>6.95</v>
      </c>
      <c r="F129" s="11">
        <v>7.18</v>
      </c>
      <c r="G129" s="11">
        <v>7.74</v>
      </c>
      <c r="H129" s="11">
        <v>8.2099999999999991</v>
      </c>
      <c r="I129" s="11">
        <v>9.93</v>
      </c>
      <c r="J129" s="11">
        <v>10.45</v>
      </c>
      <c r="K129" s="11">
        <v>11.28</v>
      </c>
      <c r="L129" s="11">
        <v>12.39</v>
      </c>
      <c r="M129" s="11"/>
      <c r="N129" s="6"/>
    </row>
    <row r="130" spans="4:14" ht="13.8" x14ac:dyDescent="0.25">
      <c r="D130" s="6">
        <v>8</v>
      </c>
      <c r="E130" s="11">
        <v>7.0699999999999994</v>
      </c>
      <c r="F130" s="11">
        <v>7.31</v>
      </c>
      <c r="G130" s="11">
        <v>8.11</v>
      </c>
      <c r="H130" s="11">
        <v>8.98</v>
      </c>
      <c r="I130" s="11">
        <v>10.18</v>
      </c>
      <c r="J130" s="11">
        <v>10.81</v>
      </c>
      <c r="K130" s="11">
        <v>11.66</v>
      </c>
      <c r="L130" s="11">
        <v>12.85</v>
      </c>
      <c r="M130" s="11"/>
      <c r="N130" s="6"/>
    </row>
    <row r="131" spans="4:14" ht="13.8" x14ac:dyDescent="0.25">
      <c r="D131" s="6">
        <v>9</v>
      </c>
      <c r="E131" s="11">
        <v>7.5</v>
      </c>
      <c r="F131" s="11">
        <v>7.76</v>
      </c>
      <c r="G131" s="11">
        <v>8.3699999999999992</v>
      </c>
      <c r="H131" s="11">
        <v>9.34</v>
      </c>
      <c r="I131" s="11">
        <v>10.36</v>
      </c>
      <c r="J131" s="11">
        <v>11.08</v>
      </c>
      <c r="K131" s="11">
        <v>12.12</v>
      </c>
      <c r="L131" s="11">
        <v>13.47</v>
      </c>
      <c r="M131" s="11"/>
      <c r="N131" s="6"/>
    </row>
    <row r="132" spans="4:14" ht="13.8" x14ac:dyDescent="0.25">
      <c r="D132" s="6">
        <v>10</v>
      </c>
      <c r="E132" s="11">
        <v>7.77</v>
      </c>
      <c r="F132" s="11">
        <v>8.0299999999999994</v>
      </c>
      <c r="G132" s="11">
        <v>8.69</v>
      </c>
      <c r="H132" s="11">
        <v>9.48</v>
      </c>
      <c r="I132" s="11">
        <v>10.62</v>
      </c>
      <c r="J132" s="11">
        <v>11.37</v>
      </c>
      <c r="K132" s="11">
        <v>12.73</v>
      </c>
      <c r="L132" s="11">
        <v>14.23</v>
      </c>
      <c r="M132" s="11"/>
      <c r="N132" s="6"/>
    </row>
    <row r="133" spans="4:14" ht="13.8" x14ac:dyDescent="0.25">
      <c r="D133" s="6">
        <v>11</v>
      </c>
      <c r="E133" s="11">
        <v>8.66</v>
      </c>
      <c r="F133" s="11">
        <v>8.99</v>
      </c>
      <c r="G133" s="11">
        <v>9.23</v>
      </c>
      <c r="H133" s="11">
        <v>10.049999999999999</v>
      </c>
      <c r="I133" s="11">
        <v>10.9</v>
      </c>
      <c r="J133" s="11">
        <v>11.77</v>
      </c>
      <c r="K133" s="11">
        <v>13.64</v>
      </c>
      <c r="L133" s="11">
        <v>15.049999999999999</v>
      </c>
      <c r="M133" s="11"/>
      <c r="N133" s="6"/>
    </row>
    <row r="134" spans="4:14" ht="13.8" x14ac:dyDescent="0.25">
      <c r="D134" s="6">
        <v>12</v>
      </c>
      <c r="E134" s="11">
        <v>9.02</v>
      </c>
      <c r="F134" s="11">
        <v>9.31</v>
      </c>
      <c r="G134" s="11">
        <v>9.64</v>
      </c>
      <c r="H134" s="11">
        <v>10.28</v>
      </c>
      <c r="I134" s="11">
        <v>11.2</v>
      </c>
      <c r="J134" s="11">
        <v>12.28</v>
      </c>
      <c r="K134" s="11">
        <v>14.27</v>
      </c>
      <c r="L134" s="11">
        <v>15.84</v>
      </c>
      <c r="M134" s="11"/>
      <c r="N134" s="6"/>
    </row>
    <row r="135" spans="4:14" ht="13.8" x14ac:dyDescent="0.25">
      <c r="D135" s="6">
        <v>13</v>
      </c>
      <c r="E135" s="11">
        <v>9.2899999999999991</v>
      </c>
      <c r="F135" s="11">
        <v>9.56</v>
      </c>
      <c r="G135" s="11">
        <v>9.98</v>
      </c>
      <c r="H135" s="11">
        <v>10.6</v>
      </c>
      <c r="I135" s="11">
        <v>11.61</v>
      </c>
      <c r="J135" s="11">
        <v>12.77</v>
      </c>
      <c r="K135" s="11">
        <v>15.23</v>
      </c>
      <c r="L135" s="11">
        <v>16.89</v>
      </c>
      <c r="M135" s="11"/>
      <c r="N135" s="6"/>
    </row>
    <row r="136" spans="4:14" ht="13.8" x14ac:dyDescent="0.25">
      <c r="D136" s="6">
        <v>14</v>
      </c>
      <c r="E136" s="11">
        <v>9.58</v>
      </c>
      <c r="F136" s="11">
        <v>9.83</v>
      </c>
      <c r="G136" s="11">
        <v>10.24</v>
      </c>
      <c r="H136" s="11">
        <v>10.77</v>
      </c>
      <c r="I136" s="11">
        <v>11.91</v>
      </c>
      <c r="J136" s="11">
        <v>13.5</v>
      </c>
      <c r="K136" s="11">
        <v>16.170000000000002</v>
      </c>
      <c r="L136" s="11">
        <v>17.96</v>
      </c>
      <c r="M136" s="11"/>
      <c r="N136" s="6"/>
    </row>
    <row r="137" spans="4:14" ht="13.8" x14ac:dyDescent="0.25">
      <c r="D137" s="6">
        <v>15</v>
      </c>
      <c r="E137" s="11">
        <v>9.7799999999999994</v>
      </c>
      <c r="F137" s="11">
        <v>9.9700000000000006</v>
      </c>
      <c r="G137" s="11">
        <v>10.61</v>
      </c>
      <c r="H137" s="11">
        <v>11.129999999999999</v>
      </c>
      <c r="I137" s="11">
        <v>12.47</v>
      </c>
      <c r="J137" s="11">
        <v>14.24</v>
      </c>
      <c r="K137" s="11">
        <v>16.810000000000002</v>
      </c>
      <c r="L137" s="11">
        <v>19.060000000000002</v>
      </c>
      <c r="M137" s="11"/>
      <c r="N137" s="6"/>
    </row>
    <row r="138" spans="4:14" ht="13.8" x14ac:dyDescent="0.25">
      <c r="D138" s="6">
        <v>16</v>
      </c>
      <c r="E138" s="11">
        <v>10.049999999999999</v>
      </c>
      <c r="F138" s="11">
        <v>10.199999999999999</v>
      </c>
      <c r="G138" s="11">
        <v>10.89</v>
      </c>
      <c r="H138" s="11">
        <v>11.34</v>
      </c>
      <c r="I138" s="11">
        <v>12.73</v>
      </c>
      <c r="J138" s="11">
        <v>14.78</v>
      </c>
      <c r="K138" s="11">
        <v>17.560000000000002</v>
      </c>
      <c r="L138" s="11">
        <v>19.75</v>
      </c>
      <c r="M138" s="11"/>
      <c r="N138" s="6"/>
    </row>
    <row r="139" spans="4:14" ht="13.8" x14ac:dyDescent="0.25">
      <c r="D139" s="6">
        <v>17</v>
      </c>
      <c r="E139" s="11">
        <v>10.29</v>
      </c>
      <c r="F139" s="11">
        <v>10.85</v>
      </c>
      <c r="G139" s="11">
        <v>11.27</v>
      </c>
      <c r="H139" s="11">
        <v>11.69</v>
      </c>
      <c r="I139" s="11">
        <v>13.26</v>
      </c>
      <c r="J139" s="11">
        <v>15.44</v>
      </c>
      <c r="K139" s="11">
        <v>18.560000000000002</v>
      </c>
      <c r="L139" s="11">
        <v>20.48</v>
      </c>
      <c r="M139" s="11"/>
      <c r="N139" s="6"/>
    </row>
    <row r="140" spans="4:14" ht="13.8" x14ac:dyDescent="0.25">
      <c r="D140" s="6">
        <v>18</v>
      </c>
      <c r="E140" s="11">
        <v>10.43</v>
      </c>
      <c r="F140" s="11">
        <v>10.99</v>
      </c>
      <c r="G140" s="11">
        <v>11.44</v>
      </c>
      <c r="H140" s="11">
        <v>11.9</v>
      </c>
      <c r="I140" s="11">
        <v>13.79</v>
      </c>
      <c r="J140" s="11">
        <v>16.110000000000003</v>
      </c>
      <c r="K140" s="11">
        <v>19.09</v>
      </c>
      <c r="L140" s="11">
        <v>21.630000000000003</v>
      </c>
      <c r="M140" s="11"/>
      <c r="N140" s="6"/>
    </row>
    <row r="141" spans="4:14" ht="13.8" x14ac:dyDescent="0.25">
      <c r="D141" s="6">
        <v>19</v>
      </c>
      <c r="E141" s="11">
        <v>10.709999999999999</v>
      </c>
      <c r="F141" s="11">
        <v>11.28</v>
      </c>
      <c r="G141" s="11">
        <v>11.91</v>
      </c>
      <c r="H141" s="11">
        <v>12.379999999999999</v>
      </c>
      <c r="I141" s="11">
        <v>14.58</v>
      </c>
      <c r="J141" s="11">
        <v>16.66</v>
      </c>
      <c r="K141" s="11">
        <v>19.810000000000002</v>
      </c>
      <c r="L141" s="11">
        <v>22.540000000000003</v>
      </c>
      <c r="M141" s="11"/>
      <c r="N141" s="6"/>
    </row>
    <row r="142" spans="4:14" ht="13.8" x14ac:dyDescent="0.25">
      <c r="D142" s="12">
        <v>20</v>
      </c>
      <c r="E142" s="13">
        <v>10.92</v>
      </c>
      <c r="F142" s="13">
        <v>11.52</v>
      </c>
      <c r="G142" s="13">
        <v>12.2</v>
      </c>
      <c r="H142" s="13">
        <v>12.72</v>
      </c>
      <c r="I142" s="13">
        <v>15</v>
      </c>
      <c r="J142" s="13">
        <v>17.270000000000003</v>
      </c>
      <c r="K142" s="13">
        <v>20.580000000000002</v>
      </c>
      <c r="L142" s="13">
        <v>23.580000000000002</v>
      </c>
      <c r="M142" s="13"/>
      <c r="N142" s="6"/>
    </row>
    <row r="143" spans="4:14" ht="13.8" x14ac:dyDescent="0.25">
      <c r="D143" s="6" t="s">
        <v>31</v>
      </c>
      <c r="E143" s="11">
        <v>4.6399999999999997</v>
      </c>
      <c r="F143" s="11">
        <v>4.6399999999999997</v>
      </c>
      <c r="G143" s="11">
        <v>4.67</v>
      </c>
      <c r="H143" s="11">
        <v>4.8499999999999996</v>
      </c>
      <c r="I143" s="11">
        <v>5.0599999999999996</v>
      </c>
      <c r="J143" s="11">
        <v>5.2299999999999995</v>
      </c>
      <c r="K143" s="11">
        <v>5.51</v>
      </c>
      <c r="L143" s="11">
        <v>5.8199999999999994</v>
      </c>
      <c r="M143" s="11"/>
      <c r="N143" s="6"/>
    </row>
    <row r="144" spans="4:14" ht="13.8" x14ac:dyDescent="0.25">
      <c r="D144" s="6" t="s">
        <v>32</v>
      </c>
      <c r="E144" s="11">
        <v>5.8599999999999994</v>
      </c>
      <c r="F144" s="11">
        <v>5.95</v>
      </c>
      <c r="G144" s="11">
        <v>6.05</v>
      </c>
      <c r="H144" s="11">
        <v>6.34</v>
      </c>
      <c r="I144" s="11">
        <v>6.63</v>
      </c>
      <c r="J144" s="11">
        <v>7.21</v>
      </c>
      <c r="K144" s="11">
        <v>7.64</v>
      </c>
      <c r="L144" s="11">
        <v>8.14</v>
      </c>
      <c r="M144" s="11"/>
      <c r="N144" s="6"/>
    </row>
    <row r="145" spans="4:14" ht="13.8" x14ac:dyDescent="0.25">
      <c r="D145" s="6" t="s">
        <v>33</v>
      </c>
      <c r="E145" s="11">
        <v>6.05</v>
      </c>
      <c r="F145" s="11">
        <v>6.24</v>
      </c>
      <c r="G145" s="11">
        <v>6.38</v>
      </c>
      <c r="H145" s="11">
        <v>6.71</v>
      </c>
      <c r="I145" s="11">
        <v>7.13</v>
      </c>
      <c r="J145" s="11">
        <v>8.2899999999999991</v>
      </c>
      <c r="K145" s="11">
        <v>8.76</v>
      </c>
      <c r="L145" s="11">
        <v>9.4</v>
      </c>
      <c r="M145" s="11"/>
      <c r="N145" s="6"/>
    </row>
    <row r="146" spans="4:14" ht="13.8" x14ac:dyDescent="0.25">
      <c r="D146" s="6" t="s">
        <v>34</v>
      </c>
      <c r="E146" s="11">
        <v>6.29</v>
      </c>
      <c r="F146" s="11">
        <v>6.5299999999999994</v>
      </c>
      <c r="G146" s="11">
        <v>6.72</v>
      </c>
      <c r="H146" s="11">
        <v>7.13</v>
      </c>
      <c r="I146" s="11">
        <v>7.89</v>
      </c>
      <c r="J146" s="11">
        <v>9.11</v>
      </c>
      <c r="K146" s="11">
        <v>9.6999999999999993</v>
      </c>
      <c r="L146" s="11">
        <v>10.44</v>
      </c>
      <c r="M146" s="11"/>
      <c r="N146" s="6"/>
    </row>
    <row r="147" spans="4:14" ht="13.8" x14ac:dyDescent="0.25">
      <c r="D147" s="6" t="s">
        <v>35</v>
      </c>
      <c r="E147" s="11">
        <v>6.47</v>
      </c>
      <c r="F147" s="11">
        <v>6.7</v>
      </c>
      <c r="G147" s="11">
        <v>6.95</v>
      </c>
      <c r="H147" s="11">
        <v>7.47</v>
      </c>
      <c r="I147" s="11">
        <v>8.43</v>
      </c>
      <c r="J147" s="11">
        <v>9.67</v>
      </c>
      <c r="K147" s="11">
        <v>10.37</v>
      </c>
      <c r="L147" s="11">
        <v>11.23</v>
      </c>
      <c r="M147" s="11"/>
      <c r="N147" s="6"/>
    </row>
    <row r="148" spans="4:14" ht="13.8" x14ac:dyDescent="0.25">
      <c r="D148" s="6" t="s">
        <v>37</v>
      </c>
      <c r="E148" s="11">
        <v>6.6099999999999994</v>
      </c>
      <c r="F148" s="11">
        <v>6.83</v>
      </c>
      <c r="G148" s="11">
        <v>7.2</v>
      </c>
      <c r="H148" s="11">
        <v>7.8</v>
      </c>
      <c r="I148" s="11">
        <v>9.31</v>
      </c>
      <c r="J148" s="11">
        <v>10.08</v>
      </c>
      <c r="K148" s="11">
        <v>10.79</v>
      </c>
      <c r="L148" s="11">
        <v>11.709999999999999</v>
      </c>
      <c r="M148" s="11"/>
      <c r="N148" s="6"/>
    </row>
    <row r="149" spans="4:14" ht="13.8" x14ac:dyDescent="0.25">
      <c r="D149" s="6" t="s">
        <v>38</v>
      </c>
      <c r="E149" s="11">
        <v>6.88</v>
      </c>
      <c r="F149" s="11">
        <v>7.1099999999999994</v>
      </c>
      <c r="G149" s="11">
        <v>7.63</v>
      </c>
      <c r="H149" s="11">
        <v>8.14</v>
      </c>
      <c r="I149" s="11">
        <v>9.86</v>
      </c>
      <c r="J149" s="11">
        <v>10.379999999999999</v>
      </c>
      <c r="K149" s="11">
        <v>11.18</v>
      </c>
      <c r="L149" s="11">
        <v>12.24</v>
      </c>
      <c r="M149" s="11"/>
      <c r="N149" s="6"/>
    </row>
    <row r="150" spans="4:14" ht="13.8" x14ac:dyDescent="0.25">
      <c r="D150" s="6" t="s">
        <v>39</v>
      </c>
      <c r="E150" s="11">
        <v>7.05</v>
      </c>
      <c r="F150" s="11">
        <v>7.2799999999999994</v>
      </c>
      <c r="G150" s="11">
        <v>8.0299999999999994</v>
      </c>
      <c r="H150" s="11">
        <v>8.83</v>
      </c>
      <c r="I150" s="11">
        <v>10.14</v>
      </c>
      <c r="J150" s="11">
        <v>10.74</v>
      </c>
      <c r="K150" s="11">
        <v>11.58</v>
      </c>
      <c r="L150" s="11">
        <v>12.76</v>
      </c>
      <c r="M150" s="11"/>
      <c r="N150" s="6"/>
    </row>
    <row r="151" spans="4:14" ht="13.8" x14ac:dyDescent="0.25">
      <c r="D151" s="6" t="s">
        <v>40</v>
      </c>
      <c r="E151" s="11">
        <v>7.45</v>
      </c>
      <c r="F151" s="11">
        <v>7.68</v>
      </c>
      <c r="G151" s="11">
        <v>8.33</v>
      </c>
      <c r="H151" s="11">
        <v>9.2899999999999991</v>
      </c>
      <c r="I151" s="11">
        <v>10.32</v>
      </c>
      <c r="J151" s="11">
        <v>11.04</v>
      </c>
      <c r="K151" s="11">
        <v>12.049999999999999</v>
      </c>
      <c r="L151" s="11">
        <v>13.379999999999999</v>
      </c>
      <c r="M151" s="11"/>
      <c r="N151" s="6"/>
    </row>
    <row r="152" spans="4:14" ht="13.8" x14ac:dyDescent="0.25">
      <c r="D152" s="12" t="s">
        <v>41</v>
      </c>
      <c r="E152" s="13">
        <v>7.7299999999999995</v>
      </c>
      <c r="F152" s="13">
        <v>8</v>
      </c>
      <c r="G152" s="13">
        <v>8.66</v>
      </c>
      <c r="H152" s="13">
        <v>9.4700000000000006</v>
      </c>
      <c r="I152" s="13">
        <v>10.59</v>
      </c>
      <c r="J152" s="13">
        <v>11.34</v>
      </c>
      <c r="K152" s="13">
        <v>12.66</v>
      </c>
      <c r="L152" s="13">
        <v>14.14</v>
      </c>
      <c r="M152" s="13"/>
      <c r="N152" s="6"/>
    </row>
  </sheetData>
  <mergeCells count="9">
    <mergeCell ref="D103:N103"/>
    <mergeCell ref="D105:D106"/>
    <mergeCell ref="F105:M105"/>
    <mergeCell ref="D1:N1"/>
    <mergeCell ref="D3:D4"/>
    <mergeCell ref="F3:M3"/>
    <mergeCell ref="D52:N52"/>
    <mergeCell ref="D54:D55"/>
    <mergeCell ref="F54:M5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Notes for future USPS uploads</vt:lpstr>
      <vt:lpstr>Rate Load</vt:lpstr>
      <vt:lpstr>Copy childid query</vt:lpstr>
      <vt:lpstr>Wedgewood Pharm-PME-Yr2-2025</vt:lpstr>
      <vt:lpstr>Wedgewood Pharm-PM-Yr2-2025</vt:lpstr>
      <vt:lpstr>Wedgewood Pharm-GA-Yr2-2025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Davidson</dc:creator>
  <cp:lastModifiedBy>Ryan Davidson</cp:lastModifiedBy>
  <dcterms:created xsi:type="dcterms:W3CDTF">2025-01-22T19:35:26Z</dcterms:created>
  <dcterms:modified xsi:type="dcterms:W3CDTF">2025-03-21T18:12:08Z</dcterms:modified>
</cp:coreProperties>
</file>